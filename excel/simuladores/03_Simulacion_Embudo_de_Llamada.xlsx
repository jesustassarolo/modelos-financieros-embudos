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icio" sheetId="1" state="visible" r:id="rId1"/>
    <sheet xmlns:r="http://schemas.openxmlformats.org/officeDocument/2006/relationships" name="Simulación" sheetId="2" state="visible" r:id="rId2"/>
    <sheet xmlns:r="http://schemas.openxmlformats.org/officeDocument/2006/relationships" name="Licencia" sheetId="3" state="visible" r:id="rId3"/>
  </sheets>
  <definedNames>
    <definedName name="Autor_Jesus_Tassarolo">"Modelo financiero de embudos · creado por Jesús Tassarolo · TooAudience · youtube.com/@JesusTassaroloSinFiltro"</definedName>
  </definedNames>
  <calcPr calcId="124519" fullCalcOnLoad="1"/>
</workbook>
</file>

<file path=xl/styles.xml><?xml version="1.0" encoding="utf-8"?>
<styleSheet xmlns="http://schemas.openxmlformats.org/spreadsheetml/2006/main">
  <numFmts count="5">
    <numFmt numFmtId="164" formatCode="&quot;$&quot;#,##0.00"/>
    <numFmt numFmtId="165" formatCode="&quot;$&quot;#,##0"/>
    <numFmt numFmtId="166" formatCode="0.0%"/>
    <numFmt numFmtId="167" formatCode="0.0"/>
    <numFmt numFmtId="168" formatCode="0.00&quot;x&quot;"/>
  </numFmts>
  <fonts count="6">
    <font>
      <name val="Calibri"/>
      <family val="2"/>
      <color theme="1"/>
      <sz val="11"/>
      <scheme val="minor"/>
    </font>
    <font>
      <b val="1"/>
      <sz val="14"/>
    </font>
    <font>
      <i val="1"/>
      <color rgb="00595959"/>
    </font>
    <font>
      <b val="1"/>
    </font>
    <font>
      <b val="1"/>
      <color rgb="00FFFFFF"/>
    </font>
    <font>
      <i val="1"/>
      <color rgb="008C8C8C"/>
      <sz val="8"/>
    </font>
  </fonts>
  <fills count="6">
    <fill>
      <patternFill/>
    </fill>
    <fill>
      <patternFill patternType="gray125"/>
    </fill>
    <fill>
      <patternFill patternType="solid">
        <fgColor rgb="001F3864"/>
      </patternFill>
    </fill>
    <fill>
      <patternFill patternType="solid">
        <fgColor rgb="00D9E1F2"/>
      </patternFill>
    </fill>
    <fill>
      <patternFill patternType="solid">
        <fgColor rgb="00FFF2CC"/>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4">
    <xf numFmtId="0" fontId="0" fillId="0" borderId="0" pivotButton="0" quotePrefix="0" xfId="0"/>
    <xf numFmtId="0" fontId="5"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vertical="top" wrapText="1"/>
    </xf>
    <xf numFmtId="165" fontId="0" fillId="0" borderId="0" pivotButton="0" quotePrefix="0" xfId="0"/>
    <xf numFmtId="164" fontId="0" fillId="0" borderId="0" pivotButton="0" quotePrefix="0" xfId="0"/>
    <xf numFmtId="166" fontId="0" fillId="0" borderId="0" pivotButton="0" quotePrefix="0" xfId="0"/>
    <xf numFmtId="3" fontId="0" fillId="0" borderId="0" pivotButton="0" quotePrefix="0" xfId="0"/>
    <xf numFmtId="168" fontId="0" fillId="0" borderId="0" pivotButton="0" quotePrefix="0" xfId="0"/>
    <xf numFmtId="0" fontId="3" fillId="5" borderId="1" pivotButton="0" quotePrefix="0" xfId="0"/>
    <xf numFmtId="0" fontId="4" fillId="2" borderId="1" applyAlignment="1" pivotButton="0" quotePrefix="0" xfId="0">
      <alignment horizontal="center" vertical="center"/>
    </xf>
    <xf numFmtId="0" fontId="3" fillId="3" borderId="0" pivotButton="0" quotePrefix="0" xfId="0"/>
    <xf numFmtId="0" fontId="0" fillId="3" borderId="0" pivotButton="0" quotePrefix="0" xfId="0"/>
    <xf numFmtId="164" fontId="0" fillId="4" borderId="1" pivotButton="0" quotePrefix="0" xfId="0"/>
    <xf numFmtId="165" fontId="0" fillId="4" borderId="1" pivotButton="0" quotePrefix="0" xfId="0"/>
    <xf numFmtId="3" fontId="0" fillId="5" borderId="1" pivotButton="0" quotePrefix="0" xfId="0"/>
    <xf numFmtId="166" fontId="0" fillId="4" borderId="1" pivotButton="0" quotePrefix="0" xfId="0"/>
    <xf numFmtId="164" fontId="3" fillId="5" borderId="1" pivotButton="0" quotePrefix="0" xfId="0"/>
    <xf numFmtId="3" fontId="3" fillId="5" borderId="1" pivotButton="0" quotePrefix="0" xfId="0"/>
    <xf numFmtId="3" fontId="0" fillId="4" borderId="1" pivotButton="0" quotePrefix="0" xfId="0"/>
    <xf numFmtId="167" fontId="3" fillId="5" borderId="1" pivotButton="0" quotePrefix="0" xfId="0"/>
    <xf numFmtId="167" fontId="0" fillId="5" borderId="1" pivotButton="0" quotePrefix="0" xfId="0"/>
    <xf numFmtId="164" fontId="0" fillId="5" borderId="1" pivotButton="0" quotePrefix="0" xfId="0"/>
    <xf numFmtId="10" fontId="0" fillId="5" borderId="1" pivotButton="0" quotePrefix="0" xfId="0"/>
    <xf numFmtId="165" fontId="0" fillId="5" borderId="1" pivotButton="0" quotePrefix="0" xfId="0"/>
    <xf numFmtId="165" fontId="3" fillId="5" borderId="1" pivotButton="0" quotePrefix="0" xfId="0"/>
    <xf numFmtId="168" fontId="0" fillId="5" borderId="1" pivotButton="0" quotePrefix="0" xfId="0"/>
    <xf numFmtId="168" fontId="3" fillId="5" borderId="1" pivotButton="0" quotePrefix="0" xfId="0"/>
    <xf numFmtId="166" fontId="0" fillId="5" borderId="1" pivotButton="0" quotePrefix="0" xfId="0"/>
    <xf numFmtId="168" fontId="0" fillId="4" borderId="1" pivotButton="0" quotePrefix="0" xfId="0"/>
    <xf numFmtId="49" fontId="0" fillId="5" borderId="1" pivotButton="0" quotePrefix="0" xfId="0"/>
    <xf numFmtId="49" fontId="3" fillId="5" borderId="1" pivotButton="0" quotePrefix="0" xfId="0"/>
  </cellXfs>
  <cellStyles count="1">
    <cellStyle name="Normal" xfId="0" builtinId="0" hidden="0"/>
  </cellStyles>
  <dxfs count="3">
    <dxf>
      <fill>
        <patternFill patternType="solid">
          <fgColor rgb="00C6EFCE"/>
        </patternFill>
      </fill>
    </dxf>
    <dxf>
      <fill>
        <patternFill patternType="solid">
          <fgColor rgb="00FFC7CE"/>
        </patternFill>
      </fill>
    </dxf>
    <dxf>
      <fill>
        <patternFill patternType="solid">
          <f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5"/>
  <sheetViews>
    <sheetView workbookViewId="0">
      <selection activeCell="A1" sqref="A1"/>
    </sheetView>
  </sheetViews>
  <sheetFormatPr baseColWidth="8" defaultRowHeight="15"/>
  <cols>
    <col width="2" customWidth="1" min="1" max="1"/>
    <col width="70" customWidth="1" min="2" max="2"/>
    <col width="16" customWidth="1" min="3" max="3"/>
  </cols>
  <sheetData>
    <row r="1">
      <c r="B1" s="1" t="inlineStr">
        <is>
          <t>© Jesús Tassarolo · TooAudience · youtube.com/@JesusTassaroloSinFiltro · uso personal; no redistribuir modificado</t>
        </is>
      </c>
    </row>
    <row r="2">
      <c r="B2" s="2" t="inlineStr">
        <is>
          <t>Simulación · Embudo de llamada (high ticket)</t>
        </is>
      </c>
    </row>
    <row r="3">
      <c r="B3" s="3" t="inlineStr">
        <is>
          <t>Un solo Excel para simular: la cadena completa del embudo con todos los números editables. No se conecta con el modelo financiero ni con las métricas diarias.</t>
        </is>
      </c>
    </row>
    <row r="5">
      <c r="B5" s="4" t="inlineStr">
        <is>
          <t>Qué es</t>
        </is>
      </c>
    </row>
    <row r="6" ht="60" customHeight="1">
      <c r="B6" s="5" t="inlineStr">
        <is>
          <t>La hoja Modelo del modelo financiero de este embudo, idéntica, pero con cada supuesto como número editable en su lugar de la cadena (inversión, CPM, CTR, visitas, conversión, asistencia, solicitudes, cierre, precios, comisiones, costos, cobranza, meta). Cambiás uno y se recalcula todo lo que depende.</t>
        </is>
      </c>
    </row>
    <row r="8">
      <c r="B8" s="4" t="inlineStr">
        <is>
          <t>Cómo se usa</t>
        </is>
      </c>
    </row>
    <row r="9" ht="60" customHeight="1">
      <c r="B9" s="5" t="inlineStr">
        <is>
          <t>Abrí la hoja Simulación. Las celdas amarillas se editan; las azules se calculan. Movés un número y mirás cómo cambian cantidades, costos por paso, facturado, cash neto, ganancia, ROAS, techo, objetivo y semáforo. La fila 'Estado de tus números' avisa si escribiste algo imposible.</t>
        </is>
      </c>
    </row>
    <row r="11">
      <c r="B11" s="4" t="inlineStr">
        <is>
          <t>Para qué</t>
        </is>
      </c>
    </row>
    <row r="12" ht="45" customHeight="1">
      <c r="B12" s="5" t="inlineStr">
        <is>
          <t>Para contestar antes de invertir: ¿qué pasa si el CPM sube un 30 %? ¿Y si el show baja al 10 %? ¿Y si subo el precio y el cierre cae? ¿Hasta qué CPL aguanta este embudo? Cuando una prueba te convence, pasá ese número a Supuestos del modelo financiero.</t>
        </is>
      </c>
    </row>
    <row r="14">
      <c r="B14" s="4" t="inlineStr">
        <is>
          <t>Regla</t>
        </is>
      </c>
    </row>
    <row r="15" ht="30" customHeight="1">
      <c r="B15" s="5" t="inlineStr">
        <is>
          <t>Una variable por vez. Para comparar ideas, duplicá la hoja y cambiá una sola cosa en cada copia.</t>
        </is>
      </c>
    </row>
    <row r="17">
      <c r="B17" s="4" t="inlineStr">
        <is>
          <t>Valores del ejemplo (por si querés volver)</t>
        </is>
      </c>
    </row>
    <row r="18">
      <c r="B18" t="inlineStr">
        <is>
          <t>Inversión en publicidad por mes</t>
        </is>
      </c>
      <c r="C18" s="6" t="n">
        <v>4500</v>
      </c>
    </row>
    <row r="19">
      <c r="B19" t="inlineStr">
        <is>
          <t>CPM (costo por mil impresiones)</t>
        </is>
      </c>
      <c r="C19" s="7" t="n">
        <v>10</v>
      </c>
    </row>
    <row r="20">
      <c r="B20" t="inlineStr">
        <is>
          <t>CTR al enlace</t>
        </is>
      </c>
      <c r="C20" s="8" t="n">
        <v>0.015</v>
      </c>
    </row>
    <row r="21">
      <c r="B21" t="inlineStr">
        <is>
          <t>% de clics que cargan la página</t>
        </is>
      </c>
      <c r="C21" s="8" t="n">
        <v>0.85</v>
      </c>
    </row>
    <row r="22">
      <c r="B22" t="inlineStr">
        <is>
          <t>% de visitas que dejan sus datos (lead)</t>
        </is>
      </c>
      <c r="C22" s="8" t="n">
        <v>0.28</v>
      </c>
    </row>
    <row r="23">
      <c r="B23" t="inlineStr">
        <is>
          <t>¿Hay webinar o evento antes de la aplicación? (1 = sí, 0 = no)</t>
        </is>
      </c>
      <c r="C23" s="9" t="n">
        <v>0</v>
      </c>
    </row>
    <row r="24">
      <c r="B24" t="inlineStr">
        <is>
          <t>% de leads que asisten al evento</t>
        </is>
      </c>
      <c r="C24" s="8" t="n">
        <v>0.14</v>
      </c>
    </row>
    <row r="25">
      <c r="B25" t="inlineStr">
        <is>
          <t>% que completa la aplicación (de leads, o de asistentes si hay evento)</t>
        </is>
      </c>
      <c r="C25" s="8" t="n">
        <v>0.1</v>
      </c>
    </row>
    <row r="26">
      <c r="B26" t="inlineStr">
        <is>
          <t>% de aplicaciones que califican</t>
        </is>
      </c>
      <c r="C26" s="8" t="n">
        <v>0.6</v>
      </c>
    </row>
    <row r="27">
      <c r="B27" t="inlineStr">
        <is>
          <t>% de calificados que agendan</t>
        </is>
      </c>
      <c r="C27" s="8" t="n">
        <v>0.6</v>
      </c>
    </row>
    <row r="28">
      <c r="B28" t="inlineStr">
        <is>
          <t>% de agendas que aparecen en la llamada</t>
        </is>
      </c>
      <c r="C28" s="8" t="n">
        <v>0.7</v>
      </c>
    </row>
    <row r="29">
      <c r="B29" t="inlineStr">
        <is>
          <t>% de llamadas que compran</t>
        </is>
      </c>
      <c r="C29" s="8" t="n">
        <v>0.25</v>
      </c>
    </row>
    <row r="30">
      <c r="B30" t="inlineStr">
        <is>
          <t>Programa: precio</t>
        </is>
      </c>
      <c r="C30" s="7" t="n">
        <v>1500</v>
      </c>
    </row>
    <row r="31">
      <c r="B31" t="inlineStr">
        <is>
          <t>Downsell para quien no compra en la llamada: precio</t>
        </is>
      </c>
      <c r="C31" s="7" t="n">
        <v>497</v>
      </c>
    </row>
    <row r="32">
      <c r="B32" t="inlineStr">
        <is>
          <t>Downsell: % de los que no compraron que lo toman</t>
        </is>
      </c>
      <c r="C32" s="8" t="n">
        <v>0.1</v>
      </c>
    </row>
    <row r="33">
      <c r="B33" t="inlineStr">
        <is>
          <t>Comisión de la pasarela o plataforma de pago</t>
        </is>
      </c>
      <c r="C33" s="8" t="n">
        <v>0.05</v>
      </c>
    </row>
    <row r="34">
      <c r="B34" t="inlineStr">
        <is>
          <t>Comisión del equipo de ventas</t>
        </is>
      </c>
      <c r="C34" s="8" t="n">
        <v>0.1</v>
      </c>
    </row>
    <row r="35">
      <c r="B35" t="inlineStr">
        <is>
          <t>Reembolsos y contracargos</t>
        </is>
      </c>
      <c r="C35" s="8" t="n">
        <v>0.05</v>
      </c>
    </row>
    <row r="36">
      <c r="B36" t="inlineStr">
        <is>
          <t>Costos por lead (herramientas, WhatsApp, IA)</t>
        </is>
      </c>
      <c r="C36" s="7" t="n">
        <v>0.2</v>
      </c>
    </row>
    <row r="37">
      <c r="B37" t="inlineStr">
        <is>
          <t>Costos fijos por mes</t>
        </is>
      </c>
      <c r="C37" s="6" t="n">
        <v>2500</v>
      </c>
    </row>
    <row r="38">
      <c r="B38" t="inlineStr">
        <is>
          <t>% del facturado que entra en el mes 1</t>
        </is>
      </c>
      <c r="C38" s="8" t="n">
        <v>0.6</v>
      </c>
    </row>
    <row r="39">
      <c r="B39" t="inlineStr">
        <is>
          <t>% que entra en el mes 2</t>
        </is>
      </c>
      <c r="C39" s="8" t="n">
        <v>0.2</v>
      </c>
    </row>
    <row r="40">
      <c r="B40" t="inlineStr">
        <is>
          <t>% que entra en el mes 3</t>
        </is>
      </c>
      <c r="C40" s="8" t="n">
        <v>0.2</v>
      </c>
    </row>
    <row r="41">
      <c r="B41" t="inlineStr">
        <is>
          <t>ROAS objetivo sobre cash neto</t>
        </is>
      </c>
      <c r="C41" s="10" t="n">
        <v>2.5</v>
      </c>
    </row>
    <row r="42">
      <c r="B42" t="inlineStr">
        <is>
          <t>Margen de seguridad</t>
        </is>
      </c>
      <c r="C42" s="8" t="n">
        <v>0.3</v>
      </c>
    </row>
    <row r="43">
      <c r="B43" t="inlineStr">
        <is>
          <t>Meta de ventas del producto principal</t>
        </is>
      </c>
      <c r="C43" s="9" t="n">
        <v>15</v>
      </c>
    </row>
    <row r="45">
      <c r="B45" s="3" t="inlineStr">
        <is>
          <t>Modelo financiero de embudos · creado por Jesús Tassarolo · TooAudience · youtube.com/@JesusTassaroloSinFiltro · v1.2 · octubre 2026</t>
        </is>
      </c>
    </row>
  </sheetData>
  <pageMargins left="0.75" right="0.75" top="1" bottom="1" header="0.5" footer="0.5"/>
  <headerFooter>
    <oddHeader>&amp;CJesús Tassarolo · TooAudience&amp;R&amp;D</oddHeader>
    <oddFooter>&amp;LModelo financiero de embudos · creado por Jesús Tassarolo · TooAudience · youtube.com/@JesusTassaroloSinFiltro&amp;RPágina &amp;P de &amp;N</oddFooter>
    <evenHeader>&amp;CJesús Tassarolo · TooAudience</evenHeader>
    <evenFooter>&amp;LModelo financiero de embudos · creado por Jesús Tassarolo · TooAudience · youtube.com/@JesusTassaroloSinFiltro&amp;RPágina &amp;P de &amp;N</evenFooter>
    <firstHeader/>
    <firstFooter/>
  </headerFooter>
</worksheet>
</file>

<file path=xl/worksheets/sheet2.xml><?xml version="1.0" encoding="utf-8"?>
<worksheet xmlns="http://schemas.openxmlformats.org/spreadsheetml/2006/main">
  <sheetPr>
    <outlinePr summaryBelow="1" summaryRight="1"/>
    <pageSetUpPr/>
  </sheetPr>
  <dimension ref="A1:D97"/>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2" customWidth="1" min="1" max="1"/>
    <col width="60" customWidth="1" min="2" max="2"/>
    <col width="18" customWidth="1" min="3" max="3"/>
    <col width="72" customWidth="1" min="4" max="4"/>
  </cols>
  <sheetData>
    <row r="1">
      <c r="B1" s="1" t="inlineStr">
        <is>
          <t>© Jesús Tassarolo · TooAudience · youtube.com/@JesusTassaroloSinFiltro · uso personal; no redistribuir modificado</t>
        </is>
      </c>
    </row>
    <row r="2">
      <c r="B2" s="2" t="inlineStr">
        <is>
          <t>Simulación: la cadena completa del embudo, con todos los números para jugar</t>
        </is>
      </c>
    </row>
    <row r="3">
      <c r="B3" s="3" t="inlineStr">
        <is>
          <t>Amarillo = supuesto: cambialo y todo lo que depende se recalcula al instante. Azul = resultado. Mismo orden y mismas fórmulas que la hoja Modelo del modelo financiero. Este archivo no se conecta con ningún otro: es tu mesa de pruebas.</t>
        </is>
      </c>
    </row>
    <row r="4">
      <c r="B4" s="4" t="inlineStr">
        <is>
          <t>Estado de tus números</t>
        </is>
      </c>
      <c r="C4" s="11">
        <f>IF(AND(ISNUMBER(C7),C7&gt;=0,ISNUMBER(C8),C8&gt;=0,ISNUMBER(C10),C10&gt;=0,C10&lt;=1,ISNUMBER(C12),C12&gt;=0,C12&lt;=1,ISNUMBER(C14),C14&gt;=0,C14&lt;=1,ISNUMBER(C18),C18&gt;=0,ISNUMBER(C19),C19&gt;=0,C19&lt;=1,ISNUMBER(C22),C22&gt;=0,C22&lt;=1,ISNUMBER(C24),C24&gt;=0,C24&lt;=1,ISNUMBER(C26),C26&gt;=0,C26&lt;=1,ISNUMBER(C28),C28&gt;=0,C28&lt;=1,ISNUMBER(C34),C34&gt;=0,C34&lt;=1,ISNUMBER(C36),C36&gt;=0,C36&lt;=1,ISNUMBER(C40),C40&gt;=0,ISNUMBER(C42),C42&gt;=0,ISNUMBER(C49),C49&gt;=0,C49&lt;=1,ISNUMBER(C50),C50&gt;=0,C50&lt;=1,ISNUMBER(C51),C51&gt;=0,C51&lt;=1,ISNUMBER(C54),C54&gt;=0,C54&lt;=1,ISNUMBER(C55),C55&gt;=0,C55&lt;=1,ISNUMBER(C57),C57&gt;=0,C57&lt;=1,ISNUMBER(C60),C60&gt;=0,ISNUMBER(C62),C62&gt;=0,ISNUMBER(C67),C67&gt;=0,ISNUMBER(C73),C73&gt;=0,C73&lt;=1,ISNUMBER(C82),C82&gt;=0),"OK","REVISAR")</f>
        <v/>
      </c>
      <c r="D4" s="5" t="inlineStr">
        <is>
          <t>OK = todos los supuestos tienen sentido. REVISAR = hay un porcentaje fuera de 0 a 1, un negativo o un texto donde va un número.</t>
        </is>
      </c>
    </row>
    <row r="5">
      <c r="B5" s="12" t="inlineStr">
        <is>
          <t>Etapa / resultado</t>
        </is>
      </c>
      <c r="C5" s="12" t="inlineStr">
        <is>
          <t>Valor</t>
        </is>
      </c>
      <c r="D5" s="12" t="inlineStr">
        <is>
          <t>Cómo se calcula</t>
        </is>
      </c>
    </row>
    <row r="6">
      <c r="B6" s="13" t="inlineStr">
        <is>
          <t>Tráfico y leads</t>
        </is>
      </c>
      <c r="C6" s="14" t="n"/>
      <c r="D6" s="14" t="n"/>
    </row>
    <row r="7">
      <c r="B7" t="inlineStr">
        <is>
          <t>CPM (costo por mil impresiones)</t>
        </is>
      </c>
      <c r="C7" s="15" t="n">
        <v>10</v>
      </c>
      <c r="D7" s="5" t="inlineStr">
        <is>
          <t>Supuesto (USD). Públicos de ticket alto suelen ser más caros: 7 a 15.</t>
        </is>
      </c>
    </row>
    <row r="8">
      <c r="B8" t="inlineStr">
        <is>
          <t>Inversión en publicidad por mes</t>
        </is>
      </c>
      <c r="C8" s="16" t="n">
        <v>4500</v>
      </c>
      <c r="D8" s="5" t="inlineStr">
        <is>
          <t>Supuesto (USD / mes). 150 USD por día en el ejemplo.</t>
        </is>
      </c>
    </row>
    <row r="9">
      <c r="B9" t="inlineStr">
        <is>
          <t>Impresiones</t>
        </is>
      </c>
      <c r="C9" s="17">
        <f>IF($C$7=0,0,$C$8/$C$7*1000)</f>
        <v/>
      </c>
      <c r="D9" s="5" t="inlineStr">
        <is>
          <t>Inversión ÷ CPM × 1.000.</t>
        </is>
      </c>
    </row>
    <row r="10">
      <c r="B10" t="inlineStr">
        <is>
          <t>CTR al enlace</t>
        </is>
      </c>
      <c r="C10" s="18" t="n">
        <v>0.015</v>
      </c>
      <c r="D10" s="5" t="inlineStr">
        <is>
          <t>Supuesto (%). Cambialo para probar.</t>
        </is>
      </c>
    </row>
    <row r="11">
      <c r="B11" t="inlineStr">
        <is>
          <t>Clics al enlace</t>
        </is>
      </c>
      <c r="C11" s="17">
        <f>$C$9*$C$10</f>
        <v/>
      </c>
      <c r="D11" s="5" t="inlineStr">
        <is>
          <t>Impresiones × CTR.</t>
        </is>
      </c>
    </row>
    <row r="12">
      <c r="B12" t="inlineStr">
        <is>
          <t>% de clics que cargan la página</t>
        </is>
      </c>
      <c r="C12" s="18" t="n">
        <v>0.85</v>
      </c>
      <c r="D12" s="5" t="inlineStr">
        <is>
          <t>Supuesto (%). Cambialo para probar.</t>
        </is>
      </c>
    </row>
    <row r="13">
      <c r="B13" t="inlineStr">
        <is>
          <t>Visitas a la página</t>
        </is>
      </c>
      <c r="C13" s="17">
        <f>$C$11*$C$12</f>
        <v/>
      </c>
      <c r="D13" s="5" t="inlineStr">
        <is>
          <t>Clics × % que carga.</t>
        </is>
      </c>
    </row>
    <row r="14">
      <c r="B14" t="inlineStr">
        <is>
          <t>% de visitas que dejan sus datos (lead)</t>
        </is>
      </c>
      <c r="C14" s="18" t="n">
        <v>0.28</v>
      </c>
      <c r="D14" s="5" t="inlineStr">
        <is>
          <t>Supuesto (%). Registro al webinar o inicio de la aplicación.</t>
        </is>
      </c>
    </row>
    <row r="15">
      <c r="B15" s="4" t="inlineStr">
        <is>
          <t>Costo por lead (CPL)</t>
        </is>
      </c>
      <c r="C15" s="19">
        <f>IF($C$10*$C$12*$C$14=0,0,$C$7/1000/($C$10*$C$12*$C$14))</f>
        <v/>
      </c>
      <c r="D15" s="5" t="inlineStr">
        <is>
          <t>CPM ÷ 1.000 ÷ (CTR × clic→visita × conversión de la página).</t>
        </is>
      </c>
    </row>
    <row r="16">
      <c r="B16" s="4" t="inlineStr">
        <is>
          <t>Leads</t>
        </is>
      </c>
      <c r="C16" s="20">
        <f>IF($C$15=0,0,$C$8/$C$15)</f>
        <v/>
      </c>
      <c r="D16" s="5" t="inlineStr">
        <is>
          <t>Inversión ÷ CPL.</t>
        </is>
      </c>
    </row>
    <row r="17">
      <c r="B17" s="13" t="inlineStr">
        <is>
          <t>Evento, aplicación y agenda</t>
        </is>
      </c>
      <c r="C17" s="14" t="n"/>
      <c r="D17" s="14" t="n"/>
    </row>
    <row r="18">
      <c r="B18" t="inlineStr">
        <is>
          <t>¿Hay webinar o evento antes de la aplicación? (1 = sí, 0 = no)</t>
        </is>
      </c>
      <c r="C18" s="21" t="n">
        <v>0</v>
      </c>
      <c r="D18" s="5" t="inlineStr">
        <is>
          <t>Supuesto (1 / 0). Con 1, la aplicación se mide sobre los asistentes; con 0, sobre todos los leads.</t>
        </is>
      </c>
    </row>
    <row r="19">
      <c r="B19" t="inlineStr">
        <is>
          <t>% de leads que asisten al evento</t>
        </is>
      </c>
      <c r="C19" s="18" t="n">
        <v>0.14</v>
      </c>
      <c r="D19" s="5" t="inlineStr">
        <is>
          <t>Supuesto (%). Solo cuenta si el interruptor está en 1.</t>
        </is>
      </c>
    </row>
    <row r="20">
      <c r="B20" t="inlineStr">
        <is>
          <t>Asistentes al evento (si hay)</t>
        </is>
      </c>
      <c r="C20" s="17">
        <f>IF($C$18=1,$C$16*$C$19,0)</f>
        <v/>
      </c>
      <c r="D20" s="5" t="inlineStr">
        <is>
          <t>Leads × asistencia, solo con el interruptor en 1.</t>
        </is>
      </c>
    </row>
    <row r="21">
      <c r="B21" t="inlineStr">
        <is>
          <t>Base de la aplicación (asistentes o leads)</t>
        </is>
      </c>
      <c r="C21" s="17">
        <f>IF($C$18=1,$C$20,$C$16)</f>
        <v/>
      </c>
      <c r="D21" s="5" t="inlineStr">
        <is>
          <t>Sobre quién se mide la aplicación.</t>
        </is>
      </c>
    </row>
    <row r="22">
      <c r="B22" t="inlineStr">
        <is>
          <t>% que completa la aplicación (de leads, o de asistentes si hay evento)</t>
        </is>
      </c>
      <c r="C22" s="18" t="n">
        <v>0.1</v>
      </c>
      <c r="D22" s="5" t="inlineStr">
        <is>
          <t>Supuesto (%). Formulario largo con preguntas que califican.</t>
        </is>
      </c>
    </row>
    <row r="23">
      <c r="B23" t="inlineStr">
        <is>
          <t>Aplicaciones completas</t>
        </is>
      </c>
      <c r="C23" s="17">
        <f>$C$21*$C$22</f>
        <v/>
      </c>
      <c r="D23" s="5" t="inlineStr">
        <is>
          <t>Base × % que aplica.</t>
        </is>
      </c>
    </row>
    <row r="24">
      <c r="B24" t="inlineStr">
        <is>
          <t>% de aplicaciones que califican</t>
        </is>
      </c>
      <c r="C24" s="18" t="n">
        <v>0.6</v>
      </c>
      <c r="D24" s="5" t="inlineStr">
        <is>
          <t>Supuesto (%). Pasan el filtro de capacidad de inversión y perfil.</t>
        </is>
      </c>
    </row>
    <row r="25">
      <c r="B25" t="inlineStr">
        <is>
          <t>Calificados</t>
        </is>
      </c>
      <c r="C25" s="17">
        <f>$C$23*$C$24</f>
        <v/>
      </c>
      <c r="D25" s="5" t="inlineStr">
        <is>
          <t>Aplicaciones × % que califica.</t>
        </is>
      </c>
    </row>
    <row r="26">
      <c r="B26" t="inlineStr">
        <is>
          <t>% de calificados que agendan</t>
        </is>
      </c>
      <c r="C26" s="18" t="n">
        <v>0.6</v>
      </c>
      <c r="D26" s="5" t="inlineStr">
        <is>
          <t>Supuesto (%). Mercado: 30 a 60 % de las aplicaciones terminan en agenda.</t>
        </is>
      </c>
    </row>
    <row r="27">
      <c r="B27" s="4" t="inlineStr">
        <is>
          <t>Agendas</t>
        </is>
      </c>
      <c r="C27" s="22">
        <f>$C$25*$C$26</f>
        <v/>
      </c>
      <c r="D27" s="5" t="inlineStr">
        <is>
          <t>Calificados × % que agenda.</t>
        </is>
      </c>
    </row>
    <row r="28">
      <c r="B28" t="inlineStr">
        <is>
          <t>% de agendas que aparecen en la llamada</t>
        </is>
      </c>
      <c r="C28" s="18" t="n">
        <v>0.7</v>
      </c>
      <c r="D28" s="5" t="inlineStr">
        <is>
          <t>Supuesto (%). Mercado: 65 a 75 %. Confirmación por WhatsApp y video de bienvenida lo suben.</t>
        </is>
      </c>
    </row>
    <row r="29">
      <c r="B29" t="inlineStr">
        <is>
          <t>Llamadas realizadas</t>
        </is>
      </c>
      <c r="C29" s="23">
        <f>$C$27*$C$28</f>
        <v/>
      </c>
      <c r="D29" s="5" t="inlineStr">
        <is>
          <t>Agendas × show de la llamada.</t>
        </is>
      </c>
    </row>
    <row r="30">
      <c r="B30" t="inlineStr">
        <is>
          <t>Costo por aplicación</t>
        </is>
      </c>
      <c r="C30" s="24">
        <f>IF($C$23=0,0,$C$8/$C$23)</f>
        <v/>
      </c>
      <c r="D30" s="5" t="inlineStr">
        <is>
          <t>Inversión ÷ aplicaciones.</t>
        </is>
      </c>
    </row>
    <row r="31">
      <c r="B31" s="4" t="inlineStr">
        <is>
          <t>Costo por agenda</t>
        </is>
      </c>
      <c r="C31" s="19">
        <f>IF($C$27=0,0,$C$8/$C$27)</f>
        <v/>
      </c>
      <c r="D31" s="5" t="inlineStr">
        <is>
          <t>Inversión ÷ agendas.</t>
        </is>
      </c>
    </row>
    <row r="32">
      <c r="B32" t="inlineStr">
        <is>
          <t>Costo por llamada realizada</t>
        </is>
      </c>
      <c r="C32" s="24">
        <f>IF($C$29=0,0,$C$8/$C$29)</f>
        <v/>
      </c>
      <c r="D32" s="5" t="inlineStr">
        <is>
          <t>Inversión ÷ llamadas.</t>
        </is>
      </c>
    </row>
    <row r="33">
      <c r="B33" s="13" t="inlineStr">
        <is>
          <t>Ventas y facturación</t>
        </is>
      </c>
      <c r="C33" s="14" t="n"/>
      <c r="D33" s="14" t="n"/>
    </row>
    <row r="34">
      <c r="B34" t="inlineStr">
        <is>
          <t>% de llamadas que compran</t>
        </is>
      </c>
      <c r="C34" s="18" t="n">
        <v>0.25</v>
      </c>
      <c r="D34" s="5" t="inlineStr">
        <is>
          <t>Supuesto (%). Lead tibio y calificado: 20 a 40 %. Frío sin filtro: menos de 5 %.</t>
        </is>
      </c>
    </row>
    <row r="35">
      <c r="B35" s="4" t="inlineStr">
        <is>
          <t>Ventas del programa</t>
        </is>
      </c>
      <c r="C35" s="22">
        <f>$C$29*$C$34</f>
        <v/>
      </c>
      <c r="D35" s="5" t="inlineStr">
        <is>
          <t>Llamadas × cierre.</t>
        </is>
      </c>
    </row>
    <row r="36">
      <c r="B36" t="inlineStr">
        <is>
          <t>Downsell: % de los que no compraron que lo toman</t>
        </is>
      </c>
      <c r="C36" s="18" t="n">
        <v>0.1</v>
      </c>
      <c r="D36" s="5" t="inlineStr">
        <is>
          <t>Supuesto (%). Cambialo para probar.</t>
        </is>
      </c>
    </row>
    <row r="37">
      <c r="B37" t="inlineStr">
        <is>
          <t>Ventas del downsell</t>
        </is>
      </c>
      <c r="C37" s="23">
        <f>($C$29-$C$35)*$C$36</f>
        <v/>
      </c>
      <c r="D37" s="5" t="inlineStr">
        <is>
          <t>(Llamadas − ventas) × % que toma el downsell.</t>
        </is>
      </c>
    </row>
    <row r="38">
      <c r="B38" t="inlineStr">
        <is>
          <t>% de leads que compran el programa</t>
        </is>
      </c>
      <c r="C38" s="25">
        <f>IF($C$16=0,0,$C$35/$C$16)</f>
        <v/>
      </c>
      <c r="D38" s="5" t="inlineStr">
        <is>
          <t>Ventas ÷ leads.</t>
        </is>
      </c>
    </row>
    <row r="39">
      <c r="B39" s="4" t="inlineStr">
        <is>
          <t>Costo por venta del programa (CAC)</t>
        </is>
      </c>
      <c r="C39" s="19">
        <f>IF($C$35=0,0,$C$8/$C$35)</f>
        <v/>
      </c>
      <c r="D39" s="5" t="inlineStr">
        <is>
          <t>Inversión ÷ ventas.</t>
        </is>
      </c>
    </row>
    <row r="40">
      <c r="B40" t="inlineStr">
        <is>
          <t>Programa: precio</t>
        </is>
      </c>
      <c r="C40" s="15" t="n">
        <v>1500</v>
      </c>
      <c r="D40" s="5" t="inlineStr">
        <is>
          <t>Supuesto (USD). Debajo de 1.500 un closer 1 a 1 rara vez se paga; el modelo te lo muestra en la ganancia.</t>
        </is>
      </c>
    </row>
    <row r="41">
      <c r="B41" t="inlineStr">
        <is>
          <t>Facturado: programa</t>
        </is>
      </c>
      <c r="C41" s="26">
        <f>$C$35*$C$40</f>
        <v/>
      </c>
      <c r="D41" s="5" t="inlineStr">
        <is>
          <t>Ventas × precio.</t>
        </is>
      </c>
    </row>
    <row r="42">
      <c r="B42" t="inlineStr">
        <is>
          <t>Downsell para quien no compra en la llamada: precio</t>
        </is>
      </c>
      <c r="C42" s="15" t="n">
        <v>497</v>
      </c>
      <c r="D42" s="5" t="inlineStr">
        <is>
          <t>Supuesto (USD). Versión reducida o self-serve.</t>
        </is>
      </c>
    </row>
    <row r="43">
      <c r="B43" t="inlineStr">
        <is>
          <t>Facturado: downsell</t>
        </is>
      </c>
      <c r="C43" s="26">
        <f>$C$37*$C$42</f>
        <v/>
      </c>
      <c r="D43" s="5" t="inlineStr">
        <is>
          <t>Ventas × precio.</t>
        </is>
      </c>
    </row>
    <row r="44">
      <c r="B44" s="4" t="inlineStr">
        <is>
          <t>Facturado total</t>
        </is>
      </c>
      <c r="C44" s="27">
        <f>$C$41+$C$43</f>
        <v/>
      </c>
      <c r="D44" s="5" t="inlineStr">
        <is>
          <t>Programa + downsell.</t>
        </is>
      </c>
    </row>
    <row r="45">
      <c r="B45" t="inlineStr">
        <is>
          <t>Facturado por comprador del programa</t>
        </is>
      </c>
      <c r="C45" s="24">
        <f>IF($C$35=0,0,$C$44/$C$35)</f>
        <v/>
      </c>
      <c r="D45" s="5" t="inlineStr">
        <is>
          <t>Facturado ÷ ventas del programa.</t>
        </is>
      </c>
    </row>
    <row r="46">
      <c r="B46" t="inlineStr">
        <is>
          <t>Ventas del programa por lead (para la proyección)</t>
        </is>
      </c>
      <c r="C46" s="25">
        <f>IF($C$16=0,0,$C$35/$C$16)</f>
        <v/>
      </c>
      <c r="D46" s="5" t="inlineStr">
        <is>
          <t>Igual a '% de leads que compran'.</t>
        </is>
      </c>
    </row>
    <row r="47">
      <c r="B47" t="inlineStr">
        <is>
          <t>Facturado por lead</t>
        </is>
      </c>
      <c r="C47" s="24">
        <f>IF($C$16=0,0,$C$44/$C$16)</f>
        <v/>
      </c>
      <c r="D47" s="5" t="inlineStr">
        <is>
          <t>Facturado ÷ leads.</t>
        </is>
      </c>
    </row>
    <row r="48">
      <c r="B48" s="13" t="inlineStr">
        <is>
          <t>Cash, costos y ganancia del período</t>
        </is>
      </c>
      <c r="C48" s="14" t="n"/>
      <c r="D48" s="14" t="n"/>
    </row>
    <row r="49">
      <c r="B49" t="inlineStr">
        <is>
          <t>% del facturado que entra en el mes 1</t>
        </is>
      </c>
      <c r="C49" s="18" t="n">
        <v>0.6</v>
      </c>
      <c r="D49" s="5" t="inlineStr">
        <is>
          <t>Supuesto (%). Ticket alto con cuotas: 60 % al contado o primera cuota, el resto en dos meses.</t>
        </is>
      </c>
    </row>
    <row r="50">
      <c r="B50" t="inlineStr">
        <is>
          <t>% que entra en el mes 2</t>
        </is>
      </c>
      <c r="C50" s="18" t="n">
        <v>0.2</v>
      </c>
      <c r="D50" s="5" t="inlineStr">
        <is>
          <t>Supuesto (%). Cuotas o pagos diferidos.</t>
        </is>
      </c>
    </row>
    <row r="51">
      <c r="B51" t="inlineStr">
        <is>
          <t>% que entra en el mes 3</t>
        </is>
      </c>
      <c r="C51" s="18" t="n">
        <v>0.2</v>
      </c>
      <c r="D51" s="5" t="inlineStr">
        <is>
          <t>Supuesto (%). Los tres deben sumar 100 %.</t>
        </is>
      </c>
    </row>
    <row r="52">
      <c r="B52" t="inlineStr">
        <is>
          <t>Cash a cobrar (facturado × cobranza completa)</t>
        </is>
      </c>
      <c r="C52" s="26">
        <f>$C$44*($C$49+$C$50+$C$51)</f>
        <v/>
      </c>
      <c r="D52" s="5" t="inlineStr">
        <is>
          <t>Facturado × (mes 1 + mes 2 + mes 3). Si la cobranza suma 100 %, es igual al facturado.</t>
        </is>
      </c>
    </row>
    <row r="53">
      <c r="B53" t="inlineStr">
        <is>
          <t>Cash que entra en el primer mes</t>
        </is>
      </c>
      <c r="C53" s="26">
        <f>$C$44*$C$49</f>
        <v/>
      </c>
      <c r="D53" s="5" t="inlineStr">
        <is>
          <t>Facturado × % del mes 1.</t>
        </is>
      </c>
    </row>
    <row r="54">
      <c r="B54" t="inlineStr">
        <is>
          <t>Comisión de la pasarela o plataforma de pago</t>
        </is>
      </c>
      <c r="C54" s="18" t="n">
        <v>0.05</v>
      </c>
      <c r="D54" s="5" t="inlineStr">
        <is>
          <t>Supuesto (% del cash). Hotmart, Stripe, Mercado Pago: lo que se queda la plataforma.</t>
        </is>
      </c>
    </row>
    <row r="55">
      <c r="B55" t="inlineStr">
        <is>
          <t>Comisión del equipo de ventas</t>
        </is>
      </c>
      <c r="C55" s="18" t="n">
        <v>0.1</v>
      </c>
      <c r="D55" s="5" t="inlineStr">
        <is>
          <t>Supuesto (% del cash). Comisión de closers y setters sobre el cash cobrado. 10 a 15 % es lo común.</t>
        </is>
      </c>
    </row>
    <row r="56">
      <c r="B56" t="inlineStr">
        <is>
          <t>Comisiones (pasarela + ventas)</t>
        </is>
      </c>
      <c r="C56" s="26">
        <f>$C$52*($C$54+$C$55)</f>
        <v/>
      </c>
      <c r="D56" s="5" t="inlineStr">
        <is>
          <t>Cash × (pasarela + equipo de ventas).</t>
        </is>
      </c>
    </row>
    <row r="57">
      <c r="B57" t="inlineStr">
        <is>
          <t>Reembolsos y contracargos</t>
        </is>
      </c>
      <c r="C57" s="18" t="n">
        <v>0.05</v>
      </c>
      <c r="D57" s="5" t="inlineStr">
        <is>
          <t>Supuesto (% del cash). 5 % es normal en productos digitales. Más de 10 % es un problema de oferta o de expectativa.</t>
        </is>
      </c>
    </row>
    <row r="58">
      <c r="B58" t="inlineStr">
        <is>
          <t>Reembolsos</t>
        </is>
      </c>
      <c r="C58" s="26">
        <f>$C$52*$C$57</f>
        <v/>
      </c>
      <c r="D58" s="5" t="inlineStr">
        <is>
          <t>Cash × % de reembolsos.</t>
        </is>
      </c>
    </row>
    <row r="59">
      <c r="B59" s="4" t="inlineStr">
        <is>
          <t>Cash neto</t>
        </is>
      </c>
      <c r="C59" s="27">
        <f>$C$52*(1-$C$54-$C$55-$C$57)</f>
        <v/>
      </c>
      <c r="D59" s="5" t="inlineStr">
        <is>
          <t>Cash − comisiones − reembolsos. La base de verdad.</t>
        </is>
      </c>
    </row>
    <row r="60">
      <c r="B60" t="inlineStr">
        <is>
          <t>Costos por lead (herramientas, WhatsApp, IA)</t>
        </is>
      </c>
      <c r="C60" s="15" t="n">
        <v>0.2</v>
      </c>
      <c r="D60" s="5" t="inlineStr">
        <is>
          <t>Supuesto (USD / lead). WhatsApp, herramientas de agenda, setter por contacto.</t>
        </is>
      </c>
    </row>
    <row r="61">
      <c r="B61" t="inlineStr">
        <is>
          <t>Costos por lead (herramientas, WhatsApp, IA)</t>
        </is>
      </c>
      <c r="C61" s="26">
        <f>$C$16*$C$60</f>
        <v/>
      </c>
      <c r="D61" s="5" t="inlineStr">
        <is>
          <t>Leads × costo por lead.</t>
        </is>
      </c>
    </row>
    <row r="62">
      <c r="B62" t="inlineStr">
        <is>
          <t>Costos fijos por mes</t>
        </is>
      </c>
      <c r="C62" s="16" t="n">
        <v>2500</v>
      </c>
      <c r="D62" s="5" t="inlineStr">
        <is>
          <t>Supuesto (USD / mes). Equipo, herramientas, edición: lo que pagás aunque no vendas.</t>
        </is>
      </c>
    </row>
    <row r="63">
      <c r="B63" s="4" t="inlineStr">
        <is>
          <t>Ganancia del período</t>
        </is>
      </c>
      <c r="C63" s="27">
        <f>$C$59-$C$61-$C$62-$C$8</f>
        <v/>
      </c>
      <c r="D63" s="5" t="inlineStr">
        <is>
          <t>Cash neto − costos por unidad − fijos − inversión.</t>
        </is>
      </c>
    </row>
    <row r="64">
      <c r="B64" t="inlineStr">
        <is>
          <t>ROAS sobre facturado</t>
        </is>
      </c>
      <c r="C64" s="28">
        <f>IF($C$8=0,0,$C$44/$C$8)</f>
        <v/>
      </c>
      <c r="D64" s="5" t="inlineStr">
        <is>
          <t>Facturado ÷ inversión. El número que más se infla: no decidas con este.</t>
        </is>
      </c>
    </row>
    <row r="65">
      <c r="B65" s="4" t="inlineStr">
        <is>
          <t>ROAS sobre cash neto</t>
        </is>
      </c>
      <c r="C65" s="29">
        <f>IF($C$8=0,0,$C$59/$C$8)</f>
        <v/>
      </c>
      <c r="D65" s="5" t="inlineStr">
        <is>
          <t>Cash neto ÷ inversión. Con este se decide.</t>
        </is>
      </c>
    </row>
    <row r="66">
      <c r="B66" t="inlineStr">
        <is>
          <t>Margen sobre cash</t>
        </is>
      </c>
      <c r="C66" s="30">
        <f>IF($C$52=0,0,$C$63/$C$52)</f>
        <v/>
      </c>
      <c r="D66" s="5" t="inlineStr">
        <is>
          <t>Ganancia ÷ cash.</t>
        </is>
      </c>
    </row>
    <row r="67">
      <c r="B67" t="inlineStr">
        <is>
          <t>ROAS objetivo sobre cash neto</t>
        </is>
      </c>
      <c r="C67" s="31" t="n">
        <v>2.5</v>
      </c>
      <c r="D67" s="5" t="inlineStr">
        <is>
          <t>Supuesto (x). El retorno mínimo que querés por cada dólar invertido, después de comisiones y reembolsos. Entra en el semáforo: sin llegar a este ROAS no hay verde.</t>
        </is>
      </c>
    </row>
    <row r="68">
      <c r="B68" t="inlineStr">
        <is>
          <t>¿Cumple el ROAS objetivo?</t>
        </is>
      </c>
      <c r="C68" s="32">
        <f>IF($C$65&gt;=$C$67,"SÍ","NO")</f>
        <v/>
      </c>
      <c r="D68" s="5" t="inlineStr">
        <is>
          <t>ROAS sobre cash neto contra el objetivo de Supuestos.</t>
        </is>
      </c>
    </row>
    <row r="69">
      <c r="B69" s="4" t="inlineStr">
        <is>
          <t>ROAS del cash del primer mes (sin cuotas futuras)</t>
        </is>
      </c>
      <c r="C69" s="29">
        <f>$C$53*(1-$C$54-$C$55-$C$57)/$C$8</f>
        <v/>
      </c>
      <c r="D69" s="5" t="inlineStr">
        <is>
          <t>Lo que vuelve el mismo mes. Si es menor a 1, el mes se financia con caja.</t>
        </is>
      </c>
    </row>
    <row r="70">
      <c r="B70" s="13" t="inlineStr">
        <is>
          <t>Cuánto vale cada lead y hasta cuánto pagar</t>
        </is>
      </c>
      <c r="C70" s="14" t="n"/>
      <c r="D70" s="14" t="n"/>
    </row>
    <row r="71">
      <c r="B71" s="4" t="inlineStr">
        <is>
          <t>Valor neto por lead</t>
        </is>
      </c>
      <c r="C71" s="19">
        <f>IF($C$16=0,0,($C$59-$C$61)/$C$16)</f>
        <v/>
      </c>
      <c r="D71" s="5" t="inlineStr">
        <is>
          <t>(Cash neto − costos por lead) ÷ leads.</t>
        </is>
      </c>
    </row>
    <row r="72">
      <c r="B72" s="4" t="inlineStr">
        <is>
          <t>Techo de CPL (break-even)</t>
        </is>
      </c>
      <c r="C72" s="19">
        <f>$C$71</f>
        <v/>
      </c>
      <c r="D72" s="5" t="inlineStr">
        <is>
          <t>Igual al valor neto por lead.</t>
        </is>
      </c>
    </row>
    <row r="73">
      <c r="B73" t="inlineStr">
        <is>
          <t>Margen de seguridad</t>
        </is>
      </c>
      <c r="C73" s="18" t="n">
        <v>0.3</v>
      </c>
      <c r="D73" s="5" t="inlineStr">
        <is>
          <t>Supuesto (%). Colchón entre el techo (donde no ganás ni perdés) y el objetivo. 30 % es el estándar que usamos.</t>
        </is>
      </c>
    </row>
    <row r="74">
      <c r="B74" s="4" t="inlineStr">
        <is>
          <t>Objetivo de CPL</t>
        </is>
      </c>
      <c r="C74" s="19">
        <f>$C$72/(1+$C$73)</f>
        <v/>
      </c>
      <c r="D74" s="5" t="inlineStr">
        <is>
          <t>Techo ÷ (1 + margen de seguridad).</t>
        </is>
      </c>
    </row>
    <row r="75">
      <c r="B75" t="inlineStr">
        <is>
          <t>Techo de costo por aplicación</t>
        </is>
      </c>
      <c r="C75" s="24">
        <f>IF($C$23=0,0,$C$71*$C$16/$C$23)</f>
        <v/>
      </c>
      <c r="D75" s="5" t="inlineStr">
        <is>
          <t>Valor total ÷ aplicaciones.</t>
        </is>
      </c>
    </row>
    <row r="76">
      <c r="B76" s="4" t="inlineStr">
        <is>
          <t>Techo de costo por agenda</t>
        </is>
      </c>
      <c r="C76" s="19">
        <f>IF($C$27=0,0,$C$71*$C$16/$C$27)</f>
        <v/>
      </c>
      <c r="D76" s="5" t="inlineStr">
        <is>
          <t>Valor total ÷ agendas.</t>
        </is>
      </c>
    </row>
    <row r="77">
      <c r="B77" t="inlineStr">
        <is>
          <t>Techo de costo por llamada realizada</t>
        </is>
      </c>
      <c r="C77" s="24">
        <f>IF($C$29=0,0,$C$71*$C$16/$C$29)</f>
        <v/>
      </c>
      <c r="D77" s="5" t="inlineStr">
        <is>
          <t>Valor total ÷ llamadas.</t>
        </is>
      </c>
    </row>
    <row r="78">
      <c r="B78" t="inlineStr">
        <is>
          <t>Techo de costo por venta (CAC máximo)</t>
        </is>
      </c>
      <c r="C78" s="24">
        <f>IF($C$38=0,0,$C$71/$C$38)</f>
        <v/>
      </c>
      <c r="D78" s="5" t="inlineStr">
        <is>
          <t>Valor por lead ÷ % de leads que compran.</t>
        </is>
      </c>
    </row>
    <row r="79">
      <c r="B79" t="inlineStr">
        <is>
          <t>Objetivo de CAC</t>
        </is>
      </c>
      <c r="C79" s="24">
        <f>$C$78/(1+$C$73)</f>
        <v/>
      </c>
      <c r="D79" s="5" t="inlineStr">
        <is>
          <t>CAC máximo ÷ (1 + margen de seguridad).</t>
        </is>
      </c>
    </row>
    <row r="80">
      <c r="B80" s="13" t="inlineStr">
        <is>
          <t>Semáforo y cuánto invertir</t>
        </is>
      </c>
      <c r="C80" s="14" t="n"/>
      <c r="D80" s="14" t="n"/>
    </row>
    <row r="81">
      <c r="B81" s="4" t="inlineStr">
        <is>
          <t>Semáforo del CPL actual</t>
        </is>
      </c>
      <c r="C81" s="33">
        <f>IF($C$15&gt;$C$72,"ROJO",IF(AND($C$15&lt;=$C$74,$C$65&gt;=$C$67),"VERDE","AMARILLO"))</f>
        <v/>
      </c>
      <c r="D81" s="5" t="inlineStr">
        <is>
          <t>Rojo: costo &gt; techo. Verde: costo ≤ objetivo y ROAS sobre cash neto ≥ objetivo. Amarillo: el resto.</t>
        </is>
      </c>
    </row>
    <row r="82">
      <c r="B82" t="inlineStr">
        <is>
          <t>Meta de ventas del producto principal</t>
        </is>
      </c>
      <c r="C82" s="21" t="n">
        <v>15</v>
      </c>
      <c r="D82" s="5" t="inlineStr">
        <is>
          <t>Supuesto (ventas / mes). Para calcular cuánto invertir.</t>
        </is>
      </c>
    </row>
    <row r="83">
      <c r="B83" s="4" t="inlineStr">
        <is>
          <t>Inversión necesaria para la meta de ventas (al CPL actual)</t>
        </is>
      </c>
      <c r="C83" s="27">
        <f>IF($C$38=0,"inalcanzable con estos supuestos",$C$82/$C$38*$C$15)</f>
        <v/>
      </c>
      <c r="D83" s="5" t="inlineStr">
        <is>
          <t>Meta ÷ % de leads que compran × CPL.</t>
        </is>
      </c>
    </row>
    <row r="84">
      <c r="B84" t="inlineStr">
        <is>
          <t>Inversión para la meta al CPL objetivo (lo máximo que conviene pagar)</t>
        </is>
      </c>
      <c r="C84" s="26">
        <f>IF($C$38=0,"inalcanzable con estos supuestos",$C$82/$C$38*$C$74)</f>
        <v/>
      </c>
      <c r="D84" s="5" t="inlineStr">
        <is>
          <t>Lo mismo, al CPL objetivo.</t>
        </is>
      </c>
    </row>
    <row r="85">
      <c r="B85" t="inlineStr">
        <is>
          <t>Llamadas que hay que atender por mes para esa meta</t>
        </is>
      </c>
      <c r="C85" s="23">
        <f>IF($C$34=0,"inalcanzable con estos supuestos",$C$82/$C$34)</f>
        <v/>
      </c>
      <c r="D85" s="5" t="inlineStr">
        <is>
          <t>Meta ÷ cierre. Sirve para dimensionar closers.</t>
        </is>
      </c>
    </row>
    <row r="86">
      <c r="B86" s="13" t="inlineStr">
        <is>
          <t>Ganancia por paso (las dos caras de cada número: costo por X y ganancia por X)</t>
        </is>
      </c>
      <c r="C86" s="14" t="n"/>
      <c r="D86" s="14" t="n"/>
    </row>
    <row r="87">
      <c r="B87" s="4" t="inlineStr">
        <is>
          <t>Cash neto por comprador (AOV neto)</t>
        </is>
      </c>
      <c r="C87" s="19">
        <f>IF($C$35=0,0,($C$59-$C$61)/$C$35)</f>
        <v/>
      </c>
      <c r="D87" s="5" t="inlineStr">
        <is>
          <t>Lo que deja cada comprador del principal después de comisiones, reembolsos y costos por unidad. Su par es el CPA.</t>
        </is>
      </c>
    </row>
    <row r="88">
      <c r="B88" s="4" t="inlineStr">
        <is>
          <t>Ganancia por visita</t>
        </is>
      </c>
      <c r="C88" s="19">
        <f>IF($C$13=0,0,$C$63/$C$13)</f>
        <v/>
      </c>
      <c r="D88" s="5" t="inlineStr">
        <is>
          <t>Ganancia del período ÷ visitas a la página. La métrica más valiosa: resume todo lo que pasa después. Su par es el costo por visita.</t>
        </is>
      </c>
    </row>
    <row r="89">
      <c r="B89" t="inlineStr">
        <is>
          <t>Ganancia por clic</t>
        </is>
      </c>
      <c r="C89" s="24">
        <f>IF($C$11=0,0,$C$63/$C$11)</f>
        <v/>
      </c>
      <c r="D89" s="5" t="inlineStr">
        <is>
          <t>Ganancia del período ÷ clics. Su par es el costo por clic.</t>
        </is>
      </c>
    </row>
    <row r="90">
      <c r="B90" s="4" t="inlineStr">
        <is>
          <t>Ganancia por lead</t>
        </is>
      </c>
      <c r="C90" s="19">
        <f>IF($C$16=0,0,$C$63/$C$16)</f>
        <v/>
      </c>
      <c r="D90" s="5" t="inlineStr">
        <is>
          <t>Ganancia del período ÷ leads. Su par es el CPL.</t>
        </is>
      </c>
    </row>
    <row r="91">
      <c r="B91" t="inlineStr">
        <is>
          <t>Ganancia por agenda</t>
        </is>
      </c>
      <c r="C91" s="24">
        <f>IF($C$27=0,0,$C$63/$C$27)</f>
        <v/>
      </c>
      <c r="D91" s="5" t="inlineStr">
        <is>
          <t>Ganancia del período ÷ agendas. Su par es el costo por agenda.</t>
        </is>
      </c>
    </row>
    <row r="92">
      <c r="B92" t="inlineStr">
        <is>
          <t>Ganancia por llamada</t>
        </is>
      </c>
      <c r="C92" s="24">
        <f>IF($C$29=0,0,$C$63/$C$29)</f>
        <v/>
      </c>
      <c r="D92" s="5" t="inlineStr">
        <is>
          <t>Ganancia del período ÷ llamadas. Su par es el costo por llamada.</t>
        </is>
      </c>
    </row>
    <row r="93">
      <c r="B93" s="4" t="inlineStr">
        <is>
          <t>Ganancia por cliente</t>
        </is>
      </c>
      <c r="C93" s="19">
        <f>IF($C$35=0,0,$C$63/$C$35)</f>
        <v/>
      </c>
      <c r="D93" s="5" t="inlineStr">
        <is>
          <t>Ganancia del período ÷ compradores. Su par es el CAC.</t>
        </is>
      </c>
    </row>
    <row r="95" ht="32" customHeight="1">
      <c r="B95" s="5" t="inlineStr">
        <is>
          <t>Cómo se usa: cambiá cualquier celda amarilla (inversión, CPM, CTR, conversión de la landing, show, solicitudes, cierre, precios, comisiones, costos, cobranza, meta) y mirá cómo se mueven todas las celdas azules de abajo: cantidades, costos por paso, facturado, cash neto, ganancia, ROAS, el techo y el objetivo, el semáforo y la inversión para tu meta.</t>
        </is>
      </c>
    </row>
    <row r="96" ht="32" customHeight="1">
      <c r="B96" s="5" t="inlineStr">
        <is>
          <t>Una variable por vez. Si querés comparar dos ideas, duplicá la hoja (clic derecho en la pestaña → Duplicar) y cambiá en cada copia una sola cosa.</t>
        </is>
      </c>
    </row>
    <row r="97" ht="32" customHeight="1">
      <c r="B97" s="5" t="inlineStr">
        <is>
          <t>Para volver al ejemplo, el valor original de cada supuesto está en la hoja Inicio.</t>
        </is>
      </c>
    </row>
  </sheetData>
  <mergeCells count="3">
    <mergeCell ref="B96:D96"/>
    <mergeCell ref="B97:D97"/>
    <mergeCell ref="B95:D95"/>
  </mergeCells>
  <conditionalFormatting sqref="C4">
    <cfRule type="cellIs" priority="1" operator="equal" dxfId="0">
      <formula>"OK"</formula>
    </cfRule>
    <cfRule type="cellIs" priority="2" operator="equal" dxfId="1">
      <formula>"REVISAR"</formula>
    </cfRule>
  </conditionalFormatting>
  <conditionalFormatting sqref="C68">
    <cfRule type="expression" priority="3" dxfId="0">
      <formula>LEFT(C68,5)="VERDE"</formula>
    </cfRule>
    <cfRule type="expression" priority="4" dxfId="2">
      <formula>LEFT(C68,8)="AMARILLO"</formula>
    </cfRule>
    <cfRule type="expression" priority="5" dxfId="1">
      <formula>LEFT(C68,4)="ROJO"</formula>
    </cfRule>
  </conditionalFormatting>
  <conditionalFormatting sqref="C81">
    <cfRule type="expression" priority="6" dxfId="0">
      <formula>LEFT(C81,5)="VERDE"</formula>
    </cfRule>
    <cfRule type="expression" priority="7" dxfId="2">
      <formula>LEFT(C81,8)="AMARILLO"</formula>
    </cfRule>
    <cfRule type="expression" priority="8" dxfId="1">
      <formula>LEFT(C81,4)="ROJO"</formula>
    </cfRule>
  </conditionalFormatting>
  <dataValidations count="2">
    <dataValidation sqref="C10 C12 C14 C19 C22 C24 C26 C28 C34 C36 C49 C50 C51 C54 C55 C57 C73" showDropDown="0" showInputMessage="0" showErrorMessage="1" allowBlank="0" errorTitle="Porcentaje fuera de rango" error="Escribí el porcentaje como fracción entre 0 y 1 (15 % = 0,15)." type="decimal" operator="between">
      <formula1>0</formula1>
      <formula2>1</formula2>
    </dataValidation>
    <dataValidation sqref="C7 C8 C18 C40 C42 C60 C62 C67 C82" showDropDown="0" showInputMessage="0" showErrorMessage="1" allowBlank="0" errorTitle="Valor inválido" error="Tiene que ser un número mayor o igual a 0." type="decimal" operator="greaterThanOrEqual">
      <formula1>0</formula1>
    </dataValidation>
  </dataValidations>
  <pageMargins left="0.75" right="0.75" top="1" bottom="1" header="0.5" footer="0.5"/>
  <headerFooter>
    <oddHeader>&amp;CJesús Tassarolo · TooAudience&amp;R&amp;D</oddHeader>
    <oddFooter>&amp;LModelo financiero de embudos · creado por Jesús Tassarolo · TooAudience · youtube.com/@JesusTassaroloSinFiltro&amp;C&amp;7 Modelo financiero de embudos · creado por Jesús Tassarolo · TooAudience · youtube.com/@JesusTassaroloSinFiltro&amp;RPágina &amp;P de &amp;N</oddFooter>
    <evenHeader>&amp;CJesús Tassarolo · TooAudience</evenHeader>
    <evenFooter>&amp;LModelo financiero de embudos · creado por Jesús Tassarolo · TooAudience · youtube.com/@JesusTassaroloSinFiltro&amp;C&amp;7 Modelo financiero de embudos · creado por Jesús Tassarolo · TooAudience · youtube.com/@JesusTassaroloSinFiltro&amp;RPágina &amp;P de &amp;N</evenFooter>
    <firstHeader/>
    <firstFooter/>
  </headerFooter>
</worksheet>
</file>

<file path=xl/worksheets/sheet3.xml><?xml version="1.0" encoding="utf-8"?>
<worksheet xmlns="http://schemas.openxmlformats.org/spreadsheetml/2006/main">
  <sheetPr>
    <tabColor rgb="001F3864"/>
    <outlinePr summaryBelow="1" summaryRight="1"/>
    <pageSetUpPr/>
  </sheetPr>
  <dimension ref="B2:B11"/>
  <sheetViews>
    <sheetView workbookViewId="0">
      <selection activeCell="A1" sqref="A1"/>
    </sheetView>
  </sheetViews>
  <sheetFormatPr baseColWidth="8" defaultRowHeight="15"/>
  <cols>
    <col width="3" customWidth="1" min="1" max="1"/>
    <col width="120" customWidth="1" min="2" max="2"/>
  </cols>
  <sheetData>
    <row r="2">
      <c r="B2" s="2" t="inlineStr">
        <is>
          <t>Autoría y licencia</t>
        </is>
      </c>
    </row>
    <row r="4">
      <c r="B4" s="5" t="inlineStr">
        <is>
          <t>Simulación · Embudo de llamada (high ticket)</t>
        </is>
      </c>
    </row>
    <row r="5">
      <c r="B5" s="5" t="inlineStr">
        <is>
          <t>Modelo financiero de embudos · creado por Jesús Tassarolo · TooAudience · youtube.com/@JesusTassaroloSinFiltro</t>
        </is>
      </c>
    </row>
    <row r="6">
      <c r="B6" s="5" t="inlineStr">
        <is>
          <t>v1.2 · octubre 2026</t>
        </is>
      </c>
    </row>
    <row r="7">
      <c r="B7" s="5" t="inlineStr"/>
    </row>
    <row r="8">
      <c r="B8" s="5" t="inlineStr">
        <is>
          <t>Licencia Creative Commons BY-NC-ND 4.0: podés usar este archivo con tus números y compartirlo tal cual, citando al autor. No podés venderlo, modificar su estructura para redistribuirlo ni quitar la línea de autoría.</t>
        </is>
      </c>
    </row>
    <row r="9">
      <c r="B9" s="5" t="inlineStr"/>
    </row>
    <row r="10">
      <c r="B10" s="5" t="inlineStr">
        <is>
          <t>Este archivo, sus fórmulas, sus umbrales y su método son obra de Jesús Tassarolo (TooAudience). Si lo compartís, compartilo entero y con esta hoja.</t>
        </is>
      </c>
    </row>
    <row r="11">
      <c r="B11" s="5" t="inlineStr">
        <is>
          <t>Canal: youtube.com/@JesusTassaroloSinFiltro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Jesús Tassarolo</dc:creator>
  <dc:title xmlns:dc="http://purl.org/dc/elements/1.1/">Simulación · Embudo de llamada (high ticket)</dc:title>
  <dc:description xmlns:dc="http://purl.org/dc/elements/1.1/">Modelo financiero de embudos · creado por Jesús Tassarolo · TooAudience · youtube.com/@JesusTassaroloSinFiltro · Licencia Creative Commons BY-NC-ND 4.0: podés usar este archivo con tus números y compartirlo tal cual, citando al autor. No podés venderlo, modificar su estructura para redistribuirlo ni quitar la línea de autoría. · Simulación · v1.2 · octubre 2026</dc:description>
  <dc:subject xmlns:dc="http://purl.org/dc/elements/1.1/">Modelo financiero de embudos · Jesús Tassarolo · TooAudience</dc:subject>
  <dcterms:created xmlns:dcterms="http://purl.org/dc/terms/" xmlns:xsi="http://www.w3.org/2001/XMLSchema-instance" xsi:type="dcterms:W3CDTF">2026-10-02T16:53:57Z</dcterms:created>
  <dcterms:modified xmlns:dcterms="http://purl.org/dc/terms/" xmlns:xsi="http://www.w3.org/2001/XMLSchema-instance" xsi:type="dcterms:W3CDTF">2026-10-02T16:53:57Z</dcterms:modified>
  <cp:lastModifiedBy>Jesús Tassarolo</cp:lastModifiedBy>
  <cp:category>TooAudience · Mastermind</cp:category>
  <cp:keywords>Jesús Tassarolo, TooAudience, modelo financiero, embudos, mastermind</cp:keywords>
</cp:coreProperties>
</file>

<file path=docProps/custom.xml><?xml version="1.0" encoding="utf-8"?>
<Properties xmlns="http://schemas.openxmlformats.org/officeDocument/2006/custom-properties">
  <property name="Autor" fmtid="{D5CDD505-2E9C-101B-9397-08002B2CF9AE}" pid="2">
    <vt:lpwstr xmlns:vt="http://schemas.openxmlformats.org/officeDocument/2006/docPropsVTypes">Jesús Tassarolo</vt:lpwstr>
  </property>
  <property name="Marca" fmtid="{D5CDD505-2E9C-101B-9397-08002B2CF9AE}" pid="3">
    <vt:lpwstr xmlns:vt="http://schemas.openxmlformats.org/officeDocument/2006/docPropsVTypes">Modelo financiero de embudos · creado por Jesús Tassarolo · TooAudience · youtube.com/@JesusTassaroloSinFiltro</vt:lpwstr>
  </property>
  <property name="Licencia" fmtid="{D5CDD505-2E9C-101B-9397-08002B2CF9AE}" pid="4">
    <vt:lpwstr xmlns:vt="http://schemas.openxmlformats.org/officeDocument/2006/docPropsVTypes">CC BY-NC-ND 4.0</vt:lpwstr>
  </property>
  <property name="YouTube" fmtid="{D5CDD505-2E9C-101B-9397-08002B2CF9AE}" pid="5">
    <vt:lpwstr xmlns:vt="http://schemas.openxmlformats.org/officeDocument/2006/docPropsVTypes">youtube.com/@JesusTassaroloSinFiltro</vt:lpwstr>
  </property>
  <property name="Version" fmtid="{D5CDD505-2E9C-101B-9397-08002B2CF9AE}" pid="6">
    <vt:lpwstr xmlns:vt="http://schemas.openxmlformats.org/officeDocument/2006/docPropsVTypes">v1.2 · octubre 2026</vt:lpwstr>
  </property>
</Properties>
</file>