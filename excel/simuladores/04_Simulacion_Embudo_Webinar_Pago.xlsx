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Simulación" sheetId="2" state="visible" r:id="rId2"/>
    <sheet xmlns:r="http://schemas.openxmlformats.org/officeDocument/2006/relationships" name="Licencia" sheetId="3" state="visible" r:id="rId3"/>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00"/>
    <numFmt numFmtId="165" formatCode="&quot;$&quot;#,##0"/>
    <numFmt numFmtId="166" formatCode="0.0%"/>
    <numFmt numFmtId="167" formatCode="0.0"/>
    <numFmt numFmtId="168" formatCode="0.00&quot;x&quot;"/>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4" fontId="0" fillId="0" borderId="0" pivotButton="0" quotePrefix="0" xfId="0"/>
    <xf numFmtId="166" fontId="0" fillId="0" borderId="0" pivotButton="0" quotePrefix="0" xfId="0"/>
    <xf numFmtId="168" fontId="0" fillId="0" borderId="0" pivotButton="0" quotePrefix="0" xfId="0"/>
    <xf numFmtId="3" fontId="0" fillId="0" borderId="0" pivotButton="0" quotePrefix="0" xfId="0"/>
    <xf numFmtId="0" fontId="3" fillId="5" borderId="1" pivotButton="0" quotePrefix="0" xfId="0"/>
    <xf numFmtId="0" fontId="4" fillId="2" borderId="1" applyAlignment="1" pivotButton="0" quotePrefix="0" xfId="0">
      <alignment horizontal="center" vertical="center"/>
    </xf>
    <xf numFmtId="0" fontId="3" fillId="3" borderId="0" pivotButton="0" quotePrefix="0" xfId="0"/>
    <xf numFmtId="0" fontId="0" fillId="3" borderId="0" pivotButton="0" quotePrefix="0" xfId="0"/>
    <xf numFmtId="164" fontId="0" fillId="4" borderId="1" pivotButton="0" quotePrefix="0" xfId="0"/>
    <xf numFmtId="165" fontId="0" fillId="4" borderId="1" pivotButton="0" quotePrefix="0" xfId="0"/>
    <xf numFmtId="3" fontId="0" fillId="5" borderId="1" pivotButton="0" quotePrefix="0" xfId="0"/>
    <xf numFmtId="166" fontId="0" fillId="4" borderId="1" pivotButton="0" quotePrefix="0" xfId="0"/>
    <xf numFmtId="164" fontId="3" fillId="5" borderId="1" pivotButton="0" quotePrefix="0" xfId="0"/>
    <xf numFmtId="3" fontId="3" fillId="5" borderId="1" pivotButton="0" quotePrefix="0" xfId="0"/>
    <xf numFmtId="165" fontId="0" fillId="5" borderId="1" pivotButton="0" quotePrefix="0" xfId="0"/>
    <xf numFmtId="167" fontId="0" fillId="5" borderId="1" pivotButton="0" quotePrefix="0" xfId="0"/>
    <xf numFmtId="165" fontId="3" fillId="5" borderId="1" pivotButton="0" quotePrefix="0" xfId="0"/>
    <xf numFmtId="168" fontId="3" fillId="5" borderId="1" pivotButton="0" quotePrefix="0" xfId="0"/>
    <xf numFmtId="164" fontId="0" fillId="5" borderId="1" pivotButton="0" quotePrefix="0" xfId="0"/>
    <xf numFmtId="167" fontId="3" fillId="5" borderId="1" pivotButton="0" quotePrefix="0" xfId="0"/>
    <xf numFmtId="10" fontId="0" fillId="5" borderId="1" pivotButton="0" quotePrefix="0" xfId="0"/>
    <xf numFmtId="168" fontId="0" fillId="5" borderId="1" pivotButton="0" quotePrefix="0" xfId="0"/>
    <xf numFmtId="166" fontId="0" fillId="5" borderId="1" pivotButton="0" quotePrefix="0" xfId="0"/>
    <xf numFmtId="168" fontId="0" fillId="4" borderId="1" pivotButton="0" quotePrefix="0" xfId="0"/>
    <xf numFmtId="49" fontId="0" fillId="5" borderId="1" pivotButton="0" quotePrefix="0" xfId="0"/>
    <xf numFmtId="49" fontId="3" fillId="5" borderId="1" pivotButton="0" quotePrefix="0" xfId="0"/>
    <xf numFmtId="3" fontId="0" fillId="4" borderId="1" pivotButton="0" quotePrefix="0" xfId="0"/>
    <xf numFmtId="0" fontId="0" fillId="5" borderId="1"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 customWidth="1" min="1" max="1"/>
    <col width="70" customWidth="1" min="2" max="2"/>
    <col width="16" customWidth="1" min="3" max="3"/>
  </cols>
  <sheetData>
    <row r="1">
      <c r="B1" s="1" t="inlineStr">
        <is>
          <t>© Jesús Tassarolo · TooAudience · youtube.com/@JesusTassaroloSinFiltro · uso personal; no redistribuir modificado</t>
        </is>
      </c>
    </row>
    <row r="2">
      <c r="B2" s="2" t="inlineStr">
        <is>
          <t>Simulación · Embudo de webinar pago (evento pago)</t>
        </is>
      </c>
    </row>
    <row r="3">
      <c r="B3" s="3" t="inlineStr">
        <is>
          <t>Un solo Excel para simular: la cadena completa del embudo con todos los números editables. No se conecta con el modelo financiero ni con las métricas diarias.</t>
        </is>
      </c>
    </row>
    <row r="5">
      <c r="B5" s="4" t="inlineStr">
        <is>
          <t>Qué es</t>
        </is>
      </c>
    </row>
    <row r="6" ht="60" customHeight="1">
      <c r="B6" s="5" t="inlineStr">
        <is>
          <t>La hoja Modelo del modelo financiero de este embudo, idéntica, pero con cada supuesto como número editable en su lugar de la cadena (inversión, CPM, CTR, visitas, conversión, asistencia, solicitudes, cierre, precios, comisiones, costos, cobranza, meta). Cambiás uno y se recalcula todo lo que depende.</t>
        </is>
      </c>
    </row>
    <row r="8">
      <c r="B8" s="4" t="inlineStr">
        <is>
          <t>Cómo se usa</t>
        </is>
      </c>
    </row>
    <row r="9" ht="60" customHeight="1">
      <c r="B9" s="5" t="inlineStr">
        <is>
          <t>Abrí la hoja Simulación. Las celdas amarillas se editan; las azules se calculan. Movés un número y mirás cómo cambian cantidades, costos por paso, facturado, cash neto, ganancia, ROAS, techo, objetivo y semáforo. La fila 'Estado de tus números' avisa si escribiste algo imposible.</t>
        </is>
      </c>
    </row>
    <row r="11">
      <c r="B11" s="4" t="inlineStr">
        <is>
          <t>Para qué</t>
        </is>
      </c>
    </row>
    <row r="12" ht="45" customHeight="1">
      <c r="B12" s="5" t="inlineStr">
        <is>
          <t>Para contestar antes de invertir: ¿qué pasa si el CPM sube un 30 %? ¿Y si el show baja al 10 %? ¿Y si subo el precio y el cierre cae? ¿Hasta qué CPL aguanta este embudo? Cuando una prueba te convence, pasá ese número a Supuestos del modelo financiero.</t>
        </is>
      </c>
    </row>
    <row r="14">
      <c r="B14" s="4" t="inlineStr">
        <is>
          <t>Regla</t>
        </is>
      </c>
    </row>
    <row r="15" ht="30" customHeight="1">
      <c r="B15" s="5" t="inlineStr">
        <is>
          <t>Una variable por vez. Para comparar ideas, duplicá la hoja y cambiá una sola cosa en cada copia.</t>
        </is>
      </c>
    </row>
    <row r="17">
      <c r="B17" s="4" t="inlineStr">
        <is>
          <t>Valores del ejemplo (por si querés volver)</t>
        </is>
      </c>
    </row>
    <row r="18">
      <c r="B18" t="inlineStr">
        <is>
          <t>Inversión en publicidad por lanzamiento</t>
        </is>
      </c>
      <c r="C18" s="6" t="n">
        <v>3000</v>
      </c>
    </row>
    <row r="19">
      <c r="B19" t="inlineStr">
        <is>
          <t>Costo por visita a la página de ventas de la entrada</t>
        </is>
      </c>
      <c r="C19" s="7" t="n">
        <v>0.35</v>
      </c>
    </row>
    <row r="20">
      <c r="B20" t="inlineStr">
        <is>
          <t>% de visitas que compran la entrada</t>
        </is>
      </c>
      <c r="C20" s="8" t="n">
        <v>0.025</v>
      </c>
    </row>
    <row r="21">
      <c r="B21" t="inlineStr">
        <is>
          <t>Precio promedio cobrado por entrada</t>
        </is>
      </c>
      <c r="C21" s="7" t="n">
        <v>9</v>
      </c>
    </row>
    <row r="22">
      <c r="B22" t="inlineStr">
        <is>
          <t>Bump en el checkout de la entrada: precio</t>
        </is>
      </c>
      <c r="C22" s="7" t="n">
        <v>27</v>
      </c>
    </row>
    <row r="23">
      <c r="B23" t="inlineStr">
        <is>
          <t>Bump: % de compradores de entrada que lo toman</t>
        </is>
      </c>
      <c r="C23" s="8" t="n">
        <v>0.2</v>
      </c>
    </row>
    <row r="24">
      <c r="B24" t="inlineStr">
        <is>
          <t>% que entra al grupo de WhatsApp</t>
        </is>
      </c>
      <c r="C24" s="8" t="n">
        <v>0.85</v>
      </c>
    </row>
    <row r="25">
      <c r="B25" t="inlineStr">
        <is>
          <t>% que asiste en vivo</t>
        </is>
      </c>
      <c r="C25" s="8" t="n">
        <v>0.55</v>
      </c>
    </row>
    <row r="26">
      <c r="B26" t="inlineStr">
        <is>
          <t>% que ve el replay (sin contar los que fueron en vivo)</t>
        </is>
      </c>
      <c r="C26" s="8" t="n">
        <v>0.25</v>
      </c>
    </row>
    <row r="27">
      <c r="B27" t="inlineStr">
        <is>
          <t>Oferta principal: precio</t>
        </is>
      </c>
      <c r="C27" s="7" t="n">
        <v>497</v>
      </c>
    </row>
    <row r="28">
      <c r="B28" t="inlineStr">
        <is>
          <t>% de asistentes en vivo que solicitan (formulario de compra, de aplicación o hablar con un vendedor)</t>
        </is>
      </c>
      <c r="C28" s="8" t="n">
        <v>0.16</v>
      </c>
    </row>
    <row r="29">
      <c r="B29" t="inlineStr">
        <is>
          <t>% de los que ven el replay que solicitan</t>
        </is>
      </c>
      <c r="C29" s="8" t="n">
        <v>0.04</v>
      </c>
    </row>
    <row r="30">
      <c r="B30" t="inlineStr">
        <is>
          <t>% de solicitudes que terminan en compra</t>
        </is>
      </c>
      <c r="C30" s="8" t="n">
        <v>0.5</v>
      </c>
    </row>
    <row r="31">
      <c r="B31" t="inlineStr">
        <is>
          <t>Programa superior: precio</t>
        </is>
      </c>
      <c r="C31" s="7" t="n">
        <v>1997</v>
      </c>
    </row>
    <row r="32">
      <c r="B32" t="inlineStr">
        <is>
          <t>Programa superior: % de compradores de la oferta que lo toman</t>
        </is>
      </c>
      <c r="C32" s="8" t="n">
        <v>0.1</v>
      </c>
    </row>
    <row r="33">
      <c r="B33" t="inlineStr">
        <is>
          <t>Comisión de la pasarela o plataforma de pago</t>
        </is>
      </c>
      <c r="C33" s="8" t="n">
        <v>0.08</v>
      </c>
    </row>
    <row r="34">
      <c r="B34" t="inlineStr">
        <is>
          <t>Comisión del equipo de ventas</t>
        </is>
      </c>
      <c r="C34" s="8" t="n">
        <v>0</v>
      </c>
    </row>
    <row r="35">
      <c r="B35" t="inlineStr">
        <is>
          <t>Reembolsos y contracargos</t>
        </is>
      </c>
      <c r="C35" s="8" t="n">
        <v>0.05</v>
      </c>
    </row>
    <row r="36">
      <c r="B36" t="inlineStr">
        <is>
          <t>Costos por entrada (herramientas, WhatsApp, IA)</t>
        </is>
      </c>
      <c r="C36" s="7" t="n">
        <v>0.3</v>
      </c>
    </row>
    <row r="37">
      <c r="B37" t="inlineStr">
        <is>
          <t>Costos fijos por lanzamiento</t>
        </is>
      </c>
      <c r="C37" s="6" t="n">
        <v>800</v>
      </c>
    </row>
    <row r="38">
      <c r="B38" t="inlineStr">
        <is>
          <t>% del facturado que entra en el mes 1</t>
        </is>
      </c>
      <c r="C38" s="8" t="n">
        <v>0.5</v>
      </c>
    </row>
    <row r="39">
      <c r="B39" t="inlineStr">
        <is>
          <t>% que entra en el mes 2</t>
        </is>
      </c>
      <c r="C39" s="8" t="n">
        <v>0.25</v>
      </c>
    </row>
    <row r="40">
      <c r="B40" t="inlineStr">
        <is>
          <t>% que entra en el mes 3</t>
        </is>
      </c>
      <c r="C40" s="8" t="n">
        <v>0.25</v>
      </c>
    </row>
    <row r="41">
      <c r="B41" t="inlineStr">
        <is>
          <t>ROAS objetivo sobre cash neto</t>
        </is>
      </c>
      <c r="C41" s="9" t="n">
        <v>2</v>
      </c>
    </row>
    <row r="42">
      <c r="B42" t="inlineStr">
        <is>
          <t>Margen de seguridad</t>
        </is>
      </c>
      <c r="C42" s="8" t="n">
        <v>0.3</v>
      </c>
    </row>
    <row r="43">
      <c r="B43" t="inlineStr">
        <is>
          <t>Meta de ventas del producto principal</t>
        </is>
      </c>
      <c r="C43" s="10" t="n">
        <v>25</v>
      </c>
    </row>
    <row r="45">
      <c r="B45" s="3" t="inlineStr">
        <is>
          <t>Modelo financiero de embudos · creado por Jesús Tassarolo · TooAudience · youtube.com/@JesusTassaroloSinFiltro · v1.2 · octubre 2026</t>
        </is>
      </c>
    </row>
  </sheetData>
  <pageMargins left="0.75" right="0.75" top="1" bottom="1" header="0.5" footer="0.5"/>
  <headerFooter>
    <oddHeader>&amp;CJesús Tassarolo · TooAudience&amp;R&amp;D</oddHeader>
    <oddFooter>&amp;LModelo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10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Simulación: la cadena completa del embudo, con todos los números para jugar</t>
        </is>
      </c>
    </row>
    <row r="3">
      <c r="B3" s="3" t="inlineStr">
        <is>
          <t>Amarillo = supuesto: cambialo y todo lo que depende se recalcula al instante. Azul = resultado. Mismo orden y mismas fórmulas que la hoja Modelo del modelo financiero. Este archivo no se conecta con ningún otro: es tu mesa de pruebas.</t>
        </is>
      </c>
    </row>
    <row r="4">
      <c r="B4" s="4" t="inlineStr">
        <is>
          <t>Estado de tus números</t>
        </is>
      </c>
      <c r="C4" s="11">
        <f>IF(AND(ISNUMBER(C7),C7&gt;=0,ISNUMBER(C8),C8&gt;=0,ISNUMBER(C10),C10&gt;=0,C10&lt;=1,ISNUMBER(C13),C13&gt;=0,ISNUMBER(C15),C15&gt;=0,C15&lt;=1,ISNUMBER(C17),C17&gt;=0,ISNUMBER(C22),C22&gt;=0,C22&lt;=1,ISNUMBER(C25),C25&gt;=0,C25&lt;=1,ISNUMBER(C27),C27&gt;=0,C27&lt;=1,ISNUMBER(C31),C31&gt;=0,C31&lt;=1,ISNUMBER(C33),C33&gt;=0,C33&lt;=1,ISNUMBER(C38),C38&gt;=0,C38&lt;=1,ISNUMBER(C42),C42&gt;=0,ISNUMBER(C44),C44&gt;=0,C44&lt;=1,ISNUMBER(C46),C46&gt;=0,ISNUMBER(C53),C53&gt;=0,C53&lt;=1,ISNUMBER(C54),C54&gt;=0,C54&lt;=1,ISNUMBER(C55),C55&gt;=0,C55&lt;=1,ISNUMBER(C58),C58&gt;=0,C58&lt;=1,ISNUMBER(C59),C59&gt;=0,C59&lt;=1,ISNUMBER(C61),C61&gt;=0,C61&lt;=1,ISNUMBER(C64),C64&gt;=0,ISNUMBER(C66),C66&gt;=0,ISNUMBER(C71),C71&gt;=0,ISNUMBER(C76),C76&gt;=0,C76&lt;=1,ISNUMBER(C85),C85&gt;=0,COUNTIF(C96:C104,"REVISAR")=0),"OK","REVISAR")</f>
        <v/>
      </c>
      <c r="D4" s="5" t="inlineStr">
        <is>
          <t>OK = todos los supuestos tienen sentido y los chequeos del final pasan. REVISAR = hay un porcentaje fuera de 0 a 1, un negativo, un texto donde va un número, o un chequeo de consistencia que falla (mirá el bloque Chequeos al final).</t>
        </is>
      </c>
    </row>
    <row r="5">
      <c r="B5" s="12" t="inlineStr">
        <is>
          <t>Etapa / resultado</t>
        </is>
      </c>
      <c r="C5" s="12" t="inlineStr">
        <is>
          <t>Valor</t>
        </is>
      </c>
      <c r="D5" s="12" t="inlineStr">
        <is>
          <t>Cómo se calcula</t>
        </is>
      </c>
    </row>
    <row r="6">
      <c r="B6" s="13" t="inlineStr">
        <is>
          <t>Tráfico y entradas</t>
        </is>
      </c>
      <c r="C6" s="14" t="n"/>
      <c r="D6" s="14" t="n"/>
    </row>
    <row r="7">
      <c r="B7" t="inlineStr">
        <is>
          <t>Costo por visita a la página de ventas de la entrada</t>
        </is>
      </c>
      <c r="C7" s="15" t="n">
        <v>0.35</v>
      </c>
      <c r="D7" s="5" t="inlineStr">
        <is>
          <t>Supuesto (USD / visita). Lo que pagás por cada persona que llega a la página.</t>
        </is>
      </c>
    </row>
    <row r="8">
      <c r="B8" t="inlineStr">
        <is>
          <t>Inversión en publicidad por lanzamiento</t>
        </is>
      </c>
      <c r="C8" s="16" t="n">
        <v>3000</v>
      </c>
      <c r="D8" s="5" t="inlineStr">
        <is>
          <t>Supuesto (USD / lanzamiento). Un lanzamiento = una tanda de venta de entradas + evento + oferta.</t>
        </is>
      </c>
    </row>
    <row r="9">
      <c r="B9" t="inlineStr">
        <is>
          <t>Visitas a la página de ventas</t>
        </is>
      </c>
      <c r="C9" s="17">
        <f>IF($C$7=0,0,$C$8/$C$7)</f>
        <v/>
      </c>
      <c r="D9" s="5" t="inlineStr">
        <is>
          <t>Inversión ÷ costo por visita.</t>
        </is>
      </c>
    </row>
    <row r="10">
      <c r="B10" t="inlineStr">
        <is>
          <t>% de visitas que compran la entrada</t>
        </is>
      </c>
      <c r="C10" s="18" t="n">
        <v>0.025</v>
      </c>
      <c r="D10" s="5" t="inlineStr">
        <is>
          <t>Supuesto (%). Página de ventas de un producto de 5 a 15 USD.</t>
        </is>
      </c>
    </row>
    <row r="11">
      <c r="B11" s="4" t="inlineStr">
        <is>
          <t>Costo por entrada vendida</t>
        </is>
      </c>
      <c r="C11" s="19">
        <f>IF($C$10=0,0,$C$7/$C$10)</f>
        <v/>
      </c>
      <c r="D11" s="5" t="inlineStr">
        <is>
          <t>Costo por visita ÷ % que compra la entrada.</t>
        </is>
      </c>
    </row>
    <row r="12">
      <c r="B12" s="4" t="inlineStr">
        <is>
          <t>Entradas vendidas</t>
        </is>
      </c>
      <c r="C12" s="20">
        <f>IF($C$11=0,0,$C$8/$C$11)</f>
        <v/>
      </c>
      <c r="D12" s="5" t="inlineStr">
        <is>
          <t>Inversión ÷ costo por entrada.</t>
        </is>
      </c>
    </row>
    <row r="13">
      <c r="B13" t="inlineStr">
        <is>
          <t>Precio promedio cobrado por entrada</t>
        </is>
      </c>
      <c r="C13" s="15" t="n">
        <v>9</v>
      </c>
      <c r="D13" s="5" t="inlineStr">
        <is>
          <t>Supuesto (USD). Si escalonás el precio (5 → 10 → 15), poné el promedio que cobrás.</t>
        </is>
      </c>
    </row>
    <row r="14">
      <c r="B14" t="inlineStr">
        <is>
          <t>Facturado: entradas</t>
        </is>
      </c>
      <c r="C14" s="21">
        <f>$C$12*$C$13</f>
        <v/>
      </c>
      <c r="D14" s="5" t="inlineStr">
        <is>
          <t>Entradas × precio promedio.</t>
        </is>
      </c>
    </row>
    <row r="15">
      <c r="B15" t="inlineStr">
        <is>
          <t>Bump: % de compradores de entrada que lo toman</t>
        </is>
      </c>
      <c r="C15" s="18" t="n">
        <v>0.2</v>
      </c>
      <c r="D15" s="5" t="inlineStr">
        <is>
          <t>Supuesto (%). Cambialo para probar.</t>
        </is>
      </c>
    </row>
    <row r="16">
      <c r="B16" t="inlineStr">
        <is>
          <t>Ventas: bump de la entrada</t>
        </is>
      </c>
      <c r="C16" s="22">
        <f>$C$12*$C$15</f>
        <v/>
      </c>
      <c r="D16" s="5" t="inlineStr">
        <is>
          <t>Entradas × % que lo toma.</t>
        </is>
      </c>
    </row>
    <row r="17">
      <c r="B17" t="inlineStr">
        <is>
          <t>Bump en el checkout de la entrada: precio</t>
        </is>
      </c>
      <c r="C17" s="15" t="n">
        <v>27</v>
      </c>
      <c r="D17" s="5" t="inlineStr">
        <is>
          <t>Supuesto (USD). Grabaciones, plantillas, acceso extendido.</t>
        </is>
      </c>
    </row>
    <row r="18">
      <c r="B18" t="inlineStr">
        <is>
          <t>Facturado: bump de la entrada</t>
        </is>
      </c>
      <c r="C18" s="21">
        <f>$C$16*$C$17</f>
        <v/>
      </c>
      <c r="D18" s="5" t="inlineStr">
        <is>
          <t>Ventas × precio.</t>
        </is>
      </c>
    </row>
    <row r="19">
      <c r="B19" s="4" t="inlineStr">
        <is>
          <t>Facturado del front (entradas + bump)</t>
        </is>
      </c>
      <c r="C19" s="23">
        <f>$C$14+$C$18</f>
        <v/>
      </c>
      <c r="D19" s="5" t="inlineStr">
        <is>
          <t>Lo que entra antes del evento.</t>
        </is>
      </c>
    </row>
    <row r="20">
      <c r="B20" s="4" t="inlineStr">
        <is>
          <t>ROAS del front (qué parte de la pauta recupera la entrada)</t>
        </is>
      </c>
      <c r="C20" s="24">
        <f>IF($C$8=0,0,$C$19/$C$8)</f>
        <v/>
      </c>
      <c r="D20" s="5" t="inlineStr">
        <is>
          <t>Facturado del front ÷ inversión. Cerca de 1 = el evento se paga solo.</t>
        </is>
      </c>
    </row>
    <row r="21">
      <c r="B21" s="13" t="inlineStr">
        <is>
          <t>Grupo y asistencia</t>
        </is>
      </c>
      <c r="C21" s="14" t="n"/>
      <c r="D21" s="14" t="n"/>
    </row>
    <row r="22">
      <c r="B22" t="inlineStr">
        <is>
          <t>% que entra al grupo de WhatsApp</t>
        </is>
      </c>
      <c r="C22" s="18" t="n">
        <v>0.85</v>
      </c>
      <c r="D22" s="5" t="inlineStr">
        <is>
          <t>Supuesto (%). Pagaron: entran casi todos.</t>
        </is>
      </c>
    </row>
    <row r="23">
      <c r="B23" t="inlineStr">
        <is>
          <t>Personas en el grupo</t>
        </is>
      </c>
      <c r="C23" s="17">
        <f>$C$12*$C$22</f>
        <v/>
      </c>
      <c r="D23" s="5" t="inlineStr">
        <is>
          <t>Entradas × % que entra.</t>
        </is>
      </c>
    </row>
    <row r="24">
      <c r="B24" s="4" t="inlineStr">
        <is>
          <t>Costo por persona en el grupo</t>
        </is>
      </c>
      <c r="C24" s="19">
        <f>IF($C$23=0,0,$C$8/$C$23)</f>
        <v/>
      </c>
      <c r="D24" s="5" t="inlineStr">
        <is>
          <t>Inversión ÷ personas en el grupo.</t>
        </is>
      </c>
    </row>
    <row r="25">
      <c r="B25" t="inlineStr">
        <is>
          <t>% que asiste en vivo</t>
        </is>
      </c>
      <c r="C25" s="18" t="n">
        <v>0.55</v>
      </c>
      <c r="D25" s="5" t="inlineStr">
        <is>
          <t>Supuesto (%). Mucho más alto que en gratuito.</t>
        </is>
      </c>
    </row>
    <row r="26">
      <c r="B26" s="4" t="inlineStr">
        <is>
          <t>Asistentes en vivo</t>
        </is>
      </c>
      <c r="C26" s="20">
        <f>$C$12*$C$25</f>
        <v/>
      </c>
      <c r="D26" s="5" t="inlineStr">
        <is>
          <t>Entradas × asistencia en vivo.</t>
        </is>
      </c>
    </row>
    <row r="27">
      <c r="B27" t="inlineStr">
        <is>
          <t>% que ve el replay (sin contar los que fueron en vivo)</t>
        </is>
      </c>
      <c r="C27" s="18" t="n">
        <v>0.25</v>
      </c>
      <c r="D27" s="5" t="inlineStr">
        <is>
          <t>Supuesto (%). Cambialo para probar.</t>
        </is>
      </c>
    </row>
    <row r="28">
      <c r="B28" t="inlineStr">
        <is>
          <t>Vieron el replay</t>
        </is>
      </c>
      <c r="C28" s="17">
        <f>$C$12*$C$27</f>
        <v/>
      </c>
      <c r="D28" s="5" t="inlineStr">
        <is>
          <t>Entradas × % que ve el replay.</t>
        </is>
      </c>
    </row>
    <row r="29">
      <c r="B29" t="inlineStr">
        <is>
          <t>Costo por asistente en vivo</t>
        </is>
      </c>
      <c r="C29" s="25">
        <f>IF($C$26=0,0,$C$8/$C$26)</f>
        <v/>
      </c>
      <c r="D29" s="5" t="inlineStr">
        <is>
          <t>Inversión ÷ asistentes.</t>
        </is>
      </c>
    </row>
    <row r="30">
      <c r="B30" s="13" t="inlineStr">
        <is>
          <t>Solicitudes (formulario de compra, aplicación o vendedor), oferta, programa y facturación</t>
        </is>
      </c>
      <c r="C30" s="14" t="n"/>
      <c r="D30" s="14" t="n"/>
    </row>
    <row r="31">
      <c r="B31" t="inlineStr">
        <is>
          <t>% de asistentes en vivo que solicitan (formulario de compra, de aplicación o hablar con un vendedor)</t>
        </is>
      </c>
      <c r="C31" s="18" t="n">
        <v>0.16</v>
      </c>
      <c r="D31" s="5" t="inlineStr">
        <is>
          <t>Supuesto (%). Público que pagó por estar: solicita más que en un webinar gratuito.</t>
        </is>
      </c>
    </row>
    <row r="32">
      <c r="B32" t="inlineStr">
        <is>
          <t>Solicitudes: en vivo</t>
        </is>
      </c>
      <c r="C32" s="22">
        <f>$C$26*$C$31</f>
        <v/>
      </c>
      <c r="D32" s="5" t="inlineStr">
        <is>
          <t>Asistentes en vivo × % que solicita.</t>
        </is>
      </c>
    </row>
    <row r="33">
      <c r="B33" t="inlineStr">
        <is>
          <t>% de los que ven el replay que solicitan</t>
        </is>
      </c>
      <c r="C33" s="18" t="n">
        <v>0.04</v>
      </c>
      <c r="D33" s="5" t="inlineStr">
        <is>
          <t>Supuesto (%). Cambialo para probar.</t>
        </is>
      </c>
    </row>
    <row r="34">
      <c r="B34" t="inlineStr">
        <is>
          <t>Solicitudes: replay</t>
        </is>
      </c>
      <c r="C34" s="22">
        <f>$C$28*$C$33</f>
        <v/>
      </c>
      <c r="D34" s="5" t="inlineStr">
        <is>
          <t>Replay × % que solicita.</t>
        </is>
      </c>
    </row>
    <row r="35">
      <c r="B35" s="4" t="inlineStr">
        <is>
          <t>Solicitudes (total)</t>
        </is>
      </c>
      <c r="C35" s="26">
        <f>$C$32+$C$34</f>
        <v/>
      </c>
      <c r="D35" s="5" t="inlineStr">
        <is>
          <t>En vivo + replay.</t>
        </is>
      </c>
    </row>
    <row r="36">
      <c r="B36" t="inlineStr">
        <is>
          <t>% de compradores de entrada que solicitan</t>
        </is>
      </c>
      <c r="C36" s="27">
        <f>IF($C$12=0,0,$C$35/$C$12)</f>
        <v/>
      </c>
      <c r="D36" s="5" t="inlineStr">
        <is>
          <t>Solicitudes ÷ entradas.</t>
        </is>
      </c>
    </row>
    <row r="37">
      <c r="B37" s="4" t="inlineStr">
        <is>
          <t>Costo por solicitud</t>
        </is>
      </c>
      <c r="C37" s="19">
        <f>IF($C$35=0,0,$C$8/$C$35)</f>
        <v/>
      </c>
      <c r="D37" s="5" t="inlineStr">
        <is>
          <t>Inversión ÷ solicitudes.</t>
        </is>
      </c>
    </row>
    <row r="38">
      <c r="B38" t="inlineStr">
        <is>
          <t>% de solicitudes que terminan en compra</t>
        </is>
      </c>
      <c r="C38" s="18" t="n">
        <v>0.5</v>
      </c>
      <c r="D38" s="5" t="inlineStr">
        <is>
          <t>Supuesto (%). Con compra directa en el formulario suele ser alto; con vendedor, 40 a 60 %.</t>
        </is>
      </c>
    </row>
    <row r="39">
      <c r="B39" s="4" t="inlineStr">
        <is>
          <t>Ventas de la oferta</t>
        </is>
      </c>
      <c r="C39" s="26">
        <f>$C$35*$C$38</f>
        <v/>
      </c>
      <c r="D39" s="5" t="inlineStr">
        <is>
          <t>Solicitudes × % que termina en compra.</t>
        </is>
      </c>
    </row>
    <row r="40">
      <c r="B40" t="inlineStr">
        <is>
          <t>% de compradores de entrada que compran la oferta</t>
        </is>
      </c>
      <c r="C40" s="27">
        <f>IF($C$12=0,0,$C$39/$C$12)</f>
        <v/>
      </c>
      <c r="D40" s="5" t="inlineStr">
        <is>
          <t>Ventas ÷ entradas.</t>
        </is>
      </c>
    </row>
    <row r="41">
      <c r="B41" s="4" t="inlineStr">
        <is>
          <t>Costo por comprador de la oferta</t>
        </is>
      </c>
      <c r="C41" s="19">
        <f>IF($C$39=0,0,$C$8/$C$39)</f>
        <v/>
      </c>
      <c r="D41" s="5" t="inlineStr">
        <is>
          <t>Inversión ÷ ventas de la oferta.</t>
        </is>
      </c>
    </row>
    <row r="42">
      <c r="B42" t="inlineStr">
        <is>
          <t>Oferta principal: precio</t>
        </is>
      </c>
      <c r="C42" s="15" t="n">
        <v>497</v>
      </c>
      <c r="D42" s="5" t="inlineStr">
        <is>
          <t>Supuesto (USD). Lo que se presenta al final del evento.</t>
        </is>
      </c>
    </row>
    <row r="43">
      <c r="B43" t="inlineStr">
        <is>
          <t>Facturado: oferta</t>
        </is>
      </c>
      <c r="C43" s="21">
        <f>$C$39*$C$42</f>
        <v/>
      </c>
      <c r="D43" s="5" t="inlineStr">
        <is>
          <t>Ventas × precio.</t>
        </is>
      </c>
    </row>
    <row r="44">
      <c r="B44" t="inlineStr">
        <is>
          <t>Programa superior: % de compradores de la oferta que lo toman</t>
        </is>
      </c>
      <c r="C44" s="18" t="n">
        <v>0.1</v>
      </c>
      <c r="D44" s="5" t="inlineStr">
        <is>
          <t>Supuesto (%). Cambialo para probar.</t>
        </is>
      </c>
    </row>
    <row r="45">
      <c r="B45" t="inlineStr">
        <is>
          <t>Ventas: programa superior</t>
        </is>
      </c>
      <c r="C45" s="22">
        <f>$C$39*$C$44</f>
        <v/>
      </c>
      <c r="D45" s="5" t="inlineStr">
        <is>
          <t>Compradores de la oferta × % que asciende.</t>
        </is>
      </c>
    </row>
    <row r="46">
      <c r="B46" t="inlineStr">
        <is>
          <t>Programa superior: precio</t>
        </is>
      </c>
      <c r="C46" s="15" t="n">
        <v>1997</v>
      </c>
      <c r="D46" s="5" t="inlineStr">
        <is>
          <t>Supuesto (USD). Por llamada o por ascenso.</t>
        </is>
      </c>
    </row>
    <row r="47">
      <c r="B47" t="inlineStr">
        <is>
          <t>Facturado: programa superior</t>
        </is>
      </c>
      <c r="C47" s="21">
        <f>$C$45*$C$46</f>
        <v/>
      </c>
      <c r="D47" s="5" t="inlineStr">
        <is>
          <t>Ventas × precio.</t>
        </is>
      </c>
    </row>
    <row r="48">
      <c r="B48" s="4" t="inlineStr">
        <is>
          <t>Facturado total</t>
        </is>
      </c>
      <c r="C48" s="23">
        <f>$C$19+$C$43+$C$47</f>
        <v/>
      </c>
      <c r="D48" s="5" t="inlineStr">
        <is>
          <t>Front + oferta + programa.</t>
        </is>
      </c>
    </row>
    <row r="49">
      <c r="B49" t="inlineStr">
        <is>
          <t>Facturado por comprador de la oferta</t>
        </is>
      </c>
      <c r="C49" s="25">
        <f>IF($C$39=0,0,$C$48/$C$39)</f>
        <v/>
      </c>
      <c r="D49" s="5" t="inlineStr">
        <is>
          <t>Facturado total ÷ ventas de la oferta.</t>
        </is>
      </c>
    </row>
    <row r="50">
      <c r="B50" t="inlineStr">
        <is>
          <t>Ventas de la oferta por entrada (para la proyección)</t>
        </is>
      </c>
      <c r="C50" s="27">
        <f>IF($C$12=0,0,$C$39/$C$12)</f>
        <v/>
      </c>
      <c r="D50" s="5" t="inlineStr">
        <is>
          <t>Igual a '% que compra la oferta'.</t>
        </is>
      </c>
    </row>
    <row r="51">
      <c r="B51" t="inlineStr">
        <is>
          <t>Facturado por entrada</t>
        </is>
      </c>
      <c r="C51" s="25">
        <f>IF($C$12=0,0,$C$48/$C$12)</f>
        <v/>
      </c>
      <c r="D51" s="5" t="inlineStr">
        <is>
          <t>Facturado total ÷ entradas.</t>
        </is>
      </c>
    </row>
    <row r="52">
      <c r="B52" s="13" t="inlineStr">
        <is>
          <t>Cash, costos y ganancia del período</t>
        </is>
      </c>
      <c r="C52" s="14" t="n"/>
      <c r="D52" s="14" t="n"/>
    </row>
    <row r="53">
      <c r="B53" t="inlineStr">
        <is>
          <t>% del facturado que entra en el mes 1</t>
        </is>
      </c>
      <c r="C53" s="18" t="n">
        <v>0.5</v>
      </c>
      <c r="D53" s="5" t="inlineStr">
        <is>
          <t>Supuesto (%). Se aplica a todo el facturado como promedio ponderado: la entrada se cobra al contado, la oferta y el programa en cuotas. El ejemplo usa 50 / 25 / 25.</t>
        </is>
      </c>
    </row>
    <row r="54">
      <c r="B54" t="inlineStr">
        <is>
          <t>% que entra en el mes 2</t>
        </is>
      </c>
      <c r="C54" s="18" t="n">
        <v>0.25</v>
      </c>
      <c r="D54" s="5" t="inlineStr">
        <is>
          <t>Supuesto (%). Cuotas o pagos diferidos.</t>
        </is>
      </c>
    </row>
    <row r="55">
      <c r="B55" t="inlineStr">
        <is>
          <t>% que entra en el mes 3</t>
        </is>
      </c>
      <c r="C55" s="18" t="n">
        <v>0.25</v>
      </c>
      <c r="D55" s="5" t="inlineStr">
        <is>
          <t>Supuesto (%). Los tres deben sumar 100 %.</t>
        </is>
      </c>
    </row>
    <row r="56">
      <c r="B56" t="inlineStr">
        <is>
          <t>Cash a cobrar (facturado × cobranza completa)</t>
        </is>
      </c>
      <c r="C56" s="21">
        <f>$C$48*($C$53+$C$54+$C$55)</f>
        <v/>
      </c>
      <c r="D56" s="5" t="inlineStr">
        <is>
          <t>Facturado × (mes 1 + mes 2 + mes 3). Si la cobranza suma 100 %, es igual al facturado.</t>
        </is>
      </c>
    </row>
    <row r="57">
      <c r="B57" t="inlineStr">
        <is>
          <t>Cash que entra en el primer mes</t>
        </is>
      </c>
      <c r="C57" s="21">
        <f>$C$48*$C$53</f>
        <v/>
      </c>
      <c r="D57" s="5" t="inlineStr">
        <is>
          <t>Facturado × % del mes 1.</t>
        </is>
      </c>
    </row>
    <row r="58">
      <c r="B58" t="inlineStr">
        <is>
          <t>Comisión de la pasarela o plataforma de pago</t>
        </is>
      </c>
      <c r="C58" s="18" t="n">
        <v>0.08</v>
      </c>
      <c r="D58" s="5" t="inlineStr">
        <is>
          <t>Supuesto (% del cash). Hotmart, Stripe, Mercado Pago: lo que se queda la plataforma.</t>
        </is>
      </c>
    </row>
    <row r="59">
      <c r="B59" t="inlineStr">
        <is>
          <t>Comisión del equipo de ventas</t>
        </is>
      </c>
      <c r="C59" s="18" t="n">
        <v>0</v>
      </c>
      <c r="D59" s="5" t="inlineStr">
        <is>
          <t>Supuesto (% del cash). Sobre el cash cobrado. Si el programa superior se vende por llamada, poné acá la comisión del closer.</t>
        </is>
      </c>
    </row>
    <row r="60">
      <c r="B60" t="inlineStr">
        <is>
          <t>Comisiones (pasarela + ventas)</t>
        </is>
      </c>
      <c r="C60" s="21">
        <f>$C$56*($C$58+$C$59)</f>
        <v/>
      </c>
      <c r="D60" s="5" t="inlineStr">
        <is>
          <t>Cash × (pasarela + equipo de ventas).</t>
        </is>
      </c>
    </row>
    <row r="61">
      <c r="B61" t="inlineStr">
        <is>
          <t>Reembolsos y contracargos</t>
        </is>
      </c>
      <c r="C61" s="18" t="n">
        <v>0.05</v>
      </c>
      <c r="D61" s="5" t="inlineStr">
        <is>
          <t>Supuesto (% del cash). 5 % es normal en productos digitales. Más de 10 % es un problema de oferta o de expectativa.</t>
        </is>
      </c>
    </row>
    <row r="62">
      <c r="B62" t="inlineStr">
        <is>
          <t>Reembolsos</t>
        </is>
      </c>
      <c r="C62" s="21">
        <f>$C$56*$C$61</f>
        <v/>
      </c>
      <c r="D62" s="5" t="inlineStr">
        <is>
          <t>Cash × % de reembolsos.</t>
        </is>
      </c>
    </row>
    <row r="63">
      <c r="B63" s="4" t="inlineStr">
        <is>
          <t>Cash neto</t>
        </is>
      </c>
      <c r="C63" s="23">
        <f>$C$56*(1-$C$58-$C$59-$C$61)</f>
        <v/>
      </c>
      <c r="D63" s="5" t="inlineStr">
        <is>
          <t>Cash − comisiones − reembolsos. La base de verdad.</t>
        </is>
      </c>
    </row>
    <row r="64">
      <c r="B64" t="inlineStr">
        <is>
          <t>Costos por entrada (herramientas, WhatsApp, IA)</t>
        </is>
      </c>
      <c r="C64" s="15" t="n">
        <v>0.3</v>
      </c>
      <c r="D64" s="5" t="inlineStr">
        <is>
          <t>Supuesto (USD / entrada). WhatsApp, soporte, plataforma del evento: lo que pagás por cada entrada.</t>
        </is>
      </c>
    </row>
    <row r="65">
      <c r="B65" t="inlineStr">
        <is>
          <t>Costos por entrada (herramientas, WhatsApp, IA)</t>
        </is>
      </c>
      <c r="C65" s="21">
        <f>$C$12*$C$64</f>
        <v/>
      </c>
      <c r="D65" s="5" t="inlineStr">
        <is>
          <t>Entradas × costo por entrada.</t>
        </is>
      </c>
    </row>
    <row r="66">
      <c r="B66" t="inlineStr">
        <is>
          <t>Costos fijos por lanzamiento</t>
        </is>
      </c>
      <c r="C66" s="16" t="n">
        <v>800</v>
      </c>
      <c r="D66" s="5" t="inlineStr">
        <is>
          <t>Supuesto (USD / lanzamiento). Equipo, herramientas, edición: lo que pagás aunque no vendas.</t>
        </is>
      </c>
    </row>
    <row r="67">
      <c r="B67" s="4" t="inlineStr">
        <is>
          <t>Ganancia del período</t>
        </is>
      </c>
      <c r="C67" s="23">
        <f>$C$63-$C$65-$C$66-$C$8</f>
        <v/>
      </c>
      <c r="D67" s="5" t="inlineStr">
        <is>
          <t>Cash neto − costos por unidad − fijos − inversión.</t>
        </is>
      </c>
    </row>
    <row r="68">
      <c r="B68" t="inlineStr">
        <is>
          <t>ROAS sobre facturado</t>
        </is>
      </c>
      <c r="C68" s="28">
        <f>IF($C$8=0,0,$C$48/$C$8)</f>
        <v/>
      </c>
      <c r="D68" s="5" t="inlineStr">
        <is>
          <t>Facturado ÷ inversión. El número que más se infla: no decidas con este.</t>
        </is>
      </c>
    </row>
    <row r="69">
      <c r="B69" s="4" t="inlineStr">
        <is>
          <t>ROAS sobre cash neto</t>
        </is>
      </c>
      <c r="C69" s="24">
        <f>IF($C$8=0,0,$C$63/$C$8)</f>
        <v/>
      </c>
      <c r="D69" s="5" t="inlineStr">
        <is>
          <t>Cash neto ÷ inversión. Con este se decide.</t>
        </is>
      </c>
    </row>
    <row r="70">
      <c r="B70" t="inlineStr">
        <is>
          <t>Margen sobre cash</t>
        </is>
      </c>
      <c r="C70" s="29">
        <f>IF($C$56=0,0,$C$67/$C$56)</f>
        <v/>
      </c>
      <c r="D70" s="5" t="inlineStr">
        <is>
          <t>Ganancia ÷ cash.</t>
        </is>
      </c>
    </row>
    <row r="71">
      <c r="B71" t="inlineStr">
        <is>
          <t>ROAS objetivo sobre cash neto</t>
        </is>
      </c>
      <c r="C71" s="30" t="n">
        <v>2</v>
      </c>
      <c r="D71" s="5" t="inlineStr">
        <is>
          <t>Supuesto (x). El retorno mínimo que querés por cada dólar invertido, después de comisiones y reembolsos. Entra en el semáforo: sin llegar a este ROAS no hay verde.</t>
        </is>
      </c>
    </row>
    <row r="72">
      <c r="B72" t="inlineStr">
        <is>
          <t>¿Cumple el ROAS objetivo?</t>
        </is>
      </c>
      <c r="C72" s="31">
        <f>IF($C$69&gt;=$C$71,"SÍ","NO")</f>
        <v/>
      </c>
      <c r="D72" s="5" t="inlineStr">
        <is>
          <t>ROAS sobre cash neto contra el objetivo de Supuestos.</t>
        </is>
      </c>
    </row>
    <row r="73">
      <c r="B73" s="13" t="inlineStr">
        <is>
          <t>Cuánto vale cada entrada y hasta cuánto pagar</t>
        </is>
      </c>
      <c r="C73" s="14" t="n"/>
      <c r="D73" s="14" t="n"/>
    </row>
    <row r="74">
      <c r="B74" s="4" t="inlineStr">
        <is>
          <t>Valor neto por entrada</t>
        </is>
      </c>
      <c r="C74" s="19">
        <f>IF($C$12=0,0,($C$63-$C$65)/$C$12)</f>
        <v/>
      </c>
      <c r="D74" s="5" t="inlineStr">
        <is>
          <t>(Cash neto − costos por entrada) ÷ entradas.</t>
        </is>
      </c>
    </row>
    <row r="75">
      <c r="B75" s="4" t="inlineStr">
        <is>
          <t>Techo de costo por entrada (break-even)</t>
        </is>
      </c>
      <c r="C75" s="19">
        <f>$C$74</f>
        <v/>
      </c>
      <c r="D75" s="5" t="inlineStr">
        <is>
          <t>Igual al valor neto por entrada.</t>
        </is>
      </c>
    </row>
    <row r="76">
      <c r="B76" t="inlineStr">
        <is>
          <t>Margen de seguridad</t>
        </is>
      </c>
      <c r="C76" s="18" t="n">
        <v>0.3</v>
      </c>
      <c r="D76" s="5" t="inlineStr">
        <is>
          <t>Supuesto (%). Colchón entre el techo (donde no ganás ni perdés) y el objetivo. 30 % es el estándar que usamos.</t>
        </is>
      </c>
    </row>
    <row r="77">
      <c r="B77" s="4" t="inlineStr">
        <is>
          <t>Objetivo de costo por entrada</t>
        </is>
      </c>
      <c r="C77" s="19">
        <f>$C$75/(1+$C$76)</f>
        <v/>
      </c>
      <c r="D77" s="5" t="inlineStr">
        <is>
          <t>Techo ÷ (1 + margen de seguridad).</t>
        </is>
      </c>
    </row>
    <row r="78">
      <c r="B78" t="inlineStr">
        <is>
          <t>Techo de costo por visita a la página</t>
        </is>
      </c>
      <c r="C78" s="25">
        <f>$C$74*$C$10</f>
        <v/>
      </c>
      <c r="D78" s="5" t="inlineStr">
        <is>
          <t>Valor por entrada × % que compra la entrada.</t>
        </is>
      </c>
    </row>
    <row r="79">
      <c r="B79" t="inlineStr">
        <is>
          <t>Techo de costo por asistente en vivo</t>
        </is>
      </c>
      <c r="C79" s="25">
        <f>IF($C$25=0,0,$C$74/$C$25)</f>
        <v/>
      </c>
      <c r="D79" s="5" t="inlineStr">
        <is>
          <t>Valor por entrada ÷ asistencia.</t>
        </is>
      </c>
    </row>
    <row r="80">
      <c r="B80" s="4" t="inlineStr">
        <is>
          <t>Techo de costo por solicitud</t>
        </is>
      </c>
      <c r="C80" s="19">
        <f>IF($C$35=0,0,$C$74*$C$12/$C$35)</f>
        <v/>
      </c>
      <c r="D80" s="5" t="inlineStr">
        <is>
          <t>Valor total ÷ solicitudes.</t>
        </is>
      </c>
    </row>
    <row r="81">
      <c r="B81" t="inlineStr">
        <is>
          <t>Techo de costo por comprador de la oferta</t>
        </is>
      </c>
      <c r="C81" s="25">
        <f>IF($C$40=0,0,$C$74/$C$40)</f>
        <v/>
      </c>
      <c r="D81" s="5" t="inlineStr">
        <is>
          <t>Valor por entrada ÷ % que compra la oferta.</t>
        </is>
      </c>
    </row>
    <row r="82">
      <c r="B82" t="inlineStr">
        <is>
          <t>Objetivo de costo por comprador de la oferta</t>
        </is>
      </c>
      <c r="C82" s="25">
        <f>$C$81/(1+$C$76)</f>
        <v/>
      </c>
      <c r="D82" s="5" t="inlineStr">
        <is>
          <t>Techo ÷ (1 + margen de seguridad).</t>
        </is>
      </c>
    </row>
    <row r="83">
      <c r="B83" s="13" t="inlineStr">
        <is>
          <t>Semáforo y cuánto invertir</t>
        </is>
      </c>
      <c r="C83" s="14" t="n"/>
      <c r="D83" s="14" t="n"/>
    </row>
    <row r="84">
      <c r="B84" s="4" t="inlineStr">
        <is>
          <t>Semáforo del costo por entrada actual</t>
        </is>
      </c>
      <c r="C84" s="32">
        <f>IF($C$11&gt;$C$75,"ROJO",IF(AND($C$11&lt;=$C$77,$C$69&gt;=$C$71),"VERDE","AMARILLO"))</f>
        <v/>
      </c>
      <c r="D84" s="5" t="inlineStr">
        <is>
          <t>Rojo: costo &gt; techo. Verde: costo ≤ objetivo y ROAS sobre cash neto ≥ objetivo. Amarillo: el resto.</t>
        </is>
      </c>
    </row>
    <row r="85">
      <c r="B85" t="inlineStr">
        <is>
          <t>Meta de ventas del producto principal</t>
        </is>
      </c>
      <c r="C85" s="33" t="n">
        <v>25</v>
      </c>
      <c r="D85" s="5" t="inlineStr">
        <is>
          <t>Supuesto (ventas de la oferta / lanzamiento). Para calcular cuánto invertir.</t>
        </is>
      </c>
    </row>
    <row r="86">
      <c r="B86" s="4" t="inlineStr">
        <is>
          <t>Inversión necesaria para la meta de ventas de la oferta (al costo actual)</t>
        </is>
      </c>
      <c r="C86" s="23">
        <f>IF($C$40=0,"inalcanzable con estos supuestos",$C$85/$C$40*$C$11)</f>
        <v/>
      </c>
      <c r="D86" s="5" t="inlineStr">
        <is>
          <t>Meta ÷ % que compra la oferta × costo por entrada.</t>
        </is>
      </c>
    </row>
    <row r="87">
      <c r="B87" t="inlineStr">
        <is>
          <t>Inversión para la meta al costo objetivo (lo máximo que conviene pagar)</t>
        </is>
      </c>
      <c r="C87" s="21">
        <f>IF($C$40=0,"inalcanzable con estos supuestos",$C$85/$C$40*$C$77)</f>
        <v/>
      </c>
      <c r="D87" s="5" t="inlineStr">
        <is>
          <t>Lo mismo, al costo objetivo.</t>
        </is>
      </c>
    </row>
    <row r="88">
      <c r="B88" s="13" t="inlineStr">
        <is>
          <t>Ganancia por paso (las dos caras de cada número: costo por X y ganancia por X)</t>
        </is>
      </c>
      <c r="C88" s="14" t="n"/>
      <c r="D88" s="14" t="n"/>
    </row>
    <row r="89">
      <c r="B89" s="4" t="inlineStr">
        <is>
          <t>Cash neto por comprador (AOV neto)</t>
        </is>
      </c>
      <c r="C89" s="19">
        <f>IF($C$39=0,0,($C$63-$C$65)/$C$39)</f>
        <v/>
      </c>
      <c r="D89" s="5" t="inlineStr">
        <is>
          <t>Lo que deja cada comprador del principal después de comisiones, reembolsos y costos por unidad. Su par es el CPA.</t>
        </is>
      </c>
    </row>
    <row r="90">
      <c r="B90" s="4" t="inlineStr">
        <is>
          <t>Ganancia por visita</t>
        </is>
      </c>
      <c r="C90" s="19">
        <f>IF($C$9=0,0,$C$67/$C$9)</f>
        <v/>
      </c>
      <c r="D90" s="5" t="inlineStr">
        <is>
          <t>Ganancia del período ÷ visitas a la página de ventas. La métrica más valiosa: resume todo lo que pasa después. Su par es el costo por visita.</t>
        </is>
      </c>
    </row>
    <row r="91">
      <c r="B91" s="4" t="inlineStr">
        <is>
          <t>Ganancia por entrada</t>
        </is>
      </c>
      <c r="C91" s="19">
        <f>IF($C$12=0,0,$C$67/$C$12)</f>
        <v/>
      </c>
      <c r="D91" s="5" t="inlineStr">
        <is>
          <t>Ganancia del período ÷ entradas. Su par es el costo por entrada.</t>
        </is>
      </c>
    </row>
    <row r="92">
      <c r="B92" t="inlineStr">
        <is>
          <t>Ganancia por asistente en vivo</t>
        </is>
      </c>
      <c r="C92" s="25">
        <f>IF($C$26=0,0,$C$67/$C$26)</f>
        <v/>
      </c>
      <c r="D92" s="5" t="inlineStr">
        <is>
          <t>Ganancia del período ÷ asistente en vivos. Su par es el costo por asistente en vivo.</t>
        </is>
      </c>
    </row>
    <row r="93">
      <c r="B93" t="inlineStr">
        <is>
          <t>Ganancia por solicitud</t>
        </is>
      </c>
      <c r="C93" s="25">
        <f>IF($C$35=0,0,$C$67/$C$35)</f>
        <v/>
      </c>
      <c r="D93" s="5" t="inlineStr">
        <is>
          <t>Ganancia del período ÷ solicituds. Su par es el costo por solicitud.</t>
        </is>
      </c>
    </row>
    <row r="94">
      <c r="B94" s="4" t="inlineStr">
        <is>
          <t>Ganancia por cliente</t>
        </is>
      </c>
      <c r="C94" s="19">
        <f>IF($C$39=0,0,$C$67/$C$39)</f>
        <v/>
      </c>
      <c r="D94" s="5" t="inlineStr">
        <is>
          <t>Ganancia del período ÷ compradores de la oferta. Su par es el costo por comprador.</t>
        </is>
      </c>
    </row>
    <row r="95">
      <c r="B95" s="13" t="inlineStr">
        <is>
          <t>Chequeos: tus números tienen que ser consistentes, no solo estar en rango</t>
        </is>
      </c>
      <c r="C95" s="14" t="n"/>
      <c r="D95" s="14" t="n"/>
    </row>
    <row r="96">
      <c r="B96" t="inlineStr">
        <is>
          <t>Los supuestos de tráfico son mayores a cero</t>
        </is>
      </c>
      <c r="C96" s="34">
        <f>IF(AND($C$7&gt;0,$C$10&gt;0),"OK","REVISAR")</f>
        <v/>
      </c>
      <c r="D96" s="5" t="inlineStr">
        <is>
          <t>Con un 0 en el tráfico o en la conversión de la página no hay unidades y el modelo no dice nada.</t>
        </is>
      </c>
    </row>
    <row r="97">
      <c r="B97" t="inlineStr">
        <is>
          <t>La curva de cobranza suma 100 %</t>
        </is>
      </c>
      <c r="C97" s="34">
        <f>IF(ABS($C$53+$C$54+$C$55-1)&lt;0.001,"OK","REVISAR")</f>
        <v/>
      </c>
      <c r="D97" s="5" t="inlineStr">
        <is>
          <t>Supuestos → cobranza mes 1 + mes 2 + mes 3 = 100 %.</t>
        </is>
      </c>
    </row>
    <row r="98">
      <c r="B98" t="inlineStr">
        <is>
          <t>Comisiones + reembolsos menores al 60 %</t>
        </is>
      </c>
      <c r="C98" s="34">
        <f>IF(($C$58+$C$59+$C$61)&lt;0.6,"OK","REVISAR")</f>
        <v/>
      </c>
      <c r="D98" s="5" t="inlineStr">
        <is>
          <t>Si suman más, revisá los porcentajes.</t>
        </is>
      </c>
    </row>
    <row r="99">
      <c r="B99" t="inlineStr">
        <is>
          <t>La inversión es mayor a cero</t>
        </is>
      </c>
      <c r="C99" s="34">
        <f>IF($C$8&gt;0,"OK","REVISAR")</f>
        <v/>
      </c>
      <c r="D99" s="5" t="inlineStr"/>
    </row>
    <row r="100">
      <c r="B100" t="inlineStr">
        <is>
          <t>La meta de ventas es alcanzable (hay conversión a venta)</t>
        </is>
      </c>
      <c r="C100" s="34">
        <f>IF($C$40&gt;0,"OK","REVISAR")</f>
        <v/>
      </c>
      <c r="D100" s="5" t="inlineStr">
        <is>
          <t>Con conversión a venta en 0, la inversión para la meta dice 'inalcanzable con estos supuestos'.</t>
        </is>
      </c>
    </row>
    <row r="101">
      <c r="B101" t="inlineStr">
        <is>
          <t>Las conversiones están entre 0 y 100 %</t>
        </is>
      </c>
      <c r="C101" s="34">
        <f>IF(AND($C$10&gt;=0,$C$10&lt;=1,$C$15&gt;=0,$C$15&lt;=1,$C$22&gt;=0,$C$22&lt;=1,$C$25&gt;=0,$C$25&lt;=1,$C$27&gt;=0,$C$27&lt;=1,$C$31&gt;=0,$C$31&lt;=1,$C$33&gt;=0,$C$33&lt;=1,$C$38&gt;=0,$C$38&lt;=1,$C$44&gt;=0,$C$44&lt;=1),"OK","REVISAR")</f>
        <v/>
      </c>
      <c r="D101" s="5" t="inlineStr">
        <is>
          <t>Un 25 % se escribe 25 % (o 0,25), no 25.</t>
        </is>
      </c>
    </row>
    <row r="102">
      <c r="B102" t="inlineStr">
        <is>
          <t>El margen de seguridad está entre 0 y 100 %</t>
        </is>
      </c>
      <c r="C102" s="34">
        <f>IF(AND($C$76&gt;=0,$C$76&lt;=1),"OK","REVISAR")</f>
        <v/>
      </c>
      <c r="D102" s="5" t="inlineStr"/>
    </row>
    <row r="103">
      <c r="B103" t="inlineStr">
        <is>
          <t>La cadena es decreciente (cada etapa tiene menos gente que la anterior)</t>
        </is>
      </c>
      <c r="C103" s="34">
        <f>IF(AND($C$12&lt;=$C$9,$C$26&lt;=$C$12,$C$32&lt;=$C$26,$C$34&lt;=$C$28,$C$39&lt;=$C$35),"OK","REVISAR")</f>
        <v/>
      </c>
      <c r="D103" s="5" t="inlineStr">
        <is>
          <t>Si falla, alguna conversión está por encima de 100 %.</t>
        </is>
      </c>
    </row>
    <row r="104">
      <c r="B104" t="inlineStr">
        <is>
          <t>En vivo + replay no superan el 100 % de los compradores</t>
        </is>
      </c>
      <c r="C104" s="34">
        <f>IF(($C$25+$C$27)&lt;=1,"OK","REVISAR")</f>
        <v/>
      </c>
      <c r="D104" s="5" t="inlineStr">
        <is>
          <t>El replay se cuenta sin los que fueron en vivo.</t>
        </is>
      </c>
    </row>
    <row r="106" ht="32" customHeight="1">
      <c r="B106" s="5" t="inlineStr">
        <is>
          <t>Cómo se usa: cambiá cualquier celda amarilla (inversión, CPM, CTR, conversión de la landing, show, solicitudes, cierre, precios, comisiones, costos, cobranza, meta) y mirá cómo se mueven todas las celdas azules de abajo: cantidades, costos por paso, facturado, cash neto, ganancia, ROAS, el techo y el objetivo, el semáforo y la inversión para tu meta.</t>
        </is>
      </c>
    </row>
    <row r="107" ht="32" customHeight="1">
      <c r="B107" s="5" t="inlineStr">
        <is>
          <t>Una variable por vez. Si querés comparar dos ideas, duplicá la hoja (clic derecho en la pestaña → Duplicar) y cambiá en cada copia una sola cosa.</t>
        </is>
      </c>
    </row>
    <row r="108" ht="32" customHeight="1">
      <c r="B108" s="5" t="inlineStr">
        <is>
          <t>Para volver al ejemplo, el valor original de cada supuesto está en la hoja Inicio.</t>
        </is>
      </c>
    </row>
  </sheetData>
  <mergeCells count="3">
    <mergeCell ref="B107:D107"/>
    <mergeCell ref="B106:D106"/>
    <mergeCell ref="B108:D108"/>
  </mergeCells>
  <conditionalFormatting sqref="C96:C104">
    <cfRule type="cellIs" priority="1" operator="equal" dxfId="0">
      <formula>"OK"</formula>
    </cfRule>
    <cfRule type="cellIs" priority="2" operator="equal" dxfId="1">
      <formula>"REVISAR"</formula>
    </cfRule>
  </conditionalFormatting>
  <conditionalFormatting sqref="C4">
    <cfRule type="cellIs" priority="3" operator="equal" dxfId="0">
      <formula>"OK"</formula>
    </cfRule>
    <cfRule type="cellIs" priority="4" operator="equal" dxfId="1">
      <formula>"REVISAR"</formula>
    </cfRule>
  </conditionalFormatting>
  <conditionalFormatting sqref="C72">
    <cfRule type="expression" priority="5" dxfId="0">
      <formula>LEFT(C72,5)="VERDE"</formula>
    </cfRule>
    <cfRule type="expression" priority="6" dxfId="2">
      <formula>LEFT(C72,8)="AMARILLO"</formula>
    </cfRule>
    <cfRule type="expression" priority="7" dxfId="1">
      <formula>LEFT(C72,4)="ROJO"</formula>
    </cfRule>
  </conditionalFormatting>
  <conditionalFormatting sqref="C84">
    <cfRule type="expression" priority="8" dxfId="0">
      <formula>LEFT(C84,5)="VERDE"</formula>
    </cfRule>
    <cfRule type="expression" priority="9" dxfId="2">
      <formula>LEFT(C84,8)="AMARILLO"</formula>
    </cfRule>
    <cfRule type="expression" priority="10" dxfId="1">
      <formula>LEFT(C84,4)="ROJO"</formula>
    </cfRule>
  </conditionalFormatting>
  <dataValidations count="2">
    <dataValidation sqref="C10 C15 C22 C25 C27 C31 C33 C38 C44 C53 C54 C55 C58 C59 C61 C76" showDropDown="0" showInputMessage="0" showErrorMessage="1" allowBlank="0" errorTitle="Porcentaje fuera de rango" error="Escribí el porcentaje como fracción entre 0 y 1 (15 % = 0,15)." type="decimal" operator="between">
      <formula1>0</formula1>
      <formula2>1</formula2>
    </dataValidation>
    <dataValidation sqref="C7 C8 C13 C17 C42 C46 C64 C66 C71 C85" showDropDown="0" showInputMessage="0" showErrorMessage="1" allowBlank="0" errorTitle="Valor inválido" error="Tiene que ser un número mayor o igual a 0." type="decimal" operator="greaterThanOrEqual">
      <formula1>0</formula1>
    </dataValidation>
  </dataValidation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Simulación · Embudo de webinar pago (evento pago)</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Simulación · Embudo de webinar pago (evento pago)</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Simulación · v1.2 · octubre 2026</dc:description>
  <dc:subject xmlns:dc="http://purl.org/dc/elements/1.1/">Modelo financiero de embudos · Jesús Tassarolo · TooAudience</dc:subject>
  <dcterms:created xmlns:dcterms="http://purl.org/dc/terms/" xmlns:xsi="http://www.w3.org/2001/XMLSchema-instance" xsi:type="dcterms:W3CDTF">2026-10-02T17:02:42Z</dcterms:created>
  <dcterms:modified xmlns:dcterms="http://purl.org/dc/terms/" xmlns:xsi="http://www.w3.org/2001/XMLSchema-instance" xsi:type="dcterms:W3CDTF">2026-10-02T17:02:42Z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