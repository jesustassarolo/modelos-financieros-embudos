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icio" sheetId="1" state="visible" r:id="rId1"/>
    <sheet xmlns:r="http://schemas.openxmlformats.org/officeDocument/2006/relationships" name="Simulación" sheetId="2" state="visible" r:id="rId2"/>
    <sheet xmlns:r="http://schemas.openxmlformats.org/officeDocument/2006/relationships" name="Licencia" sheetId="3" state="visible" r:id="rId3"/>
  </sheets>
  <definedNames>
    <definedName name="Autor_Jesus_Tassarolo">"Modelo financiero de embudos · creado por Jesús Tassarolo · TooAudience · youtube.com/@JesusTassaroloSinFiltro"</definedName>
  </definedNames>
  <calcPr calcId="124519" fullCalcOnLoad="1"/>
</workbook>
</file>

<file path=xl/styles.xml><?xml version="1.0" encoding="utf-8"?>
<styleSheet xmlns="http://schemas.openxmlformats.org/spreadsheetml/2006/main">
  <numFmts count="5">
    <numFmt numFmtId="164" formatCode="&quot;$&quot;#,##0.00"/>
    <numFmt numFmtId="165" formatCode="&quot;$&quot;#,##0"/>
    <numFmt numFmtId="166" formatCode="0.0%"/>
    <numFmt numFmtId="167" formatCode="0.0"/>
    <numFmt numFmtId="168" formatCode="0.00&quot;x&quot;"/>
  </numFmts>
  <fonts count="6">
    <font>
      <name val="Calibri"/>
      <family val="2"/>
      <color theme="1"/>
      <sz val="11"/>
      <scheme val="minor"/>
    </font>
    <font>
      <b val="1"/>
      <sz val="14"/>
    </font>
    <font>
      <i val="1"/>
      <color rgb="00595959"/>
    </font>
    <font>
      <b val="1"/>
    </font>
    <font>
      <b val="1"/>
      <color rgb="00FFFFFF"/>
    </font>
    <font>
      <i val="1"/>
      <color rgb="008C8C8C"/>
      <sz val="8"/>
    </font>
  </fonts>
  <fills count="6">
    <fill>
      <patternFill/>
    </fill>
    <fill>
      <patternFill patternType="gray125"/>
    </fill>
    <fill>
      <patternFill patternType="solid">
        <fgColor rgb="001F3864"/>
      </patternFill>
    </fill>
    <fill>
      <patternFill patternType="solid">
        <fgColor rgb="00D9E1F2"/>
      </patternFill>
    </fill>
    <fill>
      <patternFill patternType="solid">
        <fgColor rgb="00FFF2CC"/>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5"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165" fontId="0" fillId="0" borderId="0" pivotButton="0" quotePrefix="0" xfId="0"/>
    <xf numFmtId="164" fontId="0" fillId="0" borderId="0" pivotButton="0" quotePrefix="0" xfId="0"/>
    <xf numFmtId="166" fontId="0" fillId="0" borderId="0" pivotButton="0" quotePrefix="0" xfId="0"/>
    <xf numFmtId="168" fontId="0" fillId="0" borderId="0" pivotButton="0" quotePrefix="0" xfId="0"/>
    <xf numFmtId="3" fontId="0" fillId="0" borderId="0" pivotButton="0" quotePrefix="0" xfId="0"/>
    <xf numFmtId="0" fontId="3" fillId="5" borderId="1" pivotButton="0" quotePrefix="0" xfId="0"/>
    <xf numFmtId="0" fontId="4" fillId="2" borderId="1" applyAlignment="1" pivotButton="0" quotePrefix="0" xfId="0">
      <alignment horizontal="center" vertical="center"/>
    </xf>
    <xf numFmtId="0" fontId="3" fillId="3" borderId="0" pivotButton="0" quotePrefix="0" xfId="0"/>
    <xf numFmtId="0" fontId="0" fillId="3" borderId="0" pivotButton="0" quotePrefix="0" xfId="0"/>
    <xf numFmtId="164" fontId="0" fillId="4" borderId="1" pivotButton="0" quotePrefix="0" xfId="0"/>
    <xf numFmtId="164" fontId="0" fillId="5" borderId="1" pivotButton="0" quotePrefix="0" xfId="0"/>
    <xf numFmtId="165" fontId="0" fillId="4" borderId="1" pivotButton="0" quotePrefix="0" xfId="0"/>
    <xf numFmtId="3" fontId="3" fillId="5" borderId="1" pivotButton="0" quotePrefix="0" xfId="0"/>
    <xf numFmtId="166" fontId="0" fillId="4" borderId="1" pivotButton="0" quotePrefix="0" xfId="0"/>
    <xf numFmtId="3" fontId="0" fillId="5" borderId="1" pivotButton="0" quotePrefix="0" xfId="0"/>
    <xf numFmtId="167" fontId="3" fillId="5" borderId="1" pivotButton="0" quotePrefix="0" xfId="0"/>
    <xf numFmtId="10" fontId="0" fillId="5" borderId="1" pivotButton="0" quotePrefix="0" xfId="0"/>
    <xf numFmtId="164" fontId="3" fillId="5" borderId="1" pivotButton="0" quotePrefix="0" xfId="0"/>
    <xf numFmtId="165" fontId="0" fillId="5" borderId="1" pivotButton="0" quotePrefix="0" xfId="0"/>
    <xf numFmtId="167" fontId="0" fillId="5" borderId="1" pivotButton="0" quotePrefix="0" xfId="0"/>
    <xf numFmtId="165" fontId="3" fillId="5" borderId="1" pivotButton="0" quotePrefix="0" xfId="0"/>
    <xf numFmtId="168" fontId="0" fillId="5" borderId="1" pivotButton="0" quotePrefix="0" xfId="0"/>
    <xf numFmtId="168" fontId="3" fillId="5" borderId="1" pivotButton="0" quotePrefix="0" xfId="0"/>
    <xf numFmtId="166" fontId="0" fillId="5" borderId="1" pivotButton="0" quotePrefix="0" xfId="0"/>
    <xf numFmtId="168" fontId="0" fillId="4" borderId="1" pivotButton="0" quotePrefix="0" xfId="0"/>
    <xf numFmtId="49" fontId="0" fillId="5" borderId="1" pivotButton="0" quotePrefix="0" xfId="0"/>
    <xf numFmtId="49" fontId="3" fillId="5" borderId="1" pivotButton="0" quotePrefix="0" xfId="0"/>
    <xf numFmtId="3" fontId="0" fillId="4" borderId="1" pivotButton="0" quotePrefix="0" xfId="0"/>
    <xf numFmtId="0" fontId="0" fillId="5" borderId="1" pivotButton="0" quotePrefix="0" xfId="0"/>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2" customWidth="1" min="1" max="1"/>
    <col width="70" customWidth="1" min="2" max="2"/>
    <col width="16" customWidth="1" min="3" max="3"/>
  </cols>
  <sheetData>
    <row r="1">
      <c r="B1" s="1" t="inlineStr">
        <is>
          <t>© Jesús Tassarolo · TooAudience · youtube.com/@JesusTassaroloSinFiltro · uso personal; no redistribuir modificado</t>
        </is>
      </c>
    </row>
    <row r="2">
      <c r="B2" s="2" t="inlineStr">
        <is>
          <t>Simulación · Embudo low-ticket con bumps y upsells</t>
        </is>
      </c>
    </row>
    <row r="3">
      <c r="B3" s="3" t="inlineStr">
        <is>
          <t>Un solo Excel para simular: la cadena completa del embudo con todos los números editables. No se conecta con el modelo financiero ni con las métricas diarias.</t>
        </is>
      </c>
    </row>
    <row r="5">
      <c r="B5" s="4" t="inlineStr">
        <is>
          <t>Qué es</t>
        </is>
      </c>
    </row>
    <row r="6" ht="60" customHeight="1">
      <c r="B6" s="5" t="inlineStr">
        <is>
          <t>La hoja Modelo del modelo financiero de este embudo, idéntica, pero con cada supuesto como número editable en su lugar de la cadena (inversión, CPM, CTR, visitas, conversión, asistencia, solicitudes, cierre, precios, comisiones, costos, cobranza, meta). Cambiás uno y se recalcula todo lo que depende.</t>
        </is>
      </c>
    </row>
    <row r="8">
      <c r="B8" s="4" t="inlineStr">
        <is>
          <t>Cómo se usa</t>
        </is>
      </c>
    </row>
    <row r="9" ht="60" customHeight="1">
      <c r="B9" s="5" t="inlineStr">
        <is>
          <t>Abrí la hoja Simulación. Las celdas amarillas se editan; las azules se calculan. Movés un número y mirás cómo cambian cantidades, costos por paso, facturado, cash neto, ganancia, ROAS, techo, objetivo y semáforo. La fila 'Estado de tus números' avisa si escribiste algo imposible.</t>
        </is>
      </c>
    </row>
    <row r="11">
      <c r="B11" s="4" t="inlineStr">
        <is>
          <t>Para qué</t>
        </is>
      </c>
    </row>
    <row r="12" ht="45" customHeight="1">
      <c r="B12" s="5" t="inlineStr">
        <is>
          <t>Para contestar antes de invertir: ¿qué pasa si el CPM sube un 30 %? ¿Y si el show baja al 10 %? ¿Y si subo el precio y el cierre cae? ¿Hasta qué CPL aguanta este embudo? Cuando una prueba te convence, pasá ese número a Supuestos del modelo financiero.</t>
        </is>
      </c>
    </row>
    <row r="14">
      <c r="B14" s="4" t="inlineStr">
        <is>
          <t>Regla</t>
        </is>
      </c>
    </row>
    <row r="15" ht="30" customHeight="1">
      <c r="B15" s="5" t="inlineStr">
        <is>
          <t>Una variable por vez. Para comparar ideas, duplicá la hoja y cambiá una sola cosa en cada copia.</t>
        </is>
      </c>
    </row>
    <row r="17">
      <c r="B17" s="4" t="inlineStr">
        <is>
          <t>Valores del ejemplo (por si querés volver)</t>
        </is>
      </c>
    </row>
    <row r="18">
      <c r="B18" t="inlineStr">
        <is>
          <t>Inversión en publicidad por mes</t>
        </is>
      </c>
      <c r="C18" s="6" t="n">
        <v>9000</v>
      </c>
    </row>
    <row r="19">
      <c r="B19" t="inlineStr">
        <is>
          <t>Costo por visita a la página de ventas (VSL)</t>
        </is>
      </c>
      <c r="C19" s="7" t="n">
        <v>0.3</v>
      </c>
    </row>
    <row r="20">
      <c r="B20" t="inlineStr">
        <is>
          <t>% de visitas que llegan al checkout</t>
        </is>
      </c>
      <c r="C20" s="8" t="n">
        <v>0.035</v>
      </c>
    </row>
    <row r="21">
      <c r="B21" t="inlineStr">
        <is>
          <t>% de checkouts que terminan en compra</t>
        </is>
      </c>
      <c r="C21" s="8" t="n">
        <v>0.26</v>
      </c>
    </row>
    <row r="22">
      <c r="B22" t="inlineStr">
        <is>
          <t>Producto principal: precio</t>
        </is>
      </c>
      <c r="C22" s="7" t="n">
        <v>37</v>
      </c>
    </row>
    <row r="23">
      <c r="B23" t="inlineStr">
        <is>
          <t>Bump 1: precio</t>
        </is>
      </c>
      <c r="C23" s="7" t="n">
        <v>17</v>
      </c>
    </row>
    <row r="24">
      <c r="B24" t="inlineStr">
        <is>
          <t>Bump 1: % de compradores que lo toman</t>
        </is>
      </c>
      <c r="C24" s="8" t="n">
        <v>0.25</v>
      </c>
    </row>
    <row r="25">
      <c r="B25" t="inlineStr">
        <is>
          <t>Bump 2: precio</t>
        </is>
      </c>
      <c r="C25" s="7" t="n">
        <v>17</v>
      </c>
    </row>
    <row r="26">
      <c r="B26" t="inlineStr">
        <is>
          <t>Bump 2: % de compradores que lo toman</t>
        </is>
      </c>
      <c r="C26" s="8" t="n">
        <v>0.18</v>
      </c>
    </row>
    <row r="27">
      <c r="B27" t="inlineStr">
        <is>
          <t>OTO 1: precio</t>
        </is>
      </c>
      <c r="C27" s="7" t="n">
        <v>47</v>
      </c>
    </row>
    <row r="28">
      <c r="B28" t="inlineStr">
        <is>
          <t>OTO 1: % de compradores que lo toman</t>
        </is>
      </c>
      <c r="C28" s="8" t="n">
        <v>0.1</v>
      </c>
    </row>
    <row r="29">
      <c r="B29" t="inlineStr">
        <is>
          <t>OTO 2: precio</t>
        </is>
      </c>
      <c r="C29" s="7" t="n">
        <v>17</v>
      </c>
    </row>
    <row r="30">
      <c r="B30" t="inlineStr">
        <is>
          <t>OTO 2: % de compradores que lo toman</t>
        </is>
      </c>
      <c r="C30" s="8" t="n">
        <v>0.06</v>
      </c>
    </row>
    <row r="31">
      <c r="B31" t="inlineStr">
        <is>
          <t>OTO 3: precio</t>
        </is>
      </c>
      <c r="C31" s="7" t="n">
        <v>97</v>
      </c>
    </row>
    <row r="32">
      <c r="B32" t="inlineStr">
        <is>
          <t>OTO 3: % de compradores que lo toman</t>
        </is>
      </c>
      <c r="C32" s="8" t="n">
        <v>0.03</v>
      </c>
    </row>
    <row r="33">
      <c r="B33" t="inlineStr">
        <is>
          <t>OTO 4: precio</t>
        </is>
      </c>
      <c r="C33" s="7" t="n">
        <v>27</v>
      </c>
    </row>
    <row r="34">
      <c r="B34" t="inlineStr">
        <is>
          <t>OTO 4: % de compradores que lo toman</t>
        </is>
      </c>
      <c r="C34" s="8" t="n">
        <v>0.04</v>
      </c>
    </row>
    <row r="35">
      <c r="B35" t="inlineStr">
        <is>
          <t>Ascensión (programa de mayor valor): precio</t>
        </is>
      </c>
      <c r="C35" s="7" t="n">
        <v>297</v>
      </c>
    </row>
    <row r="36">
      <c r="B36" t="inlineStr">
        <is>
          <t>Ascensión (programa de mayor valor): % de compradores que lo toman</t>
        </is>
      </c>
      <c r="C36" s="8" t="n">
        <v>0.02</v>
      </c>
    </row>
    <row r="37">
      <c r="B37" t="inlineStr">
        <is>
          <t>Comisión de la pasarela o plataforma de pago</t>
        </is>
      </c>
      <c r="C37" s="8" t="n">
        <v>0.1</v>
      </c>
    </row>
    <row r="38">
      <c r="B38" t="inlineStr">
        <is>
          <t>Comisión del equipo de ventas</t>
        </is>
      </c>
      <c r="C38" s="8" t="n">
        <v>0</v>
      </c>
    </row>
    <row r="39">
      <c r="B39" t="inlineStr">
        <is>
          <t>Reembolsos y contracargos</t>
        </is>
      </c>
      <c r="C39" s="8" t="n">
        <v>0.05</v>
      </c>
    </row>
    <row r="40">
      <c r="B40" t="inlineStr">
        <is>
          <t>Costos por visita (herramientas, WhatsApp, IA)</t>
        </is>
      </c>
      <c r="C40" s="7" t="n">
        <v>0</v>
      </c>
    </row>
    <row r="41">
      <c r="B41" t="inlineStr">
        <is>
          <t>Costos fijos por mes</t>
        </is>
      </c>
      <c r="C41" s="6" t="n">
        <v>1500</v>
      </c>
    </row>
    <row r="42">
      <c r="B42" t="inlineStr">
        <is>
          <t>% del facturado que entra en el mes 1</t>
        </is>
      </c>
      <c r="C42" s="8" t="n">
        <v>1</v>
      </c>
    </row>
    <row r="43">
      <c r="B43" t="inlineStr">
        <is>
          <t>% que entra en el mes 2</t>
        </is>
      </c>
      <c r="C43" s="8" t="n">
        <v>0</v>
      </c>
    </row>
    <row r="44">
      <c r="B44" t="inlineStr">
        <is>
          <t>% que entra en el mes 3</t>
        </is>
      </c>
      <c r="C44" s="8" t="n">
        <v>0</v>
      </c>
    </row>
    <row r="45">
      <c r="B45" t="inlineStr">
        <is>
          <t>ROAS objetivo sobre cash neto</t>
        </is>
      </c>
      <c r="C45" s="9" t="n">
        <v>2</v>
      </c>
    </row>
    <row r="46">
      <c r="B46" t="inlineStr">
        <is>
          <t>Margen de seguridad</t>
        </is>
      </c>
      <c r="C46" s="8" t="n">
        <v>0.3</v>
      </c>
    </row>
    <row r="47">
      <c r="B47" t="inlineStr">
        <is>
          <t>Meta de ventas del producto principal</t>
        </is>
      </c>
      <c r="C47" s="10" t="n">
        <v>500</v>
      </c>
    </row>
    <row r="49">
      <c r="B49" s="3" t="inlineStr">
        <is>
          <t>Modelo financiero de embudos · creado por Jesús Tassarolo · TooAudience · youtube.com/@JesusTassaroloSinFiltro · v1.2 · octubre 2026</t>
        </is>
      </c>
    </row>
  </sheetData>
  <pageMargins left="0.75" right="0.75" top="1" bottom="1" header="0.5" footer="0.5"/>
  <headerFooter>
    <oddHeader>&amp;CJesús Tassarolo · TooAudience&amp;R&amp;D</oddHeader>
    <oddFooter>&amp;LModelo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youtube.com/@JesusTassaroloSinFiltro&amp;RPágina &amp;P de &amp;N</evenFooter>
    <firstHeader/>
    <firstFooter/>
  </headerFooter>
</worksheet>
</file>

<file path=xl/worksheets/sheet2.xml><?xml version="1.0" encoding="utf-8"?>
<worksheet xmlns="http://schemas.openxmlformats.org/spreadsheetml/2006/main">
  <sheetPr>
    <outlinePr summaryBelow="1" summaryRight="1"/>
    <pageSetUpPr/>
  </sheetPr>
  <dimension ref="A1:D10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60" customWidth="1" min="2" max="2"/>
    <col width="18" customWidth="1" min="3" max="3"/>
    <col width="72" customWidth="1" min="4" max="4"/>
  </cols>
  <sheetData>
    <row r="1">
      <c r="B1" s="1" t="inlineStr">
        <is>
          <t>© Jesús Tassarolo · TooAudience · youtube.com/@JesusTassaroloSinFiltro · uso personal; no redistribuir modificado</t>
        </is>
      </c>
    </row>
    <row r="2">
      <c r="B2" s="2" t="inlineStr">
        <is>
          <t>Simulación: la cadena completa del embudo, con todos los números para jugar</t>
        </is>
      </c>
    </row>
    <row r="3">
      <c r="B3" s="3" t="inlineStr">
        <is>
          <t>Amarillo = supuesto: cambialo y todo lo que depende se recalcula al instante. Azul = resultado. Mismo orden y mismas fórmulas que la hoja Modelo del modelo financiero. Este archivo no se conecta con ningún otro: es tu mesa de pruebas.</t>
        </is>
      </c>
    </row>
    <row r="4">
      <c r="B4" s="4" t="inlineStr">
        <is>
          <t>Estado de tus números</t>
        </is>
      </c>
      <c r="C4" s="11">
        <f>IF(AND(ISNUMBER(C7),C7&gt;=0,ISNUMBER(C9),C9&gt;=0,ISNUMBER(C11),C11&gt;=0,C11&lt;=1,ISNUMBER(C13),C13&gt;=0,C13&lt;=1,ISNUMBER(C18),C18&gt;=0,ISNUMBER(C20),C20&gt;=0,C20&lt;=1,ISNUMBER(C22),C22&gt;=0,ISNUMBER(C24),C24&gt;=0,C24&lt;=1,ISNUMBER(C26),C26&gt;=0,ISNUMBER(C28),C28&gt;=0,C28&lt;=1,ISNUMBER(C30),C30&gt;=0,ISNUMBER(C32),C32&gt;=0,C32&lt;=1,ISNUMBER(C34),C34&gt;=0,ISNUMBER(C36),C36&gt;=0,C36&lt;=1,ISNUMBER(C38),C38&gt;=0,ISNUMBER(C40),C40&gt;=0,C40&lt;=1,ISNUMBER(C42),C42&gt;=0,ISNUMBER(C44),C44&gt;=0,C44&lt;=1,ISNUMBER(C46),C46&gt;=0,ISNUMBER(C54),C54&gt;=0,C54&lt;=1,ISNUMBER(C55),C55&gt;=0,C55&lt;=1,ISNUMBER(C56),C56&gt;=0,C56&lt;=1,ISNUMBER(C59),C59&gt;=0,C59&lt;=1,ISNUMBER(C60),C60&gt;=0,C60&lt;=1,ISNUMBER(C62),C62&gt;=0,C62&lt;=1,ISNUMBER(C65),C65&gt;=0,ISNUMBER(C67),C67&gt;=0,ISNUMBER(C72),C72&gt;=0,ISNUMBER(C77),C77&gt;=0,C77&lt;=1,ISNUMBER(C86),C86&gt;=0,COUNTIF(C95:C102,"REVISAR")=0),"OK","REVISAR")</f>
        <v/>
      </c>
      <c r="D4" s="5" t="inlineStr">
        <is>
          <t>OK = todos los supuestos tienen sentido y los chequeos del final pasan. REVISAR = hay un porcentaje fuera de 0 a 1, un negativo, un texto donde va un número, o un chequeo de consistencia que falla (mirá el bloque Chequeos al final).</t>
        </is>
      </c>
    </row>
    <row r="5">
      <c r="B5" s="12" t="inlineStr">
        <is>
          <t>Etapa / resultado</t>
        </is>
      </c>
      <c r="C5" s="12" t="inlineStr">
        <is>
          <t>Valor</t>
        </is>
      </c>
      <c r="D5" s="12" t="inlineStr">
        <is>
          <t>Cómo se calcula</t>
        </is>
      </c>
    </row>
    <row r="6">
      <c r="B6" s="13" t="inlineStr">
        <is>
          <t>Tráfico y unidades</t>
        </is>
      </c>
      <c r="C6" s="14" t="n"/>
      <c r="D6" s="14" t="n"/>
    </row>
    <row r="7">
      <c r="B7" t="inlineStr">
        <is>
          <t>Costo por visita a la página de ventas (VSL)</t>
        </is>
      </c>
      <c r="C7" s="15" t="n">
        <v>0.3</v>
      </c>
      <c r="D7" s="5" t="inlineStr">
        <is>
          <t>Supuesto (USD / visita). Lo que pagás por cada persona que llega a la página. En tráfico frío hispano se mueve entre 0,20 y 0,50.</t>
        </is>
      </c>
    </row>
    <row r="8">
      <c r="B8" t="inlineStr">
        <is>
          <t>Costo por visita (unidad de adquisición)</t>
        </is>
      </c>
      <c r="C8" s="16">
        <f>$C$7</f>
        <v/>
      </c>
      <c r="D8" s="5" t="inlineStr">
        <is>
          <t>El supuesto 'costo por visita'.</t>
        </is>
      </c>
    </row>
    <row r="9">
      <c r="B9" t="inlineStr">
        <is>
          <t>Inversión en publicidad por mes</t>
        </is>
      </c>
      <c r="C9" s="17" t="n">
        <v>9000</v>
      </c>
      <c r="D9" s="5" t="inlineStr">
        <is>
          <t>Supuesto (USD / mes). El ejemplo invierte 300 USD por día.</t>
        </is>
      </c>
    </row>
    <row r="10">
      <c r="B10" s="4" t="inlineStr">
        <is>
          <t>Visitas a la página de ventas</t>
        </is>
      </c>
      <c r="C10" s="18">
        <f>IF($C$8=0,0,$C$9/$C$8)</f>
        <v/>
      </c>
      <c r="D10" s="5" t="inlineStr">
        <is>
          <t>Inversión ÷ costo por visita.</t>
        </is>
      </c>
    </row>
    <row r="11">
      <c r="B11" t="inlineStr">
        <is>
          <t>% de visitas que llegan al checkout</t>
        </is>
      </c>
      <c r="C11" s="19" t="n">
        <v>0.035</v>
      </c>
      <c r="D11" s="5" t="inlineStr">
        <is>
          <t>Supuesto (%). Visitas que tocan 'comprar' y abren el checkout.</t>
        </is>
      </c>
    </row>
    <row r="12">
      <c r="B12" t="inlineStr">
        <is>
          <t>Checkouts iniciados</t>
        </is>
      </c>
      <c r="C12" s="20">
        <f>$C$10*$C$11</f>
        <v/>
      </c>
      <c r="D12" s="5" t="inlineStr">
        <is>
          <t>Visitas × % que llega al checkout.</t>
        </is>
      </c>
    </row>
    <row r="13">
      <c r="B13" t="inlineStr">
        <is>
          <t>% de checkouts que terminan en compra</t>
        </is>
      </c>
      <c r="C13" s="19" t="n">
        <v>0.26</v>
      </c>
      <c r="D13" s="5" t="inlineStr">
        <is>
          <t>Supuesto (%). Checkouts que pagan.</t>
        </is>
      </c>
    </row>
    <row r="14">
      <c r="B14" s="4" t="inlineStr">
        <is>
          <t>Ventas del producto principal</t>
        </is>
      </c>
      <c r="C14" s="21">
        <f>$C$12*$C$13</f>
        <v/>
      </c>
      <c r="D14" s="5" t="inlineStr">
        <is>
          <t>Checkouts × % que compra.</t>
        </is>
      </c>
    </row>
    <row r="15">
      <c r="B15" t="inlineStr">
        <is>
          <t>% de visitas que compran</t>
        </is>
      </c>
      <c r="C15" s="22">
        <f>IF($C$10=0,0,$C$14/$C$10)</f>
        <v/>
      </c>
      <c r="D15" s="5" t="inlineStr">
        <is>
          <t>Ventas ÷ visitas. Las dos conversiones multiplicadas.</t>
        </is>
      </c>
    </row>
    <row r="16">
      <c r="B16" s="4" t="inlineStr">
        <is>
          <t>Costo por comprador (CPA)</t>
        </is>
      </c>
      <c r="C16" s="23">
        <f>IF($C$14=0,0,$C$9/$C$14)</f>
        <v/>
      </c>
      <c r="D16" s="5" t="inlineStr">
        <is>
          <t>Inversión ÷ ventas del principal.</t>
        </is>
      </c>
    </row>
    <row r="17">
      <c r="B17" s="13" t="inlineStr">
        <is>
          <t>Facturación por producto</t>
        </is>
      </c>
      <c r="C17" s="14" t="n"/>
      <c r="D17" s="14" t="n"/>
    </row>
    <row r="18">
      <c r="B18" t="inlineStr">
        <is>
          <t>Producto principal: precio</t>
        </is>
      </c>
      <c r="C18" s="15" t="n">
        <v>37</v>
      </c>
      <c r="D18" s="5" t="inlineStr">
        <is>
          <t>Supuesto (USD). El producto que vende la VSL. Todo lo demás se mide como % de sus compradores.</t>
        </is>
      </c>
    </row>
    <row r="19">
      <c r="B19" t="inlineStr">
        <is>
          <t>Facturado: producto principal</t>
        </is>
      </c>
      <c r="C19" s="24">
        <f>$C$14*$C$18</f>
        <v/>
      </c>
      <c r="D19" s="5" t="inlineStr">
        <is>
          <t>Ventas × precio.</t>
        </is>
      </c>
    </row>
    <row r="20">
      <c r="B20" t="inlineStr">
        <is>
          <t>Bump 1: % de compradores que lo toman</t>
        </is>
      </c>
      <c r="C20" s="19" t="n">
        <v>0.25</v>
      </c>
      <c r="D20" s="5" t="inlineStr">
        <is>
          <t>Supuesto (%). Cambialo para probar.</t>
        </is>
      </c>
    </row>
    <row r="21">
      <c r="B21" t="inlineStr">
        <is>
          <t>Ventas: Bump 1</t>
        </is>
      </c>
      <c r="C21" s="25">
        <f>$C$14*$C$20</f>
        <v/>
      </c>
      <c r="D21" s="5" t="inlineStr">
        <is>
          <t>Compradores del principal × % que lo toma.</t>
        </is>
      </c>
    </row>
    <row r="22">
      <c r="B22" t="inlineStr">
        <is>
          <t>Bump 1: precio</t>
        </is>
      </c>
      <c r="C22" s="15" t="n">
        <v>17</v>
      </c>
      <c r="D22" s="5" t="inlineStr">
        <is>
          <t>Supuesto (USD). Oferta extra en el checkout del principal (una casilla). % sobre compradores del principal.</t>
        </is>
      </c>
    </row>
    <row r="23">
      <c r="B23" t="inlineStr">
        <is>
          <t>Facturado: Bump 1</t>
        </is>
      </c>
      <c r="C23" s="24">
        <f>$C$21*$C$22</f>
        <v/>
      </c>
      <c r="D23" s="5" t="inlineStr">
        <is>
          <t>Ventas × precio.</t>
        </is>
      </c>
    </row>
    <row r="24">
      <c r="B24" t="inlineStr">
        <is>
          <t>Bump 2: % de compradores que lo toman</t>
        </is>
      </c>
      <c r="C24" s="19" t="n">
        <v>0.18</v>
      </c>
      <c r="D24" s="5" t="inlineStr">
        <is>
          <t>Supuesto (%). Cambialo para probar.</t>
        </is>
      </c>
    </row>
    <row r="25">
      <c r="B25" t="inlineStr">
        <is>
          <t>Ventas: Bump 2</t>
        </is>
      </c>
      <c r="C25" s="25">
        <f>$C$14*$C$24</f>
        <v/>
      </c>
      <c r="D25" s="5" t="inlineStr">
        <is>
          <t>Compradores del principal × % que lo toma.</t>
        </is>
      </c>
    </row>
    <row r="26">
      <c r="B26" t="inlineStr">
        <is>
          <t>Bump 2: precio</t>
        </is>
      </c>
      <c r="C26" s="15" t="n">
        <v>17</v>
      </c>
      <c r="D26" s="5" t="inlineStr">
        <is>
          <t>Supuesto (USD). Segundo bump en el mismo checkout. Rinde algo menos que el primero.</t>
        </is>
      </c>
    </row>
    <row r="27">
      <c r="B27" t="inlineStr">
        <is>
          <t>Facturado: Bump 2</t>
        </is>
      </c>
      <c r="C27" s="24">
        <f>$C$25*$C$26</f>
        <v/>
      </c>
      <c r="D27" s="5" t="inlineStr">
        <is>
          <t>Ventas × precio.</t>
        </is>
      </c>
    </row>
    <row r="28">
      <c r="B28" t="inlineStr">
        <is>
          <t>OTO 1: % de compradores que lo toman</t>
        </is>
      </c>
      <c r="C28" s="19" t="n">
        <v>0.1</v>
      </c>
      <c r="D28" s="5" t="inlineStr">
        <is>
          <t>Supuesto (%). Cambialo para probar.</t>
        </is>
      </c>
    </row>
    <row r="29">
      <c r="B29" t="inlineStr">
        <is>
          <t>Ventas: OTO 1</t>
        </is>
      </c>
      <c r="C29" s="25">
        <f>$C$14*$C$28</f>
        <v/>
      </c>
      <c r="D29" s="5" t="inlineStr">
        <is>
          <t>Compradores del principal × % que lo toma.</t>
        </is>
      </c>
    </row>
    <row r="30">
      <c r="B30" t="inlineStr">
        <is>
          <t>OTO 1: precio</t>
        </is>
      </c>
      <c r="C30" s="15" t="n">
        <v>47</v>
      </c>
      <c r="D30" s="5" t="inlineStr">
        <is>
          <t>Supuesto (USD). Página 1 después del pago: el primer upsell. % sobre compradores del principal.</t>
        </is>
      </c>
    </row>
    <row r="31">
      <c r="B31" t="inlineStr">
        <is>
          <t>Facturado: OTO 1</t>
        </is>
      </c>
      <c r="C31" s="24">
        <f>$C$29*$C$30</f>
        <v/>
      </c>
      <c r="D31" s="5" t="inlineStr">
        <is>
          <t>Ventas × precio.</t>
        </is>
      </c>
    </row>
    <row r="32">
      <c r="B32" t="inlineStr">
        <is>
          <t>OTO 2: % de compradores que lo toman</t>
        </is>
      </c>
      <c r="C32" s="19" t="n">
        <v>0.06</v>
      </c>
      <c r="D32" s="5" t="inlineStr">
        <is>
          <t>Supuesto (%). Cambialo para probar.</t>
        </is>
      </c>
    </row>
    <row r="33">
      <c r="B33" t="inlineStr">
        <is>
          <t>Ventas: OTO 2</t>
        </is>
      </c>
      <c r="C33" s="25">
        <f>$C$14*$C$32</f>
        <v/>
      </c>
      <c r="D33" s="5" t="inlineStr">
        <is>
          <t>Compradores del principal × % que lo toma.</t>
        </is>
      </c>
    </row>
    <row r="34">
      <c r="B34" t="inlineStr">
        <is>
          <t>OTO 2: precio</t>
        </is>
      </c>
      <c r="C34" s="15" t="n">
        <v>17</v>
      </c>
      <c r="D34" s="5" t="inlineStr">
        <is>
          <t>Supuesto (USD). Página 2: suele ser el downsell de la OTO 1 (más barato). El % va sobre todos los compradores, para simplificar.</t>
        </is>
      </c>
    </row>
    <row r="35">
      <c r="B35" t="inlineStr">
        <is>
          <t>Facturado: OTO 2</t>
        </is>
      </c>
      <c r="C35" s="24">
        <f>$C$33*$C$34</f>
        <v/>
      </c>
      <c r="D35" s="5" t="inlineStr">
        <is>
          <t>Ventas × precio.</t>
        </is>
      </c>
    </row>
    <row r="36">
      <c r="B36" t="inlineStr">
        <is>
          <t>OTO 3: % de compradores que lo toman</t>
        </is>
      </c>
      <c r="C36" s="19" t="n">
        <v>0.03</v>
      </c>
      <c r="D36" s="5" t="inlineStr">
        <is>
          <t>Supuesto (%). Cambialo para probar.</t>
        </is>
      </c>
    </row>
    <row r="37">
      <c r="B37" t="inlineStr">
        <is>
          <t>Ventas: OTO 3</t>
        </is>
      </c>
      <c r="C37" s="25">
        <f>$C$14*$C$36</f>
        <v/>
      </c>
      <c r="D37" s="5" t="inlineStr">
        <is>
          <t>Compradores del principal × % que lo toma.</t>
        </is>
      </c>
    </row>
    <row r="38">
      <c r="B38" t="inlineStr">
        <is>
          <t>OTO 3: precio</t>
        </is>
      </c>
      <c r="C38" s="15" t="n">
        <v>97</v>
      </c>
      <c r="D38" s="5" t="inlineStr">
        <is>
          <t>Supuesto (USD). Página 3: el segundo upsell.</t>
        </is>
      </c>
    </row>
    <row r="39">
      <c r="B39" t="inlineStr">
        <is>
          <t>Facturado: OTO 3</t>
        </is>
      </c>
      <c r="C39" s="24">
        <f>$C$37*$C$38</f>
        <v/>
      </c>
      <c r="D39" s="5" t="inlineStr">
        <is>
          <t>Ventas × precio.</t>
        </is>
      </c>
    </row>
    <row r="40">
      <c r="B40" t="inlineStr">
        <is>
          <t>OTO 4: % de compradores que lo toman</t>
        </is>
      </c>
      <c r="C40" s="19" t="n">
        <v>0.04</v>
      </c>
      <c r="D40" s="5" t="inlineStr">
        <is>
          <t>Supuesto (%). Cambialo para probar.</t>
        </is>
      </c>
    </row>
    <row r="41">
      <c r="B41" t="inlineStr">
        <is>
          <t>Ventas: OTO 4</t>
        </is>
      </c>
      <c r="C41" s="25">
        <f>$C$14*$C$40</f>
        <v/>
      </c>
      <c r="D41" s="5" t="inlineStr">
        <is>
          <t>Compradores del principal × % que lo toma.</t>
        </is>
      </c>
    </row>
    <row r="42">
      <c r="B42" t="inlineStr">
        <is>
          <t>OTO 4: precio</t>
        </is>
      </c>
      <c r="C42" s="15" t="n">
        <v>27</v>
      </c>
      <c r="D42" s="5" t="inlineStr">
        <is>
          <t>Supuesto (USD). Página 4: el downsell del segundo upsell.</t>
        </is>
      </c>
    </row>
    <row r="43">
      <c r="B43" t="inlineStr">
        <is>
          <t>Facturado: OTO 4</t>
        </is>
      </c>
      <c r="C43" s="24">
        <f>$C$41*$C$42</f>
        <v/>
      </c>
      <c r="D43" s="5" t="inlineStr">
        <is>
          <t>Ventas × precio.</t>
        </is>
      </c>
    </row>
    <row r="44">
      <c r="B44" t="inlineStr">
        <is>
          <t>Ascensión (programa de mayor valor): % de compradores que lo toman</t>
        </is>
      </c>
      <c r="C44" s="19" t="n">
        <v>0.02</v>
      </c>
      <c r="D44" s="5" t="inlineStr">
        <is>
          <t>Supuesto (%). Cambialo para probar.</t>
        </is>
      </c>
    </row>
    <row r="45">
      <c r="B45" t="inlineStr">
        <is>
          <t>Ventas: Ascensión (programa de mayor valor)</t>
        </is>
      </c>
      <c r="C45" s="25">
        <f>$C$14*$C$44</f>
        <v/>
      </c>
      <c r="D45" s="5" t="inlineStr">
        <is>
          <t>Compradores del principal × % que lo toma.</t>
        </is>
      </c>
    </row>
    <row r="46">
      <c r="B46" t="inlineStr">
        <is>
          <t>Ascensión (programa de mayor valor): precio</t>
        </is>
      </c>
      <c r="C46" s="15" t="n">
        <v>297</v>
      </c>
      <c r="D46" s="5" t="inlineStr">
        <is>
          <t>Supuesto (USD). El upsell de ascensión: el programa que se vende después del embudo, por checkout o por llamada. % sobre compradores del principal.</t>
        </is>
      </c>
    </row>
    <row r="47">
      <c r="B47" t="inlineStr">
        <is>
          <t>Facturado: Ascensión (programa de mayor valor)</t>
        </is>
      </c>
      <c r="C47" s="24">
        <f>$C$45*$C$46</f>
        <v/>
      </c>
      <c r="D47" s="5" t="inlineStr">
        <is>
          <t>Ventas × precio.</t>
        </is>
      </c>
    </row>
    <row r="48">
      <c r="B48" s="4" t="inlineStr">
        <is>
          <t>Facturado total</t>
        </is>
      </c>
      <c r="C48" s="26">
        <f>$C$19+$C$23+$C$27+$C$31+$C$35+$C$39+$C$43+$C$47</f>
        <v/>
      </c>
      <c r="D48" s="5" t="inlineStr">
        <is>
          <t>Suma de todos los productos.</t>
        </is>
      </c>
    </row>
    <row r="49">
      <c r="B49" s="4" t="inlineStr">
        <is>
          <t>Facturado por comprador (AOV)</t>
        </is>
      </c>
      <c r="C49" s="23">
        <f>IF($C$14=0,0,$C$48/$C$14)</f>
        <v/>
      </c>
      <c r="D49" s="5" t="inlineStr">
        <is>
          <t>Facturado total ÷ ventas del principal.</t>
        </is>
      </c>
    </row>
    <row r="50">
      <c r="B50" t="inlineStr">
        <is>
          <t>AOV ÷ precio del principal</t>
        </is>
      </c>
      <c r="C50" s="27">
        <f>IF($C$18=0,0,$C$49/$C$18)</f>
        <v/>
      </c>
      <c r="D50" s="5" t="inlineStr">
        <is>
          <t>Cuánto multiplica la escalera al precio del front.</t>
        </is>
      </c>
    </row>
    <row r="51">
      <c r="B51" t="inlineStr">
        <is>
          <t>Ventas del principal por visita (para la proyección)</t>
        </is>
      </c>
      <c r="C51" s="22">
        <f>IF($C$10=0,0,$C$14/$C$10)</f>
        <v/>
      </c>
      <c r="D51" s="5" t="inlineStr">
        <is>
          <t>Igual a '% de visitas que compran'.</t>
        </is>
      </c>
    </row>
    <row r="52">
      <c r="B52" t="inlineStr">
        <is>
          <t>Facturado por visita</t>
        </is>
      </c>
      <c r="C52" s="16">
        <f>IF($C$10=0,0,$C$48/$C$10)</f>
        <v/>
      </c>
      <c r="D52" s="5" t="inlineStr">
        <is>
          <t>Facturado total ÷ visitas.</t>
        </is>
      </c>
    </row>
    <row r="53">
      <c r="B53" s="13" t="inlineStr">
        <is>
          <t>Cash, costos y ganancia del período</t>
        </is>
      </c>
      <c r="C53" s="14" t="n"/>
      <c r="D53" s="14" t="n"/>
    </row>
    <row r="54">
      <c r="B54" t="inlineStr">
        <is>
          <t>% del facturado que entra en el mes 1</t>
        </is>
      </c>
      <c r="C54" s="19" t="n">
        <v>1</v>
      </c>
      <c r="D54" s="5" t="inlineStr">
        <is>
          <t>Supuesto (%). Pago único digital: 100 % en el mes 1.</t>
        </is>
      </c>
    </row>
    <row r="55">
      <c r="B55" t="inlineStr">
        <is>
          <t>% que entra en el mes 2</t>
        </is>
      </c>
      <c r="C55" s="19" t="n">
        <v>0</v>
      </c>
      <c r="D55" s="5" t="inlineStr">
        <is>
          <t>Supuesto (%). Cuotas o pagos diferidos.</t>
        </is>
      </c>
    </row>
    <row r="56">
      <c r="B56" t="inlineStr">
        <is>
          <t>% que entra en el mes 3</t>
        </is>
      </c>
      <c r="C56" s="19" t="n">
        <v>0</v>
      </c>
      <c r="D56" s="5" t="inlineStr">
        <is>
          <t>Supuesto (%). Los tres deben sumar 100 %.</t>
        </is>
      </c>
    </row>
    <row r="57">
      <c r="B57" t="inlineStr">
        <is>
          <t>Cash a cobrar (facturado × cobranza completa)</t>
        </is>
      </c>
      <c r="C57" s="24">
        <f>$C$48*($C$54+$C$55+$C$56)</f>
        <v/>
      </c>
      <c r="D57" s="5" t="inlineStr">
        <is>
          <t>Facturado × (mes 1 + mes 2 + mes 3). Si la cobranza suma 100 %, es igual al facturado.</t>
        </is>
      </c>
    </row>
    <row r="58">
      <c r="B58" t="inlineStr">
        <is>
          <t>Cash que entra en el primer mes</t>
        </is>
      </c>
      <c r="C58" s="24">
        <f>$C$48*$C$54</f>
        <v/>
      </c>
      <c r="D58" s="5" t="inlineStr">
        <is>
          <t>Facturado × % del mes 1.</t>
        </is>
      </c>
    </row>
    <row r="59">
      <c r="B59" t="inlineStr">
        <is>
          <t>Comisión de la pasarela o plataforma de pago</t>
        </is>
      </c>
      <c r="C59" s="19" t="n">
        <v>0.1</v>
      </c>
      <c r="D59" s="5" t="inlineStr">
        <is>
          <t>Supuesto (% del cash). Hotmart, Stripe, Mercado Pago: lo que se queda la plataforma.</t>
        </is>
      </c>
    </row>
    <row r="60">
      <c r="B60" t="inlineStr">
        <is>
          <t>Comisión del equipo de ventas</t>
        </is>
      </c>
      <c r="C60" s="19" t="n">
        <v>0</v>
      </c>
      <c r="D60" s="5" t="inlineStr">
        <is>
          <t>Supuesto (% del cash). Sobre el cash cobrado. En este embudo no hay llamadas: 0 %.</t>
        </is>
      </c>
    </row>
    <row r="61">
      <c r="B61" t="inlineStr">
        <is>
          <t>Comisiones (pasarela + ventas)</t>
        </is>
      </c>
      <c r="C61" s="24">
        <f>$C$57*($C$59+$C$60)</f>
        <v/>
      </c>
      <c r="D61" s="5" t="inlineStr">
        <is>
          <t>Cash × (pasarela + equipo de ventas).</t>
        </is>
      </c>
    </row>
    <row r="62">
      <c r="B62" t="inlineStr">
        <is>
          <t>Reembolsos y contracargos</t>
        </is>
      </c>
      <c r="C62" s="19" t="n">
        <v>0.05</v>
      </c>
      <c r="D62" s="5" t="inlineStr">
        <is>
          <t>Supuesto (% del cash). 5 % es normal en productos digitales. Más de 10 % es un problema de oferta o de expectativa.</t>
        </is>
      </c>
    </row>
    <row r="63">
      <c r="B63" t="inlineStr">
        <is>
          <t>Reembolsos</t>
        </is>
      </c>
      <c r="C63" s="24">
        <f>$C$57*$C$62</f>
        <v/>
      </c>
      <c r="D63" s="5" t="inlineStr">
        <is>
          <t>Cash × % de reembolsos.</t>
        </is>
      </c>
    </row>
    <row r="64">
      <c r="B64" s="4" t="inlineStr">
        <is>
          <t>Cash neto</t>
        </is>
      </c>
      <c r="C64" s="26">
        <f>$C$57*(1-$C$59-$C$60-$C$62)</f>
        <v/>
      </c>
      <c r="D64" s="5" t="inlineStr">
        <is>
          <t>Cash − comisiones − reembolsos. La base de verdad.</t>
        </is>
      </c>
    </row>
    <row r="65">
      <c r="B65" t="inlineStr">
        <is>
          <t>Costos por visita (herramientas, WhatsApp, IA)</t>
        </is>
      </c>
      <c r="C65" s="15" t="n">
        <v>0</v>
      </c>
      <c r="D65" s="5" t="inlineStr">
        <is>
          <t>Supuesto (USD / visita). Costos que crecen con el volumen. En venta directa suele ser 0.</t>
        </is>
      </c>
    </row>
    <row r="66">
      <c r="B66" t="inlineStr">
        <is>
          <t>Costos por visita (herramientas, WhatsApp, IA)</t>
        </is>
      </c>
      <c r="C66" s="24">
        <f>$C$10*$C$65</f>
        <v/>
      </c>
      <c r="D66" s="5" t="inlineStr">
        <is>
          <t>Visitas × costo por visita.</t>
        </is>
      </c>
    </row>
    <row r="67">
      <c r="B67" t="inlineStr">
        <is>
          <t>Costos fijos por mes</t>
        </is>
      </c>
      <c r="C67" s="17" t="n">
        <v>1500</v>
      </c>
      <c r="D67" s="5" t="inlineStr">
        <is>
          <t>Supuesto (USD / mes). Equipo, herramientas, edición: lo que pagás aunque no vendas.</t>
        </is>
      </c>
    </row>
    <row r="68">
      <c r="B68" s="4" t="inlineStr">
        <is>
          <t>Ganancia del período</t>
        </is>
      </c>
      <c r="C68" s="26">
        <f>$C$64-$C$66-$C$67-$C$9</f>
        <v/>
      </c>
      <c r="D68" s="5" t="inlineStr">
        <is>
          <t>Cash neto − costos por unidad − fijos − inversión.</t>
        </is>
      </c>
    </row>
    <row r="69">
      <c r="B69" t="inlineStr">
        <is>
          <t>ROAS sobre facturado</t>
        </is>
      </c>
      <c r="C69" s="27">
        <f>IF($C$9=0,0,$C$48/$C$9)</f>
        <v/>
      </c>
      <c r="D69" s="5" t="inlineStr">
        <is>
          <t>Facturado ÷ inversión. El número que más se infla: no decidas con este.</t>
        </is>
      </c>
    </row>
    <row r="70">
      <c r="B70" s="4" t="inlineStr">
        <is>
          <t>ROAS sobre cash neto</t>
        </is>
      </c>
      <c r="C70" s="28">
        <f>IF($C$9=0,0,$C$64/$C$9)</f>
        <v/>
      </c>
      <c r="D70" s="5" t="inlineStr">
        <is>
          <t>Cash neto ÷ inversión. Con este se decide.</t>
        </is>
      </c>
    </row>
    <row r="71">
      <c r="B71" t="inlineStr">
        <is>
          <t>Margen sobre cash</t>
        </is>
      </c>
      <c r="C71" s="29">
        <f>IF($C$57=0,0,$C$68/$C$57)</f>
        <v/>
      </c>
      <c r="D71" s="5" t="inlineStr">
        <is>
          <t>Ganancia ÷ cash.</t>
        </is>
      </c>
    </row>
    <row r="72">
      <c r="B72" t="inlineStr">
        <is>
          <t>ROAS objetivo sobre cash neto</t>
        </is>
      </c>
      <c r="C72" s="30" t="n">
        <v>2</v>
      </c>
      <c r="D72" s="5" t="inlineStr">
        <is>
          <t>Supuesto (x). El retorno mínimo que querés por cada dólar invertido, después de comisiones y reembolsos. Entra en el semáforo: sin llegar a este ROAS no hay verde.</t>
        </is>
      </c>
    </row>
    <row r="73">
      <c r="B73" t="inlineStr">
        <is>
          <t>¿Cumple el ROAS objetivo?</t>
        </is>
      </c>
      <c r="C73" s="31">
        <f>IF($C$70&gt;=$C$72,"SÍ","NO")</f>
        <v/>
      </c>
      <c r="D73" s="5" t="inlineStr">
        <is>
          <t>ROAS sobre cash neto contra el objetivo de Supuestos.</t>
        </is>
      </c>
    </row>
    <row r="74">
      <c r="B74" s="13" t="inlineStr">
        <is>
          <t>Cuánto vale cada unidad y hasta cuánto pagar</t>
        </is>
      </c>
      <c r="C74" s="14" t="n"/>
      <c r="D74" s="14" t="n"/>
    </row>
    <row r="75">
      <c r="B75" s="4" t="inlineStr">
        <is>
          <t>Valor neto por visita</t>
        </is>
      </c>
      <c r="C75" s="23">
        <f>IF($C$10=0,0,($C$64-$C$66)/$C$10)</f>
        <v/>
      </c>
      <c r="D75" s="5" t="inlineStr">
        <is>
          <t>(Cash neto − costos por unidad) ÷ visitas. Lo que vale una visita.</t>
        </is>
      </c>
    </row>
    <row r="76">
      <c r="B76" s="4" t="inlineStr">
        <is>
          <t>Techo de costo por visita (break-even)</t>
        </is>
      </c>
      <c r="C76" s="23">
        <f>$C$75</f>
        <v/>
      </c>
      <c r="D76" s="5" t="inlineStr">
        <is>
          <t>Igual al valor neto por visita: pagando esto no ganás ni perdés.</t>
        </is>
      </c>
    </row>
    <row r="77">
      <c r="B77" t="inlineStr">
        <is>
          <t>Margen de seguridad</t>
        </is>
      </c>
      <c r="C77" s="19" t="n">
        <v>0.3</v>
      </c>
      <c r="D77" s="5" t="inlineStr">
        <is>
          <t>Supuesto (%). Colchón entre el techo (donde no ganás ni perdés) y el objetivo. 30 % es el estándar que usamos.</t>
        </is>
      </c>
    </row>
    <row r="78">
      <c r="B78" s="4" t="inlineStr">
        <is>
          <t>Objetivo de costo por visita</t>
        </is>
      </c>
      <c r="C78" s="23">
        <f>$C$76/(1+$C$77)</f>
        <v/>
      </c>
      <c r="D78" s="5" t="inlineStr">
        <is>
          <t>Techo ÷ (1 + margen de seguridad).</t>
        </is>
      </c>
    </row>
    <row r="79">
      <c r="B79" t="inlineStr">
        <is>
          <t>Techo de costo por checkout</t>
        </is>
      </c>
      <c r="C79" s="16">
        <f>IF($C$11=0,0,$C$75/$C$11)</f>
        <v/>
      </c>
      <c r="D79" s="5" t="inlineStr">
        <is>
          <t>Valor por visita ÷ % que llega al checkout.</t>
        </is>
      </c>
    </row>
    <row r="80">
      <c r="B80" s="4" t="inlineStr">
        <is>
          <t>Techo de costo por comprador (CPA máximo)</t>
        </is>
      </c>
      <c r="C80" s="23">
        <f>IF($C$15=0,0,$C$75/$C$15)</f>
        <v/>
      </c>
      <c r="D80" s="5" t="inlineStr">
        <is>
          <t>Valor por visita ÷ % de visitas que compran.</t>
        </is>
      </c>
    </row>
    <row r="81">
      <c r="B81" t="inlineStr">
        <is>
          <t>Objetivo de CPA</t>
        </is>
      </c>
      <c r="C81" s="16">
        <f>$C$80/(1+$C$77)</f>
        <v/>
      </c>
      <c r="D81" s="5" t="inlineStr">
        <is>
          <t>CPA máximo ÷ (1 + margen de seguridad).</t>
        </is>
      </c>
    </row>
    <row r="82">
      <c r="B82" t="inlineStr">
        <is>
          <t>Cash neto por comprador (AOV neto)</t>
        </is>
      </c>
      <c r="C82" s="16">
        <f>IF($C$14=0,0,($C$64-$C$66)/$C$14)</f>
        <v/>
      </c>
      <c r="D82" s="5" t="inlineStr">
        <is>
          <t>Lo que deja cada comprador después de comisiones y reembolsos.</t>
        </is>
      </c>
    </row>
    <row r="83">
      <c r="B83" s="4" t="inlineStr">
        <is>
          <t>AOV neto − CPA (lo que queda por comprador)</t>
        </is>
      </c>
      <c r="C83" s="23">
        <f>$C$82-$C$16</f>
        <v/>
      </c>
      <c r="D83" s="5" t="inlineStr">
        <is>
          <t>Si es negativo, perdés plata con cada venta.</t>
        </is>
      </c>
    </row>
    <row r="84">
      <c r="B84" s="13" t="inlineStr">
        <is>
          <t>Semáforo y cuánto invertir</t>
        </is>
      </c>
      <c r="C84" s="14" t="n"/>
      <c r="D84" s="14" t="n"/>
    </row>
    <row r="85">
      <c r="B85" s="4" t="inlineStr">
        <is>
          <t>Semáforo del costo por visita actual</t>
        </is>
      </c>
      <c r="C85" s="32">
        <f>IF($C$8&gt;$C$76,"ROJO",IF(AND($C$8&lt;=$C$78,$C$70&gt;=$C$72),"VERDE","AMARILLO"))</f>
        <v/>
      </c>
      <c r="D85" s="5" t="inlineStr">
        <is>
          <t>Rojo: costo &gt; techo. Verde: costo ≤ objetivo y ROAS sobre cash neto ≥ objetivo. Amarillo: el resto.</t>
        </is>
      </c>
    </row>
    <row r="86">
      <c r="B86" t="inlineStr">
        <is>
          <t>Meta de ventas del producto principal</t>
        </is>
      </c>
      <c r="C86" s="33" t="n">
        <v>500</v>
      </c>
      <c r="D86" s="5" t="inlineStr">
        <is>
          <t>Supuesto (ventas / mes). Para calcular cuánto invertir.</t>
        </is>
      </c>
    </row>
    <row r="87">
      <c r="B87" s="4" t="inlineStr">
        <is>
          <t>Inversión necesaria para la meta de ventas (al costo actual)</t>
        </is>
      </c>
      <c r="C87" s="26">
        <f>IF($C$15=0,"inalcanzable con estos supuestos",$C$86/$C$15*$C$8)</f>
        <v/>
      </c>
      <c r="D87" s="5" t="inlineStr">
        <is>
          <t>Meta ÷ % de visitas que compran × costo por visita.</t>
        </is>
      </c>
    </row>
    <row r="88">
      <c r="B88" t="inlineStr">
        <is>
          <t>Inversión para la meta al costo objetivo (lo máximo que conviene pagar)</t>
        </is>
      </c>
      <c r="C88" s="24">
        <f>IF($C$15=0,"inalcanzable con estos supuestos",$C$86/$C$15*$C$78)</f>
        <v/>
      </c>
      <c r="D88" s="5" t="inlineStr">
        <is>
          <t>Lo mismo, al costo objetivo.</t>
        </is>
      </c>
    </row>
    <row r="89">
      <c r="B89" s="13" t="inlineStr">
        <is>
          <t>Ganancia por paso (las dos caras de cada número: costo por X y ganancia por X)</t>
        </is>
      </c>
      <c r="C89" s="14" t="n"/>
      <c r="D89" s="14" t="n"/>
    </row>
    <row r="90">
      <c r="B90" s="4" t="inlineStr">
        <is>
          <t>Cash neto por comprador (AOV neto)</t>
        </is>
      </c>
      <c r="C90" s="23">
        <f>IF($C$14=0,0,($C$64-$C$66)/$C$14)</f>
        <v/>
      </c>
      <c r="D90" s="5" t="inlineStr">
        <is>
          <t>Lo que deja cada comprador del principal después de comisiones, reembolsos y costos por unidad. Su par es el CPA.</t>
        </is>
      </c>
    </row>
    <row r="91">
      <c r="B91" s="4" t="inlineStr">
        <is>
          <t>Ganancia por visita</t>
        </is>
      </c>
      <c r="C91" s="23">
        <f>IF($C$10=0,0,$C$68/$C$10)</f>
        <v/>
      </c>
      <c r="D91" s="5" t="inlineStr">
        <is>
          <t>Ganancia del período ÷ visitas. La métrica más valiosa del embudo: resume todo lo que pasa después de la página. Su par es el costo por visita.</t>
        </is>
      </c>
    </row>
    <row r="92">
      <c r="B92" t="inlineStr">
        <is>
          <t>Ganancia por checkout</t>
        </is>
      </c>
      <c r="C92" s="16">
        <f>IF($C$12=0,0,$C$68/$C$12)</f>
        <v/>
      </c>
      <c r="D92" s="5" t="inlineStr">
        <is>
          <t>Ganancia del período ÷ checkouts. Su par es el costo por checkout.</t>
        </is>
      </c>
    </row>
    <row r="93">
      <c r="B93" s="4" t="inlineStr">
        <is>
          <t>Ganancia por cliente</t>
        </is>
      </c>
      <c r="C93" s="23">
        <f>IF($C$14=0,0,$C$68/$C$14)</f>
        <v/>
      </c>
      <c r="D93" s="5" t="inlineStr">
        <is>
          <t>Ganancia del período ÷ compradores del principal. Su par es el CPA; la diferencia entre AOV neto y CPA es lo que queda por cliente antes de fijos.</t>
        </is>
      </c>
    </row>
    <row r="94">
      <c r="B94" s="13" t="inlineStr">
        <is>
          <t>Chequeos: tus números tienen que ser consistentes, no solo estar en rango</t>
        </is>
      </c>
      <c r="C94" s="14" t="n"/>
      <c r="D94" s="14" t="n"/>
    </row>
    <row r="95">
      <c r="B95" t="inlineStr">
        <is>
          <t>Los supuestos de tráfico son mayores a cero</t>
        </is>
      </c>
      <c r="C95" s="34">
        <f>IF(AND($C$7&gt;0,$C$11&gt;0,$C$13&gt;0),"OK","REVISAR")</f>
        <v/>
      </c>
      <c r="D95" s="5" t="inlineStr">
        <is>
          <t>Con un 0 en el tráfico o en la conversión de la página no hay unidades y el modelo no dice nada.</t>
        </is>
      </c>
    </row>
    <row r="96">
      <c r="B96" t="inlineStr">
        <is>
          <t>La curva de cobranza suma 100 %</t>
        </is>
      </c>
      <c r="C96" s="34">
        <f>IF(ABS($C$54+$C$55+$C$56-1)&lt;0.001,"OK","REVISAR")</f>
        <v/>
      </c>
      <c r="D96" s="5" t="inlineStr">
        <is>
          <t>Supuestos → cobranza mes 1 + mes 2 + mes 3 = 100 %.</t>
        </is>
      </c>
    </row>
    <row r="97">
      <c r="B97" t="inlineStr">
        <is>
          <t>Comisiones + reembolsos menores al 60 %</t>
        </is>
      </c>
      <c r="C97" s="34">
        <f>IF(($C$59+$C$60+$C$62)&lt;0.6,"OK","REVISAR")</f>
        <v/>
      </c>
      <c r="D97" s="5" t="inlineStr">
        <is>
          <t>Si suman más, revisá los porcentajes.</t>
        </is>
      </c>
    </row>
    <row r="98">
      <c r="B98" t="inlineStr">
        <is>
          <t>La inversión es mayor a cero</t>
        </is>
      </c>
      <c r="C98" s="34">
        <f>IF($C$9&gt;0,"OK","REVISAR")</f>
        <v/>
      </c>
      <c r="D98" s="5" t="inlineStr"/>
    </row>
    <row r="99">
      <c r="B99" t="inlineStr">
        <is>
          <t>La meta de ventas es alcanzable (hay conversión a venta)</t>
        </is>
      </c>
      <c r="C99" s="34">
        <f>IF($C$15&gt;0,"OK","REVISAR")</f>
        <v/>
      </c>
      <c r="D99" s="5" t="inlineStr">
        <is>
          <t>Con conversión a venta en 0, la inversión para la meta dice 'inalcanzable con estos supuestos'.</t>
        </is>
      </c>
    </row>
    <row r="100">
      <c r="B100" t="inlineStr">
        <is>
          <t>Las conversiones están entre 0 y 100 %</t>
        </is>
      </c>
      <c r="C100" s="34">
        <f>IF(AND($C$11&gt;=0,$C$11&lt;=1,$C$13&gt;=0,$C$13&lt;=1,$C$20&gt;=0,$C$20&lt;=1,$C$24&gt;=0,$C$24&lt;=1,$C$28&gt;=0,$C$28&lt;=1,$C$32&gt;=0,$C$32&lt;=1,$C$36&gt;=0,$C$36&lt;=1,$C$40&gt;=0,$C$40&lt;=1,$C$44&gt;=0,$C$44&lt;=1),"OK","REVISAR")</f>
        <v/>
      </c>
      <c r="D100" s="5" t="inlineStr">
        <is>
          <t>Un 25 % se escribe 25 % (o 0,25), no 25.</t>
        </is>
      </c>
    </row>
    <row r="101">
      <c r="B101" t="inlineStr">
        <is>
          <t>El margen de seguridad está entre 0 y 100 %</t>
        </is>
      </c>
      <c r="C101" s="34">
        <f>IF(AND($C$77&gt;=0,$C$77&lt;=1),"OK","REVISAR")</f>
        <v/>
      </c>
      <c r="D101" s="5" t="inlineStr"/>
    </row>
    <row r="102">
      <c r="B102" t="inlineStr">
        <is>
          <t>La cadena es decreciente (cada etapa tiene menos gente que la anterior)</t>
        </is>
      </c>
      <c r="C102" s="34">
        <f>IF(AND($C$12&lt;=$C$10,$C$14&lt;=$C$12),"OK","REVISAR")</f>
        <v/>
      </c>
      <c r="D102" s="5" t="inlineStr">
        <is>
          <t>Si falla, alguna conversión está por encima de 100 %.</t>
        </is>
      </c>
    </row>
    <row r="104" ht="32" customHeight="1">
      <c r="B104" s="5" t="inlineStr">
        <is>
          <t>Cómo se usa: cambiá cualquier celda amarilla (inversión, CPM, CTR, conversión de la landing, show, solicitudes, cierre, precios, comisiones, costos, cobranza, meta) y mirá cómo se mueven todas las celdas azules de abajo: cantidades, costos por paso, facturado, cash neto, ganancia, ROAS, el techo y el objetivo, el semáforo y la inversión para tu meta.</t>
        </is>
      </c>
    </row>
    <row r="105" ht="32" customHeight="1">
      <c r="B105" s="5" t="inlineStr">
        <is>
          <t>Una variable por vez. Si querés comparar dos ideas, duplicá la hoja (clic derecho en la pestaña → Duplicar) y cambiá en cada copia una sola cosa.</t>
        </is>
      </c>
    </row>
    <row r="106" ht="32" customHeight="1">
      <c r="B106" s="5" t="inlineStr">
        <is>
          <t>Para volver al ejemplo, el valor original de cada supuesto está en la hoja Inicio.</t>
        </is>
      </c>
    </row>
  </sheetData>
  <mergeCells count="3">
    <mergeCell ref="B104:D104"/>
    <mergeCell ref="B105:D105"/>
    <mergeCell ref="B106:D106"/>
  </mergeCells>
  <conditionalFormatting sqref="C95:C102">
    <cfRule type="cellIs" priority="1" operator="equal" dxfId="0">
      <formula>"OK"</formula>
    </cfRule>
    <cfRule type="cellIs" priority="2" operator="equal" dxfId="1">
      <formula>"REVISAR"</formula>
    </cfRule>
  </conditionalFormatting>
  <conditionalFormatting sqref="C4">
    <cfRule type="cellIs" priority="3" operator="equal" dxfId="0">
      <formula>"OK"</formula>
    </cfRule>
    <cfRule type="cellIs" priority="4" operator="equal" dxfId="1">
      <formula>"REVISAR"</formula>
    </cfRule>
  </conditionalFormatting>
  <conditionalFormatting sqref="C73">
    <cfRule type="expression" priority="5" dxfId="0">
      <formula>LEFT(C73,5)="VERDE"</formula>
    </cfRule>
    <cfRule type="expression" priority="6" dxfId="2">
      <formula>LEFT(C73,8)="AMARILLO"</formula>
    </cfRule>
    <cfRule type="expression" priority="7" dxfId="1">
      <formula>LEFT(C73,4)="ROJO"</formula>
    </cfRule>
  </conditionalFormatting>
  <conditionalFormatting sqref="C85">
    <cfRule type="expression" priority="8" dxfId="0">
      <formula>LEFT(C85,5)="VERDE"</formula>
    </cfRule>
    <cfRule type="expression" priority="9" dxfId="2">
      <formula>LEFT(C85,8)="AMARILLO"</formula>
    </cfRule>
    <cfRule type="expression" priority="10" dxfId="1">
      <formula>LEFT(C85,4)="ROJO"</formula>
    </cfRule>
  </conditionalFormatting>
  <dataValidations count="2">
    <dataValidation sqref="C11 C13 C20 C24 C28 C32 C36 C40 C44 C54 C55 C56 C59 C60 C62 C77" showDropDown="0" showInputMessage="0" showErrorMessage="1" allowBlank="0" errorTitle="Porcentaje fuera de rango" error="Escribí el porcentaje como fracción entre 0 y 1 (15 % = 0,15)." type="decimal" operator="between">
      <formula1>0</formula1>
      <formula2>1</formula2>
    </dataValidation>
    <dataValidation sqref="C7 C9 C18 C22 C26 C30 C34 C38 C42 C46 C65 C67 C72 C86" showDropDown="0" showInputMessage="0" showErrorMessage="1" allowBlank="0" errorTitle="Valor inválido" error="Tiene que ser un número mayor o igual a 0." type="decimal" operator="greaterThanOrEqual">
      <formula1>0</formula1>
    </dataValidation>
  </dataValidations>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3.xml><?xml version="1.0" encoding="utf-8"?>
<worksheet xmlns="http://schemas.openxmlformats.org/spreadsheetml/2006/main">
  <sheetPr>
    <tabColor rgb="001F3864"/>
    <outlinePr summaryBelow="1" summaryRight="1"/>
    <pageSetUpPr/>
  </sheetPr>
  <dimension ref="B2:B11"/>
  <sheetViews>
    <sheetView workbookViewId="0">
      <selection activeCell="A1" sqref="A1"/>
    </sheetView>
  </sheetViews>
  <sheetFormatPr baseColWidth="8" defaultRowHeight="15"/>
  <cols>
    <col width="3" customWidth="1" min="1" max="1"/>
    <col width="120" customWidth="1" min="2" max="2"/>
  </cols>
  <sheetData>
    <row r="2">
      <c r="B2" s="2" t="inlineStr">
        <is>
          <t>Autoría y licencia</t>
        </is>
      </c>
    </row>
    <row r="4">
      <c r="B4" s="5" t="inlineStr">
        <is>
          <t>Simulación · Embudo low-ticket con bumps y upsells</t>
        </is>
      </c>
    </row>
    <row r="5">
      <c r="B5" s="5" t="inlineStr">
        <is>
          <t>Modelo financiero de embudos · creado por Jesús Tassarolo · TooAudience · youtube.com/@JesusTassaroloSinFiltro</t>
        </is>
      </c>
    </row>
    <row r="6">
      <c r="B6" s="5" t="inlineStr">
        <is>
          <t>v1.2 · octubre 2026</t>
        </is>
      </c>
    </row>
    <row r="7">
      <c r="B7" s="5" t="inlineStr"/>
    </row>
    <row r="8">
      <c r="B8" s="5" t="inlineStr">
        <is>
          <t>Licencia Creative Commons BY-NC-ND 4.0: podés usar este archivo con tus números y compartirlo tal cual, citando al autor. No podés venderlo, modificar su estructura para redistribuirlo ni quitar la línea de autoría.</t>
        </is>
      </c>
    </row>
    <row r="9">
      <c r="B9" s="5" t="inlineStr"/>
    </row>
    <row r="10">
      <c r="B10" s="5" t="inlineStr">
        <is>
          <t>Este archivo, sus fórmulas, sus umbrales y su método son obra de Jesús Tassarolo (TooAudience). Si lo compartís, compartilo entero y con esta hoja.</t>
        </is>
      </c>
    </row>
    <row r="11">
      <c r="B11" s="5" t="inlineStr">
        <is>
          <t>Canal: youtube.com/@JesusTassaroloSinFiltro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Jesús Tassarolo</dc:creator>
  <dc:title xmlns:dc="http://purl.org/dc/elements/1.1/">Simulación · Embudo low-ticket con bumps y upsells</dc:title>
  <dc:description xmlns:dc="http://purl.org/dc/elements/1.1/">Modelo financiero de embudos · creado por Jesús Tassarolo · TooAudience · youtube.com/@JesusTassaroloSinFiltro · Licencia Creative Commons BY-NC-ND 4.0: podés usar este archivo con tus números y compartirlo tal cual, citando al autor. No podés venderlo, modificar su estructura para redistribuirlo ni quitar la línea de autoría. · Simulación · v1.2 · octubre 2026</dc:description>
  <dc:subject xmlns:dc="http://purl.org/dc/elements/1.1/">Modelo financiero de embudos · Jesús Tassarolo · TooAudience</dc:subject>
  <dcterms:created xmlns:dcterms="http://purl.org/dc/terms/" xmlns:xsi="http://www.w3.org/2001/XMLSchema-instance" xsi:type="dcterms:W3CDTF">2026-10-02T17:02:42Z</dcterms:created>
  <dcterms:modified xmlns:dcterms="http://purl.org/dc/terms/" xmlns:xsi="http://www.w3.org/2001/XMLSchema-instance" xsi:type="dcterms:W3CDTF">2026-10-02T17:02:42Z</dcterms:modified>
  <cp:lastModifiedBy>Jesús Tassarolo</cp:lastModifiedBy>
  <cp:category>TooAudience · Mastermind</cp:category>
  <cp:keywords>Jesús Tassarolo, TooAudience, modelo financiero, embudos, mastermind</cp:keywords>
</cp:coreProperties>
</file>

<file path=docProps/custom.xml><?xml version="1.0" encoding="utf-8"?>
<Properties xmlns="http://schemas.openxmlformats.org/officeDocument/2006/custom-properties">
  <property name="Autor" fmtid="{D5CDD505-2E9C-101B-9397-08002B2CF9AE}" pid="2">
    <vt:lpwstr xmlns:vt="http://schemas.openxmlformats.org/officeDocument/2006/docPropsVTypes">Jesús Tassarolo</vt:lpwstr>
  </property>
  <property name="Marca" fmtid="{D5CDD505-2E9C-101B-9397-08002B2CF9AE}" pid="3">
    <vt:lpwstr xmlns:vt="http://schemas.openxmlformats.org/officeDocument/2006/docPropsVTypes">Modelo financiero de embudos · creado por Jesús Tassarolo · TooAudience · youtube.com/@JesusTassaroloSinFiltro</vt:lpwstr>
  </property>
  <property name="Licencia" fmtid="{D5CDD505-2E9C-101B-9397-08002B2CF9AE}" pid="4">
    <vt:lpwstr xmlns:vt="http://schemas.openxmlformats.org/officeDocument/2006/docPropsVTypes">CC BY-NC-ND 4.0</vt:lpwstr>
  </property>
  <property name="YouTube" fmtid="{D5CDD505-2E9C-101B-9397-08002B2CF9AE}" pid="5">
    <vt:lpwstr xmlns:vt="http://schemas.openxmlformats.org/officeDocument/2006/docPropsVTypes">youtube.com/@JesusTassaroloSinFiltro</vt:lpwstr>
  </property>
  <property name="Version" fmtid="{D5CDD505-2E9C-101B-9397-08002B2CF9AE}" pid="6">
    <vt:lpwstr xmlns:vt="http://schemas.openxmlformats.org/officeDocument/2006/docPropsVTypes">v1.2 · octubre 2026</vt:lpwstr>
  </property>
</Properties>
</file>