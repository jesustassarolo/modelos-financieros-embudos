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Simulación" sheetId="2" state="visible" r:id="rId2"/>
    <sheet xmlns:r="http://schemas.openxmlformats.org/officeDocument/2006/relationships" name="Licencia" sheetId="3" state="visible" r:id="rId3"/>
  </sheets>
  <definedNames>
    <definedName name="Autor_Jesus_Tassarolo">"Modelo financiero de embudos · creado por Jesús Tassarolo · TooAudience · youtube.com/@JesusTassaroloSinFiltro"</definedName>
  </definedNames>
  <calcPr calcId="124519" fullCalcOnLoad="1"/>
</workbook>
</file>

<file path=xl/styles.xml><?xml version="1.0" encoding="utf-8"?>
<styleSheet xmlns="http://schemas.openxmlformats.org/spreadsheetml/2006/main">
  <numFmts count="5">
    <numFmt numFmtId="164" formatCode="&quot;$&quot;#,##0.00"/>
    <numFmt numFmtId="165" formatCode="&quot;$&quot;#,##0"/>
    <numFmt numFmtId="166" formatCode="0.0%"/>
    <numFmt numFmtId="167" formatCode="0.0"/>
    <numFmt numFmtId="168" formatCode="0.00&quot;x&quot;"/>
  </numFmts>
  <fonts count="6">
    <font>
      <name val="Calibri"/>
      <family val="2"/>
      <color theme="1"/>
      <sz val="11"/>
      <scheme val="minor"/>
    </font>
    <font>
      <b val="1"/>
      <sz val="14"/>
    </font>
    <font>
      <i val="1"/>
      <color rgb="00595959"/>
    </font>
    <font>
      <b val="1"/>
    </font>
    <font>
      <b val="1"/>
      <color rgb="00FFFFFF"/>
    </font>
    <font>
      <i val="1"/>
      <color rgb="008C8C8C"/>
      <sz val="8"/>
    </font>
  </fonts>
  <fills count="6">
    <fill>
      <patternFill/>
    </fill>
    <fill>
      <patternFill patternType="gray125"/>
    </fill>
    <fill>
      <patternFill patternType="solid">
        <fgColor rgb="001F3864"/>
      </patternFill>
    </fill>
    <fill>
      <patternFill patternType="solid">
        <fgColor rgb="00D9E1F2"/>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5"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164" fontId="0" fillId="0" borderId="0" pivotButton="0" quotePrefix="0" xfId="0"/>
    <xf numFmtId="166" fontId="0" fillId="0" borderId="0" pivotButton="0" quotePrefix="0" xfId="0"/>
    <xf numFmtId="168" fontId="0" fillId="0" borderId="0" pivotButton="0" quotePrefix="0" xfId="0"/>
    <xf numFmtId="3" fontId="0" fillId="0" borderId="0" pivotButton="0" quotePrefix="0" xfId="0"/>
    <xf numFmtId="0" fontId="3" fillId="5" borderId="1" pivotButton="0" quotePrefix="0" xfId="0"/>
    <xf numFmtId="0" fontId="4" fillId="2" borderId="1" applyAlignment="1" pivotButton="0" quotePrefix="0" xfId="0">
      <alignment horizontal="center" vertical="center"/>
    </xf>
    <xf numFmtId="0" fontId="3" fillId="3" borderId="0" pivotButton="0" quotePrefix="0" xfId="0"/>
    <xf numFmtId="0" fontId="0" fillId="3" borderId="0" pivotButton="0" quotePrefix="0" xfId="0"/>
    <xf numFmtId="164" fontId="0" fillId="4" borderId="1" pivotButton="0" quotePrefix="0" xfId="0"/>
    <xf numFmtId="165" fontId="0" fillId="4" borderId="1" pivotButton="0" quotePrefix="0" xfId="0"/>
    <xf numFmtId="3" fontId="0" fillId="5" borderId="1" pivotButton="0" quotePrefix="0" xfId="0"/>
    <xf numFmtId="166" fontId="0" fillId="4" borderId="1" pivotButton="0" quotePrefix="0" xfId="0"/>
    <xf numFmtId="164" fontId="3" fillId="5" borderId="1" pivotButton="0" quotePrefix="0" xfId="0"/>
    <xf numFmtId="3" fontId="3" fillId="5" borderId="1" pivotButton="0" quotePrefix="0" xfId="0"/>
    <xf numFmtId="164" fontId="0" fillId="5" borderId="1" pivotButton="0" quotePrefix="0" xfId="0"/>
    <xf numFmtId="167" fontId="0" fillId="5" borderId="1" pivotButton="0" quotePrefix="0" xfId="0"/>
    <xf numFmtId="167" fontId="3" fillId="5" borderId="1" pivotButton="0" quotePrefix="0" xfId="0"/>
    <xf numFmtId="10" fontId="0" fillId="5" borderId="1" pivotButton="0" quotePrefix="0" xfId="0"/>
    <xf numFmtId="165" fontId="0" fillId="5" borderId="1" pivotButton="0" quotePrefix="0" xfId="0"/>
    <xf numFmtId="165" fontId="3" fillId="5" borderId="1" pivotButton="0" quotePrefix="0" xfId="0"/>
    <xf numFmtId="168" fontId="0" fillId="5" borderId="1" pivotButton="0" quotePrefix="0" xfId="0"/>
    <xf numFmtId="168" fontId="3" fillId="5" borderId="1" pivotButton="0" quotePrefix="0" xfId="0"/>
    <xf numFmtId="166" fontId="0" fillId="5" borderId="1" pivotButton="0" quotePrefix="0" xfId="0"/>
    <xf numFmtId="168" fontId="0" fillId="4" borderId="1" pivotButton="0" quotePrefix="0" xfId="0"/>
    <xf numFmtId="49" fontId="0" fillId="5" borderId="1" pivotButton="0" quotePrefix="0" xfId="0"/>
    <xf numFmtId="49" fontId="3" fillId="5" borderId="1" pivotButton="0" quotePrefix="0" xfId="0"/>
    <xf numFmtId="3" fontId="0" fillId="4" borderId="1"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2" customWidth="1" min="1" max="1"/>
    <col width="70" customWidth="1" min="2" max="2"/>
    <col width="16" customWidth="1" min="3" max="3"/>
  </cols>
  <sheetData>
    <row r="1">
      <c r="B1" s="1" t="inlineStr">
        <is>
          <t>© Jesús Tassarolo · TooAudience · youtube.com/@JesusTassaroloSinFiltro · uso personal; no redistribuir modificado</t>
        </is>
      </c>
    </row>
    <row r="2">
      <c r="B2" s="2" t="inlineStr">
        <is>
          <t>Simulación · Embudo de webinar gratuito</t>
        </is>
      </c>
    </row>
    <row r="3">
      <c r="B3" s="3" t="inlineStr">
        <is>
          <t>Un solo Excel para simular: la cadena completa del embudo con todos los números editables. No se conecta con el modelo financiero ni con las métricas diarias.</t>
        </is>
      </c>
    </row>
    <row r="5">
      <c r="B5" s="4" t="inlineStr">
        <is>
          <t>Qué es</t>
        </is>
      </c>
    </row>
    <row r="6" ht="60" customHeight="1">
      <c r="B6" s="5" t="inlineStr">
        <is>
          <t>La hoja Modelo del modelo financiero de este embudo, idéntica, pero con cada supuesto como número editable en su lugar de la cadena (inversión, CPM, CTR, visitas, conversión, asistencia, solicitudes, cierre, precios, comisiones, costos, cobranza, meta). Cambiás uno y se recalcula todo lo que depende.</t>
        </is>
      </c>
    </row>
    <row r="8">
      <c r="B8" s="4" t="inlineStr">
        <is>
          <t>Cómo se usa</t>
        </is>
      </c>
    </row>
    <row r="9" ht="60" customHeight="1">
      <c r="B9" s="5" t="inlineStr">
        <is>
          <t>Abrí la hoja Simulación. Las celdas amarillas se editan; las azules se calculan. Movés un número y mirás cómo cambian cantidades, costos por paso, facturado, cash neto, ganancia, ROAS, techo, objetivo y semáforo. La fila 'Estado de tus números' avisa si escribiste algo imposible.</t>
        </is>
      </c>
    </row>
    <row r="11">
      <c r="B11" s="4" t="inlineStr">
        <is>
          <t>Para qué</t>
        </is>
      </c>
    </row>
    <row r="12" ht="45" customHeight="1">
      <c r="B12" s="5" t="inlineStr">
        <is>
          <t>Para contestar antes de invertir: ¿qué pasa si el CPM sube un 30 %? ¿Y si el show baja al 10 %? ¿Y si subo el precio y el cierre cae? ¿Hasta qué CPL aguanta este embudo? Cuando una prueba te convence, pasá ese número a Supuestos del modelo financiero.</t>
        </is>
      </c>
    </row>
    <row r="14">
      <c r="B14" s="4" t="inlineStr">
        <is>
          <t>Regla</t>
        </is>
      </c>
    </row>
    <row r="15" ht="30" customHeight="1">
      <c r="B15" s="5" t="inlineStr">
        <is>
          <t>Una variable por vez. Para comparar ideas, duplicá la hoja y cambiá una sola cosa en cada copia.</t>
        </is>
      </c>
    </row>
    <row r="17">
      <c r="B17" s="4" t="inlineStr">
        <is>
          <t>Valores del ejemplo (por si querés volver)</t>
        </is>
      </c>
    </row>
    <row r="18">
      <c r="B18" t="inlineStr">
        <is>
          <t>Inversión en publicidad por lanzamiento</t>
        </is>
      </c>
      <c r="C18" s="6" t="n">
        <v>6000</v>
      </c>
    </row>
    <row r="19">
      <c r="B19" t="inlineStr">
        <is>
          <t>CPM (costo por mil impresiones)</t>
        </is>
      </c>
      <c r="C19" s="7" t="n">
        <v>4.5</v>
      </c>
    </row>
    <row r="20">
      <c r="B20" t="inlineStr">
        <is>
          <t>CTR al enlace</t>
        </is>
      </c>
      <c r="C20" s="8" t="n">
        <v>0.022</v>
      </c>
    </row>
    <row r="21">
      <c r="B21" t="inlineStr">
        <is>
          <t>% de clics que cargan la landing</t>
        </is>
      </c>
      <c r="C21" s="8" t="n">
        <v>0.9</v>
      </c>
    </row>
    <row r="22">
      <c r="B22" t="inlineStr">
        <is>
          <t>% de visitas que se registran</t>
        </is>
      </c>
      <c r="C22" s="8" t="n">
        <v>0.23</v>
      </c>
    </row>
    <row r="23">
      <c r="B23" t="inlineStr">
        <is>
          <t>% de registros que califican (si el formulario tiene una pregunta que califica)</t>
        </is>
      </c>
      <c r="C23" s="8" t="n">
        <v>0.6</v>
      </c>
    </row>
    <row r="24">
      <c r="B24" t="inlineStr">
        <is>
          <t>% de registrados que entran al grupo de WhatsApp</t>
        </is>
      </c>
      <c r="C24" s="8" t="n">
        <v>0.67</v>
      </c>
    </row>
    <row r="25">
      <c r="B25" t="inlineStr">
        <is>
          <t>% de registrados que asisten en vivo</t>
        </is>
      </c>
      <c r="C25" s="8" t="n">
        <v>0.15</v>
      </c>
    </row>
    <row r="26">
      <c r="B26" t="inlineStr">
        <is>
          <t>% de registrados que ven el replay</t>
        </is>
      </c>
      <c r="C26" s="8" t="n">
        <v>0.55</v>
      </c>
    </row>
    <row r="27">
      <c r="B27" t="inlineStr">
        <is>
          <t>Oferta del webinar: precio</t>
        </is>
      </c>
      <c r="C27" s="7" t="n">
        <v>297</v>
      </c>
    </row>
    <row r="28">
      <c r="B28" t="inlineStr">
        <is>
          <t>% de asistentes en vivo que solicitan (formulario de compra, de aplicación o hablar con un vendedor)</t>
        </is>
      </c>
      <c r="C28" s="8" t="n">
        <v>0.1</v>
      </c>
    </row>
    <row r="29">
      <c r="B29" t="inlineStr">
        <is>
          <t>% de los que ven el replay que solicitan</t>
        </is>
      </c>
      <c r="C29" s="8" t="n">
        <v>0.025</v>
      </c>
    </row>
    <row r="30">
      <c r="B30" t="inlineStr">
        <is>
          <t>% de solicitudes que terminan en compra</t>
        </is>
      </c>
      <c r="C30" s="8" t="n">
        <v>0.4</v>
      </c>
    </row>
    <row r="31">
      <c r="B31" t="inlineStr">
        <is>
          <t>Bump en el checkout: precio</t>
        </is>
      </c>
      <c r="C31" s="7" t="n">
        <v>47</v>
      </c>
    </row>
    <row r="32">
      <c r="B32" t="inlineStr">
        <is>
          <t>Bump: % de compradores que lo toman</t>
        </is>
      </c>
      <c r="C32" s="8" t="n">
        <v>0.2</v>
      </c>
    </row>
    <row r="33">
      <c r="B33" t="inlineStr">
        <is>
          <t>Programa superior: precio</t>
        </is>
      </c>
      <c r="C33" s="7" t="n">
        <v>997</v>
      </c>
    </row>
    <row r="34">
      <c r="B34" t="inlineStr">
        <is>
          <t>Programa superior: % de compradores que lo toman</t>
        </is>
      </c>
      <c r="C34" s="8" t="n">
        <v>0.05</v>
      </c>
    </row>
    <row r="35">
      <c r="B35" t="inlineStr">
        <is>
          <t>Comisión de la pasarela o plataforma de pago</t>
        </is>
      </c>
      <c r="C35" s="8" t="n">
        <v>0.1</v>
      </c>
    </row>
    <row r="36">
      <c r="B36" t="inlineStr">
        <is>
          <t>Comisión del equipo de ventas</t>
        </is>
      </c>
      <c r="C36" s="8" t="n">
        <v>0</v>
      </c>
    </row>
    <row r="37">
      <c r="B37" t="inlineStr">
        <is>
          <t>Reembolsos y contracargos</t>
        </is>
      </c>
      <c r="C37" s="8" t="n">
        <v>0.05</v>
      </c>
    </row>
    <row r="38">
      <c r="B38" t="inlineStr">
        <is>
          <t>Costos por registro (herramientas, WhatsApp, IA)</t>
        </is>
      </c>
      <c r="C38" s="7" t="n">
        <v>0.1</v>
      </c>
    </row>
    <row r="39">
      <c r="B39" t="inlineStr">
        <is>
          <t>Costos fijos por lanzamiento</t>
        </is>
      </c>
      <c r="C39" s="6" t="n">
        <v>1200</v>
      </c>
    </row>
    <row r="40">
      <c r="B40" t="inlineStr">
        <is>
          <t>% del facturado que entra en el mes 1</t>
        </is>
      </c>
      <c r="C40" s="8" t="n">
        <v>0.7</v>
      </c>
    </row>
    <row r="41">
      <c r="B41" t="inlineStr">
        <is>
          <t>% que entra en el mes 2</t>
        </is>
      </c>
      <c r="C41" s="8" t="n">
        <v>0.15</v>
      </c>
    </row>
    <row r="42">
      <c r="B42" t="inlineStr">
        <is>
          <t>% que entra en el mes 3</t>
        </is>
      </c>
      <c r="C42" s="8" t="n">
        <v>0.15</v>
      </c>
    </row>
    <row r="43">
      <c r="B43" t="inlineStr">
        <is>
          <t>ROAS objetivo sobre cash neto</t>
        </is>
      </c>
      <c r="C43" s="9" t="n">
        <v>2</v>
      </c>
    </row>
    <row r="44">
      <c r="B44" t="inlineStr">
        <is>
          <t>Margen de seguridad</t>
        </is>
      </c>
      <c r="C44" s="8" t="n">
        <v>0.3</v>
      </c>
    </row>
    <row r="45">
      <c r="B45" t="inlineStr">
        <is>
          <t>Meta de ventas del producto principal</t>
        </is>
      </c>
      <c r="C45" s="10" t="n">
        <v>60</v>
      </c>
    </row>
    <row r="47">
      <c r="B47" s="3" t="inlineStr">
        <is>
          <t>Modelo financiero de embudos · creado por Jesús Tassarolo · TooAudience · youtube.com/@JesusTassaroloSinFiltro · v1.2 · octubre 2026</t>
        </is>
      </c>
    </row>
  </sheetData>
  <pageMargins left="0.75" right="0.75" top="1" bottom="1" header="0.5" footer="0.5"/>
  <headerFooter>
    <oddHeader>&amp;CJesús Tassarolo · TooAudience&amp;R&amp;D</oddHeader>
    <oddFooter>&amp;LModelo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youtube.com/@JesusTassaroloSinFiltro&amp;RPágina &amp;P de &amp;N</evenFooter>
    <firstHeader/>
    <firstFooter/>
  </headerFooter>
</worksheet>
</file>

<file path=xl/worksheets/sheet2.xml><?xml version="1.0" encoding="utf-8"?>
<worksheet xmlns="http://schemas.openxmlformats.org/spreadsheetml/2006/main">
  <sheetPr>
    <outlinePr summaryBelow="1" summaryRight="1"/>
    <pageSetUpPr/>
  </sheetPr>
  <dimension ref="A1:D10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60" customWidth="1" min="2" max="2"/>
    <col width="18" customWidth="1" min="3" max="3"/>
    <col width="72" customWidth="1" min="4" max="4"/>
  </cols>
  <sheetData>
    <row r="1">
      <c r="B1" s="1" t="inlineStr">
        <is>
          <t>© Jesús Tassarolo · TooAudience · youtube.com/@JesusTassaroloSinFiltro · uso personal; no redistribuir modificado</t>
        </is>
      </c>
    </row>
    <row r="2">
      <c r="B2" s="2" t="inlineStr">
        <is>
          <t>Simulación: la cadena completa del embudo, con todos los números para jugar</t>
        </is>
      </c>
    </row>
    <row r="3">
      <c r="B3" s="3" t="inlineStr">
        <is>
          <t>Amarillo = supuesto: cambialo y todo lo que depende se recalcula al instante. Azul = resultado. Mismo orden y mismas fórmulas que la hoja Modelo del modelo financiero. Este archivo no se conecta con ningún otro: es tu mesa de pruebas.</t>
        </is>
      </c>
    </row>
    <row r="4">
      <c r="B4" s="4" t="inlineStr">
        <is>
          <t>Estado de tus números</t>
        </is>
      </c>
      <c r="C4" s="11">
        <f>IF(AND(ISNUMBER(C7),C7&gt;=0,ISNUMBER(C8),C8&gt;=0,ISNUMBER(C10),C10&gt;=0,C10&lt;=1,ISNUMBER(C12),C12&gt;=0,C12&lt;=1,ISNUMBER(C14),C14&gt;=0,C14&lt;=1,ISNUMBER(C17),C17&gt;=0,C17&lt;=1,ISNUMBER(C21),C21&gt;=0,C21&lt;=1,ISNUMBER(C24),C24&gt;=0,C24&lt;=1,ISNUMBER(C26),C26&gt;=0,C26&lt;=1,ISNUMBER(C30),C30&gt;=0,C30&lt;=1,ISNUMBER(C32),C32&gt;=0,C32&lt;=1,ISNUMBER(C37),C37&gt;=0,C37&lt;=1,ISNUMBER(C41),C41&gt;=0,ISNUMBER(C43),C43&gt;=0,C43&lt;=1,ISNUMBER(C45),C45&gt;=0,ISNUMBER(C47),C47&gt;=0,C47&lt;=1,ISNUMBER(C49),C49&gt;=0,ISNUMBER(C56),C56&gt;=0,C56&lt;=1,ISNUMBER(C57),C57&gt;=0,C57&lt;=1,ISNUMBER(C58),C58&gt;=0,C58&lt;=1,ISNUMBER(C61),C61&gt;=0,C61&lt;=1,ISNUMBER(C62),C62&gt;=0,C62&lt;=1,ISNUMBER(C64),C64&gt;=0,C64&lt;=1,ISNUMBER(C67),C67&gt;=0,ISNUMBER(C69),C69&gt;=0,ISNUMBER(C74),C74&gt;=0,ISNUMBER(C79),C79&gt;=0,C79&lt;=1,ISNUMBER(C89),C89&gt;=0),"OK","REVISAR")</f>
        <v/>
      </c>
      <c r="D4" s="5" t="inlineStr">
        <is>
          <t>OK = todos los supuestos tienen sentido. REVISAR = hay un porcentaje fuera de 0 a 1, un negativo o un texto donde va un número.</t>
        </is>
      </c>
    </row>
    <row r="5">
      <c r="B5" s="12" t="inlineStr">
        <is>
          <t>Etapa / resultado</t>
        </is>
      </c>
      <c r="C5" s="12" t="inlineStr">
        <is>
          <t>Valor</t>
        </is>
      </c>
      <c r="D5" s="12" t="inlineStr">
        <is>
          <t>Cómo se calcula</t>
        </is>
      </c>
    </row>
    <row r="6">
      <c r="B6" s="13" t="inlineStr">
        <is>
          <t>Tráfico y registros</t>
        </is>
      </c>
      <c r="C6" s="14" t="n"/>
      <c r="D6" s="14" t="n"/>
    </row>
    <row r="7">
      <c r="B7" t="inlineStr">
        <is>
          <t>CPM (costo por mil impresiones)</t>
        </is>
      </c>
      <c r="C7" s="15" t="n">
        <v>4.5</v>
      </c>
      <c r="D7" s="5" t="inlineStr">
        <is>
          <t>Supuesto (USD). Lo que cobra Meta por mil impresiones. Hispano: 3 a 7.</t>
        </is>
      </c>
    </row>
    <row r="8">
      <c r="B8" t="inlineStr">
        <is>
          <t>Inversión en publicidad por lanzamiento</t>
        </is>
      </c>
      <c r="C8" s="16" t="n">
        <v>6000</v>
      </c>
      <c r="D8" s="5" t="inlineStr">
        <is>
          <t>Supuesto (USD / lanzamiento). Un lanzamiento = un ciclo de captación + webinar + venta (en el ejemplo, una semana).</t>
        </is>
      </c>
    </row>
    <row r="9">
      <c r="B9" t="inlineStr">
        <is>
          <t>Impresiones</t>
        </is>
      </c>
      <c r="C9" s="17">
        <f>IF($C$7=0,0,$C$8/$C$7*1000)</f>
        <v/>
      </c>
      <c r="D9" s="5" t="inlineStr">
        <is>
          <t>Inversión ÷ CPM × 1.000.</t>
        </is>
      </c>
    </row>
    <row r="10">
      <c r="B10" t="inlineStr">
        <is>
          <t>CTR al enlace</t>
        </is>
      </c>
      <c r="C10" s="18" t="n">
        <v>0.022</v>
      </c>
      <c r="D10" s="5" t="inlineStr">
        <is>
          <t>Supuesto (%). Clics en el enlace ÷ impresiones.</t>
        </is>
      </c>
    </row>
    <row r="11">
      <c r="B11" t="inlineStr">
        <is>
          <t>Clics al enlace</t>
        </is>
      </c>
      <c r="C11" s="17">
        <f>$C$9*$C$10</f>
        <v/>
      </c>
      <c r="D11" s="5" t="inlineStr">
        <is>
          <t>Impresiones × CTR.</t>
        </is>
      </c>
    </row>
    <row r="12">
      <c r="B12" t="inlineStr">
        <is>
          <t>% de clics que cargan la landing</t>
        </is>
      </c>
      <c r="C12" s="18" t="n">
        <v>0.9</v>
      </c>
      <c r="D12" s="5" t="inlineStr">
        <is>
          <t>Supuesto (%). Siempre menor a 100 %: una parte cierra antes de que cargue.</t>
        </is>
      </c>
    </row>
    <row r="13">
      <c r="B13" t="inlineStr">
        <is>
          <t>Visitas a la landing</t>
        </is>
      </c>
      <c r="C13" s="17">
        <f>$C$11*$C$12</f>
        <v/>
      </c>
      <c r="D13" s="5" t="inlineStr">
        <is>
          <t>Clics × % que carga.</t>
        </is>
      </c>
    </row>
    <row r="14">
      <c r="B14" t="inlineStr">
        <is>
          <t>% de visitas que se registran</t>
        </is>
      </c>
      <c r="C14" s="18" t="n">
        <v>0.23</v>
      </c>
      <c r="D14" s="5" t="inlineStr">
        <is>
          <t>Supuesto (%). La conversión del landing. Con nombre + WhatsApp: 20 a 30 %.</t>
        </is>
      </c>
    </row>
    <row r="15">
      <c r="B15" s="4" t="inlineStr">
        <is>
          <t>Costo por registro (CPL)</t>
        </is>
      </c>
      <c r="C15" s="19">
        <f>IF($C$10*$C$12*$C$14=0,0,$C$7/1000/($C$10*$C$12*$C$14))</f>
        <v/>
      </c>
      <c r="D15" s="5" t="inlineStr">
        <is>
          <t>CPM ÷ 1.000 ÷ (CTR × clic→visita × conversión del landing).</t>
        </is>
      </c>
    </row>
    <row r="16">
      <c r="B16" s="4" t="inlineStr">
        <is>
          <t>Registros (leads)</t>
        </is>
      </c>
      <c r="C16" s="20">
        <f>IF($C$15=0,0,$C$8/$C$15)</f>
        <v/>
      </c>
      <c r="D16" s="5" t="inlineStr">
        <is>
          <t>Inversión ÷ CPL.</t>
        </is>
      </c>
    </row>
    <row r="17">
      <c r="B17" t="inlineStr">
        <is>
          <t>% de registros que califican (si el formulario tiene una pregunta que califica)</t>
        </is>
      </c>
      <c r="C17" s="18" t="n">
        <v>0.6</v>
      </c>
      <c r="D17" s="5" t="inlineStr">
        <is>
          <t>Supuesto (%). Si no calificás en el formulario, poné 100 %. Sirve para ver el CPL calificado además del CPL real.</t>
        </is>
      </c>
    </row>
    <row r="18">
      <c r="B18" t="inlineStr">
        <is>
          <t>Registros calificados</t>
        </is>
      </c>
      <c r="C18" s="17">
        <f>$C$16*$C$17</f>
        <v/>
      </c>
      <c r="D18" s="5" t="inlineStr">
        <is>
          <t>Registros × % que califica.</t>
        </is>
      </c>
    </row>
    <row r="19">
      <c r="B19" s="4" t="inlineStr">
        <is>
          <t>Costo por registro calificado (CPL calificado)</t>
        </is>
      </c>
      <c r="C19" s="19">
        <f>IF($C$18=0,0,$C$8/$C$18)</f>
        <v/>
      </c>
      <c r="D19" s="5" t="inlineStr">
        <is>
          <t>Inversión ÷ registros calificados.</t>
        </is>
      </c>
    </row>
    <row r="20">
      <c r="B20" s="13" t="inlineStr">
        <is>
          <t>Grupo y asistencia</t>
        </is>
      </c>
      <c r="C20" s="14" t="n"/>
      <c r="D20" s="14" t="n"/>
    </row>
    <row r="21">
      <c r="B21" t="inlineStr">
        <is>
          <t>% de registrados que entran al grupo de WhatsApp</t>
        </is>
      </c>
      <c r="C21" s="18" t="n">
        <v>0.67</v>
      </c>
      <c r="D21" s="5" t="inlineStr">
        <is>
          <t>Supuesto (%). Si no usás grupo, poné 0 %: no afecta las ventas en este modelo, solo el techo por persona en el grupo.</t>
        </is>
      </c>
    </row>
    <row r="22">
      <c r="B22" t="inlineStr">
        <is>
          <t>Personas en el grupo de WhatsApp</t>
        </is>
      </c>
      <c r="C22" s="17">
        <f>$C$16*$C$21</f>
        <v/>
      </c>
      <c r="D22" s="5" t="inlineStr">
        <is>
          <t>Registros × % que entra.</t>
        </is>
      </c>
    </row>
    <row r="23">
      <c r="B23" s="4" t="inlineStr">
        <is>
          <t>Costo por persona en el grupo</t>
        </is>
      </c>
      <c r="C23" s="19">
        <f>IF($C$22=0,0,$C$8/$C$22)</f>
        <v/>
      </c>
      <c r="D23" s="5" t="inlineStr">
        <is>
          <t>Inversión ÷ personas en el grupo.</t>
        </is>
      </c>
    </row>
    <row r="24">
      <c r="B24" t="inlineStr">
        <is>
          <t>% de registrados que asisten en vivo</t>
        </is>
      </c>
      <c r="C24" s="18" t="n">
        <v>0.15</v>
      </c>
      <c r="D24" s="5" t="inlineStr">
        <is>
          <t>Supuesto (%). Tráfico frío hispano: 10 a 20 %. En B2B USA promedia 33 %.</t>
        </is>
      </c>
    </row>
    <row r="25">
      <c r="B25" s="4" t="inlineStr">
        <is>
          <t>Asistentes en vivo</t>
        </is>
      </c>
      <c r="C25" s="20">
        <f>$C$16*$C$24</f>
        <v/>
      </c>
      <c r="D25" s="5" t="inlineStr">
        <is>
          <t>Registros × show rate en vivo.</t>
        </is>
      </c>
    </row>
    <row r="26">
      <c r="B26" t="inlineStr">
        <is>
          <t>% de registrados que ven el replay</t>
        </is>
      </c>
      <c r="C26" s="18" t="n">
        <v>0.55</v>
      </c>
      <c r="D26" s="5" t="inlineStr">
        <is>
          <t>Supuesto (%). Sin contar a los que fueron en vivo.</t>
        </is>
      </c>
    </row>
    <row r="27">
      <c r="B27" t="inlineStr">
        <is>
          <t>Vieron el replay</t>
        </is>
      </c>
      <c r="C27" s="17">
        <f>$C$16*$C$26</f>
        <v/>
      </c>
      <c r="D27" s="5" t="inlineStr">
        <is>
          <t>Registros × % que ve el replay.</t>
        </is>
      </c>
    </row>
    <row r="28">
      <c r="B28" t="inlineStr">
        <is>
          <t>Costo por asistente en vivo</t>
        </is>
      </c>
      <c r="C28" s="21">
        <f>IF($C$25=0,0,$C$8/$C$25)</f>
        <v/>
      </c>
      <c r="D28" s="5" t="inlineStr">
        <is>
          <t>Inversión ÷ asistentes en vivo.</t>
        </is>
      </c>
    </row>
    <row r="29">
      <c r="B29" s="13" t="inlineStr">
        <is>
          <t>Solicitudes (formulario de compra, aplicación o vendedor), ventas y facturación</t>
        </is>
      </c>
      <c r="C29" s="14" t="n"/>
      <c r="D29" s="14" t="n"/>
    </row>
    <row r="30">
      <c r="B30" t="inlineStr">
        <is>
          <t>% de asistentes en vivo que solicitan (formulario de compra, de aplicación o hablar con un vendedor)</t>
        </is>
      </c>
      <c r="C30" s="18" t="n">
        <v>0.1</v>
      </c>
      <c r="D30" s="5" t="inlineStr">
        <is>
          <t>Supuesto (%). La solicitud es lo que pasa en el webinar cuando se presenta la oferta. Incluye la ventana de 72 h.</t>
        </is>
      </c>
    </row>
    <row r="31">
      <c r="B31" t="inlineStr">
        <is>
          <t>Solicitudes: en vivo</t>
        </is>
      </c>
      <c r="C31" s="22">
        <f>$C$25*$C$30</f>
        <v/>
      </c>
      <c r="D31" s="5" t="inlineStr">
        <is>
          <t>Asistentes en vivo × % que solicita.</t>
        </is>
      </c>
    </row>
    <row r="32">
      <c r="B32" t="inlineStr">
        <is>
          <t>% de los que ven el replay que solicitan</t>
        </is>
      </c>
      <c r="C32" s="18" t="n">
        <v>0.025</v>
      </c>
      <c r="D32" s="5" t="inlineStr">
        <is>
          <t>Supuesto (%). Mucho menor que en vivo.</t>
        </is>
      </c>
    </row>
    <row r="33">
      <c r="B33" t="inlineStr">
        <is>
          <t>Solicitudes: replay</t>
        </is>
      </c>
      <c r="C33" s="22">
        <f>$C$27*$C$32</f>
        <v/>
      </c>
      <c r="D33" s="5" t="inlineStr">
        <is>
          <t>Replay × % que solicita.</t>
        </is>
      </c>
    </row>
    <row r="34">
      <c r="B34" s="4" t="inlineStr">
        <is>
          <t>Solicitudes (total)</t>
        </is>
      </c>
      <c r="C34" s="23">
        <f>$C$31+$C$33</f>
        <v/>
      </c>
      <c r="D34" s="5" t="inlineStr">
        <is>
          <t>En vivo + replay.</t>
        </is>
      </c>
    </row>
    <row r="35">
      <c r="B35" t="inlineStr">
        <is>
          <t>% de registros que solicitan</t>
        </is>
      </c>
      <c r="C35" s="24">
        <f>IF($C$16=0,0,$C$34/$C$16)</f>
        <v/>
      </c>
      <c r="D35" s="5" t="inlineStr">
        <is>
          <t>Solicitudes ÷ registros.</t>
        </is>
      </c>
    </row>
    <row r="36">
      <c r="B36" s="4" t="inlineStr">
        <is>
          <t>Costo por solicitud</t>
        </is>
      </c>
      <c r="C36" s="19">
        <f>IF($C$34=0,0,$C$8/$C$34)</f>
        <v/>
      </c>
      <c r="D36" s="5" t="inlineStr">
        <is>
          <t>Inversión ÷ solicitudes.</t>
        </is>
      </c>
    </row>
    <row r="37">
      <c r="B37" t="inlineStr">
        <is>
          <t>% de solicitudes que terminan en compra</t>
        </is>
      </c>
      <c r="C37" s="18" t="n">
        <v>0.4</v>
      </c>
      <c r="D37" s="5" t="inlineStr">
        <is>
          <t>Supuesto (%). Con compra directa en el formulario suele ser alto; con vendedor o aplicación, 30 a 50 %.</t>
        </is>
      </c>
    </row>
    <row r="38">
      <c r="B38" s="4" t="inlineStr">
        <is>
          <t>Ventas de la oferta</t>
        </is>
      </c>
      <c r="C38" s="23">
        <f>$C$34*$C$37</f>
        <v/>
      </c>
      <c r="D38" s="5" t="inlineStr">
        <is>
          <t>Solicitudes × % que termina en compra.</t>
        </is>
      </c>
    </row>
    <row r="39">
      <c r="B39" t="inlineStr">
        <is>
          <t>% de registros que compran</t>
        </is>
      </c>
      <c r="C39" s="24">
        <f>IF($C$16=0,0,$C$38/$C$16)</f>
        <v/>
      </c>
      <c r="D39" s="5" t="inlineStr">
        <is>
          <t>Ventas ÷ registros.</t>
        </is>
      </c>
    </row>
    <row r="40">
      <c r="B40" s="4" t="inlineStr">
        <is>
          <t>Costo por comprador (CPA)</t>
        </is>
      </c>
      <c r="C40" s="19">
        <f>IF($C$38=0,0,$C$8/$C$38)</f>
        <v/>
      </c>
      <c r="D40" s="5" t="inlineStr">
        <is>
          <t>Inversión ÷ ventas de la oferta.</t>
        </is>
      </c>
    </row>
    <row r="41">
      <c r="B41" t="inlineStr">
        <is>
          <t>Oferta del webinar: precio</t>
        </is>
      </c>
      <c r="C41" s="15" t="n">
        <v>297</v>
      </c>
      <c r="D41" s="5" t="inlineStr">
        <is>
          <t>Supuesto (USD). El producto que se presenta en el webinar.</t>
        </is>
      </c>
    </row>
    <row r="42">
      <c r="B42" t="inlineStr">
        <is>
          <t>Facturado: oferta</t>
        </is>
      </c>
      <c r="C42" s="25">
        <f>$C$38*$C$41</f>
        <v/>
      </c>
      <c r="D42" s="5" t="inlineStr">
        <is>
          <t>Ventas × precio.</t>
        </is>
      </c>
    </row>
    <row r="43">
      <c r="B43" t="inlineStr">
        <is>
          <t>Bump: % de compradores que lo toman</t>
        </is>
      </c>
      <c r="C43" s="18" t="n">
        <v>0.2</v>
      </c>
      <c r="D43" s="5" t="inlineStr">
        <is>
          <t>Supuesto (%). Cambialo para probar.</t>
        </is>
      </c>
    </row>
    <row r="44">
      <c r="B44" t="inlineStr">
        <is>
          <t>Ventas: bump</t>
        </is>
      </c>
      <c r="C44" s="22">
        <f>$C$38*$C$43</f>
        <v/>
      </c>
      <c r="D44" s="5" t="inlineStr">
        <is>
          <t>Compradores × % que lo toma.</t>
        </is>
      </c>
    </row>
    <row r="45">
      <c r="B45" t="inlineStr">
        <is>
          <t>Bump en el checkout: precio</t>
        </is>
      </c>
      <c r="C45" s="15" t="n">
        <v>47</v>
      </c>
      <c r="D45" s="5" t="inlineStr">
        <is>
          <t>Supuesto (USD). Oferta extra con una casilla en el checkout.</t>
        </is>
      </c>
    </row>
    <row r="46">
      <c r="B46" t="inlineStr">
        <is>
          <t>Facturado: bump</t>
        </is>
      </c>
      <c r="C46" s="25">
        <f>$C$44*$C$45</f>
        <v/>
      </c>
      <c r="D46" s="5" t="inlineStr">
        <is>
          <t>Ventas × precio.</t>
        </is>
      </c>
    </row>
    <row r="47">
      <c r="B47" t="inlineStr">
        <is>
          <t>Programa superior: % de compradores que lo toman</t>
        </is>
      </c>
      <c r="C47" s="18" t="n">
        <v>0.05</v>
      </c>
      <c r="D47" s="5" t="inlineStr">
        <is>
          <t>Supuesto (%). Sobre compradores de la oferta.</t>
        </is>
      </c>
    </row>
    <row r="48">
      <c r="B48" t="inlineStr">
        <is>
          <t>Ventas: programa superior</t>
        </is>
      </c>
      <c r="C48" s="22">
        <f>$C$38*$C$47</f>
        <v/>
      </c>
      <c r="D48" s="5" t="inlineStr">
        <is>
          <t>Compradores × % que asciende.</t>
        </is>
      </c>
    </row>
    <row r="49">
      <c r="B49" t="inlineStr">
        <is>
          <t>Programa superior: precio</t>
        </is>
      </c>
      <c r="C49" s="15" t="n">
        <v>997</v>
      </c>
      <c r="D49" s="5" t="inlineStr">
        <is>
          <t>Supuesto (USD). Se vende después de la oferta, por llamada o por ascenso.</t>
        </is>
      </c>
    </row>
    <row r="50">
      <c r="B50" t="inlineStr">
        <is>
          <t>Facturado: programa superior</t>
        </is>
      </c>
      <c r="C50" s="25">
        <f>$C$48*$C$49</f>
        <v/>
      </c>
      <c r="D50" s="5" t="inlineStr">
        <is>
          <t>Ventas × precio.</t>
        </is>
      </c>
    </row>
    <row r="51">
      <c r="B51" s="4" t="inlineStr">
        <is>
          <t>Facturado total</t>
        </is>
      </c>
      <c r="C51" s="26">
        <f>$C$42+$C$46+$C$50</f>
        <v/>
      </c>
      <c r="D51" s="5" t="inlineStr">
        <is>
          <t>Oferta + bump + programa.</t>
        </is>
      </c>
    </row>
    <row r="52">
      <c r="B52" s="4" t="inlineStr">
        <is>
          <t>Facturado por comprador (AOV)</t>
        </is>
      </c>
      <c r="C52" s="19">
        <f>IF($C$38=0,0,$C$51/$C$38)</f>
        <v/>
      </c>
      <c r="D52" s="5" t="inlineStr">
        <is>
          <t>Facturado ÷ ventas de la oferta.</t>
        </is>
      </c>
    </row>
    <row r="53">
      <c r="B53" t="inlineStr">
        <is>
          <t>Ventas de la oferta por registro (para la proyección)</t>
        </is>
      </c>
      <c r="C53" s="24">
        <f>IF($C$16=0,0,$C$38/$C$16)</f>
        <v/>
      </c>
      <c r="D53" s="5" t="inlineStr">
        <is>
          <t>Igual a '% de registros que compran'.</t>
        </is>
      </c>
    </row>
    <row r="54">
      <c r="B54" t="inlineStr">
        <is>
          <t>Facturado por registro</t>
        </is>
      </c>
      <c r="C54" s="21">
        <f>IF($C$16=0,0,$C$51/$C$16)</f>
        <v/>
      </c>
      <c r="D54" s="5" t="inlineStr">
        <is>
          <t>Facturado ÷ registros.</t>
        </is>
      </c>
    </row>
    <row r="55">
      <c r="B55" s="13" t="inlineStr">
        <is>
          <t>Cash, costos y ganancia del período</t>
        </is>
      </c>
      <c r="C55" s="14" t="n"/>
      <c r="D55" s="14" t="n"/>
    </row>
    <row r="56">
      <c r="B56" t="inlineStr">
        <is>
          <t>% del facturado que entra en el mes 1</t>
        </is>
      </c>
      <c r="C56" s="18" t="n">
        <v>0.7</v>
      </c>
      <c r="D56" s="5" t="inlineStr">
        <is>
          <t>Supuesto (%). Con cuotas, el 70 % entra el primer mes y el resto en los dos siguientes.</t>
        </is>
      </c>
    </row>
    <row r="57">
      <c r="B57" t="inlineStr">
        <is>
          <t>% que entra en el mes 2</t>
        </is>
      </c>
      <c r="C57" s="18" t="n">
        <v>0.15</v>
      </c>
      <c r="D57" s="5" t="inlineStr">
        <is>
          <t>Supuesto (%). Cuotas o pagos diferidos.</t>
        </is>
      </c>
    </row>
    <row r="58">
      <c r="B58" t="inlineStr">
        <is>
          <t>% que entra en el mes 3</t>
        </is>
      </c>
      <c r="C58" s="18" t="n">
        <v>0.15</v>
      </c>
      <c r="D58" s="5" t="inlineStr">
        <is>
          <t>Supuesto (%). Los tres deben sumar 100 %.</t>
        </is>
      </c>
    </row>
    <row r="59">
      <c r="B59" t="inlineStr">
        <is>
          <t>Cash a cobrar (facturado × cobranza completa)</t>
        </is>
      </c>
      <c r="C59" s="25">
        <f>$C$51*($C$56+$C$57+$C$58)</f>
        <v/>
      </c>
      <c r="D59" s="5" t="inlineStr">
        <is>
          <t>Facturado × (mes 1 + mes 2 + mes 3). Si la cobranza suma 100 %, es igual al facturado.</t>
        </is>
      </c>
    </row>
    <row r="60">
      <c r="B60" t="inlineStr">
        <is>
          <t>Cash que entra en el primer mes</t>
        </is>
      </c>
      <c r="C60" s="25">
        <f>$C$51*$C$56</f>
        <v/>
      </c>
      <c r="D60" s="5" t="inlineStr">
        <is>
          <t>Facturado × % del mes 1.</t>
        </is>
      </c>
    </row>
    <row r="61">
      <c r="B61" t="inlineStr">
        <is>
          <t>Comisión de la pasarela o plataforma de pago</t>
        </is>
      </c>
      <c r="C61" s="18" t="n">
        <v>0.1</v>
      </c>
      <c r="D61" s="5" t="inlineStr">
        <is>
          <t>Supuesto (% del cash). Hotmart, Stripe, Mercado Pago: lo que se queda la plataforma.</t>
        </is>
      </c>
    </row>
    <row r="62">
      <c r="B62" t="inlineStr">
        <is>
          <t>Comisión del equipo de ventas</t>
        </is>
      </c>
      <c r="C62" s="18" t="n">
        <v>0</v>
      </c>
      <c r="D62" s="5" t="inlineStr">
        <is>
          <t>Supuesto (% del cash). Sobre el cash cobrado. Si vendés el programa superior por llamada, poné acá la comisión del closer (10 a 15 % de esa parte).</t>
        </is>
      </c>
    </row>
    <row r="63">
      <c r="B63" t="inlineStr">
        <is>
          <t>Comisiones (pasarela + ventas)</t>
        </is>
      </c>
      <c r="C63" s="25">
        <f>$C$59*($C$61+$C$62)</f>
        <v/>
      </c>
      <c r="D63" s="5" t="inlineStr">
        <is>
          <t>Cash × (pasarela + equipo de ventas).</t>
        </is>
      </c>
    </row>
    <row r="64">
      <c r="B64" t="inlineStr">
        <is>
          <t>Reembolsos y contracargos</t>
        </is>
      </c>
      <c r="C64" s="18" t="n">
        <v>0.05</v>
      </c>
      <c r="D64" s="5" t="inlineStr">
        <is>
          <t>Supuesto (% del cash). 5 % es normal en productos digitales. Más de 10 % es un problema de oferta o de expectativa.</t>
        </is>
      </c>
    </row>
    <row r="65">
      <c r="B65" t="inlineStr">
        <is>
          <t>Reembolsos</t>
        </is>
      </c>
      <c r="C65" s="25">
        <f>$C$59*$C$64</f>
        <v/>
      </c>
      <c r="D65" s="5" t="inlineStr">
        <is>
          <t>Cash × % de reembolsos.</t>
        </is>
      </c>
    </row>
    <row r="66">
      <c r="B66" s="4" t="inlineStr">
        <is>
          <t>Cash neto</t>
        </is>
      </c>
      <c r="C66" s="26">
        <f>$C$59*(1-$C$61-$C$62-$C$64)</f>
        <v/>
      </c>
      <c r="D66" s="5" t="inlineStr">
        <is>
          <t>Cash − comisiones − reembolsos. La base de verdad.</t>
        </is>
      </c>
    </row>
    <row r="67">
      <c r="B67" t="inlineStr">
        <is>
          <t>Costos por registro (herramientas, WhatsApp, IA)</t>
        </is>
      </c>
      <c r="C67" s="15" t="n">
        <v>0.1</v>
      </c>
      <c r="D67" s="5" t="inlineStr">
        <is>
          <t>Supuesto (USD / registro). WhatsApp API, email, IA: lo que pagás por cada registro.</t>
        </is>
      </c>
    </row>
    <row r="68">
      <c r="B68" t="inlineStr">
        <is>
          <t>Costos por registro (herramientas, WhatsApp, IA)</t>
        </is>
      </c>
      <c r="C68" s="25">
        <f>$C$16*$C$67</f>
        <v/>
      </c>
      <c r="D68" s="5" t="inlineStr">
        <is>
          <t>Registros × costo por registro.</t>
        </is>
      </c>
    </row>
    <row r="69">
      <c r="B69" t="inlineStr">
        <is>
          <t>Costos fijos por lanzamiento</t>
        </is>
      </c>
      <c r="C69" s="16" t="n">
        <v>1200</v>
      </c>
      <c r="D69" s="5" t="inlineStr">
        <is>
          <t>Supuesto (USD / lanzamiento). Equipo, herramientas, edición: lo que pagás aunque no vendas.</t>
        </is>
      </c>
    </row>
    <row r="70">
      <c r="B70" s="4" t="inlineStr">
        <is>
          <t>Ganancia del período</t>
        </is>
      </c>
      <c r="C70" s="26">
        <f>$C$66-$C$68-$C$69-$C$8</f>
        <v/>
      </c>
      <c r="D70" s="5" t="inlineStr">
        <is>
          <t>Cash neto − costos por unidad − fijos − inversión.</t>
        </is>
      </c>
    </row>
    <row r="71">
      <c r="B71" t="inlineStr">
        <is>
          <t>ROAS sobre facturado</t>
        </is>
      </c>
      <c r="C71" s="27">
        <f>IF($C$8=0,0,$C$51/$C$8)</f>
        <v/>
      </c>
      <c r="D71" s="5" t="inlineStr">
        <is>
          <t>Facturado ÷ inversión. El número que más se infla: no decidas con este.</t>
        </is>
      </c>
    </row>
    <row r="72">
      <c r="B72" s="4" t="inlineStr">
        <is>
          <t>ROAS sobre cash neto</t>
        </is>
      </c>
      <c r="C72" s="28">
        <f>IF($C$8=0,0,$C$66/$C$8)</f>
        <v/>
      </c>
      <c r="D72" s="5" t="inlineStr">
        <is>
          <t>Cash neto ÷ inversión. Con este se decide.</t>
        </is>
      </c>
    </row>
    <row r="73">
      <c r="B73" t="inlineStr">
        <is>
          <t>Margen sobre cash</t>
        </is>
      </c>
      <c r="C73" s="29">
        <f>IF($C$59=0,0,$C$70/$C$59)</f>
        <v/>
      </c>
      <c r="D73" s="5" t="inlineStr">
        <is>
          <t>Ganancia ÷ cash.</t>
        </is>
      </c>
    </row>
    <row r="74">
      <c r="B74" t="inlineStr">
        <is>
          <t>ROAS objetivo sobre cash neto</t>
        </is>
      </c>
      <c r="C74" s="30" t="n">
        <v>2</v>
      </c>
      <c r="D74" s="5" t="inlineStr">
        <is>
          <t>Supuesto (x). El retorno mínimo que querés por cada dólar invertido, después de comisiones y reembolsos. Entra en el semáforo: sin llegar a este ROAS no hay verde.</t>
        </is>
      </c>
    </row>
    <row r="75">
      <c r="B75" t="inlineStr">
        <is>
          <t>¿Cumple el ROAS objetivo?</t>
        </is>
      </c>
      <c r="C75" s="31">
        <f>IF($C$72&gt;=$C$74,"SÍ","NO")</f>
        <v/>
      </c>
      <c r="D75" s="5" t="inlineStr">
        <is>
          <t>ROAS sobre cash neto contra el objetivo de Supuestos.</t>
        </is>
      </c>
    </row>
    <row r="76">
      <c r="B76" s="13" t="inlineStr">
        <is>
          <t>Cuánto vale cada registro y hasta cuánto pagar</t>
        </is>
      </c>
      <c r="C76" s="14" t="n"/>
      <c r="D76" s="14" t="n"/>
    </row>
    <row r="77">
      <c r="B77" s="4" t="inlineStr">
        <is>
          <t>Valor neto por registro</t>
        </is>
      </c>
      <c r="C77" s="19">
        <f>IF($C$16=0,0,($C$66-$C$68)/$C$16)</f>
        <v/>
      </c>
      <c r="D77" s="5" t="inlineStr">
        <is>
          <t>(Cash neto − costos por registro) ÷ registros.</t>
        </is>
      </c>
    </row>
    <row r="78">
      <c r="B78" s="4" t="inlineStr">
        <is>
          <t>Techo de CPL (break-even)</t>
        </is>
      </c>
      <c r="C78" s="19">
        <f>$C$77</f>
        <v/>
      </c>
      <c r="D78" s="5" t="inlineStr">
        <is>
          <t>Igual al valor neto por registro.</t>
        </is>
      </c>
    </row>
    <row r="79">
      <c r="B79" t="inlineStr">
        <is>
          <t>Margen de seguridad</t>
        </is>
      </c>
      <c r="C79" s="18" t="n">
        <v>0.3</v>
      </c>
      <c r="D79" s="5" t="inlineStr">
        <is>
          <t>Supuesto (%). Colchón entre el techo (donde no ganás ni perdés) y el objetivo. 30 % es el estándar que usamos.</t>
        </is>
      </c>
    </row>
    <row r="80">
      <c r="B80" s="4" t="inlineStr">
        <is>
          <t>Objetivo de CPL</t>
        </is>
      </c>
      <c r="C80" s="19">
        <f>$C$78/(1+$C$79)</f>
        <v/>
      </c>
      <c r="D80" s="5" t="inlineStr">
        <is>
          <t>Techo ÷ (1 + margen de seguridad).</t>
        </is>
      </c>
    </row>
    <row r="81">
      <c r="B81" t="inlineStr">
        <is>
          <t>Techo de costo por persona en el grupo</t>
        </is>
      </c>
      <c r="C81" s="21">
        <f>IF($C$21=0,0,$C$77/$C$21)</f>
        <v/>
      </c>
      <c r="D81" s="5" t="inlineStr">
        <is>
          <t>Valor por registro ÷ % que entra al grupo.</t>
        </is>
      </c>
    </row>
    <row r="82">
      <c r="B82" s="4" t="inlineStr">
        <is>
          <t>Techo de costo por asistente en vivo</t>
        </is>
      </c>
      <c r="C82" s="19">
        <f>IF($C$24=0,0,$C$77/$C$24)</f>
        <v/>
      </c>
      <c r="D82" s="5" t="inlineStr">
        <is>
          <t>Valor por registro ÷ show rate.</t>
        </is>
      </c>
    </row>
    <row r="83">
      <c r="B83" t="inlineStr">
        <is>
          <t>Techo de CPL calificado</t>
        </is>
      </c>
      <c r="C83" s="21">
        <f>IF($C$17=0,0,$C$77/$C$17)</f>
        <v/>
      </c>
      <c r="D83" s="5" t="inlineStr">
        <is>
          <t>Valor por registro ÷ % que califica.</t>
        </is>
      </c>
    </row>
    <row r="84">
      <c r="B84" s="4" t="inlineStr">
        <is>
          <t>Techo de costo por solicitud</t>
        </is>
      </c>
      <c r="C84" s="19">
        <f>IF($C$34=0,0,$C$77*$C$16/$C$34)</f>
        <v/>
      </c>
      <c r="D84" s="5" t="inlineStr">
        <is>
          <t>Valor total ÷ solicitudes.</t>
        </is>
      </c>
    </row>
    <row r="85">
      <c r="B85" t="inlineStr">
        <is>
          <t>Techo de costo por comprador (CPA máximo)</t>
        </is>
      </c>
      <c r="C85" s="21">
        <f>IF($C$39=0,0,$C$77/$C$39)</f>
        <v/>
      </c>
      <c r="D85" s="5" t="inlineStr">
        <is>
          <t>Valor por registro ÷ % de registros que compran.</t>
        </is>
      </c>
    </row>
    <row r="86">
      <c r="B86" t="inlineStr">
        <is>
          <t>Objetivo de CPA</t>
        </is>
      </c>
      <c r="C86" s="21">
        <f>$C$85/(1+$C$79)</f>
        <v/>
      </c>
      <c r="D86" s="5" t="inlineStr">
        <is>
          <t>CPA máximo ÷ (1 + margen de seguridad).</t>
        </is>
      </c>
    </row>
    <row r="87">
      <c r="B87" s="13" t="inlineStr">
        <is>
          <t>Semáforo y cuánto invertir</t>
        </is>
      </c>
      <c r="C87" s="14" t="n"/>
      <c r="D87" s="14" t="n"/>
    </row>
    <row r="88">
      <c r="B88" s="4" t="inlineStr">
        <is>
          <t>Semáforo del CPL actual</t>
        </is>
      </c>
      <c r="C88" s="32">
        <f>IF($C$15&gt;$C$78,"ROJO",IF(AND($C$15&lt;=$C$80,$C$72&gt;=$C$74),"VERDE","AMARILLO"))</f>
        <v/>
      </c>
      <c r="D88" s="5" t="inlineStr">
        <is>
          <t>Rojo: costo &gt; techo. Verde: costo ≤ objetivo y ROAS sobre cash neto ≥ objetivo. Amarillo: el resto.</t>
        </is>
      </c>
    </row>
    <row r="89">
      <c r="B89" t="inlineStr">
        <is>
          <t>Meta de ventas del producto principal</t>
        </is>
      </c>
      <c r="C89" s="33" t="n">
        <v>60</v>
      </c>
      <c r="D89" s="5" t="inlineStr">
        <is>
          <t>Supuesto (ventas / lanzamiento). Para calcular cuánto invertir.</t>
        </is>
      </c>
    </row>
    <row r="90">
      <c r="B90" s="4" t="inlineStr">
        <is>
          <t>Inversión necesaria para la meta de ventas (al CPL actual)</t>
        </is>
      </c>
      <c r="C90" s="26">
        <f>IF($C$39=0,"inalcanzable con estos supuestos",$C$89/$C$39*$C$15)</f>
        <v/>
      </c>
      <c r="D90" s="5" t="inlineStr">
        <is>
          <t>Meta ÷ % de registros que compran × CPL.</t>
        </is>
      </c>
    </row>
    <row r="91">
      <c r="B91" t="inlineStr">
        <is>
          <t>Inversión para la meta al CPL objetivo (lo máximo que conviene pagar)</t>
        </is>
      </c>
      <c r="C91" s="25">
        <f>IF($C$39=0,"inalcanzable con estos supuestos",$C$89/$C$39*$C$80)</f>
        <v/>
      </c>
      <c r="D91" s="5" t="inlineStr">
        <is>
          <t>Lo mismo, al CPL objetivo.</t>
        </is>
      </c>
    </row>
    <row r="92">
      <c r="B92" s="13" t="inlineStr">
        <is>
          <t>Ganancia por paso (las dos caras de cada número: costo por X y ganancia por X)</t>
        </is>
      </c>
      <c r="C92" s="14" t="n"/>
      <c r="D92" s="14" t="n"/>
    </row>
    <row r="93">
      <c r="B93" s="4" t="inlineStr">
        <is>
          <t>Cash neto por comprador (AOV neto)</t>
        </is>
      </c>
      <c r="C93" s="19">
        <f>IF($C$38=0,0,($C$66-$C$68)/$C$38)</f>
        <v/>
      </c>
      <c r="D93" s="5" t="inlineStr">
        <is>
          <t>Lo que deja cada comprador del principal después de comisiones, reembolsos y costos por unidad. Su par es el CPA.</t>
        </is>
      </c>
    </row>
    <row r="94">
      <c r="B94" s="4" t="inlineStr">
        <is>
          <t>Ganancia por visita</t>
        </is>
      </c>
      <c r="C94" s="19">
        <f>IF($C$13=0,0,$C$70/$C$13)</f>
        <v/>
      </c>
      <c r="D94" s="5" t="inlineStr">
        <is>
          <t>Ganancia del período ÷ visitas a la landing. La métrica más valiosa: resume todo lo que pasa después de la página. Su par es el costo por visita.</t>
        </is>
      </c>
    </row>
    <row r="95">
      <c r="B95" t="inlineStr">
        <is>
          <t>Ganancia por clic</t>
        </is>
      </c>
      <c r="C95" s="21">
        <f>IF($C$11=0,0,$C$70/$C$11)</f>
        <v/>
      </c>
      <c r="D95" s="5" t="inlineStr">
        <is>
          <t>Ganancia del período ÷ clics. Su par es el costo por clic.</t>
        </is>
      </c>
    </row>
    <row r="96">
      <c r="B96" s="4" t="inlineStr">
        <is>
          <t>Ganancia por lead</t>
        </is>
      </c>
      <c r="C96" s="19">
        <f>IF($C$16=0,0,$C$70/$C$16)</f>
        <v/>
      </c>
      <c r="D96" s="5" t="inlineStr">
        <is>
          <t>Ganancia del período ÷ registros. Su par es el CPL.</t>
        </is>
      </c>
    </row>
    <row r="97">
      <c r="B97" t="inlineStr">
        <is>
          <t>Ganancia por asistente en vivo</t>
        </is>
      </c>
      <c r="C97" s="21">
        <f>IF($C$25=0,0,$C$70/$C$25)</f>
        <v/>
      </c>
      <c r="D97" s="5" t="inlineStr">
        <is>
          <t>Ganancia del período ÷ asistente en vivos. Su par es el costo por asistente en vivo.</t>
        </is>
      </c>
    </row>
    <row r="98">
      <c r="B98" t="inlineStr">
        <is>
          <t>Ganancia por solicitud</t>
        </is>
      </c>
      <c r="C98" s="21">
        <f>IF($C$34=0,0,$C$70/$C$34)</f>
        <v/>
      </c>
      <c r="D98" s="5" t="inlineStr">
        <is>
          <t>Ganancia del período ÷ solicituds. Su par es el costo por solicitud.</t>
        </is>
      </c>
    </row>
    <row r="99">
      <c r="B99" s="4" t="inlineStr">
        <is>
          <t>Ganancia por cliente</t>
        </is>
      </c>
      <c r="C99" s="19">
        <f>IF($C$38=0,0,$C$70/$C$38)</f>
        <v/>
      </c>
      <c r="D99" s="5" t="inlineStr">
        <is>
          <t>Ganancia del período ÷ compradores. Su par es el CPA.</t>
        </is>
      </c>
    </row>
    <row r="101" ht="32" customHeight="1">
      <c r="B101" s="5" t="inlineStr">
        <is>
          <t>Cómo se usa: cambiá cualquier celda amarilla (inversión, CPM, CTR, conversión de la landing, show, solicitudes, cierre, precios, comisiones, costos, cobranza, meta) y mirá cómo se mueven todas las celdas azules de abajo: cantidades, costos por paso, facturado, cash neto, ganancia, ROAS, el techo y el objetivo, el semáforo y la inversión para tu meta.</t>
        </is>
      </c>
    </row>
    <row r="102" ht="32" customHeight="1">
      <c r="B102" s="5" t="inlineStr">
        <is>
          <t>Una variable por vez. Si querés comparar dos ideas, duplicá la hoja (clic derecho en la pestaña → Duplicar) y cambiá en cada copia una sola cosa.</t>
        </is>
      </c>
    </row>
    <row r="103" ht="32" customHeight="1">
      <c r="B103" s="5" t="inlineStr">
        <is>
          <t>Para volver al ejemplo, el valor original de cada supuesto está en la hoja Inicio.</t>
        </is>
      </c>
    </row>
  </sheetData>
  <mergeCells count="3">
    <mergeCell ref="B102:D102"/>
    <mergeCell ref="B101:D101"/>
    <mergeCell ref="B103:D103"/>
  </mergeCells>
  <conditionalFormatting sqref="C4">
    <cfRule type="cellIs" priority="1" operator="equal" dxfId="0">
      <formula>"OK"</formula>
    </cfRule>
    <cfRule type="cellIs" priority="2" operator="equal" dxfId="1">
      <formula>"REVISAR"</formula>
    </cfRule>
  </conditionalFormatting>
  <conditionalFormatting sqref="C75">
    <cfRule type="expression" priority="3" dxfId="0">
      <formula>LEFT(C75,5)="VERDE"</formula>
    </cfRule>
    <cfRule type="expression" priority="4" dxfId="2">
      <formula>LEFT(C75,8)="AMARILLO"</formula>
    </cfRule>
    <cfRule type="expression" priority="5" dxfId="1">
      <formula>LEFT(C75,4)="ROJO"</formula>
    </cfRule>
  </conditionalFormatting>
  <conditionalFormatting sqref="C88">
    <cfRule type="expression" priority="6" dxfId="0">
      <formula>LEFT(C88,5)="VERDE"</formula>
    </cfRule>
    <cfRule type="expression" priority="7" dxfId="2">
      <formula>LEFT(C88,8)="AMARILLO"</formula>
    </cfRule>
    <cfRule type="expression" priority="8" dxfId="1">
      <formula>LEFT(C88,4)="ROJO"</formula>
    </cfRule>
  </conditionalFormatting>
  <dataValidations count="2">
    <dataValidation sqref="C10 C12 C14 C17 C21 C24 C26 C30 C32 C37 C43 C47 C56 C57 C58 C61 C62 C64 C79" showDropDown="0" showInputMessage="0" showErrorMessage="1" allowBlank="0" errorTitle="Porcentaje fuera de rango" error="Escribí el porcentaje como fracción entre 0 y 1 (15 % = 0,15)." type="decimal" operator="between">
      <formula1>0</formula1>
      <formula2>1</formula2>
    </dataValidation>
    <dataValidation sqref="C7 C8 C41 C45 C49 C67 C69 C74 C89" showDropDown="0" showInputMessage="0" showErrorMessage="1" allowBlank="0" errorTitle="Valor inválido" error="Tiene que ser un número mayor o igual a 0." type="decimal" operator="greaterThanOrEqual">
      <formula1>0</formula1>
    </dataValidation>
  </dataValidations>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3.xml><?xml version="1.0" encoding="utf-8"?>
<worksheet xmlns="http://schemas.openxmlformats.org/spreadsheetml/2006/main">
  <sheetPr>
    <tabColor rgb="001F3864"/>
    <outlinePr summaryBelow="1" summaryRight="1"/>
    <pageSetUpPr/>
  </sheetPr>
  <dimension ref="B2:B11"/>
  <sheetViews>
    <sheetView workbookViewId="0">
      <selection activeCell="A1" sqref="A1"/>
    </sheetView>
  </sheetViews>
  <sheetFormatPr baseColWidth="8" defaultRowHeight="15"/>
  <cols>
    <col width="3" customWidth="1" min="1" max="1"/>
    <col width="120" customWidth="1" min="2" max="2"/>
  </cols>
  <sheetData>
    <row r="2">
      <c r="B2" s="2" t="inlineStr">
        <is>
          <t>Autoría y licencia</t>
        </is>
      </c>
    </row>
    <row r="4">
      <c r="B4" s="5" t="inlineStr">
        <is>
          <t>Simulación · Embudo de webinar gratuito</t>
        </is>
      </c>
    </row>
    <row r="5">
      <c r="B5" s="5" t="inlineStr">
        <is>
          <t>Modelo financiero de embudos · creado por Jesús Tassarolo · TooAudience · youtube.com/@JesusTassaroloSinFiltro</t>
        </is>
      </c>
    </row>
    <row r="6">
      <c r="B6" s="5" t="inlineStr">
        <is>
          <t>v1.2 · octubre 2026</t>
        </is>
      </c>
    </row>
    <row r="7">
      <c r="B7" s="5" t="inlineStr"/>
    </row>
    <row r="8">
      <c r="B8" s="5" t="inlineStr">
        <is>
          <t>Licencia Creative Commons BY-NC-ND 4.0: podés usar este archivo con tus números y compartirlo tal cual, citando al autor. No podés venderlo, modificar su estructura para redistribuirlo ni quitar la línea de autoría.</t>
        </is>
      </c>
    </row>
    <row r="9">
      <c r="B9" s="5" t="inlineStr"/>
    </row>
    <row r="10">
      <c r="B10" s="5" t="inlineStr">
        <is>
          <t>Este archivo, sus fórmulas, sus umbrales y su método son obra de Jesús Tassarolo (TooAudience). Si lo compartís, compartilo entero y con esta hoja.</t>
        </is>
      </c>
    </row>
    <row r="11">
      <c r="B11" s="5" t="inlineStr">
        <is>
          <t>Canal: youtube.com/@JesusTassaroloSinFiltro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Jesús Tassarolo</dc:creator>
  <dc:title xmlns:dc="http://purl.org/dc/elements/1.1/">Simulación · Embudo de webinar gratuito</dc:title>
  <dc:description xmlns:dc="http://purl.org/dc/elements/1.1/">Modelo financiero de embudos · creado por Jesús Tassarolo · TooAudience · youtube.com/@JesusTassaroloSinFiltro · Licencia Creative Commons BY-NC-ND 4.0: podés usar este archivo con tus números y compartirlo tal cual, citando al autor. No podés venderlo, modificar su estructura para redistribuirlo ni quitar la línea de autoría. · Simulación · v1.2 · octubre 2026</dc:description>
  <dc:subject xmlns:dc="http://purl.org/dc/elements/1.1/">Modelo financiero de embudos · Jesús Tassarolo · TooAudience</dc:subject>
  <dcterms:created xmlns:dcterms="http://purl.org/dc/terms/" xmlns:xsi="http://www.w3.org/2001/XMLSchema-instance" xsi:type="dcterms:W3CDTF">2026-10-02T16:53:57Z</dcterms:created>
  <dcterms:modified xmlns:dcterms="http://purl.org/dc/terms/" xmlns:xsi="http://www.w3.org/2001/XMLSchema-instance" xsi:type="dcterms:W3CDTF">2026-10-02T16:53:57Z</dcterms:modified>
  <cp:lastModifiedBy>Jesús Tassarolo</cp:lastModifiedBy>
  <cp:category>TooAudience · Mastermind</cp:category>
  <cp:keywords>Jesús Tassarolo, TooAudience, modelo financiero, embudos, mastermind</cp:keywords>
</cp:coreProperties>
</file>

<file path=docProps/custom.xml><?xml version="1.0" encoding="utf-8"?>
<Properties xmlns="http://schemas.openxmlformats.org/officeDocument/2006/custom-properties">
  <property name="Autor" fmtid="{D5CDD505-2E9C-101B-9397-08002B2CF9AE}" pid="2">
    <vt:lpwstr xmlns:vt="http://schemas.openxmlformats.org/officeDocument/2006/docPropsVTypes">Jesús Tassarolo</vt:lpwstr>
  </property>
  <property name="Marca" fmtid="{D5CDD505-2E9C-101B-9397-08002B2CF9AE}" pid="3">
    <vt:lpwstr xmlns:vt="http://schemas.openxmlformats.org/officeDocument/2006/docPropsVTypes">Modelo financiero de embudos · creado por Jesús Tassarolo · TooAudience · youtube.com/@JesusTassaroloSinFiltro</vt:lpwstr>
  </property>
  <property name="Licencia" fmtid="{D5CDD505-2E9C-101B-9397-08002B2CF9AE}" pid="4">
    <vt:lpwstr xmlns:vt="http://schemas.openxmlformats.org/officeDocument/2006/docPropsVTypes">CC BY-NC-ND 4.0</vt:lpwstr>
  </property>
  <property name="YouTube" fmtid="{D5CDD505-2E9C-101B-9397-08002B2CF9AE}" pid="5">
    <vt:lpwstr xmlns:vt="http://schemas.openxmlformats.org/officeDocument/2006/docPropsVTypes">youtube.com/@JesusTassaroloSinFiltro</vt:lpwstr>
  </property>
  <property name="Version" fmtid="{D5CDD505-2E9C-101B-9397-08002B2CF9AE}" pid="6">
    <vt:lpwstr xmlns:vt="http://schemas.openxmlformats.org/officeDocument/2006/docPropsVTypes">v1.2 · octubre 2026</vt:lpwstr>
  </property>
</Properties>
</file>