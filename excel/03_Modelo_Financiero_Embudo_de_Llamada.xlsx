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s>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5">
    <font>
      <name val="Calibri"/>
      <family val="2"/>
      <color theme="1"/>
      <sz val="11"/>
      <scheme val="minor"/>
    </font>
    <font>
      <b val="1"/>
      <sz val="14"/>
    </font>
    <font>
      <i val="1"/>
      <color rgb="00595959"/>
    </font>
    <font>
      <b val="1"/>
    </font>
    <font>
      <b val="1"/>
      <color rgb="00FFFFFF"/>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3"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65" fontId="0" fillId="5" borderId="1" pivotButton="0" quotePrefix="0" xfId="0"/>
    <xf numFmtId="10"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8" fontId="0" fillId="5" borderId="1" pivotButton="0" quotePrefix="0" xfId="0"/>
    <xf numFmtId="164"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166" fontId="3" fillId="5" borderId="1"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8"/>
  <sheetViews>
    <sheetView showGridLines="0" workbookViewId="0">
      <selection activeCell="A1" sqref="A1"/>
    </sheetView>
  </sheetViews>
  <sheetFormatPr baseColWidth="8" defaultRowHeight="15"/>
  <cols>
    <col width="2" customWidth="1" min="1" max="1"/>
    <col width="118" customWidth="1" min="2" max="2"/>
  </cols>
  <sheetData>
    <row r="2">
      <c r="B2" s="1" t="inlineStr">
        <is>
          <t>Modelo financiero · Embudo de llamada (high ticket)</t>
        </is>
      </c>
    </row>
    <row r="3">
      <c r="B3" s="2" t="inlineStr">
        <is>
          <t>Anuncios → página con VSL (o webinar previo) → aplicación → agenda → llamada → cierre → cash en cuotas</t>
        </is>
      </c>
    </row>
    <row r="5">
      <c r="B5" s="3" t="inlineStr">
        <is>
          <t>Para qué sirve este modelo</t>
        </is>
      </c>
    </row>
    <row r="6" ht="75" customHeight="1">
      <c r="B6" s="4" t="inlineStr">
        <is>
          <t>Es el modelo financiero de un embudo de llamada: anuncios que captan leads, una página con video o un webinar que los lleva a aplicar, una agenda, una llamada con un closer y una venta de ticket alto que se cobra al contado o en cuotas. Con tus números (o con el ejemplo cargado) te dice cuánto vale cada lead que comprás con publicidad, hasta cuánto podés pagar por lead y por cada etapa siguiente, cuánto invertir para una meta de ventas, cuánta caja necesitás y qué palanca mejora más la ganancia.</t>
        </is>
      </c>
    </row>
    <row r="7" ht="45" customHeight="1">
      <c r="B7" s="4" t="inlineStr">
        <is>
          <t>La unidad que comprás es el lead. El número que manda es el costo por agenda contra lo que vale una agenda, y después el cierre. Con ticket alto una venta más o menos cambia el ROAS de un mes: juzgá por ventanas de 3 a 4 eventos, nunca por uno.</t>
        </is>
      </c>
    </row>
    <row r="9">
      <c r="B9" s="3" t="inlineStr">
        <is>
          <t>Cómo usarlo en 6 pasos</t>
        </is>
      </c>
    </row>
    <row r="10" ht="30" customHeight="1">
      <c r="B10" s="4" t="inlineStr">
        <is>
          <t>1. Andá a Supuestos y reemplazá el ejemplo por tus números. Si todavía no tenés datos, dejá el escenario en 1 (conservador) y usá Benchmarks como referencia.</t>
        </is>
      </c>
    </row>
    <row r="11" ht="30" customHeight="1">
      <c r="B11" s="4" t="inlineStr">
        <is>
          <t>2. Mirá Resumen: ganancia del mes, ROAS, el techo y el objetivo de costo por lead, y el semáforo. Después Embudo: todos los pasos en orden con cuántos pasan, qué porcentaje se pierde y cuánto cuesta cada paso.</t>
        </is>
      </c>
    </row>
    <row r="12" ht="30" customHeight="1">
      <c r="B12" s="4" t="inlineStr">
        <is>
          <t>3. Abrí Escenarios para ver qué pasa si cambia el precio, la conversión o el costo. Las celdas amarillas de cada tabla se pueden cambiar.</t>
        </is>
      </c>
    </row>
    <row r="13" ht="15" customHeight="1">
      <c r="B13" s="4" t="inlineStr">
        <is>
          <t>4. Abrí Sensibilidad para saber qué variable conviene trabajar primero.</t>
        </is>
      </c>
    </row>
    <row r="14" ht="30" customHeight="1">
      <c r="B14" s="4" t="inlineStr">
        <is>
          <t>5. Antes de invertir, mirá Proyección 12 meses: la caja necesaria es la plata que tenés que tener para no frenar la pauta mientras cobrás. Si da 0, el embudo se autofinancia.</t>
        </is>
      </c>
    </row>
    <row r="15" ht="30" customHeight="1">
      <c r="B15" s="4" t="inlineStr">
        <is>
          <t>6. Cuando el embudo esté andando, completá una columna de Seguimiento por mes. El semáforo te dice si estás pagando de más por cada lead.</t>
        </is>
      </c>
    </row>
    <row r="17">
      <c r="B17" s="3" t="inlineStr">
        <is>
          <t>Colores y hojas</t>
        </is>
      </c>
    </row>
    <row r="18" ht="15" customHeight="1">
      <c r="B18" s="4" t="inlineStr">
        <is>
          <t>Amarillo = celda que editás vos. Azul = resultado calculado: no lo toques, se recalcula solo.</t>
        </is>
      </c>
    </row>
    <row r="19" ht="45" customHeight="1">
      <c r="B19" s="4"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4" t="inlineStr">
        <is>
          <t>Chequeos avisa si un supuesto quedó fuera de rango. Si dice REVISAR, arreglalo antes de leer los resultados.</t>
        </is>
      </c>
    </row>
    <row r="21" ht="30" customHeight="1">
      <c r="B21" s="4" t="inlineStr">
        <is>
          <t>Cómo elegir escenario: en Supuestos, la celda 'Escenario en uso' (1, 2 o 3) elige la columna conservador, base u optimista de cada fila que tiene tres valores. Las filas con un solo valor se usan tal cual.</t>
        </is>
      </c>
    </row>
    <row r="23">
      <c r="B23" s="3" t="inlineStr">
        <is>
          <t>El ejemplo que viene cargado</t>
        </is>
      </c>
    </row>
    <row r="24" ht="30" customHeight="1">
      <c r="B24" s="4" t="inlineStr">
        <is>
          <t>Un programa de 1.500 USD vendido por llamada. Se invierten 4.500 USD por mes a CPM 10 y CTR 1,5 %; el 85 % de los clics carga la página y el 28 % deja sus datos: CPL cerca de 2,80 y unos 1.600 leads.</t>
        </is>
      </c>
    </row>
    <row r="25" ht="45" customHeight="1">
      <c r="B25" s="4" t="inlineStr">
        <is>
          <t>Sin evento previo (interruptor en 0): el 10 % de los leads completa la aplicación, el 60 % califica, el 60 % de los calificados agenda, el 70 % aparece en la llamada y el 25 % compra: unas 10 ventas por mes. A los que no compran se les ofrece un downsell de 497 que toma el 10 %.</t>
        </is>
      </c>
    </row>
    <row r="26" ht="30" customHeight="1">
      <c r="B26" s="4" t="inlineStr">
        <is>
          <t>Si tenés un webinar antes de la aplicación, poné el interruptor en 1 y el % de asistencia: la aplicación pasa a medirse sobre asistentes.</t>
        </is>
      </c>
    </row>
    <row r="27" ht="30" customHeight="1">
      <c r="B27" s="4" t="inlineStr">
        <is>
          <t>Costos: pasarela 5 %, closers 10 % del cash cobrado, reembolsos 5 %, 0,20 por lead en WhatsApp y setter, fijos 2.500 por mes. Cobranza 60 / 20 / 20: el facturado se cobra en tres meses.</t>
        </is>
      </c>
    </row>
    <row r="28" ht="60" customHeight="1">
      <c r="B28" s="4" t="inlineStr">
        <is>
          <t>Resultado: facturado cerca de 17.000 por mes y ROAS sobre cash neto de 3 con la cobranza completa, pero solo 1,8 con lo que entra el primer mes. En este ejemplo el embudo se autofinancia (la caja necesaria da 0): subí el crecimiento mensual o bajá la cobranza del mes 1 en Supuestos y vas a ver en qué mes la caja empieza a hacer falta. El techo de CPL queda cerca de 8: el tráfico no es el cuello de botella, el cierre sí.</t>
        </is>
      </c>
    </row>
    <row r="30">
      <c r="B30" s="3" t="inlineStr">
        <is>
          <t>Reglas de decisión (el protocolo corto)</t>
        </is>
      </c>
    </row>
    <row r="31" ht="30" customHeight="1">
      <c r="B31" s="4" t="inlineStr">
        <is>
          <t>1. Antes de invertir: cargá tus números en Supuestos (si no tenés datos, escenario 1, conservador) y mirá en Resumen el techo y el objetivo de costo por lead.</t>
        </is>
      </c>
    </row>
    <row r="32" ht="45" customHeight="1">
      <c r="B32" s="4" t="inlineStr">
        <is>
          <t>2. Primeros días: compará tu costo real por lead con el objetivo. Verde: seguí. Amarillo: no subas la inversión y revisá en este orden: CPM (público y frecuencia), creativo (CTR) y página (conversión). Rojo: bajá un escalón (−25 %) y arreglá antes de volver a subir.</t>
        </is>
      </c>
    </row>
    <row r="33" ht="30" customHeight="1">
      <c r="B33" s="4" t="inlineStr">
        <is>
          <t>3. Cada mes: completá una columna de Seguimiento. El semáforo compara tu costo con el techo móvil (lo que rindieron tus últimas 4 columnas), no con un número fijo.</t>
        </is>
      </c>
    </row>
    <row r="34" ht="30" customHeight="1">
      <c r="B34" s="4" t="inlineStr">
        <is>
          <t>4. Subí la inversión de a 25 % y esperá 7 días (o 3 a 4 eventos si vendés por llamada) antes de volver a subir. Un día bueno o malo no decide nada.</t>
        </is>
      </c>
    </row>
    <row r="35" ht="30" customHeight="1">
      <c r="B35" s="4" t="inlineStr">
        <is>
          <t>5. Si el costo está en verde y aun así no hay ganancia, el problema no es el tráfico: mirá asistencia, conversión de la oferta y cobranza, en ese orden.</t>
        </is>
      </c>
    </row>
    <row r="36" ht="15" customHeight="1">
      <c r="B36" s="4" t="inlineStr">
        <is>
          <t>6. Cambiá una sola cosa por vez. Si cambiás precio, creativo y página la misma semana no vas a saber qué funcionó.</t>
        </is>
      </c>
    </row>
    <row r="37" ht="30" customHeight="1">
      <c r="B37" s="4" t="inlineStr">
        <is>
          <t>7. Trabajá siempre con cash neto (lo que entra menos comisiones y reembolsos), nunca con facturado. En Proyección ves cuánta caja necesitás para sostener la pauta mientras cobrás.</t>
        </is>
      </c>
    </row>
    <row r="38" ht="30" customHeight="1">
      <c r="B38" s="4" t="inlineStr">
        <is>
          <t>8. En llamada, el techo de CPL casi nunca es el problema: lo que mata el mes es un cierre bajo o un show de llamadas bajo. Mirá primero % de agenda, show de la llamada y cierre; el CPL al final.</t>
        </is>
      </c>
    </row>
    <row r="39" ht="30" customHeight="1">
      <c r="B39" s="4" t="inlineStr">
        <is>
          <t>9. Facturado no es cash. Con cuotas, el ROAS sobre facturado puede dar 3 mientras la caja del mes queda en rojo. Decidí con cash neto y mirá la caja mínima de Proyección.</t>
        </is>
      </c>
    </row>
    <row r="41">
      <c r="B41" s="3" t="inlineStr">
        <is>
          <t>Lo que este modelo no hace</t>
        </is>
      </c>
    </row>
    <row r="42" ht="30" customHeight="1">
      <c r="B42" s="4" t="inlineStr">
        <is>
          <t>No adivina tus conversiones: usa las que cargás. Cuando una conversión cambia, el techo cambia; por eso Seguimiento recalcula el techo móvil con tus últimas 4 columnas.</t>
        </is>
      </c>
    </row>
    <row r="43" ht="15" customHeight="1">
      <c r="B43" s="4" t="inlineStr">
        <is>
          <t>No reemplaza la decisión: la informa. Las reglas de arriba dicen qué hacer con cada color.</t>
        </is>
      </c>
    </row>
    <row r="44" ht="15" customHeight="1">
      <c r="B44" s="4" t="inlineStr">
        <is>
          <t>Los benchmarks son orden de magnitud para tráfico frío en español. Tus datos mandan.</t>
        </is>
      </c>
    </row>
    <row r="46">
      <c r="B46" s="3" t="inlineStr">
        <is>
          <t>Autor y versión</t>
        </is>
      </c>
    </row>
    <row r="47" ht="30" customHeight="1">
      <c r="B47" s="4" t="inlineStr">
        <is>
          <t>Modelo financiero de embudos · creado por Jesús Tassarolo · TooAudience · youtube.com/@JesusTassaroloSinFiltro. v1.2 · octubre 2026. Fórmulas compatibles con Excel, Google Sheets y Numbers. Sin macros.</t>
        </is>
      </c>
    </row>
    <row r="48" ht="30" customHeight="1">
      <c r="B48" s="4" t="inlineStr">
        <is>
          <t>Este modelo se comparte para que lo uses con tus números. Si lo compartís, dejá esta línea: es la forma de saber de dónde salió.</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2.xml><?xml version="1.0" encoding="utf-8"?>
<worksheet xmlns="http://schemas.openxmlformats.org/spreadsheetml/2006/main">
  <sheetPr>
    <outlinePr summaryBelow="1" summaryRight="1"/>
    <pageSetUpPr/>
  </sheetPr>
  <dimension ref="B2:D41"/>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2">
      <c r="B2" s="1" t="inlineStr">
        <is>
          <t>Resumen: lo que hay que mirar</t>
        </is>
      </c>
    </row>
    <row r="3">
      <c r="B3" s="2" t="inlineStr">
        <is>
          <t>Todo sale de Modelo con los supuestos del escenario en uso. Cambiá Supuestos y esto se actualiza.</t>
        </is>
      </c>
    </row>
    <row r="5">
      <c r="B5" s="5" t="inlineStr">
        <is>
          <t>Indicador</t>
        </is>
      </c>
      <c r="C5" s="5" t="inlineStr">
        <is>
          <t>Valor</t>
        </is>
      </c>
      <c r="D5" s="5" t="inlineStr">
        <is>
          <t>Qué significa</t>
        </is>
      </c>
    </row>
    <row r="6">
      <c r="B6" s="6" t="inlineStr">
        <is>
          <t>Resultado del mes</t>
        </is>
      </c>
      <c r="C6" s="7" t="n"/>
      <c r="D6" s="7" t="n"/>
    </row>
    <row r="7">
      <c r="B7" t="inlineStr">
        <is>
          <t>Ganancia del período</t>
        </is>
      </c>
      <c r="C7" s="8">
        <f>'Modelo'!$C$40</f>
        <v/>
      </c>
      <c r="D7" s="4" t="inlineStr">
        <is>
          <t>Cash neto (cobranza completa) menos costos y menos inversión.</t>
        </is>
      </c>
    </row>
    <row r="8">
      <c r="B8" t="inlineStr">
        <is>
          <t>ROAS sobre cash neto</t>
        </is>
      </c>
      <c r="C8" s="9">
        <f>'Modelo'!$C$42</f>
        <v/>
      </c>
      <c r="D8" s="4" t="inlineStr">
        <is>
          <t>Sobre cash neto con la cobranza completa.</t>
        </is>
      </c>
    </row>
    <row r="9">
      <c r="B9" t="inlineStr">
        <is>
          <t>ROAS del cash del primer mes (sin cuotas futuras)</t>
        </is>
      </c>
      <c r="C9" s="9">
        <f>'Modelo'!$C$45</f>
        <v/>
      </c>
      <c r="D9" s="4" t="inlineStr">
        <is>
          <t>Solo con lo que entra el primer mes. Si es menor a 1, el mes se financia con caja.</t>
        </is>
      </c>
    </row>
    <row r="10">
      <c r="B10" t="inlineStr">
        <is>
          <t>Ventas del programa</t>
        </is>
      </c>
      <c r="C10" s="10">
        <f>'Modelo'!$C$23</f>
        <v/>
      </c>
      <c r="D10" s="4" t="inlineStr">
        <is>
          <t>Ventas del programa por mes.</t>
        </is>
      </c>
    </row>
    <row r="11">
      <c r="B11" t="inlineStr">
        <is>
          <t>Facturado total</t>
        </is>
      </c>
      <c r="C11" s="8">
        <f>'Modelo'!$C$29</f>
        <v/>
      </c>
      <c r="D11" s="4" t="inlineStr">
        <is>
          <t>A precio de lista, incluidas las cuotas por cobrar.</t>
        </is>
      </c>
    </row>
    <row r="12">
      <c r="B12" s="6" t="inlineStr">
        <is>
          <t>La cadena</t>
        </is>
      </c>
      <c r="C12" s="7" t="n"/>
      <c r="D12" s="7" t="n"/>
    </row>
    <row r="13">
      <c r="B13" t="inlineStr">
        <is>
          <t>Leads</t>
        </is>
      </c>
      <c r="C13" s="11">
        <f>'Modelo'!$C$11</f>
        <v/>
      </c>
      <c r="D13" s="4" t="inlineStr">
        <is>
          <t>Leads que compra la pauta.</t>
        </is>
      </c>
    </row>
    <row r="14">
      <c r="B14" t="inlineStr">
        <is>
          <t>Agendas</t>
        </is>
      </c>
      <c r="C14" s="10">
        <f>'Modelo'!$C$17</f>
        <v/>
      </c>
      <c r="D14" s="4" t="inlineStr">
        <is>
          <t>Llamadas agendadas.</t>
        </is>
      </c>
    </row>
    <row r="15">
      <c r="B15" t="inlineStr">
        <is>
          <t>Llamadas realizadas</t>
        </is>
      </c>
      <c r="C15" s="10">
        <f>'Modelo'!$C$18</f>
        <v/>
      </c>
      <c r="D15" s="4" t="inlineStr">
        <is>
          <t>Llamadas que ocurren.</t>
        </is>
      </c>
    </row>
    <row r="16">
      <c r="B16" t="inlineStr">
        <is>
          <t>Costo por agenda</t>
        </is>
      </c>
      <c r="C16" s="12">
        <f>'Modelo'!$C$20</f>
        <v/>
      </c>
      <c r="D16" s="4" t="inlineStr">
        <is>
          <t>Lo que te cuesta cada agenda.</t>
        </is>
      </c>
    </row>
    <row r="17">
      <c r="B17" t="inlineStr">
        <is>
          <t>Costo por venta del programa (CAC)</t>
        </is>
      </c>
      <c r="C17" s="12">
        <f>'Modelo'!$C$26</f>
        <v/>
      </c>
      <c r="D17" s="4" t="inlineStr">
        <is>
          <t>Lo que te cuesta cada venta (CAC).</t>
        </is>
      </c>
    </row>
    <row r="18">
      <c r="B18" s="6" t="inlineStr">
        <is>
          <t>Las dos caras de cada número</t>
        </is>
      </c>
      <c r="C18" s="7" t="n"/>
      <c r="D18" s="7" t="n"/>
    </row>
    <row r="19">
      <c r="B19" t="inlineStr">
        <is>
          <t>Ganancia por visita</t>
        </is>
      </c>
      <c r="C19" s="12">
        <f>'Modelo'!$C$62</f>
        <v/>
      </c>
      <c r="D19" s="4" t="inlineStr">
        <is>
          <t>Lo que te queda por cada visita a la página. La métrica más valiosa del embudo.</t>
        </is>
      </c>
    </row>
    <row r="20">
      <c r="B20" t="inlineStr">
        <is>
          <t>Ganancia por clic</t>
        </is>
      </c>
      <c r="C20" s="12">
        <f>'Modelo'!$C$63</f>
        <v/>
      </c>
      <c r="D20" s="4" t="inlineStr">
        <is>
          <t>Lo que te queda por cada clic. Su par es el costo por clic (Embudo).</t>
        </is>
      </c>
    </row>
    <row r="21">
      <c r="B21" t="inlineStr">
        <is>
          <t>Ganancia por lead</t>
        </is>
      </c>
      <c r="C21" s="12">
        <f>'Modelo'!$C$64</f>
        <v/>
      </c>
      <c r="D21" s="4" t="inlineStr">
        <is>
          <t>Lo que te queda por cada lead. Su par es el CPL.</t>
        </is>
      </c>
    </row>
    <row r="22">
      <c r="B22" t="inlineStr">
        <is>
          <t>Ganancia por agenda</t>
        </is>
      </c>
      <c r="C22" s="12">
        <f>'Modelo'!$C$65</f>
        <v/>
      </c>
      <c r="D22" s="4" t="inlineStr">
        <is>
          <t>Lo que te queda por cada agenda. Su par es el costo por agenda.</t>
        </is>
      </c>
    </row>
    <row r="23">
      <c r="B23" t="inlineStr">
        <is>
          <t>Ganancia por cliente</t>
        </is>
      </c>
      <c r="C23" s="12">
        <f>'Modelo'!$C$67</f>
        <v/>
      </c>
      <c r="D23" s="4" t="inlineStr">
        <is>
          <t>Lo que te queda por cada cliente. Su par es el CAC.</t>
        </is>
      </c>
    </row>
    <row r="24">
      <c r="B24" t="inlineStr">
        <is>
          <t>Order value (AOV)</t>
        </is>
      </c>
      <c r="C24" s="12">
        <f>'Modelo'!$C$30</f>
        <v/>
      </c>
      <c r="D24" s="4" t="inlineStr">
        <is>
          <t>Facturado por comprador del programa, con el downsell.</t>
        </is>
      </c>
    </row>
    <row r="25">
      <c r="B25" t="inlineStr">
        <is>
          <t>Order value neto (AOV neto)</t>
        </is>
      </c>
      <c r="C25" s="12">
        <f>'Modelo'!$C$61</f>
        <v/>
      </c>
      <c r="D25" s="4" t="inlineStr">
        <is>
          <t>Lo mismo después de comisiones, reembolsos y costos por lead.</t>
        </is>
      </c>
    </row>
    <row r="26">
      <c r="B26" s="6" t="inlineStr">
        <is>
          <t>Hasta cuánto pagar</t>
        </is>
      </c>
      <c r="C26" s="7" t="n"/>
      <c r="D26" s="7" t="n"/>
    </row>
    <row r="27">
      <c r="B27" t="inlineStr">
        <is>
          <t>Techo de CPL (break-even)</t>
        </is>
      </c>
      <c r="C27" s="12">
        <f>'Modelo'!$C$48</f>
        <v/>
      </c>
      <c r="D27" s="4" t="inlineStr">
        <is>
          <t>CPL donde no ganás ni perdés.</t>
        </is>
      </c>
    </row>
    <row r="28">
      <c r="B28" t="inlineStr">
        <is>
          <t>Objetivo de CPL</t>
        </is>
      </c>
      <c r="C28" s="12">
        <f>'Modelo'!$C$49</f>
        <v/>
      </c>
      <c r="D28" s="4" t="inlineStr">
        <is>
          <t>A este CPL o menos estás en verde.</t>
        </is>
      </c>
    </row>
    <row r="29">
      <c r="B29" t="inlineStr">
        <is>
          <t>Techo de costo por agenda</t>
        </is>
      </c>
      <c r="C29" s="12">
        <f>'Modelo'!$C$51</f>
        <v/>
      </c>
      <c r="D29" s="4" t="inlineStr">
        <is>
          <t>Costo máximo por agenda.</t>
        </is>
      </c>
    </row>
    <row r="30">
      <c r="B30" t="inlineStr">
        <is>
          <t>Techo de costo por venta (CAC máximo)</t>
        </is>
      </c>
      <c r="C30" s="12">
        <f>'Modelo'!$C$53</f>
        <v/>
      </c>
      <c r="D30" s="4" t="inlineStr">
        <is>
          <t>CAC máximo si lo demás se mantiene.</t>
        </is>
      </c>
    </row>
    <row r="31">
      <c r="B31" t="inlineStr">
        <is>
          <t>Semáforo del CPL actual</t>
        </is>
      </c>
      <c r="C31" s="13">
        <f>'Modelo'!$C$56</f>
        <v/>
      </c>
      <c r="D31" s="4" t="inlineStr">
        <is>
          <t>Tu CPL actual contra techo y objetivo.</t>
        </is>
      </c>
    </row>
    <row r="32">
      <c r="B32" s="6" t="inlineStr">
        <is>
          <t>Cuánto invertir y cuánta caja</t>
        </is>
      </c>
      <c r="C32" s="7" t="n"/>
      <c r="D32" s="7" t="n"/>
    </row>
    <row r="33">
      <c r="B33" t="inlineStr">
        <is>
          <t>Inversión necesaria para la meta de ventas (al CPL actual)</t>
        </is>
      </c>
      <c r="C33" s="8">
        <f>'Modelo'!$C$57</f>
        <v/>
      </c>
      <c r="D33" s="4" t="inlineStr">
        <is>
          <t>Para la meta de ventas de Supuestos, al CPL actual.</t>
        </is>
      </c>
    </row>
    <row r="34">
      <c r="B34" t="inlineStr">
        <is>
          <t>Llamadas que hay que atender por mes para esa meta</t>
        </is>
      </c>
      <c r="C34" s="10">
        <f>'Modelo'!$C$59</f>
        <v/>
      </c>
      <c r="D34" s="4" t="inlineStr">
        <is>
          <t>Para dimensionar el equipo de closers.</t>
        </is>
      </c>
    </row>
    <row r="35">
      <c r="B35" t="inlineStr">
        <is>
          <t>Caja que hay que tener (peor momento de la proyección)</t>
        </is>
      </c>
      <c r="C35" s="8">
        <f>'Proyección 12 meses'!$C$18</f>
        <v/>
      </c>
      <c r="D35" s="4" t="inlineStr">
        <is>
          <t>Si da 0, el embudo se autofinancia: cada mes cobra más de lo que invierte.</t>
        </is>
      </c>
    </row>
    <row r="36">
      <c r="B36" t="inlineStr">
        <is>
          <t>Saldo mínimo de caja con tu caja inicial</t>
        </is>
      </c>
      <c r="C36" s="8">
        <f>'Proyección 12 meses'!$C$19</f>
        <v/>
      </c>
      <c r="D36" s="4" t="inlineStr">
        <is>
          <t>Si es negativo, la caja inicial no alcanza.</t>
        </is>
      </c>
    </row>
    <row r="37">
      <c r="B37" t="inlineStr">
        <is>
          <t>Ganancia acumulada en 12 meses</t>
        </is>
      </c>
      <c r="C37" s="8">
        <f>'Proyección 12 meses'!$C$20</f>
        <v/>
      </c>
      <c r="D37" s="4" t="inlineStr">
        <is>
          <t>Con la inversión creciendo según el supuesto.</t>
        </is>
      </c>
    </row>
    <row r="39" ht="32" customHeight="1">
      <c r="B39" s="3" t="inlineStr">
        <is>
          <t>Recomendación según el semáforo</t>
        </is>
      </c>
      <c r="C39" s="14">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9" s="15" t="n"/>
    </row>
    <row r="41">
      <c r="B41" s="2" t="inlineStr">
        <is>
          <t>Modelo financiero de embudos · creado por Jesús Tassarolo · TooAudience · youtube.com/@JesusTassaroloSinFiltro · v1.2 · octubre 2026</t>
        </is>
      </c>
    </row>
  </sheetData>
  <mergeCells count="1">
    <mergeCell ref="C39:D39"/>
  </mergeCells>
  <conditionalFormatting sqref="C5:C3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3.xml><?xml version="1.0" encoding="utf-8"?>
<worksheet xmlns="http://schemas.openxmlformats.org/spreadsheetml/2006/main">
  <sheetPr>
    <outlinePr summaryBelow="1" summaryRight="1"/>
    <pageSetUpPr/>
  </sheetPr>
  <dimension ref="B2:J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4" customWidth="1" min="7" max="7"/>
    <col width="14" customWidth="1" min="8" max="8"/>
    <col width="15" customWidth="1" min="9" max="9"/>
    <col width="50" customWidth="1" min="10" max="10"/>
  </cols>
  <sheetData>
    <row r="2">
      <c r="B2" s="1" t="inlineStr">
        <is>
          <t>Embudo: todos los pasos, cuántos, qué porcentaje pasa y cuánto cuesta cada uno</t>
        </is>
      </c>
    </row>
    <row r="3">
      <c r="B3" s="2" t="inlineStr">
        <is>
          <t>Cada fila es un paso del embudo en orden. '% que pasa' compara con el paso anterior (o con el que dice la nota). El costo por paso es inversión ÷ cantidad; el techo por paso es lo máximo que podrías pagar por él si lo demás se mantiene. Los pasos sin costo propio ya se pagaron con el CPA: mejoran el AOV.</t>
        </is>
      </c>
    </row>
    <row r="5">
      <c r="B5" s="5" t="inlineStr">
        <is>
          <t>Paso</t>
        </is>
      </c>
      <c r="C5" s="5" t="inlineStr">
        <is>
          <t>Cantidad</t>
        </is>
      </c>
      <c r="D5" s="5" t="inlineStr">
        <is>
          <t>% que pasa</t>
        </is>
      </c>
      <c r="E5" s="5" t="inlineStr">
        <is>
          <t>% que se pierde</t>
        </is>
      </c>
      <c r="F5" s="5" t="inlineStr">
        <is>
          <t>% acumulado</t>
        </is>
      </c>
      <c r="G5" s="5" t="inlineStr">
        <is>
          <t>Costo por paso</t>
        </is>
      </c>
      <c r="H5" s="5" t="inlineStr">
        <is>
          <t>Techo por paso</t>
        </is>
      </c>
      <c r="I5" s="5" t="inlineStr">
        <is>
          <t>Ganancia por paso</t>
        </is>
      </c>
      <c r="J5" s="5" t="inlineStr">
        <is>
          <t>Qué se paga acá / cómo se lee</t>
        </is>
      </c>
    </row>
    <row r="6">
      <c r="B6" t="inlineStr">
        <is>
          <t>Impresiones del anuncio</t>
        </is>
      </c>
      <c r="C6" s="16">
        <f>'Modelo'!$C$7</f>
        <v/>
      </c>
      <c r="D6" t="inlineStr">
        <is>
          <t>—</t>
        </is>
      </c>
      <c r="E6" t="inlineStr">
        <is>
          <t>—</t>
        </is>
      </c>
      <c r="F6" t="inlineStr">
        <is>
          <t>—</t>
        </is>
      </c>
      <c r="G6" s="12">
        <f>IF('Modelo'!$C$7=0,0,'Supuestos'!$C$8*1000/'Modelo'!$C$7)</f>
        <v/>
      </c>
      <c r="H6" t="inlineStr">
        <is>
          <t>—</t>
        </is>
      </c>
      <c r="I6" s="12">
        <f>IF('Modelo'!$C$7=0,0,'Modelo'!$C$40*1000/'Modelo'!$C$7)</f>
        <v/>
      </c>
      <c r="J6" s="4" t="inlineStr">
        <is>
          <t>Costo por mil impresiones (CPM).</t>
        </is>
      </c>
    </row>
    <row r="7">
      <c r="B7" t="inlineStr">
        <is>
          <t>Clics al enlace</t>
        </is>
      </c>
      <c r="C7" s="16">
        <f>'Modelo'!$C$8</f>
        <v/>
      </c>
      <c r="D7" s="17">
        <f>IF('Modelo'!$C$7=0,0,'Modelo'!$C$8/'Modelo'!$C$7)</f>
        <v/>
      </c>
      <c r="E7" s="17">
        <f>IF('Modelo'!$C$7=0,0,1-'Modelo'!$C$8/'Modelo'!$C$7)</f>
        <v/>
      </c>
      <c r="F7" t="inlineStr">
        <is>
          <t>—</t>
        </is>
      </c>
      <c r="G7" s="12">
        <f>IF('Modelo'!$C$8=0,0,'Supuestos'!$C$8*1/'Modelo'!$C$8)</f>
        <v/>
      </c>
      <c r="H7" s="18">
        <f>IF('Modelo'!$C$8=0,0,'Modelo'!$C$47*'Modelo'!$C$11*1/'Modelo'!$C$8)</f>
        <v/>
      </c>
      <c r="I7" s="12">
        <f>IF('Modelo'!$C$8=0,0,'Modelo'!$C$40*1/'Modelo'!$C$8)</f>
        <v/>
      </c>
      <c r="J7" s="4" t="inlineStr">
        <is>
          <t>Costo por clic (CTR).</t>
        </is>
      </c>
    </row>
    <row r="8">
      <c r="B8" t="inlineStr">
        <is>
          <t>Visitas a la página</t>
        </is>
      </c>
      <c r="C8" s="16">
        <f>'Modelo'!$C$9</f>
        <v/>
      </c>
      <c r="D8" s="17">
        <f>IF('Modelo'!$C$8=0,0,'Modelo'!$C$9/'Modelo'!$C$8)</f>
        <v/>
      </c>
      <c r="E8" s="17">
        <f>IF('Modelo'!$C$8=0,0,1-'Modelo'!$C$9/'Modelo'!$C$8)</f>
        <v/>
      </c>
      <c r="F8" t="inlineStr">
        <is>
          <t>—</t>
        </is>
      </c>
      <c r="G8" s="12">
        <f>IF('Modelo'!$C$9=0,0,'Supuestos'!$C$8*1/'Modelo'!$C$9)</f>
        <v/>
      </c>
      <c r="H8" s="18">
        <f>IF('Modelo'!$C$9=0,0,'Modelo'!$C$47*'Modelo'!$C$11*1/'Modelo'!$C$9)</f>
        <v/>
      </c>
      <c r="I8" s="12">
        <f>IF('Modelo'!$C$9=0,0,'Modelo'!$C$40*1/'Modelo'!$C$9)</f>
        <v/>
      </c>
      <c r="J8" s="4" t="inlineStr">
        <is>
          <t>Costo por visita.</t>
        </is>
      </c>
    </row>
    <row r="9">
      <c r="B9" s="3" t="inlineStr">
        <is>
          <t>Leads</t>
        </is>
      </c>
      <c r="C9" s="16">
        <f>'Modelo'!$C$11</f>
        <v/>
      </c>
      <c r="D9" s="17">
        <f>IF('Modelo'!$C$9=0,0,'Modelo'!$C$11/'Modelo'!$C$9)</f>
        <v/>
      </c>
      <c r="E9" s="17">
        <f>IF('Modelo'!$C$9=0,0,1-'Modelo'!$C$11/'Modelo'!$C$9)</f>
        <v/>
      </c>
      <c r="F9" s="19">
        <f>IF('Modelo'!$C$11=0,0,'Modelo'!$C$11/'Modelo'!$C$11)</f>
        <v/>
      </c>
      <c r="G9" s="12">
        <f>IF('Modelo'!$C$11=0,0,'Supuestos'!$C$8*1/'Modelo'!$C$11)</f>
        <v/>
      </c>
      <c r="H9" s="18">
        <f>IF('Modelo'!$C$11=0,0,'Modelo'!$C$47*'Modelo'!$C$11*1/'Modelo'!$C$11)</f>
        <v/>
      </c>
      <c r="I9" s="12">
        <f>IF('Modelo'!$C$11=0,0,'Modelo'!$C$40*1/'Modelo'!$C$11)</f>
        <v/>
      </c>
      <c r="J9" s="4" t="inlineStr">
        <is>
          <t>CPL real.</t>
        </is>
      </c>
    </row>
    <row r="10">
      <c r="B10" t="inlineStr">
        <is>
          <t>Asisten al evento previo (si hay)</t>
        </is>
      </c>
      <c r="C10" s="16">
        <f>'Modelo'!$C$13</f>
        <v/>
      </c>
      <c r="D10" s="17">
        <f>IF('Modelo'!$C$11=0,0,'Modelo'!$C$13/'Modelo'!$C$11)</f>
        <v/>
      </c>
      <c r="E10" s="17">
        <f>IF('Modelo'!$C$11=0,0,1-'Modelo'!$C$13/'Modelo'!$C$11)</f>
        <v/>
      </c>
      <c r="F10" s="19">
        <f>IF('Modelo'!$C$11=0,0,'Modelo'!$C$13/'Modelo'!$C$11)</f>
        <v/>
      </c>
      <c r="G10" s="12">
        <f>IF('Modelo'!$C$13=0,0,'Supuestos'!$C$8*1/'Modelo'!$C$13)</f>
        <v/>
      </c>
      <c r="H10" s="18">
        <f>IF('Modelo'!$C$13=0,0,'Modelo'!$C$47*'Modelo'!$C$11*1/'Modelo'!$C$13)</f>
        <v/>
      </c>
      <c r="I10" s="12">
        <f>IF('Modelo'!$C$13=0,0,'Modelo'!$C$40*1/'Modelo'!$C$13)</f>
        <v/>
      </c>
      <c r="J10" s="4" t="inlineStr">
        <is>
          <t>Solo cuenta con el interruptor de evento en 1; si no, queda en 0.</t>
        </is>
      </c>
    </row>
    <row r="11">
      <c r="B11" t="inlineStr">
        <is>
          <t>Completan la aplicación</t>
        </is>
      </c>
      <c r="C11" s="16">
        <f>'Modelo'!$C$15</f>
        <v/>
      </c>
      <c r="D11" s="17">
        <f>IF('Modelo'!$C$11=0,0,'Modelo'!$C$15/'Modelo'!$C$11)</f>
        <v/>
      </c>
      <c r="E11" s="17">
        <f>IF('Modelo'!$C$11=0,0,1-'Modelo'!$C$15/'Modelo'!$C$11)</f>
        <v/>
      </c>
      <c r="F11" s="19">
        <f>IF('Modelo'!$C$11=0,0,'Modelo'!$C$15/'Modelo'!$C$11)</f>
        <v/>
      </c>
      <c r="G11" s="12">
        <f>IF('Modelo'!$C$15=0,0,'Supuestos'!$C$8*1/'Modelo'!$C$15)</f>
        <v/>
      </c>
      <c r="H11" s="18">
        <f>IF('Modelo'!$C$15=0,0,'Modelo'!$C$47*'Modelo'!$C$11*1/'Modelo'!$C$15)</f>
        <v/>
      </c>
      <c r="I11" s="12">
        <f>IF('Modelo'!$C$15=0,0,'Modelo'!$C$40*1/'Modelo'!$C$15)</f>
        <v/>
      </c>
      <c r="J11" s="4" t="inlineStr">
        <is>
          <t>Costo por aplicación. Sobre leads (sobre asistentes si hay evento).</t>
        </is>
      </c>
    </row>
    <row r="12">
      <c r="B12" t="inlineStr">
        <is>
          <t>Califican</t>
        </is>
      </c>
      <c r="C12" s="16">
        <f>'Modelo'!$C$16</f>
        <v/>
      </c>
      <c r="D12" s="17">
        <f>IF('Modelo'!$C$15=0,0,'Modelo'!$C$16/'Modelo'!$C$15)</f>
        <v/>
      </c>
      <c r="E12" s="17">
        <f>IF('Modelo'!$C$15=0,0,1-'Modelo'!$C$16/'Modelo'!$C$15)</f>
        <v/>
      </c>
      <c r="F12" s="19">
        <f>IF('Modelo'!$C$11=0,0,'Modelo'!$C$16/'Modelo'!$C$11)</f>
        <v/>
      </c>
      <c r="G12" s="12">
        <f>IF('Modelo'!$C$16=0,0,'Supuestos'!$C$8*1/'Modelo'!$C$16)</f>
        <v/>
      </c>
      <c r="H12" s="18">
        <f>IF('Modelo'!$C$16=0,0,'Modelo'!$C$47*'Modelo'!$C$11*1/'Modelo'!$C$16)</f>
        <v/>
      </c>
      <c r="I12" s="12">
        <f>IF('Modelo'!$C$16=0,0,'Modelo'!$C$40*1/'Modelo'!$C$16)</f>
        <v/>
      </c>
      <c r="J12" s="4" t="inlineStr">
        <is>
          <t>Sobre aplicaciones. Palanca: las preguntas del formulario.</t>
        </is>
      </c>
    </row>
    <row r="13">
      <c r="B13" s="3" t="inlineStr">
        <is>
          <t>Agendan la llamada</t>
        </is>
      </c>
      <c r="C13" s="16">
        <f>'Modelo'!$C$17</f>
        <v/>
      </c>
      <c r="D13" s="17">
        <f>IF('Modelo'!$C$16=0,0,'Modelo'!$C$17/'Modelo'!$C$16)</f>
        <v/>
      </c>
      <c r="E13" s="17">
        <f>IF('Modelo'!$C$16=0,0,1-'Modelo'!$C$17/'Modelo'!$C$16)</f>
        <v/>
      </c>
      <c r="F13" s="19">
        <f>IF('Modelo'!$C$11=0,0,'Modelo'!$C$17/'Modelo'!$C$11)</f>
        <v/>
      </c>
      <c r="G13" s="12">
        <f>IF('Modelo'!$C$17=0,0,'Supuestos'!$C$8*1/'Modelo'!$C$17)</f>
        <v/>
      </c>
      <c r="H13" s="18">
        <f>IF('Modelo'!$C$17=0,0,'Modelo'!$C$47*'Modelo'!$C$11*1/'Modelo'!$C$17)</f>
        <v/>
      </c>
      <c r="I13" s="12">
        <f>IF('Modelo'!$C$17=0,0,'Modelo'!$C$40*1/'Modelo'!$C$17)</f>
        <v/>
      </c>
      <c r="J13" s="4" t="inlineStr">
        <is>
          <t>Costo por agenda. Sobre calificados. Palancas: setter, confirmación por WhatsApp.</t>
        </is>
      </c>
    </row>
    <row r="14">
      <c r="B14" t="inlineStr">
        <is>
          <t>Aparecen en la llamada (show)</t>
        </is>
      </c>
      <c r="C14" s="16">
        <f>'Modelo'!$C$18</f>
        <v/>
      </c>
      <c r="D14" s="17">
        <f>IF('Modelo'!$C$17=0,0,'Modelo'!$C$18/'Modelo'!$C$17)</f>
        <v/>
      </c>
      <c r="E14" s="17">
        <f>IF('Modelo'!$C$17=0,0,1-'Modelo'!$C$18/'Modelo'!$C$17)</f>
        <v/>
      </c>
      <c r="F14" s="19">
        <f>IF('Modelo'!$C$11=0,0,'Modelo'!$C$18/'Modelo'!$C$11)</f>
        <v/>
      </c>
      <c r="G14" s="12">
        <f>IF('Modelo'!$C$18=0,0,'Supuestos'!$C$8*1/'Modelo'!$C$18)</f>
        <v/>
      </c>
      <c r="H14" s="18">
        <f>IF('Modelo'!$C$18=0,0,'Modelo'!$C$47*'Modelo'!$C$11*1/'Modelo'!$C$18)</f>
        <v/>
      </c>
      <c r="I14" s="12">
        <f>IF('Modelo'!$C$18=0,0,'Modelo'!$C$40*1/'Modelo'!$C$18)</f>
        <v/>
      </c>
      <c r="J14" s="4" t="inlineStr">
        <is>
          <t>Costo por llamada realizada. Sobre agendas. Palancas: recordatorio, video de bienvenida.</t>
        </is>
      </c>
    </row>
    <row r="15">
      <c r="B15" s="3" t="inlineStr">
        <is>
          <t>Compran el programa</t>
        </is>
      </c>
      <c r="C15" s="16">
        <f>'Modelo'!$C$23</f>
        <v/>
      </c>
      <c r="D15" s="17">
        <f>IF('Modelo'!$C$18=0,0,'Modelo'!$C$23/'Modelo'!$C$18)</f>
        <v/>
      </c>
      <c r="E15" s="17">
        <f>IF('Modelo'!$C$18=0,0,1-'Modelo'!$C$23/'Modelo'!$C$18)</f>
        <v/>
      </c>
      <c r="F15" s="19">
        <f>IF('Modelo'!$C$11=0,0,'Modelo'!$C$23/'Modelo'!$C$11)</f>
        <v/>
      </c>
      <c r="G15" s="12">
        <f>IF('Modelo'!$C$23=0,0,'Supuestos'!$C$8*1/'Modelo'!$C$23)</f>
        <v/>
      </c>
      <c r="H15" s="18">
        <f>IF('Modelo'!$C$23=0,0,'Modelo'!$C$47*'Modelo'!$C$11*1/'Modelo'!$C$23)</f>
        <v/>
      </c>
      <c r="I15" s="12">
        <f>IF('Modelo'!$C$23=0,0,'Modelo'!$C$40*1/'Modelo'!$C$23)</f>
        <v/>
      </c>
      <c r="J15" s="4" t="inlineStr">
        <is>
          <t>CAC. Sobre llamadas (cierre). Juzgar con 3 a 4 eventos, nunca con uno.</t>
        </is>
      </c>
    </row>
    <row r="16">
      <c r="B16" t="inlineStr">
        <is>
          <t>Toman el downsell</t>
        </is>
      </c>
      <c r="C16" s="16">
        <f>'Modelo'!$C$24</f>
        <v/>
      </c>
      <c r="D16" s="17">
        <f>IF('Modelo'!$C$18=0,0,'Modelo'!$C$24/'Modelo'!$C$18)</f>
        <v/>
      </c>
      <c r="E16" s="17">
        <f>IF('Modelo'!$C$18=0,0,1-'Modelo'!$C$24/'Modelo'!$C$18)</f>
        <v/>
      </c>
      <c r="F16" s="19">
        <f>IF('Modelo'!$C$11=0,0,'Modelo'!$C$24/'Modelo'!$C$11)</f>
        <v/>
      </c>
      <c r="G16" t="inlineStr">
        <is>
          <t>sin costo propio</t>
        </is>
      </c>
      <c r="H16" t="inlineStr">
        <is>
          <t>—</t>
        </is>
      </c>
      <c r="I16" t="inlineStr">
        <is>
          <t>—</t>
        </is>
      </c>
      <c r="J16" s="4" t="inlineStr">
        <is>
          <t>Sobre llamadas que no compraron. Se pagó con el CAC; suma al facturado.</t>
        </is>
      </c>
    </row>
    <row r="18">
      <c r="B18" s="3" t="inlineStr">
        <is>
          <t>Cómo se lee</t>
        </is>
      </c>
    </row>
    <row r="19" ht="26" customHeight="1">
      <c r="B19" s="4" t="inlineStr">
        <is>
          <t>Cantidad: cuántas acciones o personas hubo en ese paso con los supuestos del escenario en uso.</t>
        </is>
      </c>
    </row>
    <row r="20" ht="26" customHeight="1">
      <c r="B20" s="4" t="inlineStr">
        <is>
          <t>% que pasa: de los que estaban en el paso anterior (o en el paso que indica la nota), cuántos llegan a este. % que se pierde es el complemento.</t>
        </is>
      </c>
    </row>
    <row r="21" ht="26" customHeight="1">
      <c r="B21" s="4" t="inlineStr">
        <is>
          <t>% acumulado: cuántos llegan a este paso por cada 100 unidades que compra la pauta.</t>
        </is>
      </c>
    </row>
    <row r="22" ht="26" customHeight="1">
      <c r="B22" s="4" t="inlineStr">
        <is>
          <t>Costo por paso: inversión ÷ cantidad. Es lo que te está costando hoy cada persona que llega a ese paso.</t>
        </is>
      </c>
    </row>
    <row r="23" ht="26" customHeight="1">
      <c r="B23" s="4" t="inlineStr">
        <is>
          <t>Techo por paso: lo máximo que podrías pagar por ese paso sin perder plata, si lo demás se mantiene. Comparalo con el costo por paso: si el costo está por encima del techo, ese paso está caro.</t>
        </is>
      </c>
    </row>
    <row r="24" ht="26" customHeight="1">
      <c r="B24" s="4" t="inlineStr">
        <is>
          <t>Ganancia por paso: la ganancia del período dividida por la cantidad de ese paso. Es la otra cara del costo: cuánto te queda por cada visita, por cada lead, por cada comprador. La ganancia por visita es la métrica más valiosa del embudo: resume todo lo que pasa después.</t>
        </is>
      </c>
    </row>
    <row r="25" ht="26" customHeight="1">
      <c r="B25" s="4" t="inlineStr">
        <is>
          <t>Los bumps, las OTOs y la ascensión no tienen costo propio: se pagan con el CPA del comprador principal y se miden por lo que suman al AOV.</t>
        </is>
      </c>
    </row>
  </sheetData>
  <mergeCells count="7">
    <mergeCell ref="B25:J25"/>
    <mergeCell ref="B24:J24"/>
    <mergeCell ref="B19:J19"/>
    <mergeCell ref="B20:J20"/>
    <mergeCell ref="B22:J22"/>
    <mergeCell ref="B23:J23"/>
    <mergeCell ref="B21:J21"/>
  </mergeCells>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4.xml><?xml version="1.0" encoding="utf-8"?>
<worksheet xmlns="http://schemas.openxmlformats.org/spreadsheetml/2006/main">
  <sheetPr>
    <outlinePr summaryBelow="1" summaryRight="1"/>
    <pageSetUpPr/>
  </sheetPr>
  <dimension ref="B2: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2">
      <c r="B2" s="1" t="inlineStr">
        <is>
          <t>Supuestos</t>
        </is>
      </c>
    </row>
    <row r="3">
      <c r="B3" s="2" t="inlineStr">
        <is>
          <t>Celdas amarillas = las editás vos. Celdas azules = se calculan solas. Cada fila dice en qué unidad va y de dónde sale el valor del ejemplo.</t>
        </is>
      </c>
    </row>
    <row r="5">
      <c r="B5" s="5" t="inlineStr">
        <is>
          <t>Supuesto</t>
        </is>
      </c>
      <c r="C5" s="5" t="inlineStr">
        <is>
          <t>Valor en uso</t>
        </is>
      </c>
      <c r="D5" s="5" t="inlineStr">
        <is>
          <t>Conservador</t>
        </is>
      </c>
      <c r="E5" s="5" t="inlineStr">
        <is>
          <t>Base</t>
        </is>
      </c>
      <c r="F5" s="5" t="inlineStr">
        <is>
          <t>Optimista</t>
        </is>
      </c>
      <c r="G5" s="5" t="inlineStr">
        <is>
          <t>Unidad</t>
        </is>
      </c>
      <c r="H5" s="5" t="inlineStr">
        <is>
          <t>Nota / fuente del ejemplo</t>
        </is>
      </c>
    </row>
    <row r="6">
      <c r="B6" s="3" t="inlineStr">
        <is>
          <t>Escenario en uso (1 = conservador · 2 = base · 3 = optimista)</t>
        </is>
      </c>
      <c r="C6" s="20" t="n">
        <v>2</v>
      </c>
      <c r="G6" t="inlineStr">
        <is>
          <t>1 / 2 / 3</t>
        </is>
      </c>
      <c r="H6" s="4" t="inlineStr">
        <is>
          <t>Cambia todas las filas que tienen tres valores. Si una fila no tiene tres valores, se usa el de 'Valor en uso'.</t>
        </is>
      </c>
    </row>
    <row r="7">
      <c r="B7" s="6" t="inlineStr">
        <is>
          <t>1. Inversión y tráfico</t>
        </is>
      </c>
      <c r="C7" s="7" t="n"/>
      <c r="D7" s="7" t="n"/>
      <c r="E7" s="7" t="n"/>
      <c r="F7" s="7" t="n"/>
      <c r="G7" s="7" t="n"/>
      <c r="H7" s="7" t="n"/>
    </row>
    <row r="8">
      <c r="B8" t="inlineStr">
        <is>
          <t>Inversión en publicidad por mes</t>
        </is>
      </c>
      <c r="C8" s="21" t="n">
        <v>4500</v>
      </c>
      <c r="G8" t="inlineStr">
        <is>
          <t>USD / mes</t>
        </is>
      </c>
      <c r="H8" s="4" t="inlineStr">
        <is>
          <t>150 USD por día en el ejemplo.</t>
        </is>
      </c>
    </row>
    <row r="9">
      <c r="B9" t="inlineStr">
        <is>
          <t>CPM (costo por mil impresiones)</t>
        </is>
      </c>
      <c r="C9" s="18">
        <f>IF('Supuestos'!$C$6=1,D9,IF('Supuestos'!$C$6=2,E9,F9))</f>
        <v/>
      </c>
      <c r="D9" s="22" t="n">
        <v>14</v>
      </c>
      <c r="E9" s="22" t="n">
        <v>10</v>
      </c>
      <c r="F9" s="22" t="n">
        <v>7</v>
      </c>
      <c r="G9" t="inlineStr">
        <is>
          <t>USD</t>
        </is>
      </c>
      <c r="H9" s="4" t="inlineStr">
        <is>
          <t>Públicos de ticket alto suelen ser más caros: 7 a 15.</t>
        </is>
      </c>
    </row>
    <row r="10">
      <c r="B10" t="inlineStr">
        <is>
          <t>CTR al enlace</t>
        </is>
      </c>
      <c r="C10" s="17">
        <f>IF('Supuestos'!$C$6=1,D10,IF('Supuestos'!$C$6=2,E10,F10))</f>
        <v/>
      </c>
      <c r="D10" s="23" t="n">
        <v>0.012</v>
      </c>
      <c r="E10" s="23" t="n">
        <v>0.015</v>
      </c>
      <c r="F10" s="23" t="n">
        <v>0.02</v>
      </c>
      <c r="G10" t="inlineStr">
        <is>
          <t>%</t>
        </is>
      </c>
      <c r="H10" s="4" t="inlineStr"/>
    </row>
    <row r="11">
      <c r="B11" t="inlineStr">
        <is>
          <t>% de clics que cargan la página</t>
        </is>
      </c>
      <c r="C11" s="23" t="n">
        <v>0.85</v>
      </c>
      <c r="G11" t="inlineStr">
        <is>
          <t>%</t>
        </is>
      </c>
      <c r="H11" s="4" t="inlineStr"/>
    </row>
    <row r="13">
      <c r="B13" s="6" t="inlineStr">
        <is>
          <t>2. Página de captación</t>
        </is>
      </c>
      <c r="C13" s="7" t="n"/>
      <c r="D13" s="7" t="n"/>
      <c r="E13" s="7" t="n"/>
      <c r="F13" s="7" t="n"/>
      <c r="G13" s="7" t="n"/>
      <c r="H13" s="7" t="n"/>
    </row>
    <row r="14">
      <c r="B14" t="inlineStr">
        <is>
          <t>% de visitas que dejan sus datos (lead)</t>
        </is>
      </c>
      <c r="C14" s="17">
        <f>IF('Supuestos'!$C$6=1,D14,IF('Supuestos'!$C$6=2,E14,F14))</f>
        <v/>
      </c>
      <c r="D14" s="23" t="n">
        <v>0.2</v>
      </c>
      <c r="E14" s="23" t="n">
        <v>0.28</v>
      </c>
      <c r="F14" s="23" t="n">
        <v>0.35</v>
      </c>
      <c r="G14" t="inlineStr">
        <is>
          <t>%</t>
        </is>
      </c>
      <c r="H14" s="4" t="inlineStr">
        <is>
          <t>Registro al webinar o inicio de la aplicación.</t>
        </is>
      </c>
    </row>
    <row r="16">
      <c r="B16" s="6" t="inlineStr">
        <is>
          <t>3. Evento previo (opcional)</t>
        </is>
      </c>
      <c r="C16" s="7" t="n"/>
      <c r="D16" s="7" t="n"/>
      <c r="E16" s="7" t="n"/>
      <c r="F16" s="7" t="n"/>
      <c r="G16" s="7" t="n"/>
      <c r="H16" s="7" t="n"/>
    </row>
    <row r="17">
      <c r="B17" t="inlineStr">
        <is>
          <t>¿Hay webinar o evento antes de la aplicación? (1 = sí, 0 = no)</t>
        </is>
      </c>
      <c r="C17" s="20" t="n">
        <v>0</v>
      </c>
      <c r="G17" t="inlineStr">
        <is>
          <t>1 / 0</t>
        </is>
      </c>
      <c r="H17" s="4" t="inlineStr">
        <is>
          <t>Con 1, la aplicación se mide sobre los asistentes; con 0, sobre todos los leads.</t>
        </is>
      </c>
    </row>
    <row r="18">
      <c r="B18" t="inlineStr">
        <is>
          <t>% de leads que asisten al evento</t>
        </is>
      </c>
      <c r="C18" s="17">
        <f>IF('Supuestos'!$C$6=1,D18,IF('Supuestos'!$C$6=2,E18,F18))</f>
        <v/>
      </c>
      <c r="D18" s="23" t="n">
        <v>0.1</v>
      </c>
      <c r="E18" s="23" t="n">
        <v>0.14</v>
      </c>
      <c r="F18" s="23" t="n">
        <v>0.2</v>
      </c>
      <c r="G18" t="inlineStr">
        <is>
          <t>%</t>
        </is>
      </c>
      <c r="H18" s="4" t="inlineStr">
        <is>
          <t>Solo cuenta si el interruptor está en 1.</t>
        </is>
      </c>
    </row>
    <row r="20">
      <c r="B20" s="6" t="inlineStr">
        <is>
          <t>4. Aplicación, agenda y llamada</t>
        </is>
      </c>
      <c r="C20" s="7" t="n"/>
      <c r="D20" s="7" t="n"/>
      <c r="E20" s="7" t="n"/>
      <c r="F20" s="7" t="n"/>
      <c r="G20" s="7" t="n"/>
      <c r="H20" s="7" t="n"/>
    </row>
    <row r="21">
      <c r="B21" t="inlineStr">
        <is>
          <t>% que completa la aplicación (de leads, o de asistentes si hay evento)</t>
        </is>
      </c>
      <c r="C21" s="17">
        <f>IF('Supuestos'!$C$6=1,D21,IF('Supuestos'!$C$6=2,E21,F21))</f>
        <v/>
      </c>
      <c r="D21" s="23" t="n">
        <v>0.07000000000000001</v>
      </c>
      <c r="E21" s="23" t="n">
        <v>0.1</v>
      </c>
      <c r="F21" s="23" t="n">
        <v>0.15</v>
      </c>
      <c r="G21" t="inlineStr">
        <is>
          <t>%</t>
        </is>
      </c>
      <c r="H21" s="4" t="inlineStr">
        <is>
          <t>Formulario largo con preguntas que califican.</t>
        </is>
      </c>
    </row>
    <row r="22">
      <c r="B22" t="inlineStr">
        <is>
          <t>% de aplicaciones que califican</t>
        </is>
      </c>
      <c r="C22" s="17">
        <f>IF('Supuestos'!$C$6=1,D22,IF('Supuestos'!$C$6=2,E22,F22))</f>
        <v/>
      </c>
      <c r="D22" s="23" t="n">
        <v>0.5</v>
      </c>
      <c r="E22" s="23" t="n">
        <v>0.6</v>
      </c>
      <c r="F22" s="23" t="n">
        <v>0.7</v>
      </c>
      <c r="G22" t="inlineStr">
        <is>
          <t>%</t>
        </is>
      </c>
      <c r="H22" s="4" t="inlineStr">
        <is>
          <t>Pasan el filtro de capacidad de inversión y perfil.</t>
        </is>
      </c>
    </row>
    <row r="23">
      <c r="B23" t="inlineStr">
        <is>
          <t>% de calificados que agendan</t>
        </is>
      </c>
      <c r="C23" s="17">
        <f>IF('Supuestos'!$C$6=1,D23,IF('Supuestos'!$C$6=2,E23,F23))</f>
        <v/>
      </c>
      <c r="D23" s="23" t="n">
        <v>0.45</v>
      </c>
      <c r="E23" s="23" t="n">
        <v>0.6</v>
      </c>
      <c r="F23" s="23" t="n">
        <v>0.75</v>
      </c>
      <c r="G23" t="inlineStr">
        <is>
          <t>%</t>
        </is>
      </c>
      <c r="H23" s="4" t="inlineStr">
        <is>
          <t>Mercado: 30 a 60 % de las aplicaciones terminan en agenda.</t>
        </is>
      </c>
    </row>
    <row r="24">
      <c r="B24" t="inlineStr">
        <is>
          <t>% de agendas que aparecen en la llamada</t>
        </is>
      </c>
      <c r="C24" s="17">
        <f>IF('Supuestos'!$C$6=1,D24,IF('Supuestos'!$C$6=2,E24,F24))</f>
        <v/>
      </c>
      <c r="D24" s="23" t="n">
        <v>0.6</v>
      </c>
      <c r="E24" s="23" t="n">
        <v>0.7</v>
      </c>
      <c r="F24" s="23" t="n">
        <v>0.8</v>
      </c>
      <c r="G24" t="inlineStr">
        <is>
          <t>%</t>
        </is>
      </c>
      <c r="H24" s="4" t="inlineStr">
        <is>
          <t>Mercado: 65 a 75 %. Confirmación por WhatsApp y video de bienvenida lo suben.</t>
        </is>
      </c>
    </row>
    <row r="25">
      <c r="B25" t="inlineStr">
        <is>
          <t>% de llamadas que compran</t>
        </is>
      </c>
      <c r="C25" s="17">
        <f>IF('Supuestos'!$C$6=1,D25,IF('Supuestos'!$C$6=2,E25,F25))</f>
        <v/>
      </c>
      <c r="D25" s="23" t="n">
        <v>0.18</v>
      </c>
      <c r="E25" s="23" t="n">
        <v>0.25</v>
      </c>
      <c r="F25" s="23" t="n">
        <v>0.35</v>
      </c>
      <c r="G25" t="inlineStr">
        <is>
          <t>%</t>
        </is>
      </c>
      <c r="H25" s="4" t="inlineStr">
        <is>
          <t>Lead tibio y calificado: 20 a 40 %. Frío sin filtro: menos de 5 %.</t>
        </is>
      </c>
    </row>
    <row r="27">
      <c r="B27" s="6" t="inlineStr">
        <is>
          <t>5. Oferta</t>
        </is>
      </c>
      <c r="C27" s="7" t="n"/>
      <c r="D27" s="7" t="n"/>
      <c r="E27" s="7" t="n"/>
      <c r="F27" s="7" t="n"/>
      <c r="G27" s="7" t="n"/>
      <c r="H27" s="7" t="n"/>
    </row>
    <row r="28">
      <c r="B28" t="inlineStr">
        <is>
          <t>Programa: precio</t>
        </is>
      </c>
      <c r="C28" s="22" t="n">
        <v>1500</v>
      </c>
      <c r="G28" t="inlineStr">
        <is>
          <t>USD</t>
        </is>
      </c>
      <c r="H28" s="4" t="inlineStr">
        <is>
          <t>Debajo de 1.500 un closer 1 a 1 rara vez se paga; el modelo te lo muestra en la ganancia.</t>
        </is>
      </c>
    </row>
    <row r="29">
      <c r="B29" t="inlineStr">
        <is>
          <t>Downsell para quien no compra en la llamada: precio</t>
        </is>
      </c>
      <c r="C29" s="22" t="n">
        <v>497</v>
      </c>
      <c r="G29" t="inlineStr">
        <is>
          <t>USD</t>
        </is>
      </c>
      <c r="H29" s="4" t="inlineStr">
        <is>
          <t>Versión reducida o self-serve.</t>
        </is>
      </c>
    </row>
    <row r="30">
      <c r="B30" t="inlineStr">
        <is>
          <t>Downsell: % de los que no compraron que lo toman</t>
        </is>
      </c>
      <c r="C30" s="17">
        <f>IF('Supuestos'!$C$6=1,D30,IF('Supuestos'!$C$6=2,E30,F30))</f>
        <v/>
      </c>
      <c r="D30" s="23" t="n">
        <v>0.05</v>
      </c>
      <c r="E30" s="23" t="n">
        <v>0.1</v>
      </c>
      <c r="F30" s="23" t="n">
        <v>0.15</v>
      </c>
      <c r="G30" t="inlineStr">
        <is>
          <t>%</t>
        </is>
      </c>
      <c r="H30" s="4" t="inlineStr"/>
    </row>
    <row r="32">
      <c r="B32" s="6" t="inlineStr">
        <is>
          <t>6. Costos</t>
        </is>
      </c>
      <c r="C32" s="7" t="n"/>
      <c r="D32" s="7" t="n"/>
      <c r="E32" s="7" t="n"/>
      <c r="F32" s="7" t="n"/>
      <c r="G32" s="7" t="n"/>
      <c r="H32" s="7" t="n"/>
    </row>
    <row r="33">
      <c r="B33" t="inlineStr">
        <is>
          <t>Comisión de la pasarela o plataforma de pago</t>
        </is>
      </c>
      <c r="C33" s="23" t="n">
        <v>0.05</v>
      </c>
      <c r="G33" t="inlineStr">
        <is>
          <t>% del cash</t>
        </is>
      </c>
      <c r="H33" s="4" t="inlineStr">
        <is>
          <t>Hotmart, Stripe, Mercado Pago: lo que se queda la plataforma.</t>
        </is>
      </c>
    </row>
    <row r="34">
      <c r="B34" t="inlineStr">
        <is>
          <t>Comisión del equipo de ventas</t>
        </is>
      </c>
      <c r="C34" s="23" t="n">
        <v>0.1</v>
      </c>
      <c r="G34" t="inlineStr">
        <is>
          <t>% del cash</t>
        </is>
      </c>
      <c r="H34" s="4" t="inlineStr">
        <is>
          <t>Comisión de closers y setters sobre el cash cobrado. 10 a 15 % es lo común.</t>
        </is>
      </c>
    </row>
    <row r="35">
      <c r="B35" t="inlineStr">
        <is>
          <t>Reembolsos y contracargos</t>
        </is>
      </c>
      <c r="C35" s="23" t="n">
        <v>0.05</v>
      </c>
      <c r="G35" t="inlineStr">
        <is>
          <t>% del cash</t>
        </is>
      </c>
      <c r="H35" s="4" t="inlineStr">
        <is>
          <t>5 % es normal en productos digitales. Más de 10 % es un problema de oferta o de expectativa.</t>
        </is>
      </c>
    </row>
    <row r="36">
      <c r="B36" t="inlineStr">
        <is>
          <t>Costos por lead (herramientas, WhatsApp, IA)</t>
        </is>
      </c>
      <c r="C36" s="22" t="n">
        <v>0.2</v>
      </c>
      <c r="G36" t="inlineStr">
        <is>
          <t>USD / lead</t>
        </is>
      </c>
      <c r="H36" s="4" t="inlineStr">
        <is>
          <t>WhatsApp, herramientas de agenda, setter por contacto.</t>
        </is>
      </c>
    </row>
    <row r="37">
      <c r="B37" t="inlineStr">
        <is>
          <t>Costos fijos por mes</t>
        </is>
      </c>
      <c r="C37" s="21" t="n">
        <v>2500</v>
      </c>
      <c r="G37" t="inlineStr">
        <is>
          <t>USD / mes</t>
        </is>
      </c>
      <c r="H37" s="4" t="inlineStr">
        <is>
          <t>Equipo, herramientas, edición: lo que pagás aunque no vendas.</t>
        </is>
      </c>
    </row>
    <row r="39">
      <c r="B39" s="6" t="inlineStr">
        <is>
          <t>7. Cobranza</t>
        </is>
      </c>
      <c r="C39" s="7" t="n"/>
      <c r="D39" s="7" t="n"/>
      <c r="E39" s="7" t="n"/>
      <c r="F39" s="7" t="n"/>
      <c r="G39" s="7" t="n"/>
      <c r="H39" s="7" t="n"/>
    </row>
    <row r="40">
      <c r="B40" t="inlineStr">
        <is>
          <t>% del facturado que entra en el mes 1</t>
        </is>
      </c>
      <c r="C40" s="23" t="n">
        <v>0.6</v>
      </c>
      <c r="G40" t="inlineStr">
        <is>
          <t>%</t>
        </is>
      </c>
      <c r="H40" s="4" t="inlineStr">
        <is>
          <t>Ticket alto con cuotas: 60 % al contado o primera cuota, el resto en dos meses.</t>
        </is>
      </c>
    </row>
    <row r="41">
      <c r="B41" t="inlineStr">
        <is>
          <t>% que entra en el mes 2</t>
        </is>
      </c>
      <c r="C41" s="23" t="n">
        <v>0.2</v>
      </c>
      <c r="G41" t="inlineStr">
        <is>
          <t>%</t>
        </is>
      </c>
      <c r="H41" s="4" t="inlineStr">
        <is>
          <t>Cuotas o pagos diferidos.</t>
        </is>
      </c>
    </row>
    <row r="42">
      <c r="B42" t="inlineStr">
        <is>
          <t>% que entra en el mes 3</t>
        </is>
      </c>
      <c r="C42" s="23" t="n">
        <v>0.2</v>
      </c>
      <c r="G42" t="inlineStr">
        <is>
          <t>%</t>
        </is>
      </c>
      <c r="H42" s="4" t="inlineStr">
        <is>
          <t>Los tres deben sumar 100 %.</t>
        </is>
      </c>
    </row>
    <row r="44">
      <c r="B44" s="6" t="inlineStr">
        <is>
          <t>8. Objetivos y proyección</t>
        </is>
      </c>
      <c r="C44" s="7" t="n"/>
      <c r="D44" s="7" t="n"/>
      <c r="E44" s="7" t="n"/>
      <c r="F44" s="7" t="n"/>
      <c r="G44" s="7" t="n"/>
      <c r="H44" s="7" t="n"/>
    </row>
    <row r="45">
      <c r="B45" t="inlineStr">
        <is>
          <t>ROAS objetivo sobre cash neto</t>
        </is>
      </c>
      <c r="C45" s="24" t="n">
        <v>2.5</v>
      </c>
      <c r="G45" t="inlineStr">
        <is>
          <t>x</t>
        </is>
      </c>
      <c r="H45" s="4" t="inlineStr">
        <is>
          <t>El retorno mínimo que querés por cada dólar invertido, después de comisiones y reembolsos. Entra en el semáforo: sin llegar a este ROAS no hay verde.</t>
        </is>
      </c>
    </row>
    <row r="46">
      <c r="B46" t="inlineStr">
        <is>
          <t>Margen de seguridad</t>
        </is>
      </c>
      <c r="C46" s="23" t="n">
        <v>0.3</v>
      </c>
      <c r="G46" t="inlineStr">
        <is>
          <t>%</t>
        </is>
      </c>
      <c r="H46" s="4" t="inlineStr">
        <is>
          <t>Colchón entre el techo (donde no ganás ni perdés) y el objetivo. 30 % es el estándar que usamos.</t>
        </is>
      </c>
    </row>
    <row r="47">
      <c r="B47" t="inlineStr">
        <is>
          <t>Meta de ventas del producto principal</t>
        </is>
      </c>
      <c r="C47" s="20" t="n">
        <v>15</v>
      </c>
      <c r="G47" t="inlineStr">
        <is>
          <t>ventas / mes</t>
        </is>
      </c>
      <c r="H47" s="4" t="inlineStr">
        <is>
          <t>Para calcular cuánto invertir.</t>
        </is>
      </c>
    </row>
    <row r="48">
      <c r="B48" t="inlineStr">
        <is>
          <t>Crecimiento de la inversión por mes (proyección)</t>
        </is>
      </c>
      <c r="C48" s="23" t="n">
        <v>0.1</v>
      </c>
      <c r="G48" t="inlineStr">
        <is>
          <t>% / mes</t>
        </is>
      </c>
      <c r="H48" s="4" t="inlineStr">
        <is>
          <t>Cuánto sube la inversión cada mes en la proyección. 10 % por mes es un ritmo prudente; más de 25 % suele encarecer el CPM.</t>
        </is>
      </c>
    </row>
    <row r="49">
      <c r="B49" t="inlineStr">
        <is>
          <t>Caja inicial</t>
        </is>
      </c>
      <c r="C49" s="21" t="n">
        <v>8000</v>
      </c>
      <c r="G49" t="inlineStr">
        <is>
          <t>USD</t>
        </is>
      </c>
      <c r="H49" s="4" t="inlineStr">
        <is>
          <t>Con cuánta plata arrancás. La proyección te dice si alcanza.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5.xml><?xml version="1.0" encoding="utf-8"?>
<worksheet xmlns="http://schemas.openxmlformats.org/spreadsheetml/2006/main">
  <sheetPr>
    <outlinePr summaryBelow="1" summaryRight="1"/>
    <pageSetUpPr/>
  </sheetPr>
  <dimension ref="B2:D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2">
      <c r="B2" s="1" t="inlineStr">
        <is>
          <t>Modelo: la cadena completa del embudo</t>
        </is>
      </c>
    </row>
    <row r="3">
      <c r="B3" s="2" t="inlineStr">
        <is>
          <t>Cada fila es una etapa o un resultado. No se edita: todo sale de Supuestos. La columna de la derecha dice cómo se calcula.</t>
        </is>
      </c>
    </row>
    <row r="5">
      <c r="B5" s="5" t="inlineStr">
        <is>
          <t>Etapa / resultado</t>
        </is>
      </c>
      <c r="C5" s="5" t="inlineStr">
        <is>
          <t>Valor</t>
        </is>
      </c>
      <c r="D5" s="5" t="inlineStr">
        <is>
          <t>Cómo se calcula</t>
        </is>
      </c>
    </row>
    <row r="6">
      <c r="B6" s="6" t="inlineStr">
        <is>
          <t>Tráfico y leads</t>
        </is>
      </c>
      <c r="C6" s="7" t="n"/>
      <c r="D6" s="7" t="n"/>
    </row>
    <row r="7">
      <c r="B7" t="inlineStr">
        <is>
          <t>Impresiones</t>
        </is>
      </c>
      <c r="C7" s="16">
        <f>IF('Supuestos'!$C$9=0,0,'Supuestos'!$C$8/'Supuestos'!$C$9*1000)</f>
        <v/>
      </c>
      <c r="D7" s="4" t="inlineStr">
        <is>
          <t>Inversión ÷ CPM × 1.000.</t>
        </is>
      </c>
    </row>
    <row r="8">
      <c r="B8" t="inlineStr">
        <is>
          <t>Clics al enlace</t>
        </is>
      </c>
      <c r="C8" s="16">
        <f>'Modelo'!$C$7*'Supuestos'!$C$10</f>
        <v/>
      </c>
      <c r="D8" s="4" t="inlineStr">
        <is>
          <t>Impresiones × CTR.</t>
        </is>
      </c>
    </row>
    <row r="9">
      <c r="B9" t="inlineStr">
        <is>
          <t>Visitas a la página</t>
        </is>
      </c>
      <c r="C9" s="16">
        <f>'Modelo'!$C$8*'Supuestos'!$C$11</f>
        <v/>
      </c>
      <c r="D9" s="4" t="inlineStr">
        <is>
          <t>Clics × % que carga.</t>
        </is>
      </c>
    </row>
    <row r="10">
      <c r="B10" s="3" t="inlineStr">
        <is>
          <t>Costo por lead (CPL)</t>
        </is>
      </c>
      <c r="C10" s="12">
        <f>IF('Supuestos'!$C$10*'Supuestos'!$C$11*'Supuestos'!$C$14=0,0,'Supuestos'!$C$9/1000/('Supuestos'!$C$10*'Supuestos'!$C$11*'Supuestos'!$C$14))</f>
        <v/>
      </c>
      <c r="D10" s="4" t="inlineStr">
        <is>
          <t>CPM ÷ 1.000 ÷ (CTR × clic→visita × conversión de la página).</t>
        </is>
      </c>
    </row>
    <row r="11">
      <c r="B11" s="3" t="inlineStr">
        <is>
          <t>Leads</t>
        </is>
      </c>
      <c r="C11" s="11">
        <f>IF('Modelo'!$C$10=0,0,'Supuestos'!$C$8/'Modelo'!$C$10)</f>
        <v/>
      </c>
      <c r="D11" s="4" t="inlineStr">
        <is>
          <t>Inversión ÷ CPL.</t>
        </is>
      </c>
    </row>
    <row r="12">
      <c r="B12" s="6" t="inlineStr">
        <is>
          <t>Evento, aplicación y agenda</t>
        </is>
      </c>
      <c r="C12" s="7" t="n"/>
      <c r="D12" s="7" t="n"/>
    </row>
    <row r="13">
      <c r="B13" t="inlineStr">
        <is>
          <t>Asistentes al evento (si hay)</t>
        </is>
      </c>
      <c r="C13" s="16">
        <f>IF('Supuestos'!$C$17=1,'Modelo'!$C$11*'Supuestos'!$C$18,0)</f>
        <v/>
      </c>
      <c r="D13" s="4" t="inlineStr">
        <is>
          <t>Leads × asistencia, solo con el interruptor en 1.</t>
        </is>
      </c>
    </row>
    <row r="14">
      <c r="B14" t="inlineStr">
        <is>
          <t>Base de la aplicación (asistentes o leads)</t>
        </is>
      </c>
      <c r="C14" s="16">
        <f>IF('Supuestos'!$C$17=1,'Modelo'!$C$13,'Modelo'!$C$11)</f>
        <v/>
      </c>
      <c r="D14" s="4" t="inlineStr">
        <is>
          <t>Sobre quién se mide la aplicación.</t>
        </is>
      </c>
    </row>
    <row r="15">
      <c r="B15" t="inlineStr">
        <is>
          <t>Aplicaciones completas</t>
        </is>
      </c>
      <c r="C15" s="16">
        <f>'Modelo'!$C$14*'Supuestos'!$C$21</f>
        <v/>
      </c>
      <c r="D15" s="4" t="inlineStr">
        <is>
          <t>Base × % que aplica.</t>
        </is>
      </c>
    </row>
    <row r="16">
      <c r="B16" t="inlineStr">
        <is>
          <t>Calificados</t>
        </is>
      </c>
      <c r="C16" s="16">
        <f>'Modelo'!$C$15*'Supuestos'!$C$22</f>
        <v/>
      </c>
      <c r="D16" s="4" t="inlineStr">
        <is>
          <t>Aplicaciones × % que califica.</t>
        </is>
      </c>
    </row>
    <row r="17">
      <c r="B17" s="3" t="inlineStr">
        <is>
          <t>Agendas</t>
        </is>
      </c>
      <c r="C17" s="10">
        <f>'Modelo'!$C$16*'Supuestos'!$C$23</f>
        <v/>
      </c>
      <c r="D17" s="4" t="inlineStr">
        <is>
          <t>Calificados × % que agenda.</t>
        </is>
      </c>
    </row>
    <row r="18">
      <c r="B18" t="inlineStr">
        <is>
          <t>Llamadas realizadas</t>
        </is>
      </c>
      <c r="C18" s="25">
        <f>'Modelo'!$C$17*'Supuestos'!$C$24</f>
        <v/>
      </c>
      <c r="D18" s="4" t="inlineStr">
        <is>
          <t>Agendas × show de la llamada.</t>
        </is>
      </c>
    </row>
    <row r="19">
      <c r="B19" t="inlineStr">
        <is>
          <t>Costo por aplicación</t>
        </is>
      </c>
      <c r="C19" s="18">
        <f>IF('Modelo'!$C$15=0,0,'Supuestos'!$C$8/'Modelo'!$C$15)</f>
        <v/>
      </c>
      <c r="D19" s="4" t="inlineStr">
        <is>
          <t>Inversión ÷ aplicaciones.</t>
        </is>
      </c>
    </row>
    <row r="20">
      <c r="B20" s="3" t="inlineStr">
        <is>
          <t>Costo por agenda</t>
        </is>
      </c>
      <c r="C20" s="12">
        <f>IF('Modelo'!$C$17=0,0,'Supuestos'!$C$8/'Modelo'!$C$17)</f>
        <v/>
      </c>
      <c r="D20" s="4" t="inlineStr">
        <is>
          <t>Inversión ÷ agendas.</t>
        </is>
      </c>
    </row>
    <row r="21">
      <c r="B21" t="inlineStr">
        <is>
          <t>Costo por llamada realizada</t>
        </is>
      </c>
      <c r="C21" s="18">
        <f>IF('Modelo'!$C$18=0,0,'Supuestos'!$C$8/'Modelo'!$C$18)</f>
        <v/>
      </c>
      <c r="D21" s="4" t="inlineStr">
        <is>
          <t>Inversión ÷ llamadas.</t>
        </is>
      </c>
    </row>
    <row r="22">
      <c r="B22" s="6" t="inlineStr">
        <is>
          <t>Ventas y facturación</t>
        </is>
      </c>
      <c r="C22" s="7" t="n"/>
      <c r="D22" s="7" t="n"/>
    </row>
    <row r="23">
      <c r="B23" s="3" t="inlineStr">
        <is>
          <t>Ventas del programa</t>
        </is>
      </c>
      <c r="C23" s="10">
        <f>'Modelo'!$C$18*'Supuestos'!$C$25</f>
        <v/>
      </c>
      <c r="D23" s="4" t="inlineStr">
        <is>
          <t>Llamadas × cierre.</t>
        </is>
      </c>
    </row>
    <row r="24">
      <c r="B24" t="inlineStr">
        <is>
          <t>Ventas del downsell</t>
        </is>
      </c>
      <c r="C24" s="25">
        <f>('Modelo'!$C$18-'Modelo'!$C$23)*'Supuestos'!$C$30</f>
        <v/>
      </c>
      <c r="D24" s="4" t="inlineStr">
        <is>
          <t>(Llamadas − ventas) × % que toma el downsell.</t>
        </is>
      </c>
    </row>
    <row r="25">
      <c r="B25" t="inlineStr">
        <is>
          <t>% de leads que compran el programa</t>
        </is>
      </c>
      <c r="C25" s="19">
        <f>IF('Modelo'!$C$11=0,0,'Modelo'!$C$23/'Modelo'!$C$11)</f>
        <v/>
      </c>
      <c r="D25" s="4" t="inlineStr">
        <is>
          <t>Ventas ÷ leads.</t>
        </is>
      </c>
    </row>
    <row r="26">
      <c r="B26" s="3" t="inlineStr">
        <is>
          <t>Costo por venta del programa (CAC)</t>
        </is>
      </c>
      <c r="C26" s="12">
        <f>IF('Modelo'!$C$23=0,0,'Supuestos'!$C$8/'Modelo'!$C$23)</f>
        <v/>
      </c>
      <c r="D26" s="4" t="inlineStr">
        <is>
          <t>Inversión ÷ ventas.</t>
        </is>
      </c>
    </row>
    <row r="27">
      <c r="B27" t="inlineStr">
        <is>
          <t>Facturado: programa</t>
        </is>
      </c>
      <c r="C27" s="26">
        <f>'Modelo'!$C$23*'Supuestos'!$C$28</f>
        <v/>
      </c>
      <c r="D27" s="4" t="inlineStr">
        <is>
          <t>Ventas × precio.</t>
        </is>
      </c>
    </row>
    <row r="28">
      <c r="B28" t="inlineStr">
        <is>
          <t>Facturado: downsell</t>
        </is>
      </c>
      <c r="C28" s="26">
        <f>'Modelo'!$C$24*'Supuestos'!$C$29</f>
        <v/>
      </c>
      <c r="D28" s="4" t="inlineStr">
        <is>
          <t>Ventas × precio.</t>
        </is>
      </c>
    </row>
    <row r="29">
      <c r="B29" s="3" t="inlineStr">
        <is>
          <t>Facturado total</t>
        </is>
      </c>
      <c r="C29" s="8">
        <f>'Modelo'!$C$27+'Modelo'!$C$28</f>
        <v/>
      </c>
      <c r="D29" s="4" t="inlineStr">
        <is>
          <t>Programa + downsell.</t>
        </is>
      </c>
    </row>
    <row r="30">
      <c r="B30" t="inlineStr">
        <is>
          <t>Facturado por comprador del programa</t>
        </is>
      </c>
      <c r="C30" s="18">
        <f>IF('Modelo'!$C$23=0,0,'Modelo'!$C$29/'Modelo'!$C$23)</f>
        <v/>
      </c>
      <c r="D30" s="4" t="inlineStr">
        <is>
          <t>Facturado ÷ ventas del programa.</t>
        </is>
      </c>
    </row>
    <row r="31">
      <c r="B31" t="inlineStr">
        <is>
          <t>Ventas del programa por lead (para la proyección)</t>
        </is>
      </c>
      <c r="C31" s="19">
        <f>IF('Modelo'!$C$11=0,0,'Modelo'!$C$23/'Modelo'!$C$11)</f>
        <v/>
      </c>
      <c r="D31" s="4" t="inlineStr">
        <is>
          <t>Igual a '% de leads que compran'.</t>
        </is>
      </c>
    </row>
    <row r="32">
      <c r="B32" t="inlineStr">
        <is>
          <t>Facturado por lead</t>
        </is>
      </c>
      <c r="C32" s="18">
        <f>IF('Modelo'!$C$11=0,0,'Modelo'!$C$29/'Modelo'!$C$11)</f>
        <v/>
      </c>
      <c r="D32" s="4" t="inlineStr">
        <is>
          <t>Facturado ÷ leads.</t>
        </is>
      </c>
    </row>
    <row r="33">
      <c r="B33" s="6" t="inlineStr">
        <is>
          <t>Cash, costos y ganancia del período</t>
        </is>
      </c>
      <c r="C33" s="7" t="n"/>
      <c r="D33" s="7" t="n"/>
    </row>
    <row r="34">
      <c r="B34" t="inlineStr">
        <is>
          <t>Cash a cobrar (facturado × cobranza completa)</t>
        </is>
      </c>
      <c r="C34" s="26">
        <f>'Modelo'!$C$29*('Supuestos'!$C$40+'Supuestos'!$C$41+'Supuestos'!$C$42)</f>
        <v/>
      </c>
      <c r="D34" s="4" t="inlineStr">
        <is>
          <t>Facturado × (mes 1 + mes 2 + mes 3). Si la cobranza suma 100 %, es igual al facturado.</t>
        </is>
      </c>
    </row>
    <row r="35">
      <c r="B35" t="inlineStr">
        <is>
          <t>Cash que entra en el primer mes</t>
        </is>
      </c>
      <c r="C35" s="26">
        <f>'Modelo'!$C$29*'Supuestos'!$C$40</f>
        <v/>
      </c>
      <c r="D35" s="4" t="inlineStr">
        <is>
          <t>Facturado × % del mes 1.</t>
        </is>
      </c>
    </row>
    <row r="36">
      <c r="B36" t="inlineStr">
        <is>
          <t>Comisiones (pasarela + ventas)</t>
        </is>
      </c>
      <c r="C36" s="26">
        <f>'Modelo'!$C$34*('Supuestos'!$C$33+'Supuestos'!$C$34)</f>
        <v/>
      </c>
      <c r="D36" s="4" t="inlineStr">
        <is>
          <t>Cash × (pasarela + equipo de ventas).</t>
        </is>
      </c>
    </row>
    <row r="37">
      <c r="B37" t="inlineStr">
        <is>
          <t>Reembolsos</t>
        </is>
      </c>
      <c r="C37" s="26">
        <f>'Modelo'!$C$34*'Supuestos'!$C$35</f>
        <v/>
      </c>
      <c r="D37" s="4" t="inlineStr">
        <is>
          <t>Cash × % de reembolsos.</t>
        </is>
      </c>
    </row>
    <row r="38">
      <c r="B38" s="3" t="inlineStr">
        <is>
          <t>Cash neto</t>
        </is>
      </c>
      <c r="C38" s="8">
        <f>'Modelo'!$C$34*(1-'Supuestos'!$C$33-'Supuestos'!$C$34-'Supuestos'!$C$35)</f>
        <v/>
      </c>
      <c r="D38" s="4" t="inlineStr">
        <is>
          <t>Cash − comisiones − reembolsos. La base de verdad.</t>
        </is>
      </c>
    </row>
    <row r="39">
      <c r="B39" t="inlineStr">
        <is>
          <t>Costos por lead (herramientas, WhatsApp, IA)</t>
        </is>
      </c>
      <c r="C39" s="26">
        <f>'Modelo'!$C$11*'Supuestos'!$C$36</f>
        <v/>
      </c>
      <c r="D39" s="4" t="inlineStr">
        <is>
          <t>Leads × costo por lead.</t>
        </is>
      </c>
    </row>
    <row r="40">
      <c r="B40" s="3" t="inlineStr">
        <is>
          <t>Ganancia del período</t>
        </is>
      </c>
      <c r="C40" s="8">
        <f>'Modelo'!$C$38-'Modelo'!$C$39-'Supuestos'!$C$37-'Supuestos'!$C$8</f>
        <v/>
      </c>
      <c r="D40" s="4" t="inlineStr">
        <is>
          <t>Cash neto − costos por unidad − fijos − inversión.</t>
        </is>
      </c>
    </row>
    <row r="41">
      <c r="B41" t="inlineStr">
        <is>
          <t>ROAS sobre facturado</t>
        </is>
      </c>
      <c r="C41" s="27">
        <f>IF('Supuestos'!$C$8=0,0,'Modelo'!$C$29/'Supuestos'!$C$8)</f>
        <v/>
      </c>
      <c r="D41" s="4" t="inlineStr">
        <is>
          <t>Facturado ÷ inversión. El número que más se infla: no decidas con este.</t>
        </is>
      </c>
    </row>
    <row r="42">
      <c r="B42" s="3" t="inlineStr">
        <is>
          <t>ROAS sobre cash neto</t>
        </is>
      </c>
      <c r="C42" s="9">
        <f>IF('Supuestos'!$C$8=0,0,'Modelo'!$C$38/'Supuestos'!$C$8)</f>
        <v/>
      </c>
      <c r="D42" s="4" t="inlineStr">
        <is>
          <t>Cash neto ÷ inversión. Con este se decide.</t>
        </is>
      </c>
    </row>
    <row r="43">
      <c r="B43" t="inlineStr">
        <is>
          <t>Margen sobre cash</t>
        </is>
      </c>
      <c r="C43" s="17">
        <f>IF('Modelo'!$C$34=0,0,'Modelo'!$C$40/'Modelo'!$C$34)</f>
        <v/>
      </c>
      <c r="D43" s="4" t="inlineStr">
        <is>
          <t>Ganancia ÷ cash.</t>
        </is>
      </c>
    </row>
    <row r="44">
      <c r="B44" t="inlineStr">
        <is>
          <t>¿Cumple el ROAS objetivo?</t>
        </is>
      </c>
      <c r="C44" s="28">
        <f>IF('Modelo'!$C$42&gt;='Supuestos'!$C$45,"SÍ","NO")</f>
        <v/>
      </c>
      <c r="D44" s="4" t="inlineStr">
        <is>
          <t>ROAS sobre cash neto contra el objetivo de Supuestos.</t>
        </is>
      </c>
    </row>
    <row r="45">
      <c r="B45" s="3" t="inlineStr">
        <is>
          <t>ROAS del cash del primer mes (sin cuotas futuras)</t>
        </is>
      </c>
      <c r="C45" s="9">
        <f>'Modelo'!$C$35*(1-'Supuestos'!$C$33-'Supuestos'!$C$34-'Supuestos'!$C$35)/'Supuestos'!$C$8</f>
        <v/>
      </c>
      <c r="D45" s="4" t="inlineStr">
        <is>
          <t>Lo que vuelve el mismo mes. Si es menor a 1, el mes se financia con caja.</t>
        </is>
      </c>
    </row>
    <row r="46">
      <c r="B46" s="6" t="inlineStr">
        <is>
          <t>Cuánto vale cada lead y hasta cuánto pagar</t>
        </is>
      </c>
      <c r="C46" s="7" t="n"/>
      <c r="D46" s="7" t="n"/>
    </row>
    <row r="47">
      <c r="B47" s="3" t="inlineStr">
        <is>
          <t>Valor neto por lead</t>
        </is>
      </c>
      <c r="C47" s="12">
        <f>IF('Modelo'!$C$11=0,0,('Modelo'!$C$38-'Modelo'!$C$39)/'Modelo'!$C$11)</f>
        <v/>
      </c>
      <c r="D47" s="4" t="inlineStr">
        <is>
          <t>(Cash neto − costos por lead) ÷ leads.</t>
        </is>
      </c>
    </row>
    <row r="48">
      <c r="B48" s="3" t="inlineStr">
        <is>
          <t>Techo de CPL (break-even)</t>
        </is>
      </c>
      <c r="C48" s="12">
        <f>'Modelo'!$C$47</f>
        <v/>
      </c>
      <c r="D48" s="4" t="inlineStr">
        <is>
          <t>Igual al valor neto por lead.</t>
        </is>
      </c>
    </row>
    <row r="49">
      <c r="B49" s="3" t="inlineStr">
        <is>
          <t>Objetivo de CPL</t>
        </is>
      </c>
      <c r="C49" s="12">
        <f>'Modelo'!$C$48/(1+'Supuestos'!$C$46)</f>
        <v/>
      </c>
      <c r="D49" s="4" t="inlineStr">
        <is>
          <t>Techo ÷ (1 + margen de seguridad).</t>
        </is>
      </c>
    </row>
    <row r="50">
      <c r="B50" t="inlineStr">
        <is>
          <t>Techo de costo por aplicación</t>
        </is>
      </c>
      <c r="C50" s="18">
        <f>IF('Modelo'!$C$15=0,0,'Modelo'!$C$47*'Modelo'!$C$11/'Modelo'!$C$15)</f>
        <v/>
      </c>
      <c r="D50" s="4" t="inlineStr">
        <is>
          <t>Valor total ÷ aplicaciones.</t>
        </is>
      </c>
    </row>
    <row r="51">
      <c r="B51" s="3" t="inlineStr">
        <is>
          <t>Techo de costo por agenda</t>
        </is>
      </c>
      <c r="C51" s="12">
        <f>IF('Modelo'!$C$17=0,0,'Modelo'!$C$47*'Modelo'!$C$11/'Modelo'!$C$17)</f>
        <v/>
      </c>
      <c r="D51" s="4" t="inlineStr">
        <is>
          <t>Valor total ÷ agendas.</t>
        </is>
      </c>
    </row>
    <row r="52">
      <c r="B52" t="inlineStr">
        <is>
          <t>Techo de costo por llamada realizada</t>
        </is>
      </c>
      <c r="C52" s="18">
        <f>IF('Modelo'!$C$18=0,0,'Modelo'!$C$47*'Modelo'!$C$11/'Modelo'!$C$18)</f>
        <v/>
      </c>
      <c r="D52" s="4" t="inlineStr">
        <is>
          <t>Valor total ÷ llamadas.</t>
        </is>
      </c>
    </row>
    <row r="53">
      <c r="B53" t="inlineStr">
        <is>
          <t>Techo de costo por venta (CAC máximo)</t>
        </is>
      </c>
      <c r="C53" s="18">
        <f>IF('Modelo'!$C$25=0,0,'Modelo'!$C$47/'Modelo'!$C$25)</f>
        <v/>
      </c>
      <c r="D53" s="4" t="inlineStr">
        <is>
          <t>Valor por lead ÷ % de leads que compran.</t>
        </is>
      </c>
    </row>
    <row r="54">
      <c r="B54" t="inlineStr">
        <is>
          <t>Objetivo de CAC</t>
        </is>
      </c>
      <c r="C54" s="18">
        <f>'Modelo'!$C$53/(1+'Supuestos'!$C$46)</f>
        <v/>
      </c>
      <c r="D54" s="4" t="inlineStr">
        <is>
          <t>CAC máximo ÷ (1 + margen de seguridad).</t>
        </is>
      </c>
    </row>
    <row r="55">
      <c r="B55" s="6" t="inlineStr">
        <is>
          <t>Semáforo y cuánto invertir</t>
        </is>
      </c>
      <c r="C55" s="7" t="n"/>
      <c r="D55" s="7" t="n"/>
    </row>
    <row r="56">
      <c r="B56" s="3" t="inlineStr">
        <is>
          <t>Semáforo del CPL actual</t>
        </is>
      </c>
      <c r="C56" s="13">
        <f>IF('Modelo'!$C$10&gt;'Modelo'!$C$48,"ROJO",IF(AND('Modelo'!$C$10&lt;='Modelo'!$C$49,'Modelo'!$C$42&gt;='Supuestos'!$C$45),"VERDE","AMARILLO"))</f>
        <v/>
      </c>
      <c r="D56" s="4" t="inlineStr">
        <is>
          <t>Rojo: costo &gt; techo. Verde: costo ≤ objetivo y ROAS sobre cash neto ≥ objetivo. Amarillo: el resto.</t>
        </is>
      </c>
    </row>
    <row r="57">
      <c r="B57" s="3" t="inlineStr">
        <is>
          <t>Inversión necesaria para la meta de ventas (al CPL actual)</t>
        </is>
      </c>
      <c r="C57" s="8">
        <f>IF('Modelo'!$C$25=0,"inalcanzable con estos supuestos",'Supuestos'!$C$47/'Modelo'!$C$25*'Modelo'!$C$10)</f>
        <v/>
      </c>
      <c r="D57" s="4" t="inlineStr">
        <is>
          <t>Meta ÷ % de leads que compran × CPL.</t>
        </is>
      </c>
    </row>
    <row r="58">
      <c r="B58" t="inlineStr">
        <is>
          <t>Inversión para la meta al CPL objetivo (lo máximo que conviene pagar)</t>
        </is>
      </c>
      <c r="C58" s="26">
        <f>IF('Modelo'!$C$25=0,"inalcanzable con estos supuestos",'Supuestos'!$C$47/'Modelo'!$C$25*'Modelo'!$C$49)</f>
        <v/>
      </c>
      <c r="D58" s="4" t="inlineStr">
        <is>
          <t>Lo mismo, al CPL objetivo.</t>
        </is>
      </c>
    </row>
    <row r="59">
      <c r="B59" t="inlineStr">
        <is>
          <t>Llamadas que hay que atender por mes para esa meta</t>
        </is>
      </c>
      <c r="C59" s="25">
        <f>IF('Supuestos'!$C$25=0,"inalcanzable con estos supuestos",'Supuestos'!$C$47/'Supuestos'!$C$25)</f>
        <v/>
      </c>
      <c r="D59" s="4" t="inlineStr">
        <is>
          <t>Meta ÷ cierre. Sirve para dimensionar closers.</t>
        </is>
      </c>
    </row>
    <row r="60">
      <c r="B60" s="6" t="inlineStr">
        <is>
          <t>Ganancia por paso (las dos caras de cada número: costo por X y ganancia por X)</t>
        </is>
      </c>
      <c r="C60" s="7" t="n"/>
      <c r="D60" s="7" t="n"/>
    </row>
    <row r="61">
      <c r="B61" s="3" t="inlineStr">
        <is>
          <t>Cash neto por comprador (AOV neto)</t>
        </is>
      </c>
      <c r="C61" s="12">
        <f>IF('Modelo'!$C$23=0,0,('Modelo'!$C$38-'Modelo'!$C$39)/'Modelo'!$C$23)</f>
        <v/>
      </c>
      <c r="D61" s="4" t="inlineStr">
        <is>
          <t>Lo que deja cada comprador del principal después de comisiones, reembolsos y costos por unidad. Su par es el CPA.</t>
        </is>
      </c>
    </row>
    <row r="62">
      <c r="B62" s="3" t="inlineStr">
        <is>
          <t>Ganancia por visita</t>
        </is>
      </c>
      <c r="C62" s="12">
        <f>IF('Modelo'!$C$9=0,0,'Modelo'!$C$40/'Modelo'!$C$9)</f>
        <v/>
      </c>
      <c r="D62" s="4" t="inlineStr">
        <is>
          <t>Ganancia del período ÷ visitas a la página. La métrica más valiosa: resume todo lo que pasa después. Su par es el costo por visita.</t>
        </is>
      </c>
    </row>
    <row r="63">
      <c r="B63" t="inlineStr">
        <is>
          <t>Ganancia por clic</t>
        </is>
      </c>
      <c r="C63" s="18">
        <f>IF('Modelo'!$C$8=0,0,'Modelo'!$C$40/'Modelo'!$C$8)</f>
        <v/>
      </c>
      <c r="D63" s="4" t="inlineStr">
        <is>
          <t>Ganancia del período ÷ clics. Su par es el costo por clic.</t>
        </is>
      </c>
    </row>
    <row r="64">
      <c r="B64" s="3" t="inlineStr">
        <is>
          <t>Ganancia por lead</t>
        </is>
      </c>
      <c r="C64" s="12">
        <f>IF('Modelo'!$C$11=0,0,'Modelo'!$C$40/'Modelo'!$C$11)</f>
        <v/>
      </c>
      <c r="D64" s="4" t="inlineStr">
        <is>
          <t>Ganancia del período ÷ leads. Su par es el CPL.</t>
        </is>
      </c>
    </row>
    <row r="65">
      <c r="B65" t="inlineStr">
        <is>
          <t>Ganancia por agenda</t>
        </is>
      </c>
      <c r="C65" s="18">
        <f>IF('Modelo'!$C$17=0,0,'Modelo'!$C$40/'Modelo'!$C$17)</f>
        <v/>
      </c>
      <c r="D65" s="4" t="inlineStr">
        <is>
          <t>Ganancia del período ÷ agendas. Su par es el costo por agenda.</t>
        </is>
      </c>
    </row>
    <row r="66">
      <c r="B66" t="inlineStr">
        <is>
          <t>Ganancia por llamada</t>
        </is>
      </c>
      <c r="C66" s="18">
        <f>IF('Modelo'!$C$18=0,0,'Modelo'!$C$40/'Modelo'!$C$18)</f>
        <v/>
      </c>
      <c r="D66" s="4" t="inlineStr">
        <is>
          <t>Ganancia del período ÷ llamadas. Su par es el costo por llamada.</t>
        </is>
      </c>
    </row>
    <row r="67">
      <c r="B67" s="3" t="inlineStr">
        <is>
          <t>Ganancia por cliente</t>
        </is>
      </c>
      <c r="C67" s="12">
        <f>IF('Modelo'!$C$23=0,0,'Modelo'!$C$40/'Modelo'!$C$23)</f>
        <v/>
      </c>
      <c r="D67" s="4" t="inlineStr">
        <is>
          <t>Ganancia del período ÷ compradores. Su par es el CAC.</t>
        </is>
      </c>
    </row>
  </sheetData>
  <conditionalFormatting sqref="C5:C6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6.xml><?xml version="1.0" encoding="utf-8"?>
<worksheet xmlns="http://schemas.openxmlformats.org/spreadsheetml/2006/main">
  <sheetPr>
    <outlinePr summaryBelow="1" summaryRight="1"/>
    <pageSetUpPr/>
  </sheetPr>
  <dimension ref="B2:H58"/>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Escenarios: qué pasa si cambian el precio, la conversión o el costo</t>
        </is>
      </c>
    </row>
    <row r="3">
      <c r="B3" s="2"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6">
        <f>'Supuestos'!$C$8*'Supuestos'!$C$46</f>
        <v/>
      </c>
    </row>
    <row r="7">
      <c r="B7" s="3" t="inlineStr">
        <is>
          <t>Precio del programa × % de llamadas que compran → ganancia del mes</t>
        </is>
      </c>
    </row>
    <row r="8">
      <c r="B8" s="2" t="inlineStr">
        <is>
          <t>A más precio, menos cierre: la tabla muestra desde qué ticket el closer se paga.</t>
        </is>
      </c>
    </row>
    <row r="9">
      <c r="B9" s="3" t="inlineStr">
        <is>
          <t>Precio ↓  /  % cierre →</t>
        </is>
      </c>
      <c r="C9" s="29" t="n">
        <v>0.15</v>
      </c>
      <c r="D9" s="29" t="n">
        <v>0.2</v>
      </c>
      <c r="E9" s="29" t="n">
        <v>0.25</v>
      </c>
      <c r="F9" s="29" t="n">
        <v>0.3</v>
      </c>
      <c r="G9" s="29" t="n">
        <v>0.35</v>
      </c>
      <c r="H9" s="29" t="n">
        <v>0.4</v>
      </c>
    </row>
    <row r="10">
      <c r="B10" s="30" t="n">
        <v>497</v>
      </c>
      <c r="C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1">
      <c r="B11" s="30" t="n">
        <v>997</v>
      </c>
      <c r="C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2">
      <c r="B12" s="30" t="n">
        <v>1500</v>
      </c>
      <c r="C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3">
      <c r="B13" s="30" t="n">
        <v>2500</v>
      </c>
      <c r="C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4">
      <c r="B14" s="30" t="n">
        <v>3500</v>
      </c>
      <c r="C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5">
      <c r="B15" s="30" t="n">
        <v>5000</v>
      </c>
      <c r="C15"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5"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5"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5"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5"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5"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8">
      <c r="B18" s="3" t="inlineStr">
        <is>
          <t>CPL × % de llamadas que compran → ganancia del mes</t>
        </is>
      </c>
    </row>
    <row r="19">
      <c r="B19" s="2" t="inlineStr">
        <is>
          <t>Hasta qué CPL seguís ganando según el cierre.</t>
        </is>
      </c>
    </row>
    <row r="20">
      <c r="B20" s="3" t="inlineStr">
        <is>
          <t>CPL ↓  /  % cierre →</t>
        </is>
      </c>
      <c r="C20" s="29" t="n">
        <v>0.15</v>
      </c>
      <c r="D20" s="29" t="n">
        <v>0.2</v>
      </c>
      <c r="E20" s="29" t="n">
        <v>0.25</v>
      </c>
      <c r="F20" s="29" t="n">
        <v>0.3</v>
      </c>
      <c r="G20" s="29" t="n">
        <v>0.35</v>
      </c>
      <c r="H20" s="29" t="n">
        <v>0.4</v>
      </c>
    </row>
    <row r="21">
      <c r="B21" s="31" t="n">
        <v>1</v>
      </c>
      <c r="C21" s="26">
        <f>(((((((((((IF('Supuestos'!$C$17=1,(IF('Supuestos'!$C$17=1,(IF($B21=0,0,'Supuestos'!$C$8/$B21))*'Supuestos'!$C$18,0)),(IF($B21=0,0,'Supuestos'!$C$8/$B21))))*'Supuestos'!$C$21)*'Supuestos'!$C$22)*'Supuestos'!$C$23)*'Supuestos'!$C$24)*C$20)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C$20))*'Supuestos'!$C$30)*'Supuestos'!$C$29))*('Supuestos'!$C$40+'Supuestos'!$C$41+'Supuestos'!$C$42))*(1-'Supuestos'!$C$33-'Supuestos'!$C$34-'Supuestos'!$C$35))-((IF($B21=0,0,'Supuestos'!$C$8/$B21))*'Supuestos'!$C$36)-'Supuestos'!$C$37-'Supuestos'!$C$8)</f>
        <v/>
      </c>
      <c r="D21" s="26">
        <f>(((((((((((IF('Supuestos'!$C$17=1,(IF('Supuestos'!$C$17=1,(IF($B21=0,0,'Supuestos'!$C$8/$B21))*'Supuestos'!$C$18,0)),(IF($B21=0,0,'Supuestos'!$C$8/$B21))))*'Supuestos'!$C$21)*'Supuestos'!$C$22)*'Supuestos'!$C$23)*'Supuestos'!$C$24)*D$20)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D$20))*'Supuestos'!$C$30)*'Supuestos'!$C$29))*('Supuestos'!$C$40+'Supuestos'!$C$41+'Supuestos'!$C$42))*(1-'Supuestos'!$C$33-'Supuestos'!$C$34-'Supuestos'!$C$35))-((IF($B21=0,0,'Supuestos'!$C$8/$B21))*'Supuestos'!$C$36)-'Supuestos'!$C$37-'Supuestos'!$C$8)</f>
        <v/>
      </c>
      <c r="E21" s="26">
        <f>(((((((((((IF('Supuestos'!$C$17=1,(IF('Supuestos'!$C$17=1,(IF($B21=0,0,'Supuestos'!$C$8/$B21))*'Supuestos'!$C$18,0)),(IF($B21=0,0,'Supuestos'!$C$8/$B21))))*'Supuestos'!$C$21)*'Supuestos'!$C$22)*'Supuestos'!$C$23)*'Supuestos'!$C$24)*E$20)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E$20))*'Supuestos'!$C$30)*'Supuestos'!$C$29))*('Supuestos'!$C$40+'Supuestos'!$C$41+'Supuestos'!$C$42))*(1-'Supuestos'!$C$33-'Supuestos'!$C$34-'Supuestos'!$C$35))-((IF($B21=0,0,'Supuestos'!$C$8/$B21))*'Supuestos'!$C$36)-'Supuestos'!$C$37-'Supuestos'!$C$8)</f>
        <v/>
      </c>
      <c r="F21" s="26">
        <f>(((((((((((IF('Supuestos'!$C$17=1,(IF('Supuestos'!$C$17=1,(IF($B21=0,0,'Supuestos'!$C$8/$B21))*'Supuestos'!$C$18,0)),(IF($B21=0,0,'Supuestos'!$C$8/$B21))))*'Supuestos'!$C$21)*'Supuestos'!$C$22)*'Supuestos'!$C$23)*'Supuestos'!$C$24)*F$20)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F$20))*'Supuestos'!$C$30)*'Supuestos'!$C$29))*('Supuestos'!$C$40+'Supuestos'!$C$41+'Supuestos'!$C$42))*(1-'Supuestos'!$C$33-'Supuestos'!$C$34-'Supuestos'!$C$35))-((IF($B21=0,0,'Supuestos'!$C$8/$B21))*'Supuestos'!$C$36)-'Supuestos'!$C$37-'Supuestos'!$C$8)</f>
        <v/>
      </c>
      <c r="G21" s="26">
        <f>(((((((((((IF('Supuestos'!$C$17=1,(IF('Supuestos'!$C$17=1,(IF($B21=0,0,'Supuestos'!$C$8/$B21))*'Supuestos'!$C$18,0)),(IF($B21=0,0,'Supuestos'!$C$8/$B21))))*'Supuestos'!$C$21)*'Supuestos'!$C$22)*'Supuestos'!$C$23)*'Supuestos'!$C$24)*G$20)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G$20))*'Supuestos'!$C$30)*'Supuestos'!$C$29))*('Supuestos'!$C$40+'Supuestos'!$C$41+'Supuestos'!$C$42))*(1-'Supuestos'!$C$33-'Supuestos'!$C$34-'Supuestos'!$C$35))-((IF($B21=0,0,'Supuestos'!$C$8/$B21))*'Supuestos'!$C$36)-'Supuestos'!$C$37-'Supuestos'!$C$8)</f>
        <v/>
      </c>
      <c r="H21" s="26">
        <f>(((((((((((IF('Supuestos'!$C$17=1,(IF('Supuestos'!$C$17=1,(IF($B21=0,0,'Supuestos'!$C$8/$B21))*'Supuestos'!$C$18,0)),(IF($B21=0,0,'Supuestos'!$C$8/$B21))))*'Supuestos'!$C$21)*'Supuestos'!$C$22)*'Supuestos'!$C$23)*'Supuestos'!$C$24)*H$20)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H$20))*'Supuestos'!$C$30)*'Supuestos'!$C$29))*('Supuestos'!$C$40+'Supuestos'!$C$41+'Supuestos'!$C$42))*(1-'Supuestos'!$C$33-'Supuestos'!$C$34-'Supuestos'!$C$35))-((IF($B21=0,0,'Supuestos'!$C$8/$B21))*'Supuestos'!$C$36)-'Supuestos'!$C$37-'Supuestos'!$C$8)</f>
        <v/>
      </c>
    </row>
    <row r="22">
      <c r="B22" s="31" t="n">
        <v>2</v>
      </c>
      <c r="C22" s="26">
        <f>(((((((((((IF('Supuestos'!$C$17=1,(IF('Supuestos'!$C$17=1,(IF($B22=0,0,'Supuestos'!$C$8/$B22))*'Supuestos'!$C$18,0)),(IF($B22=0,0,'Supuestos'!$C$8/$B22))))*'Supuestos'!$C$21)*'Supuestos'!$C$22)*'Supuestos'!$C$23)*'Supuestos'!$C$24)*C$20)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C$20))*'Supuestos'!$C$30)*'Supuestos'!$C$29))*('Supuestos'!$C$40+'Supuestos'!$C$41+'Supuestos'!$C$42))*(1-'Supuestos'!$C$33-'Supuestos'!$C$34-'Supuestos'!$C$35))-((IF($B22=0,0,'Supuestos'!$C$8/$B22))*'Supuestos'!$C$36)-'Supuestos'!$C$37-'Supuestos'!$C$8)</f>
        <v/>
      </c>
      <c r="D22" s="26">
        <f>(((((((((((IF('Supuestos'!$C$17=1,(IF('Supuestos'!$C$17=1,(IF($B22=0,0,'Supuestos'!$C$8/$B22))*'Supuestos'!$C$18,0)),(IF($B22=0,0,'Supuestos'!$C$8/$B22))))*'Supuestos'!$C$21)*'Supuestos'!$C$22)*'Supuestos'!$C$23)*'Supuestos'!$C$24)*D$20)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D$20))*'Supuestos'!$C$30)*'Supuestos'!$C$29))*('Supuestos'!$C$40+'Supuestos'!$C$41+'Supuestos'!$C$42))*(1-'Supuestos'!$C$33-'Supuestos'!$C$34-'Supuestos'!$C$35))-((IF($B22=0,0,'Supuestos'!$C$8/$B22))*'Supuestos'!$C$36)-'Supuestos'!$C$37-'Supuestos'!$C$8)</f>
        <v/>
      </c>
      <c r="E22" s="26">
        <f>(((((((((((IF('Supuestos'!$C$17=1,(IF('Supuestos'!$C$17=1,(IF($B22=0,0,'Supuestos'!$C$8/$B22))*'Supuestos'!$C$18,0)),(IF($B22=0,0,'Supuestos'!$C$8/$B22))))*'Supuestos'!$C$21)*'Supuestos'!$C$22)*'Supuestos'!$C$23)*'Supuestos'!$C$24)*E$20)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E$20))*'Supuestos'!$C$30)*'Supuestos'!$C$29))*('Supuestos'!$C$40+'Supuestos'!$C$41+'Supuestos'!$C$42))*(1-'Supuestos'!$C$33-'Supuestos'!$C$34-'Supuestos'!$C$35))-((IF($B22=0,0,'Supuestos'!$C$8/$B22))*'Supuestos'!$C$36)-'Supuestos'!$C$37-'Supuestos'!$C$8)</f>
        <v/>
      </c>
      <c r="F22" s="26">
        <f>(((((((((((IF('Supuestos'!$C$17=1,(IF('Supuestos'!$C$17=1,(IF($B22=0,0,'Supuestos'!$C$8/$B22))*'Supuestos'!$C$18,0)),(IF($B22=0,0,'Supuestos'!$C$8/$B22))))*'Supuestos'!$C$21)*'Supuestos'!$C$22)*'Supuestos'!$C$23)*'Supuestos'!$C$24)*F$20)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F$20))*'Supuestos'!$C$30)*'Supuestos'!$C$29))*('Supuestos'!$C$40+'Supuestos'!$C$41+'Supuestos'!$C$42))*(1-'Supuestos'!$C$33-'Supuestos'!$C$34-'Supuestos'!$C$35))-((IF($B22=0,0,'Supuestos'!$C$8/$B22))*'Supuestos'!$C$36)-'Supuestos'!$C$37-'Supuestos'!$C$8)</f>
        <v/>
      </c>
      <c r="G22" s="26">
        <f>(((((((((((IF('Supuestos'!$C$17=1,(IF('Supuestos'!$C$17=1,(IF($B22=0,0,'Supuestos'!$C$8/$B22))*'Supuestos'!$C$18,0)),(IF($B22=0,0,'Supuestos'!$C$8/$B22))))*'Supuestos'!$C$21)*'Supuestos'!$C$22)*'Supuestos'!$C$23)*'Supuestos'!$C$24)*G$20)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G$20))*'Supuestos'!$C$30)*'Supuestos'!$C$29))*('Supuestos'!$C$40+'Supuestos'!$C$41+'Supuestos'!$C$42))*(1-'Supuestos'!$C$33-'Supuestos'!$C$34-'Supuestos'!$C$35))-((IF($B22=0,0,'Supuestos'!$C$8/$B22))*'Supuestos'!$C$36)-'Supuestos'!$C$37-'Supuestos'!$C$8)</f>
        <v/>
      </c>
      <c r="H22" s="26">
        <f>(((((((((((IF('Supuestos'!$C$17=1,(IF('Supuestos'!$C$17=1,(IF($B22=0,0,'Supuestos'!$C$8/$B22))*'Supuestos'!$C$18,0)),(IF($B22=0,0,'Supuestos'!$C$8/$B22))))*'Supuestos'!$C$21)*'Supuestos'!$C$22)*'Supuestos'!$C$23)*'Supuestos'!$C$24)*H$20)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H$20))*'Supuestos'!$C$30)*'Supuestos'!$C$29))*('Supuestos'!$C$40+'Supuestos'!$C$41+'Supuestos'!$C$42))*(1-'Supuestos'!$C$33-'Supuestos'!$C$34-'Supuestos'!$C$35))-((IF($B22=0,0,'Supuestos'!$C$8/$B22))*'Supuestos'!$C$36)-'Supuestos'!$C$37-'Supuestos'!$C$8)</f>
        <v/>
      </c>
    </row>
    <row r="23">
      <c r="B23" s="31" t="n">
        <v>3</v>
      </c>
      <c r="C23" s="26">
        <f>(((((((((((IF('Supuestos'!$C$17=1,(IF('Supuestos'!$C$17=1,(IF($B23=0,0,'Supuestos'!$C$8/$B23))*'Supuestos'!$C$18,0)),(IF($B23=0,0,'Supuestos'!$C$8/$B23))))*'Supuestos'!$C$21)*'Supuestos'!$C$22)*'Supuestos'!$C$23)*'Supuestos'!$C$24)*C$20)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C$20))*'Supuestos'!$C$30)*'Supuestos'!$C$29))*('Supuestos'!$C$40+'Supuestos'!$C$41+'Supuestos'!$C$42))*(1-'Supuestos'!$C$33-'Supuestos'!$C$34-'Supuestos'!$C$35))-((IF($B23=0,0,'Supuestos'!$C$8/$B23))*'Supuestos'!$C$36)-'Supuestos'!$C$37-'Supuestos'!$C$8)</f>
        <v/>
      </c>
      <c r="D23" s="26">
        <f>(((((((((((IF('Supuestos'!$C$17=1,(IF('Supuestos'!$C$17=1,(IF($B23=0,0,'Supuestos'!$C$8/$B23))*'Supuestos'!$C$18,0)),(IF($B23=0,0,'Supuestos'!$C$8/$B23))))*'Supuestos'!$C$21)*'Supuestos'!$C$22)*'Supuestos'!$C$23)*'Supuestos'!$C$24)*D$20)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D$20))*'Supuestos'!$C$30)*'Supuestos'!$C$29))*('Supuestos'!$C$40+'Supuestos'!$C$41+'Supuestos'!$C$42))*(1-'Supuestos'!$C$33-'Supuestos'!$C$34-'Supuestos'!$C$35))-((IF($B23=0,0,'Supuestos'!$C$8/$B23))*'Supuestos'!$C$36)-'Supuestos'!$C$37-'Supuestos'!$C$8)</f>
        <v/>
      </c>
      <c r="E23" s="26">
        <f>(((((((((((IF('Supuestos'!$C$17=1,(IF('Supuestos'!$C$17=1,(IF($B23=0,0,'Supuestos'!$C$8/$B23))*'Supuestos'!$C$18,0)),(IF($B23=0,0,'Supuestos'!$C$8/$B23))))*'Supuestos'!$C$21)*'Supuestos'!$C$22)*'Supuestos'!$C$23)*'Supuestos'!$C$24)*E$20)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E$20))*'Supuestos'!$C$30)*'Supuestos'!$C$29))*('Supuestos'!$C$40+'Supuestos'!$C$41+'Supuestos'!$C$42))*(1-'Supuestos'!$C$33-'Supuestos'!$C$34-'Supuestos'!$C$35))-((IF($B23=0,0,'Supuestos'!$C$8/$B23))*'Supuestos'!$C$36)-'Supuestos'!$C$37-'Supuestos'!$C$8)</f>
        <v/>
      </c>
      <c r="F23" s="26">
        <f>(((((((((((IF('Supuestos'!$C$17=1,(IF('Supuestos'!$C$17=1,(IF($B23=0,0,'Supuestos'!$C$8/$B23))*'Supuestos'!$C$18,0)),(IF($B23=0,0,'Supuestos'!$C$8/$B23))))*'Supuestos'!$C$21)*'Supuestos'!$C$22)*'Supuestos'!$C$23)*'Supuestos'!$C$24)*F$20)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F$20))*'Supuestos'!$C$30)*'Supuestos'!$C$29))*('Supuestos'!$C$40+'Supuestos'!$C$41+'Supuestos'!$C$42))*(1-'Supuestos'!$C$33-'Supuestos'!$C$34-'Supuestos'!$C$35))-((IF($B23=0,0,'Supuestos'!$C$8/$B23))*'Supuestos'!$C$36)-'Supuestos'!$C$37-'Supuestos'!$C$8)</f>
        <v/>
      </c>
      <c r="G23" s="26">
        <f>(((((((((((IF('Supuestos'!$C$17=1,(IF('Supuestos'!$C$17=1,(IF($B23=0,0,'Supuestos'!$C$8/$B23))*'Supuestos'!$C$18,0)),(IF($B23=0,0,'Supuestos'!$C$8/$B23))))*'Supuestos'!$C$21)*'Supuestos'!$C$22)*'Supuestos'!$C$23)*'Supuestos'!$C$24)*G$20)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G$20))*'Supuestos'!$C$30)*'Supuestos'!$C$29))*('Supuestos'!$C$40+'Supuestos'!$C$41+'Supuestos'!$C$42))*(1-'Supuestos'!$C$33-'Supuestos'!$C$34-'Supuestos'!$C$35))-((IF($B23=0,0,'Supuestos'!$C$8/$B23))*'Supuestos'!$C$36)-'Supuestos'!$C$37-'Supuestos'!$C$8)</f>
        <v/>
      </c>
      <c r="H23" s="26">
        <f>(((((((((((IF('Supuestos'!$C$17=1,(IF('Supuestos'!$C$17=1,(IF($B23=0,0,'Supuestos'!$C$8/$B23))*'Supuestos'!$C$18,0)),(IF($B23=0,0,'Supuestos'!$C$8/$B23))))*'Supuestos'!$C$21)*'Supuestos'!$C$22)*'Supuestos'!$C$23)*'Supuestos'!$C$24)*H$20)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H$20))*'Supuestos'!$C$30)*'Supuestos'!$C$29))*('Supuestos'!$C$40+'Supuestos'!$C$41+'Supuestos'!$C$42))*(1-'Supuestos'!$C$33-'Supuestos'!$C$34-'Supuestos'!$C$35))-((IF($B23=0,0,'Supuestos'!$C$8/$B23))*'Supuestos'!$C$36)-'Supuestos'!$C$37-'Supuestos'!$C$8)</f>
        <v/>
      </c>
    </row>
    <row r="24">
      <c r="B24" s="31" t="n">
        <v>4</v>
      </c>
      <c r="C24" s="26">
        <f>(((((((((((IF('Supuestos'!$C$17=1,(IF('Supuestos'!$C$17=1,(IF($B24=0,0,'Supuestos'!$C$8/$B24))*'Supuestos'!$C$18,0)),(IF($B24=0,0,'Supuestos'!$C$8/$B24))))*'Supuestos'!$C$21)*'Supuestos'!$C$22)*'Supuestos'!$C$23)*'Supuestos'!$C$24)*C$20)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C$20))*'Supuestos'!$C$30)*'Supuestos'!$C$29))*('Supuestos'!$C$40+'Supuestos'!$C$41+'Supuestos'!$C$42))*(1-'Supuestos'!$C$33-'Supuestos'!$C$34-'Supuestos'!$C$35))-((IF($B24=0,0,'Supuestos'!$C$8/$B24))*'Supuestos'!$C$36)-'Supuestos'!$C$37-'Supuestos'!$C$8)</f>
        <v/>
      </c>
      <c r="D24" s="26">
        <f>(((((((((((IF('Supuestos'!$C$17=1,(IF('Supuestos'!$C$17=1,(IF($B24=0,0,'Supuestos'!$C$8/$B24))*'Supuestos'!$C$18,0)),(IF($B24=0,0,'Supuestos'!$C$8/$B24))))*'Supuestos'!$C$21)*'Supuestos'!$C$22)*'Supuestos'!$C$23)*'Supuestos'!$C$24)*D$20)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D$20))*'Supuestos'!$C$30)*'Supuestos'!$C$29))*('Supuestos'!$C$40+'Supuestos'!$C$41+'Supuestos'!$C$42))*(1-'Supuestos'!$C$33-'Supuestos'!$C$34-'Supuestos'!$C$35))-((IF($B24=0,0,'Supuestos'!$C$8/$B24))*'Supuestos'!$C$36)-'Supuestos'!$C$37-'Supuestos'!$C$8)</f>
        <v/>
      </c>
      <c r="E24" s="26">
        <f>(((((((((((IF('Supuestos'!$C$17=1,(IF('Supuestos'!$C$17=1,(IF($B24=0,0,'Supuestos'!$C$8/$B24))*'Supuestos'!$C$18,0)),(IF($B24=0,0,'Supuestos'!$C$8/$B24))))*'Supuestos'!$C$21)*'Supuestos'!$C$22)*'Supuestos'!$C$23)*'Supuestos'!$C$24)*E$20)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E$20))*'Supuestos'!$C$30)*'Supuestos'!$C$29))*('Supuestos'!$C$40+'Supuestos'!$C$41+'Supuestos'!$C$42))*(1-'Supuestos'!$C$33-'Supuestos'!$C$34-'Supuestos'!$C$35))-((IF($B24=0,0,'Supuestos'!$C$8/$B24))*'Supuestos'!$C$36)-'Supuestos'!$C$37-'Supuestos'!$C$8)</f>
        <v/>
      </c>
      <c r="F24" s="26">
        <f>(((((((((((IF('Supuestos'!$C$17=1,(IF('Supuestos'!$C$17=1,(IF($B24=0,0,'Supuestos'!$C$8/$B24))*'Supuestos'!$C$18,0)),(IF($B24=0,0,'Supuestos'!$C$8/$B24))))*'Supuestos'!$C$21)*'Supuestos'!$C$22)*'Supuestos'!$C$23)*'Supuestos'!$C$24)*F$20)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F$20))*'Supuestos'!$C$30)*'Supuestos'!$C$29))*('Supuestos'!$C$40+'Supuestos'!$C$41+'Supuestos'!$C$42))*(1-'Supuestos'!$C$33-'Supuestos'!$C$34-'Supuestos'!$C$35))-((IF($B24=0,0,'Supuestos'!$C$8/$B24))*'Supuestos'!$C$36)-'Supuestos'!$C$37-'Supuestos'!$C$8)</f>
        <v/>
      </c>
      <c r="G24" s="26">
        <f>(((((((((((IF('Supuestos'!$C$17=1,(IF('Supuestos'!$C$17=1,(IF($B24=0,0,'Supuestos'!$C$8/$B24))*'Supuestos'!$C$18,0)),(IF($B24=0,0,'Supuestos'!$C$8/$B24))))*'Supuestos'!$C$21)*'Supuestos'!$C$22)*'Supuestos'!$C$23)*'Supuestos'!$C$24)*G$20)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G$20))*'Supuestos'!$C$30)*'Supuestos'!$C$29))*('Supuestos'!$C$40+'Supuestos'!$C$41+'Supuestos'!$C$42))*(1-'Supuestos'!$C$33-'Supuestos'!$C$34-'Supuestos'!$C$35))-((IF($B24=0,0,'Supuestos'!$C$8/$B24))*'Supuestos'!$C$36)-'Supuestos'!$C$37-'Supuestos'!$C$8)</f>
        <v/>
      </c>
      <c r="H24" s="26">
        <f>(((((((((((IF('Supuestos'!$C$17=1,(IF('Supuestos'!$C$17=1,(IF($B24=0,0,'Supuestos'!$C$8/$B24))*'Supuestos'!$C$18,0)),(IF($B24=0,0,'Supuestos'!$C$8/$B24))))*'Supuestos'!$C$21)*'Supuestos'!$C$22)*'Supuestos'!$C$23)*'Supuestos'!$C$24)*H$20)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H$20))*'Supuestos'!$C$30)*'Supuestos'!$C$29))*('Supuestos'!$C$40+'Supuestos'!$C$41+'Supuestos'!$C$42))*(1-'Supuestos'!$C$33-'Supuestos'!$C$34-'Supuestos'!$C$35))-((IF($B24=0,0,'Supuestos'!$C$8/$B24))*'Supuestos'!$C$36)-'Supuestos'!$C$37-'Supuestos'!$C$8)</f>
        <v/>
      </c>
    </row>
    <row r="25">
      <c r="B25" s="31" t="n">
        <v>6</v>
      </c>
      <c r="C25" s="26">
        <f>(((((((((((IF('Supuestos'!$C$17=1,(IF('Supuestos'!$C$17=1,(IF($B25=0,0,'Supuestos'!$C$8/$B25))*'Supuestos'!$C$18,0)),(IF($B25=0,0,'Supuestos'!$C$8/$B25))))*'Supuestos'!$C$21)*'Supuestos'!$C$22)*'Supuestos'!$C$23)*'Supuestos'!$C$24)*C$20)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C$20))*'Supuestos'!$C$30)*'Supuestos'!$C$29))*('Supuestos'!$C$40+'Supuestos'!$C$41+'Supuestos'!$C$42))*(1-'Supuestos'!$C$33-'Supuestos'!$C$34-'Supuestos'!$C$35))-((IF($B25=0,0,'Supuestos'!$C$8/$B25))*'Supuestos'!$C$36)-'Supuestos'!$C$37-'Supuestos'!$C$8)</f>
        <v/>
      </c>
      <c r="D25" s="26">
        <f>(((((((((((IF('Supuestos'!$C$17=1,(IF('Supuestos'!$C$17=1,(IF($B25=0,0,'Supuestos'!$C$8/$B25))*'Supuestos'!$C$18,0)),(IF($B25=0,0,'Supuestos'!$C$8/$B25))))*'Supuestos'!$C$21)*'Supuestos'!$C$22)*'Supuestos'!$C$23)*'Supuestos'!$C$24)*D$20)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D$20))*'Supuestos'!$C$30)*'Supuestos'!$C$29))*('Supuestos'!$C$40+'Supuestos'!$C$41+'Supuestos'!$C$42))*(1-'Supuestos'!$C$33-'Supuestos'!$C$34-'Supuestos'!$C$35))-((IF($B25=0,0,'Supuestos'!$C$8/$B25))*'Supuestos'!$C$36)-'Supuestos'!$C$37-'Supuestos'!$C$8)</f>
        <v/>
      </c>
      <c r="E25" s="26">
        <f>(((((((((((IF('Supuestos'!$C$17=1,(IF('Supuestos'!$C$17=1,(IF($B25=0,0,'Supuestos'!$C$8/$B25))*'Supuestos'!$C$18,0)),(IF($B25=0,0,'Supuestos'!$C$8/$B25))))*'Supuestos'!$C$21)*'Supuestos'!$C$22)*'Supuestos'!$C$23)*'Supuestos'!$C$24)*E$20)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E$20))*'Supuestos'!$C$30)*'Supuestos'!$C$29))*('Supuestos'!$C$40+'Supuestos'!$C$41+'Supuestos'!$C$42))*(1-'Supuestos'!$C$33-'Supuestos'!$C$34-'Supuestos'!$C$35))-((IF($B25=0,0,'Supuestos'!$C$8/$B25))*'Supuestos'!$C$36)-'Supuestos'!$C$37-'Supuestos'!$C$8)</f>
        <v/>
      </c>
      <c r="F25" s="26">
        <f>(((((((((((IF('Supuestos'!$C$17=1,(IF('Supuestos'!$C$17=1,(IF($B25=0,0,'Supuestos'!$C$8/$B25))*'Supuestos'!$C$18,0)),(IF($B25=0,0,'Supuestos'!$C$8/$B25))))*'Supuestos'!$C$21)*'Supuestos'!$C$22)*'Supuestos'!$C$23)*'Supuestos'!$C$24)*F$20)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F$20))*'Supuestos'!$C$30)*'Supuestos'!$C$29))*('Supuestos'!$C$40+'Supuestos'!$C$41+'Supuestos'!$C$42))*(1-'Supuestos'!$C$33-'Supuestos'!$C$34-'Supuestos'!$C$35))-((IF($B25=0,0,'Supuestos'!$C$8/$B25))*'Supuestos'!$C$36)-'Supuestos'!$C$37-'Supuestos'!$C$8)</f>
        <v/>
      </c>
      <c r="G25" s="26">
        <f>(((((((((((IF('Supuestos'!$C$17=1,(IF('Supuestos'!$C$17=1,(IF($B25=0,0,'Supuestos'!$C$8/$B25))*'Supuestos'!$C$18,0)),(IF($B25=0,0,'Supuestos'!$C$8/$B25))))*'Supuestos'!$C$21)*'Supuestos'!$C$22)*'Supuestos'!$C$23)*'Supuestos'!$C$24)*G$20)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G$20))*'Supuestos'!$C$30)*'Supuestos'!$C$29))*('Supuestos'!$C$40+'Supuestos'!$C$41+'Supuestos'!$C$42))*(1-'Supuestos'!$C$33-'Supuestos'!$C$34-'Supuestos'!$C$35))-((IF($B25=0,0,'Supuestos'!$C$8/$B25))*'Supuestos'!$C$36)-'Supuestos'!$C$37-'Supuestos'!$C$8)</f>
        <v/>
      </c>
      <c r="H25" s="26">
        <f>(((((((((((IF('Supuestos'!$C$17=1,(IF('Supuestos'!$C$17=1,(IF($B25=0,0,'Supuestos'!$C$8/$B25))*'Supuestos'!$C$18,0)),(IF($B25=0,0,'Supuestos'!$C$8/$B25))))*'Supuestos'!$C$21)*'Supuestos'!$C$22)*'Supuestos'!$C$23)*'Supuestos'!$C$24)*H$20)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H$20))*'Supuestos'!$C$30)*'Supuestos'!$C$29))*('Supuestos'!$C$40+'Supuestos'!$C$41+'Supuestos'!$C$42))*(1-'Supuestos'!$C$33-'Supuestos'!$C$34-'Supuestos'!$C$35))-((IF($B25=0,0,'Supuestos'!$C$8/$B25))*'Supuestos'!$C$36)-'Supuestos'!$C$37-'Supuestos'!$C$8)</f>
        <v/>
      </c>
    </row>
    <row r="26">
      <c r="B26" s="31" t="n">
        <v>8</v>
      </c>
      <c r="C26" s="26">
        <f>(((((((((((IF('Supuestos'!$C$17=1,(IF('Supuestos'!$C$17=1,(IF($B26=0,0,'Supuestos'!$C$8/$B26))*'Supuestos'!$C$18,0)),(IF($B26=0,0,'Supuestos'!$C$8/$B26))))*'Supuestos'!$C$21)*'Supuestos'!$C$22)*'Supuestos'!$C$23)*'Supuestos'!$C$24)*C$20)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C$20))*'Supuestos'!$C$30)*'Supuestos'!$C$29))*('Supuestos'!$C$40+'Supuestos'!$C$41+'Supuestos'!$C$42))*(1-'Supuestos'!$C$33-'Supuestos'!$C$34-'Supuestos'!$C$35))-((IF($B26=0,0,'Supuestos'!$C$8/$B26))*'Supuestos'!$C$36)-'Supuestos'!$C$37-'Supuestos'!$C$8)</f>
        <v/>
      </c>
      <c r="D26" s="26">
        <f>(((((((((((IF('Supuestos'!$C$17=1,(IF('Supuestos'!$C$17=1,(IF($B26=0,0,'Supuestos'!$C$8/$B26))*'Supuestos'!$C$18,0)),(IF($B26=0,0,'Supuestos'!$C$8/$B26))))*'Supuestos'!$C$21)*'Supuestos'!$C$22)*'Supuestos'!$C$23)*'Supuestos'!$C$24)*D$20)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D$20))*'Supuestos'!$C$30)*'Supuestos'!$C$29))*('Supuestos'!$C$40+'Supuestos'!$C$41+'Supuestos'!$C$42))*(1-'Supuestos'!$C$33-'Supuestos'!$C$34-'Supuestos'!$C$35))-((IF($B26=0,0,'Supuestos'!$C$8/$B26))*'Supuestos'!$C$36)-'Supuestos'!$C$37-'Supuestos'!$C$8)</f>
        <v/>
      </c>
      <c r="E26" s="26">
        <f>(((((((((((IF('Supuestos'!$C$17=1,(IF('Supuestos'!$C$17=1,(IF($B26=0,0,'Supuestos'!$C$8/$B26))*'Supuestos'!$C$18,0)),(IF($B26=0,0,'Supuestos'!$C$8/$B26))))*'Supuestos'!$C$21)*'Supuestos'!$C$22)*'Supuestos'!$C$23)*'Supuestos'!$C$24)*E$20)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E$20))*'Supuestos'!$C$30)*'Supuestos'!$C$29))*('Supuestos'!$C$40+'Supuestos'!$C$41+'Supuestos'!$C$42))*(1-'Supuestos'!$C$33-'Supuestos'!$C$34-'Supuestos'!$C$35))-((IF($B26=0,0,'Supuestos'!$C$8/$B26))*'Supuestos'!$C$36)-'Supuestos'!$C$37-'Supuestos'!$C$8)</f>
        <v/>
      </c>
      <c r="F26" s="26">
        <f>(((((((((((IF('Supuestos'!$C$17=1,(IF('Supuestos'!$C$17=1,(IF($B26=0,0,'Supuestos'!$C$8/$B26))*'Supuestos'!$C$18,0)),(IF($B26=0,0,'Supuestos'!$C$8/$B26))))*'Supuestos'!$C$21)*'Supuestos'!$C$22)*'Supuestos'!$C$23)*'Supuestos'!$C$24)*F$20)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F$20))*'Supuestos'!$C$30)*'Supuestos'!$C$29))*('Supuestos'!$C$40+'Supuestos'!$C$41+'Supuestos'!$C$42))*(1-'Supuestos'!$C$33-'Supuestos'!$C$34-'Supuestos'!$C$35))-((IF($B26=0,0,'Supuestos'!$C$8/$B26))*'Supuestos'!$C$36)-'Supuestos'!$C$37-'Supuestos'!$C$8)</f>
        <v/>
      </c>
      <c r="G26" s="26">
        <f>(((((((((((IF('Supuestos'!$C$17=1,(IF('Supuestos'!$C$17=1,(IF($B26=0,0,'Supuestos'!$C$8/$B26))*'Supuestos'!$C$18,0)),(IF($B26=0,0,'Supuestos'!$C$8/$B26))))*'Supuestos'!$C$21)*'Supuestos'!$C$22)*'Supuestos'!$C$23)*'Supuestos'!$C$24)*G$20)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G$20))*'Supuestos'!$C$30)*'Supuestos'!$C$29))*('Supuestos'!$C$40+'Supuestos'!$C$41+'Supuestos'!$C$42))*(1-'Supuestos'!$C$33-'Supuestos'!$C$34-'Supuestos'!$C$35))-((IF($B26=0,0,'Supuestos'!$C$8/$B26))*'Supuestos'!$C$36)-'Supuestos'!$C$37-'Supuestos'!$C$8)</f>
        <v/>
      </c>
      <c r="H26" s="26">
        <f>(((((((((((IF('Supuestos'!$C$17=1,(IF('Supuestos'!$C$17=1,(IF($B26=0,0,'Supuestos'!$C$8/$B26))*'Supuestos'!$C$18,0)),(IF($B26=0,0,'Supuestos'!$C$8/$B26))))*'Supuestos'!$C$21)*'Supuestos'!$C$22)*'Supuestos'!$C$23)*'Supuestos'!$C$24)*H$20)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H$20))*'Supuestos'!$C$30)*'Supuestos'!$C$29))*('Supuestos'!$C$40+'Supuestos'!$C$41+'Supuestos'!$C$42))*(1-'Supuestos'!$C$33-'Supuestos'!$C$34-'Supuestos'!$C$35))-((IF($B26=0,0,'Supuestos'!$C$8/$B26))*'Supuestos'!$C$36)-'Supuestos'!$C$37-'Supuestos'!$C$8)</f>
        <v/>
      </c>
    </row>
    <row r="27">
      <c r="B27" s="31" t="n">
        <v>12</v>
      </c>
      <c r="C27" s="26">
        <f>(((((((((((IF('Supuestos'!$C$17=1,(IF('Supuestos'!$C$17=1,(IF($B27=0,0,'Supuestos'!$C$8/$B27))*'Supuestos'!$C$18,0)),(IF($B27=0,0,'Supuestos'!$C$8/$B27))))*'Supuestos'!$C$21)*'Supuestos'!$C$22)*'Supuestos'!$C$23)*'Supuestos'!$C$24)*C$20)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C$20))*'Supuestos'!$C$30)*'Supuestos'!$C$29))*('Supuestos'!$C$40+'Supuestos'!$C$41+'Supuestos'!$C$42))*(1-'Supuestos'!$C$33-'Supuestos'!$C$34-'Supuestos'!$C$35))-((IF($B27=0,0,'Supuestos'!$C$8/$B27))*'Supuestos'!$C$36)-'Supuestos'!$C$37-'Supuestos'!$C$8)</f>
        <v/>
      </c>
      <c r="D27" s="26">
        <f>(((((((((((IF('Supuestos'!$C$17=1,(IF('Supuestos'!$C$17=1,(IF($B27=0,0,'Supuestos'!$C$8/$B27))*'Supuestos'!$C$18,0)),(IF($B27=0,0,'Supuestos'!$C$8/$B27))))*'Supuestos'!$C$21)*'Supuestos'!$C$22)*'Supuestos'!$C$23)*'Supuestos'!$C$24)*D$20)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D$20))*'Supuestos'!$C$30)*'Supuestos'!$C$29))*('Supuestos'!$C$40+'Supuestos'!$C$41+'Supuestos'!$C$42))*(1-'Supuestos'!$C$33-'Supuestos'!$C$34-'Supuestos'!$C$35))-((IF($B27=0,0,'Supuestos'!$C$8/$B27))*'Supuestos'!$C$36)-'Supuestos'!$C$37-'Supuestos'!$C$8)</f>
        <v/>
      </c>
      <c r="E27" s="26">
        <f>(((((((((((IF('Supuestos'!$C$17=1,(IF('Supuestos'!$C$17=1,(IF($B27=0,0,'Supuestos'!$C$8/$B27))*'Supuestos'!$C$18,0)),(IF($B27=0,0,'Supuestos'!$C$8/$B27))))*'Supuestos'!$C$21)*'Supuestos'!$C$22)*'Supuestos'!$C$23)*'Supuestos'!$C$24)*E$20)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E$20))*'Supuestos'!$C$30)*'Supuestos'!$C$29))*('Supuestos'!$C$40+'Supuestos'!$C$41+'Supuestos'!$C$42))*(1-'Supuestos'!$C$33-'Supuestos'!$C$34-'Supuestos'!$C$35))-((IF($B27=0,0,'Supuestos'!$C$8/$B27))*'Supuestos'!$C$36)-'Supuestos'!$C$37-'Supuestos'!$C$8)</f>
        <v/>
      </c>
      <c r="F27" s="26">
        <f>(((((((((((IF('Supuestos'!$C$17=1,(IF('Supuestos'!$C$17=1,(IF($B27=0,0,'Supuestos'!$C$8/$B27))*'Supuestos'!$C$18,0)),(IF($B27=0,0,'Supuestos'!$C$8/$B27))))*'Supuestos'!$C$21)*'Supuestos'!$C$22)*'Supuestos'!$C$23)*'Supuestos'!$C$24)*F$20)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F$20))*'Supuestos'!$C$30)*'Supuestos'!$C$29))*('Supuestos'!$C$40+'Supuestos'!$C$41+'Supuestos'!$C$42))*(1-'Supuestos'!$C$33-'Supuestos'!$C$34-'Supuestos'!$C$35))-((IF($B27=0,0,'Supuestos'!$C$8/$B27))*'Supuestos'!$C$36)-'Supuestos'!$C$37-'Supuestos'!$C$8)</f>
        <v/>
      </c>
      <c r="G27" s="26">
        <f>(((((((((((IF('Supuestos'!$C$17=1,(IF('Supuestos'!$C$17=1,(IF($B27=0,0,'Supuestos'!$C$8/$B27))*'Supuestos'!$C$18,0)),(IF($B27=0,0,'Supuestos'!$C$8/$B27))))*'Supuestos'!$C$21)*'Supuestos'!$C$22)*'Supuestos'!$C$23)*'Supuestos'!$C$24)*G$20)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G$20))*'Supuestos'!$C$30)*'Supuestos'!$C$29))*('Supuestos'!$C$40+'Supuestos'!$C$41+'Supuestos'!$C$42))*(1-'Supuestos'!$C$33-'Supuestos'!$C$34-'Supuestos'!$C$35))-((IF($B27=0,0,'Supuestos'!$C$8/$B27))*'Supuestos'!$C$36)-'Supuestos'!$C$37-'Supuestos'!$C$8)</f>
        <v/>
      </c>
      <c r="H27" s="26">
        <f>(((((((((((IF('Supuestos'!$C$17=1,(IF('Supuestos'!$C$17=1,(IF($B27=0,0,'Supuestos'!$C$8/$B27))*'Supuestos'!$C$18,0)),(IF($B27=0,0,'Supuestos'!$C$8/$B27))))*'Supuestos'!$C$21)*'Supuestos'!$C$22)*'Supuestos'!$C$23)*'Supuestos'!$C$24)*H$20)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H$20))*'Supuestos'!$C$30)*'Supuestos'!$C$29))*('Supuestos'!$C$40+'Supuestos'!$C$41+'Supuestos'!$C$42))*(1-'Supuestos'!$C$33-'Supuestos'!$C$34-'Supuestos'!$C$35))-((IF($B27=0,0,'Supuestos'!$C$8/$B27))*'Supuestos'!$C$36)-'Supuestos'!$C$37-'Supuestos'!$C$8)</f>
        <v/>
      </c>
    </row>
    <row r="30">
      <c r="B30" s="3" t="inlineStr">
        <is>
          <t>Cuánto invertir para una facturación objetivo por mes, según el ROAS que querés</t>
        </is>
      </c>
    </row>
    <row r="31">
      <c r="B31" s="2" t="inlineStr">
        <is>
          <t>Inversión = facturación ÷ ROAS. Debajo: cuántos leads hacen falta y cuánto podés pagar por cada uno.</t>
        </is>
      </c>
    </row>
    <row r="32">
      <c r="B32" s="3" t="inlineStr">
        <is>
          <t>Facturación objetivo ↓ / ROAS objetivo →</t>
        </is>
      </c>
      <c r="C32" s="32" t="n">
        <v>2</v>
      </c>
      <c r="D32" s="32" t="n">
        <v>3</v>
      </c>
      <c r="E32" s="32" t="n">
        <v>4</v>
      </c>
      <c r="F32" s="32" t="n">
        <v>5</v>
      </c>
      <c r="G32" s="32" t="n">
        <v>6</v>
      </c>
    </row>
    <row r="33">
      <c r="B33" s="30" t="n">
        <v>20000</v>
      </c>
      <c r="C33" s="26">
        <f>$B33/C$32</f>
        <v/>
      </c>
      <c r="D33" s="26">
        <f>$B33/D$32</f>
        <v/>
      </c>
      <c r="E33" s="26">
        <f>$B33/E$32</f>
        <v/>
      </c>
      <c r="F33" s="26">
        <f>$B33/F$32</f>
        <v/>
      </c>
      <c r="G33" s="26">
        <f>$B33/G$32</f>
        <v/>
      </c>
    </row>
    <row r="34">
      <c r="B34" s="30" t="n">
        <v>50000</v>
      </c>
      <c r="C34" s="26">
        <f>$B34/C$32</f>
        <v/>
      </c>
      <c r="D34" s="26">
        <f>$B34/D$32</f>
        <v/>
      </c>
      <c r="E34" s="26">
        <f>$B34/E$32</f>
        <v/>
      </c>
      <c r="F34" s="26">
        <f>$B34/F$32</f>
        <v/>
      </c>
      <c r="G34" s="26">
        <f>$B34/G$32</f>
        <v/>
      </c>
    </row>
    <row r="35">
      <c r="B35" s="30" t="n">
        <v>100000</v>
      </c>
      <c r="C35" s="26">
        <f>$B35/C$32</f>
        <v/>
      </c>
      <c r="D35" s="26">
        <f>$B35/D$32</f>
        <v/>
      </c>
      <c r="E35" s="26">
        <f>$B35/E$32</f>
        <v/>
      </c>
      <c r="F35" s="26">
        <f>$B35/F$32</f>
        <v/>
      </c>
      <c r="G35" s="26">
        <f>$B35/G$32</f>
        <v/>
      </c>
    </row>
    <row r="36">
      <c r="B36" s="30" t="n">
        <v>200000</v>
      </c>
      <c r="C36" s="26">
        <f>$B36/C$32</f>
        <v/>
      </c>
      <c r="D36" s="26">
        <f>$B36/D$32</f>
        <v/>
      </c>
      <c r="E36" s="26">
        <f>$B36/E$32</f>
        <v/>
      </c>
      <c r="F36" s="26">
        <f>$B36/F$32</f>
        <v/>
      </c>
      <c r="G36" s="26">
        <f>$B36/G$32</f>
        <v/>
      </c>
    </row>
    <row r="37">
      <c r="B37" s="30" t="n">
        <v>500000</v>
      </c>
      <c r="C37" s="26">
        <f>$B37/C$32</f>
        <v/>
      </c>
      <c r="D37" s="26">
        <f>$B37/D$32</f>
        <v/>
      </c>
      <c r="E37" s="26">
        <f>$B37/E$32</f>
        <v/>
      </c>
      <c r="F37" s="26">
        <f>$B37/F$32</f>
        <v/>
      </c>
      <c r="G37" s="26">
        <f>$B37/G$32</f>
        <v/>
      </c>
    </row>
    <row r="38">
      <c r="B38" s="3" t="inlineStr">
        <is>
          <t>Cantidad de leads necesaria para esa facturación</t>
        </is>
      </c>
    </row>
    <row r="39">
      <c r="B39" s="33">
        <f>$B33</f>
        <v/>
      </c>
      <c r="C39" s="16">
        <f>IF('Modelo'!$C$32=0,"inalcanzable",$B33/'Modelo'!$C$32)</f>
        <v/>
      </c>
    </row>
    <row r="40">
      <c r="B40" s="33">
        <f>$B34</f>
        <v/>
      </c>
      <c r="C40" s="16">
        <f>IF('Modelo'!$C$32=0,"inalcanzable",$B34/'Modelo'!$C$32)</f>
        <v/>
      </c>
    </row>
    <row r="41">
      <c r="B41" s="33">
        <f>$B35</f>
        <v/>
      </c>
      <c r="C41" s="16">
        <f>IF('Modelo'!$C$32=0,"inalcanzable",$B35/'Modelo'!$C$32)</f>
        <v/>
      </c>
    </row>
    <row r="42">
      <c r="B42" s="33">
        <f>$B36</f>
        <v/>
      </c>
      <c r="C42" s="16">
        <f>IF('Modelo'!$C$32=0,"inalcanzable",$B36/'Modelo'!$C$32)</f>
        <v/>
      </c>
    </row>
    <row r="43">
      <c r="B43" s="33">
        <f>$B37</f>
        <v/>
      </c>
      <c r="C43" s="16">
        <f>IF('Modelo'!$C$32=0,"inalcanzable",$B37/'Modelo'!$C$32)</f>
        <v/>
      </c>
    </row>
    <row r="45">
      <c r="B45" s="3" t="inlineStr">
        <is>
          <t>Costo máximo por lead para cumplir cada ROAS (sobre facturado)</t>
        </is>
      </c>
    </row>
    <row r="46">
      <c r="C46" s="34" t="n">
        <v>2</v>
      </c>
      <c r="D46" s="34" t="n">
        <v>3</v>
      </c>
      <c r="E46" s="34" t="n">
        <v>4</v>
      </c>
      <c r="F46" s="34" t="n">
        <v>5</v>
      </c>
      <c r="G46" s="34" t="n">
        <v>6</v>
      </c>
    </row>
    <row r="47">
      <c r="B47" t="inlineStr">
        <is>
          <t>Costo máximo (facturado por unidad ÷ ROAS)</t>
        </is>
      </c>
      <c r="C47" s="18">
        <f>IF(C46=0,0,'Modelo'!$C$32/C46)</f>
        <v/>
      </c>
      <c r="D47" s="18">
        <f>IF(D46=0,0,'Modelo'!$C$32/D46)</f>
        <v/>
      </c>
      <c r="E47" s="18">
        <f>IF(E46=0,0,'Modelo'!$C$32/E46)</f>
        <v/>
      </c>
      <c r="F47" s="18">
        <f>IF(F46=0,0,'Modelo'!$C$32/F46)</f>
        <v/>
      </c>
      <c r="G47" s="18">
        <f>IF(G46=0,0,'Modelo'!$C$32/G46)</f>
        <v/>
      </c>
    </row>
    <row r="48">
      <c r="B48" s="2" t="inlineStr">
        <is>
          <t>Sobre cash neto, el techo real está en Modelo (ya descuenta comisiones y reembolsos).</t>
        </is>
      </c>
    </row>
    <row r="51">
      <c r="B51" s="3" t="inlineStr">
        <is>
          <t>Guardarraíl: el ROAS mínimo que tiene que dar cada nivel de inversión para que subir valga la pena</t>
        </is>
      </c>
    </row>
    <row r="52">
      <c r="B52" s="2" t="inlineStr">
        <is>
          <t>Parte de tu inversión y tu ROAS actuales. Cada dólar extra tiene que devolver al menos 1,3 neto. Si al subir un escalón el ROAS real queda por debajo del mínimo de esa fila, volvé al escalón anterior.</t>
        </is>
      </c>
    </row>
    <row r="53">
      <c r="B53" s="5" t="inlineStr">
        <is>
          <t>Nivel de inversión</t>
        </is>
      </c>
      <c r="C53" s="5" t="inlineStr">
        <is>
          <t>Inversión del período</t>
        </is>
      </c>
      <c r="D53" s="5" t="inlineStr">
        <is>
          <t>ROAS mínimo (cash neto)</t>
        </is>
      </c>
      <c r="E53" s="5" t="inlineStr">
        <is>
          <t>Ganancia mínima</t>
        </is>
      </c>
    </row>
    <row r="54">
      <c r="B54" t="inlineStr">
        <is>
          <t>actual</t>
        </is>
      </c>
      <c r="C54" s="26">
        <f>'Supuestos'!$C$8*1.0</f>
        <v/>
      </c>
      <c r="D54" s="27">
        <f>IF(C54=0,0,('Supuestos'!$C$8*'Modelo'!$C$42+1.3*(C54-'Supuestos'!$C$8))/C54)</f>
        <v/>
      </c>
      <c r="E54" s="26">
        <f>C54*(D54-1)</f>
        <v/>
      </c>
    </row>
    <row r="55">
      <c r="B55" t="inlineStr">
        <is>
          <t>× 1.25</t>
        </is>
      </c>
      <c r="C55" s="26">
        <f>'Supuestos'!$C$8*1.25</f>
        <v/>
      </c>
      <c r="D55" s="27">
        <f>IF(C55=0,0,('Supuestos'!$C$8*'Modelo'!$C$42+1.3*(C55-'Supuestos'!$C$8))/C55)</f>
        <v/>
      </c>
      <c r="E55" s="26">
        <f>C55*(D55-1)</f>
        <v/>
      </c>
    </row>
    <row r="56">
      <c r="B56" t="inlineStr">
        <is>
          <t>× 1.5</t>
        </is>
      </c>
      <c r="C56" s="26">
        <f>'Supuestos'!$C$8*1.5</f>
        <v/>
      </c>
      <c r="D56" s="27">
        <f>IF(C56=0,0,('Supuestos'!$C$8*'Modelo'!$C$42+1.3*(C56-'Supuestos'!$C$8))/C56)</f>
        <v/>
      </c>
      <c r="E56" s="26">
        <f>C56*(D56-1)</f>
        <v/>
      </c>
    </row>
    <row r="57">
      <c r="B57" t="inlineStr">
        <is>
          <t>× 2</t>
        </is>
      </c>
      <c r="C57" s="26">
        <f>'Supuestos'!$C$8*2.0</f>
        <v/>
      </c>
      <c r="D57" s="27">
        <f>IF(C57=0,0,('Supuestos'!$C$8*'Modelo'!$C$42+1.3*(C57-'Supuestos'!$C$8))/C57)</f>
        <v/>
      </c>
      <c r="E57" s="26">
        <f>C57*(D57-1)</f>
        <v/>
      </c>
    </row>
    <row r="58">
      <c r="B58" t="inlineStr">
        <is>
          <t>× 3</t>
        </is>
      </c>
      <c r="C58" s="26">
        <f>'Supuestos'!$C$8*3.0</f>
        <v/>
      </c>
      <c r="D58" s="27">
        <f>IF(C58=0,0,('Supuestos'!$C$8*'Modelo'!$C$42+1.3*(C58-'Supuestos'!$C$8))/C58)</f>
        <v/>
      </c>
      <c r="E58" s="26">
        <f>C58*(D58-1)</f>
        <v/>
      </c>
    </row>
  </sheetData>
  <conditionalFormatting sqref="C10:H15">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1:H27">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7.xml><?xml version="1.0" encoding="utf-8"?>
<worksheet xmlns="http://schemas.openxmlformats.org/spreadsheetml/2006/main">
  <sheetPr>
    <outlinePr summaryBelow="1" summaryRight="1"/>
    <pageSetUpPr/>
  </sheetPr>
  <dimension ref="B2: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2">
      <c r="B2" s="1" t="inlineStr">
        <is>
          <t>Sensibilidad: qué palanca mueve más la ganancia</t>
        </is>
      </c>
    </row>
    <row r="3">
      <c r="B3" s="2" t="inlineStr">
        <is>
          <t>Cada fila mejora una sola variable un 10 % (o baja un costo un 10 %) y recalcula la ganancia del período. El ranking dice qué conviene trabajar primero.</t>
        </is>
      </c>
    </row>
    <row r="5">
      <c r="B5" s="5" t="inlineStr">
        <is>
          <t>Palanca</t>
        </is>
      </c>
      <c r="C5" s="5" t="inlineStr">
        <is>
          <t>Cambio</t>
        </is>
      </c>
      <c r="D5" s="5" t="inlineStr">
        <is>
          <t>Ganancia nueva</t>
        </is>
      </c>
      <c r="E5" s="5" t="inlineStr">
        <is>
          <t>Diferencia</t>
        </is>
      </c>
      <c r="F5" s="5" t="inlineStr">
        <is>
          <t>Dif. %</t>
        </is>
      </c>
      <c r="G5" s="5" t="inlineStr">
        <is>
          <t>Ranking</t>
        </is>
      </c>
    </row>
    <row r="6">
      <c r="B6" s="3" t="inlineStr">
        <is>
          <t>Ganancia del período con los supuestos actuales</t>
        </is>
      </c>
      <c r="D6" s="8">
        <f>'Modelo'!$C$40</f>
        <v/>
      </c>
    </row>
    <row r="7">
      <c r="B7" t="inlineStr">
        <is>
          <t>CPM 10 % más barato</t>
        </is>
      </c>
      <c r="C7" t="inlineStr">
        <is>
          <t>−10 %</t>
        </is>
      </c>
      <c r="D7" s="26">
        <f>(((((((((((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$28)+((((((((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$30)*'Supuestos'!$C$29))*('Supuestos'!$C$40+'Supuestos'!$C$41+'Supuestos'!$C$42))*(1-'Supuestos'!$C$33-'Supuestos'!$C$34-'Supuestos'!$C$35))-((IF((IF('Supuestos'!$C$10*'Supuestos'!$C$11*'Supuestos'!$C$14=0,0,('Supuestos'!$C$9*0.9)/1000/('Supuestos'!$C$10*'Supuestos'!$C$11*'Supuestos'!$C$14)))=0,0,'Supuestos'!$C$8/(IF('Supuestos'!$C$10*'Supuestos'!$C$11*'Supuestos'!$C$14=0,0,('Supuestos'!$C$9*0.9)/1000/('Supuestos'!$C$10*'Supuestos'!$C$11*'Supuestos'!$C$14)))))*'Supuestos'!$C$36)-'Supuestos'!$C$37-'Supuestos'!$C$8)</f>
        <v/>
      </c>
      <c r="E7" s="26">
        <f>D7-$D$6</f>
        <v/>
      </c>
      <c r="F7" s="17">
        <f>IF($D$6=0,0,E7/ABS($D$6))</f>
        <v/>
      </c>
      <c r="G7" s="16">
        <f>RANK(E7,$E$7:$E$14)</f>
        <v/>
      </c>
    </row>
    <row r="8">
      <c r="B8" t="inlineStr">
        <is>
          <t>Página 10 % más conversión a lead</t>
        </is>
      </c>
      <c r="C8" t="inlineStr">
        <is>
          <t>+10 %</t>
        </is>
      </c>
      <c r="D8" s="26">
        <f>(((((((((((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$28)+((((((((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$30)*'Supuestos'!$C$29))*('Supuestos'!$C$40+'Supuestos'!$C$41+'Supuestos'!$C$42))*(1-'Supuestos'!$C$33-'Supuestos'!$C$34-'Supuestos'!$C$35))-((IF((IF('Supuestos'!$C$10*'Supuestos'!$C$11*('Supuestos'!$C$14*1.1)=0,0,'Supuestos'!$C$9/1000/('Supuestos'!$C$10*'Supuestos'!$C$11*('Supuestos'!$C$14*1.1))))=0,0,'Supuestos'!$C$8/(IF('Supuestos'!$C$10*'Supuestos'!$C$11*('Supuestos'!$C$14*1.1)=0,0,'Supuestos'!$C$9/1000/('Supuestos'!$C$10*'Supuestos'!$C$11*('Supuestos'!$C$14*1.1))))))*'Supuestos'!$C$36)-'Supuestos'!$C$37-'Supuestos'!$C$8)</f>
        <v/>
      </c>
      <c r="E8" s="26">
        <f>D8-$D$6</f>
        <v/>
      </c>
      <c r="F8" s="17">
        <f>IF($D$6=0,0,E8/ABS($D$6))</f>
        <v/>
      </c>
      <c r="G8" s="16">
        <f>RANK(E8,$E$7:$E$14)</f>
        <v/>
      </c>
    </row>
    <row r="9">
      <c r="B9" t="inlineStr">
        <is>
          <t>10 % más aplicaciones</t>
        </is>
      </c>
      <c r="C9" t="inlineStr">
        <is>
          <t>+10 %</t>
        </is>
      </c>
      <c r="D9"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9" s="26">
        <f>D9-$D$6</f>
        <v/>
      </c>
      <c r="F9" s="17">
        <f>IF($D$6=0,0,E9/ABS($D$6))</f>
        <v/>
      </c>
      <c r="G9" s="16">
        <f>RANK(E9,$E$7:$E$14)</f>
        <v/>
      </c>
    </row>
    <row r="10">
      <c r="B10" t="inlineStr">
        <is>
          <t>10 % más calificados que agendan</t>
        </is>
      </c>
      <c r="C10" t="inlineStr">
        <is>
          <t>+10 %</t>
        </is>
      </c>
      <c r="D10"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6">
        <f>D10-$D$6</f>
        <v/>
      </c>
      <c r="F10" s="17">
        <f>IF($D$6=0,0,E10/ABS($D$6))</f>
        <v/>
      </c>
      <c r="G10" s="16">
        <f>RANK(E10,$E$7:$E$14)</f>
        <v/>
      </c>
    </row>
    <row r="11">
      <c r="B11" t="inlineStr">
        <is>
          <t>Show de la llamada 10 % más alto</t>
        </is>
      </c>
      <c r="C11" t="inlineStr">
        <is>
          <t>+10 %</t>
        </is>
      </c>
      <c r="D11"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6">
        <f>D11-$D$6</f>
        <v/>
      </c>
      <c r="F11" s="17">
        <f>IF($D$6=0,0,E11/ABS($D$6))</f>
        <v/>
      </c>
      <c r="G11" s="16">
        <f>RANK(E11,$E$7:$E$14)</f>
        <v/>
      </c>
    </row>
    <row r="12">
      <c r="B12" t="inlineStr">
        <is>
          <t>Cierre 10 % más alto</t>
        </is>
      </c>
      <c r="C12" t="inlineStr">
        <is>
          <t>+10 %</t>
        </is>
      </c>
      <c r="D12"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6">
        <f>D12-$D$6</f>
        <v/>
      </c>
      <c r="F12" s="17">
        <f>IF($D$6=0,0,E12/ABS($D$6))</f>
        <v/>
      </c>
      <c r="G12" s="16">
        <f>RANK(E12,$E$7:$E$14)</f>
        <v/>
      </c>
    </row>
    <row r="13">
      <c r="B13" t="inlineStr">
        <is>
          <t>Precio 10 % más alto (mismo cierre)</t>
        </is>
      </c>
      <c r="C13" t="inlineStr">
        <is>
          <t>+10 %</t>
        </is>
      </c>
      <c r="D13"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6">
        <f>D13-$D$6</f>
        <v/>
      </c>
      <c r="F13" s="17">
        <f>IF($D$6=0,0,E13/ABS($D$6))</f>
        <v/>
      </c>
      <c r="G13" s="16">
        <f>RANK(E13,$E$7:$E$14)</f>
        <v/>
      </c>
    </row>
    <row r="14">
      <c r="B14" t="inlineStr">
        <is>
          <t>Comisión de closers 10 % más baja</t>
        </is>
      </c>
      <c r="C14" t="inlineStr">
        <is>
          <t>−10 %</t>
        </is>
      </c>
      <c r="D14" s="26">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0.9)-'Supuestos'!$C$35))-((IF((IF('Supuestos'!$C$10*'Supuestos'!$C$11*'Supuestos'!$C$14=0,0,'Supuestos'!$C$9/1000/('Supuestos'!$C$10*'Supuestos'!$C$11*'Supuestos'!$C$14)))=0,0,'Supuestos'!$C$8/(IF('Supuestos'!$C$10*'Supuestos'!$C$11*'Supuestos'!$C$14=0,0,'Supuestos'!$C$9/1000/('Supuestos'!$C$10*'Supuestos'!$C$11*'Supuestos'!$C$14)))))*'Supuestos'!$C$36)-'Supuestos'!$C$37-'Supuestos'!$C$8)</f>
        <v/>
      </c>
      <c r="E14" s="26">
        <f>D14-$D$6</f>
        <v/>
      </c>
      <c r="F14" s="17">
        <f>IF($D$6=0,0,E14/ABS($D$6))</f>
        <v/>
      </c>
      <c r="G14" s="16">
        <f>RANK(E14,$E$7:$E$14)</f>
        <v/>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8.xml><?xml version="1.0" encoding="utf-8"?>
<worksheet xmlns="http://schemas.openxmlformats.org/spreadsheetml/2006/main">
  <sheetPr>
    <outlinePr summaryBelow="1" summaryRight="1"/>
    <pageSetUpPr/>
  </sheetPr>
  <dimension ref="B2: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2">
      <c r="B2" s="1" t="inlineStr">
        <is>
          <t>Proyección a 12 meses y caja</t>
        </is>
      </c>
    </row>
    <row r="3">
      <c r="B3" s="2" t="inlineStr">
        <is>
          <t>La inversión crece cada mes según el supuesto de crecimiento. El cash entra según la curva de cobranza (mes 1 / 2 / 3). La ganancia acumulada muestra cuánto dinero hace falta para sostener la pauta.</t>
        </is>
      </c>
    </row>
    <row r="5">
      <c r="B5" s="5" t="inlineStr">
        <is>
          <t>Concepto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Total</t>
        </is>
      </c>
    </row>
    <row r="6">
      <c r="B6" t="inlineStr">
        <is>
          <t>Inversión en publicidad del mes</t>
        </is>
      </c>
      <c r="C6" s="26">
        <f>'Supuestos'!$C$8*1</f>
        <v/>
      </c>
      <c r="D6" s="26">
        <f>C6*(1+'Supuestos'!$C$48)</f>
        <v/>
      </c>
      <c r="E6" s="26">
        <f>D6*(1+'Supuestos'!$C$48)</f>
        <v/>
      </c>
      <c r="F6" s="26">
        <f>E6*(1+'Supuestos'!$C$48)</f>
        <v/>
      </c>
      <c r="G6" s="26">
        <f>F6*(1+'Supuestos'!$C$48)</f>
        <v/>
      </c>
      <c r="H6" s="26">
        <f>G6*(1+'Supuestos'!$C$48)</f>
        <v/>
      </c>
      <c r="I6" s="26">
        <f>H6*(1+'Supuestos'!$C$48)</f>
        <v/>
      </c>
      <c r="J6" s="26">
        <f>I6*(1+'Supuestos'!$C$48)</f>
        <v/>
      </c>
      <c r="K6" s="26">
        <f>J6*(1+'Supuestos'!$C$48)</f>
        <v/>
      </c>
      <c r="L6" s="26">
        <f>K6*(1+'Supuestos'!$C$48)</f>
        <v/>
      </c>
      <c r="M6" s="26">
        <f>L6*(1+'Supuestos'!$C$48)</f>
        <v/>
      </c>
      <c r="N6" s="26">
        <f>M6*(1+'Supuestos'!$C$48)</f>
        <v/>
      </c>
      <c r="O6" s="8">
        <f>SUM(C6:N6)</f>
        <v/>
      </c>
    </row>
    <row r="7">
      <c r="B7" t="inlineStr">
        <is>
          <t>Leads compradas</t>
        </is>
      </c>
      <c r="C7" s="16">
        <f>IF('Modelo'!$C$10=0,0,C6/'Modelo'!$C$10)</f>
        <v/>
      </c>
      <c r="D7" s="16">
        <f>IF('Modelo'!$C$10=0,0,D6/'Modelo'!$C$10)</f>
        <v/>
      </c>
      <c r="E7" s="16">
        <f>IF('Modelo'!$C$10=0,0,E6/'Modelo'!$C$10)</f>
        <v/>
      </c>
      <c r="F7" s="16">
        <f>IF('Modelo'!$C$10=0,0,F6/'Modelo'!$C$10)</f>
        <v/>
      </c>
      <c r="G7" s="16">
        <f>IF('Modelo'!$C$10=0,0,G6/'Modelo'!$C$10)</f>
        <v/>
      </c>
      <c r="H7" s="16">
        <f>IF('Modelo'!$C$10=0,0,H6/'Modelo'!$C$10)</f>
        <v/>
      </c>
      <c r="I7" s="16">
        <f>IF('Modelo'!$C$10=0,0,I6/'Modelo'!$C$10)</f>
        <v/>
      </c>
      <c r="J7" s="16">
        <f>IF('Modelo'!$C$10=0,0,J6/'Modelo'!$C$10)</f>
        <v/>
      </c>
      <c r="K7" s="16">
        <f>IF('Modelo'!$C$10=0,0,K6/'Modelo'!$C$10)</f>
        <v/>
      </c>
      <c r="L7" s="16">
        <f>IF('Modelo'!$C$10=0,0,L6/'Modelo'!$C$10)</f>
        <v/>
      </c>
      <c r="M7" s="16">
        <f>IF('Modelo'!$C$10=0,0,M6/'Modelo'!$C$10)</f>
        <v/>
      </c>
      <c r="N7" s="16">
        <f>IF('Modelo'!$C$10=0,0,N6/'Modelo'!$C$10)</f>
        <v/>
      </c>
      <c r="O7" s="11">
        <f>SUM(C7:N7)</f>
        <v/>
      </c>
    </row>
    <row r="8">
      <c r="B8" t="inlineStr">
        <is>
          <t>Ventas del producto principal</t>
        </is>
      </c>
      <c r="C8" s="25">
        <f>C7*'Modelo'!$C$31</f>
        <v/>
      </c>
      <c r="D8" s="25">
        <f>D7*'Modelo'!$C$31</f>
        <v/>
      </c>
      <c r="E8" s="25">
        <f>E7*'Modelo'!$C$31</f>
        <v/>
      </c>
      <c r="F8" s="25">
        <f>F7*'Modelo'!$C$31</f>
        <v/>
      </c>
      <c r="G8" s="25">
        <f>G7*'Modelo'!$C$31</f>
        <v/>
      </c>
      <c r="H8" s="25">
        <f>H7*'Modelo'!$C$31</f>
        <v/>
      </c>
      <c r="I8" s="25">
        <f>I7*'Modelo'!$C$31</f>
        <v/>
      </c>
      <c r="J8" s="25">
        <f>J7*'Modelo'!$C$31</f>
        <v/>
      </c>
      <c r="K8" s="25">
        <f>K7*'Modelo'!$C$31</f>
        <v/>
      </c>
      <c r="L8" s="25">
        <f>L7*'Modelo'!$C$31</f>
        <v/>
      </c>
      <c r="M8" s="25">
        <f>M7*'Modelo'!$C$31</f>
        <v/>
      </c>
      <c r="N8" s="25">
        <f>N7*'Modelo'!$C$31</f>
        <v/>
      </c>
      <c r="O8" s="10">
        <f>SUM(C8:N8)</f>
        <v/>
      </c>
    </row>
    <row r="9">
      <c r="B9" t="inlineStr">
        <is>
          <t>Facturado (todos los productos)</t>
        </is>
      </c>
      <c r="C9" s="26">
        <f>C7*'Modelo'!$C$32</f>
        <v/>
      </c>
      <c r="D9" s="26">
        <f>D7*'Modelo'!$C$32</f>
        <v/>
      </c>
      <c r="E9" s="26">
        <f>E7*'Modelo'!$C$32</f>
        <v/>
      </c>
      <c r="F9" s="26">
        <f>F7*'Modelo'!$C$32</f>
        <v/>
      </c>
      <c r="G9" s="26">
        <f>G7*'Modelo'!$C$32</f>
        <v/>
      </c>
      <c r="H9" s="26">
        <f>H7*'Modelo'!$C$32</f>
        <v/>
      </c>
      <c r="I9" s="26">
        <f>I7*'Modelo'!$C$32</f>
        <v/>
      </c>
      <c r="J9" s="26">
        <f>J7*'Modelo'!$C$32</f>
        <v/>
      </c>
      <c r="K9" s="26">
        <f>K7*'Modelo'!$C$32</f>
        <v/>
      </c>
      <c r="L9" s="26">
        <f>L7*'Modelo'!$C$32</f>
        <v/>
      </c>
      <c r="M9" s="26">
        <f>M7*'Modelo'!$C$32</f>
        <v/>
      </c>
      <c r="N9" s="26">
        <f>N7*'Modelo'!$C$32</f>
        <v/>
      </c>
      <c r="O9" s="8">
        <f>SUM(C9:N9)</f>
        <v/>
      </c>
    </row>
    <row r="10">
      <c r="B10" t="inlineStr">
        <is>
          <t>Cash cobrado en el mes</t>
        </is>
      </c>
      <c r="C10" s="26">
        <f>C9*'Supuestos'!$C$40</f>
        <v/>
      </c>
      <c r="D10" s="26">
        <f>D9*'Supuestos'!$C$40+C9*'Supuestos'!$C$41</f>
        <v/>
      </c>
      <c r="E10" s="26">
        <f>E9*'Supuestos'!$C$40+D9*'Supuestos'!$C$41+C9*'Supuestos'!$C$42</f>
        <v/>
      </c>
      <c r="F10" s="26">
        <f>F9*'Supuestos'!$C$40+E9*'Supuestos'!$C$41+D9*'Supuestos'!$C$42</f>
        <v/>
      </c>
      <c r="G10" s="26">
        <f>G9*'Supuestos'!$C$40+F9*'Supuestos'!$C$41+E9*'Supuestos'!$C$42</f>
        <v/>
      </c>
      <c r="H10" s="26">
        <f>H9*'Supuestos'!$C$40+G9*'Supuestos'!$C$41+F9*'Supuestos'!$C$42</f>
        <v/>
      </c>
      <c r="I10" s="26">
        <f>I9*'Supuestos'!$C$40+H9*'Supuestos'!$C$41+G9*'Supuestos'!$C$42</f>
        <v/>
      </c>
      <c r="J10" s="26">
        <f>J9*'Supuestos'!$C$40+I9*'Supuestos'!$C$41+H9*'Supuestos'!$C$42</f>
        <v/>
      </c>
      <c r="K10" s="26">
        <f>K9*'Supuestos'!$C$40+J9*'Supuestos'!$C$41+I9*'Supuestos'!$C$42</f>
        <v/>
      </c>
      <c r="L10" s="26">
        <f>L9*'Supuestos'!$C$40+K9*'Supuestos'!$C$41+J9*'Supuestos'!$C$42</f>
        <v/>
      </c>
      <c r="M10" s="26">
        <f>M9*'Supuestos'!$C$40+L9*'Supuestos'!$C$41+K9*'Supuestos'!$C$42</f>
        <v/>
      </c>
      <c r="N10" s="26">
        <f>N9*'Supuestos'!$C$40+M9*'Supuestos'!$C$41+L9*'Supuestos'!$C$42</f>
        <v/>
      </c>
      <c r="O10" s="8">
        <f>SUM(C10:N10)</f>
        <v/>
      </c>
    </row>
    <row r="11">
      <c r="B11" t="inlineStr">
        <is>
          <t>Comisiones y reembolsos</t>
        </is>
      </c>
      <c r="C11" s="26">
        <f>C10*('Supuestos'!$C$33+'Supuestos'!$C$34+'Supuestos'!$C$35)</f>
        <v/>
      </c>
      <c r="D11" s="26">
        <f>D10*('Supuestos'!$C$33+'Supuestos'!$C$34+'Supuestos'!$C$35)</f>
        <v/>
      </c>
      <c r="E11" s="26">
        <f>E10*('Supuestos'!$C$33+'Supuestos'!$C$34+'Supuestos'!$C$35)</f>
        <v/>
      </c>
      <c r="F11" s="26">
        <f>F10*('Supuestos'!$C$33+'Supuestos'!$C$34+'Supuestos'!$C$35)</f>
        <v/>
      </c>
      <c r="G11" s="26">
        <f>G10*('Supuestos'!$C$33+'Supuestos'!$C$34+'Supuestos'!$C$35)</f>
        <v/>
      </c>
      <c r="H11" s="26">
        <f>H10*('Supuestos'!$C$33+'Supuestos'!$C$34+'Supuestos'!$C$35)</f>
        <v/>
      </c>
      <c r="I11" s="26">
        <f>I10*('Supuestos'!$C$33+'Supuestos'!$C$34+'Supuestos'!$C$35)</f>
        <v/>
      </c>
      <c r="J11" s="26">
        <f>J10*('Supuestos'!$C$33+'Supuestos'!$C$34+'Supuestos'!$C$35)</f>
        <v/>
      </c>
      <c r="K11" s="26">
        <f>K10*('Supuestos'!$C$33+'Supuestos'!$C$34+'Supuestos'!$C$35)</f>
        <v/>
      </c>
      <c r="L11" s="26">
        <f>L10*('Supuestos'!$C$33+'Supuestos'!$C$34+'Supuestos'!$C$35)</f>
        <v/>
      </c>
      <c r="M11" s="26">
        <f>M10*('Supuestos'!$C$33+'Supuestos'!$C$34+'Supuestos'!$C$35)</f>
        <v/>
      </c>
      <c r="N11" s="26">
        <f>N10*('Supuestos'!$C$33+'Supuestos'!$C$34+'Supuestos'!$C$35)</f>
        <v/>
      </c>
      <c r="O11" s="8">
        <f>SUM(C11:N11)</f>
        <v/>
      </c>
    </row>
    <row r="12">
      <c r="B12" t="inlineStr">
        <is>
          <t>Costos por unidad (herramientas, WhatsApp, IA)</t>
        </is>
      </c>
      <c r="C12" s="26">
        <f>C7*'Supuestos'!$C$36</f>
        <v/>
      </c>
      <c r="D12" s="26">
        <f>D7*'Supuestos'!$C$36</f>
        <v/>
      </c>
      <c r="E12" s="26">
        <f>E7*'Supuestos'!$C$36</f>
        <v/>
      </c>
      <c r="F12" s="26">
        <f>F7*'Supuestos'!$C$36</f>
        <v/>
      </c>
      <c r="G12" s="26">
        <f>G7*'Supuestos'!$C$36</f>
        <v/>
      </c>
      <c r="H12" s="26">
        <f>H7*'Supuestos'!$C$36</f>
        <v/>
      </c>
      <c r="I12" s="26">
        <f>I7*'Supuestos'!$C$36</f>
        <v/>
      </c>
      <c r="J12" s="26">
        <f>J7*'Supuestos'!$C$36</f>
        <v/>
      </c>
      <c r="K12" s="26">
        <f>K7*'Supuestos'!$C$36</f>
        <v/>
      </c>
      <c r="L12" s="26">
        <f>L7*'Supuestos'!$C$36</f>
        <v/>
      </c>
      <c r="M12" s="26">
        <f>M7*'Supuestos'!$C$36</f>
        <v/>
      </c>
      <c r="N12" s="26">
        <f>N7*'Supuestos'!$C$36</f>
        <v/>
      </c>
      <c r="O12" s="8">
        <f>SUM(C12:N12)</f>
        <v/>
      </c>
    </row>
    <row r="13">
      <c r="B13" t="inlineStr">
        <is>
          <t>Costos fijos del mes</t>
        </is>
      </c>
      <c r="C13" s="26">
        <f>'Supuestos'!$C$37*1</f>
        <v/>
      </c>
      <c r="D13" s="26">
        <f>'Supuestos'!$C$37*1</f>
        <v/>
      </c>
      <c r="E13" s="26">
        <f>'Supuestos'!$C$37*1</f>
        <v/>
      </c>
      <c r="F13" s="26">
        <f>'Supuestos'!$C$37*1</f>
        <v/>
      </c>
      <c r="G13" s="26">
        <f>'Supuestos'!$C$37*1</f>
        <v/>
      </c>
      <c r="H13" s="26">
        <f>'Supuestos'!$C$37*1</f>
        <v/>
      </c>
      <c r="I13" s="26">
        <f>'Supuestos'!$C$37*1</f>
        <v/>
      </c>
      <c r="J13" s="26">
        <f>'Supuestos'!$C$37*1</f>
        <v/>
      </c>
      <c r="K13" s="26">
        <f>'Supuestos'!$C$37*1</f>
        <v/>
      </c>
      <c r="L13" s="26">
        <f>'Supuestos'!$C$37*1</f>
        <v/>
      </c>
      <c r="M13" s="26">
        <f>'Supuestos'!$C$37*1</f>
        <v/>
      </c>
      <c r="N13" s="26">
        <f>'Supuestos'!$C$37*1</f>
        <v/>
      </c>
      <c r="O13" s="8">
        <f>SUM(C13:N13)</f>
        <v/>
      </c>
    </row>
    <row r="14">
      <c r="B14" s="3" t="inlineStr">
        <is>
          <t>Ganancia de caja del mes</t>
        </is>
      </c>
      <c r="C14" s="8">
        <f>C10-C11-C12-C13-C6</f>
        <v/>
      </c>
      <c r="D14" s="8">
        <f>D10-D11-D12-D13-D6</f>
        <v/>
      </c>
      <c r="E14" s="8">
        <f>E10-E11-E12-E13-E6</f>
        <v/>
      </c>
      <c r="F14" s="8">
        <f>F10-F11-F12-F13-F6</f>
        <v/>
      </c>
      <c r="G14" s="8">
        <f>G10-G11-G12-G13-G6</f>
        <v/>
      </c>
      <c r="H14" s="8">
        <f>H10-H11-H12-H13-H6</f>
        <v/>
      </c>
      <c r="I14" s="8">
        <f>I10-I11-I12-I13-I6</f>
        <v/>
      </c>
      <c r="J14" s="8">
        <f>J10-J11-J12-J13-J6</f>
        <v/>
      </c>
      <c r="K14" s="8">
        <f>K10-K11-K12-K13-K6</f>
        <v/>
      </c>
      <c r="L14" s="8">
        <f>L10-L11-L12-L13-L6</f>
        <v/>
      </c>
      <c r="M14" s="8">
        <f>M10-M11-M12-M13-M6</f>
        <v/>
      </c>
      <c r="N14" s="8">
        <f>N10-N11-N12-N13-N6</f>
        <v/>
      </c>
      <c r="O14" s="8">
        <f>SUM(C14:N14)</f>
        <v/>
      </c>
    </row>
    <row r="15">
      <c r="B15" s="3" t="inlineStr">
        <is>
          <t>Ganancia de caja acumulada (desde cero)</t>
        </is>
      </c>
      <c r="C15" s="8">
        <f>C14</f>
        <v/>
      </c>
      <c r="D15" s="8">
        <f>C15+D14</f>
        <v/>
      </c>
      <c r="E15" s="8">
        <f>D15+E14</f>
        <v/>
      </c>
      <c r="F15" s="8">
        <f>E15+F14</f>
        <v/>
      </c>
      <c r="G15" s="8">
        <f>F15+G14</f>
        <v/>
      </c>
      <c r="H15" s="8">
        <f>G15+H14</f>
        <v/>
      </c>
      <c r="I15" s="8">
        <f>H15+I14</f>
        <v/>
      </c>
      <c r="J15" s="8">
        <f>I15+J14</f>
        <v/>
      </c>
      <c r="K15" s="8">
        <f>J15+K14</f>
        <v/>
      </c>
      <c r="L15" s="8">
        <f>K15+L14</f>
        <v/>
      </c>
      <c r="M15" s="8">
        <f>L15+M14</f>
        <v/>
      </c>
      <c r="N15" s="8">
        <f>M15+N14</f>
        <v/>
      </c>
    </row>
    <row r="16">
      <c r="B16" t="inlineStr">
        <is>
          <t>Saldo de caja (caja inicial + ganancia acumulada)</t>
        </is>
      </c>
      <c r="C16" s="26">
        <f>'Supuestos'!$C$49+C15</f>
        <v/>
      </c>
      <c r="D16" s="26">
        <f>'Supuestos'!$C$49+D15</f>
        <v/>
      </c>
      <c r="E16" s="26">
        <f>'Supuestos'!$C$49+E15</f>
        <v/>
      </c>
      <c r="F16" s="26">
        <f>'Supuestos'!$C$49+F15</f>
        <v/>
      </c>
      <c r="G16" s="26">
        <f>'Supuestos'!$C$49+G15</f>
        <v/>
      </c>
      <c r="H16" s="26">
        <f>'Supuestos'!$C$49+H15</f>
        <v/>
      </c>
      <c r="I16" s="26">
        <f>'Supuestos'!$C$49+I15</f>
        <v/>
      </c>
      <c r="J16" s="26">
        <f>'Supuestos'!$C$49+J15</f>
        <v/>
      </c>
      <c r="K16" s="26">
        <f>'Supuestos'!$C$49+K15</f>
        <v/>
      </c>
      <c r="L16" s="26">
        <f>'Supuestos'!$C$49+L15</f>
        <v/>
      </c>
      <c r="M16" s="26">
        <f>'Supuestos'!$C$49+M15</f>
        <v/>
      </c>
      <c r="N16" s="26">
        <f>'Supuestos'!$C$49+N15</f>
        <v/>
      </c>
    </row>
    <row r="18">
      <c r="B18" s="3" t="inlineStr">
        <is>
          <t>Caja necesaria para no frenar la pauta (el peor momento de la ganancia acumulada)</t>
        </is>
      </c>
      <c r="C18" s="8">
        <f>MAX(0,-MIN(C15:N15))</f>
        <v/>
      </c>
    </row>
    <row r="19">
      <c r="B19" s="3" t="inlineStr">
        <is>
          <t>Saldo mínimo de caja con tu caja inicial</t>
        </is>
      </c>
      <c r="C19" s="8">
        <f>MIN(C16:N16)</f>
        <v/>
      </c>
    </row>
    <row r="20">
      <c r="B20" s="3" t="inlineStr">
        <is>
          <t>Ganancia de caja acumulada en 12 meses</t>
        </is>
      </c>
      <c r="C20" s="8">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9.xml><?xml version="1.0" encoding="utf-8"?>
<worksheet xmlns="http://schemas.openxmlformats.org/spreadsheetml/2006/main">
  <sheetPr>
    <outlinePr summaryBelow="1" summaryRight="1"/>
    <pageSetUpPr/>
  </sheetPr>
  <dimension ref="B2:Q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2">
      <c r="B2" s="1" t="inlineStr">
        <is>
          <t>Seguimiento: una columna por mes</t>
        </is>
      </c>
    </row>
    <row r="3">
      <c r="B3" s="2" t="inlineStr">
        <is>
          <t>Cargá los datos reales en las celdas amarillas. El semáforo compara tu costo real por lead con el techo móvil (lo que rindieron tus últimas 4 columnas) y con el techo del modelo.</t>
        </is>
      </c>
    </row>
    <row r="5">
      <c r="B5" s="5" t="inlineStr">
        <is>
          <t>Dato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Promedio</t>
        </is>
      </c>
      <c r="P5" s="5" t="inlineStr">
        <is>
          <t>Máximo</t>
        </is>
      </c>
      <c r="Q5" s="5" t="inlineStr">
        <is>
          <t>Mínimo</t>
        </is>
      </c>
    </row>
    <row r="6">
      <c r="B6" s="6" t="inlineStr">
        <is>
          <t>Datos que cargás</t>
        </is>
      </c>
      <c r="C6" s="7" t="n"/>
      <c r="D6" s="7" t="n"/>
      <c r="E6" s="7" t="n"/>
      <c r="F6" s="7" t="n"/>
      <c r="G6" s="7" t="n"/>
      <c r="H6" s="7" t="n"/>
      <c r="I6" s="7" t="n"/>
      <c r="J6" s="7" t="n"/>
      <c r="K6" s="7" t="n"/>
      <c r="L6" s="7" t="n"/>
      <c r="M6" s="7" t="n"/>
      <c r="N6" s="7" t="n"/>
    </row>
    <row r="7">
      <c r="B7" t="inlineStr">
        <is>
          <t>Inversión en publicidad</t>
        </is>
      </c>
      <c r="C7" s="21" t="n">
        <v>4500</v>
      </c>
      <c r="D7" s="21" t="n">
        <v>4800</v>
      </c>
      <c r="E7" s="21" t="n">
        <v>5200</v>
      </c>
      <c r="F7" s="21" t="n"/>
      <c r="G7" s="21" t="n"/>
      <c r="H7" s="21" t="n"/>
      <c r="I7" s="21" t="n"/>
      <c r="J7" s="21" t="n"/>
      <c r="K7" s="21" t="n"/>
      <c r="L7" s="21" t="n"/>
      <c r="M7" s="21" t="n"/>
      <c r="N7" s="21" t="n"/>
      <c r="O7" s="26">
        <f>IF(COUNT(C7:N7)=0,"",AVERAGE(C7:N7))</f>
        <v/>
      </c>
      <c r="P7" s="26">
        <f>IF(COUNT(C7:N7)=0,"",MAX(C7:N7))</f>
        <v/>
      </c>
      <c r="Q7" s="26">
        <f>IF(COUNT(C7:N7)=0,"",MIN(C7:N7))</f>
        <v/>
      </c>
    </row>
    <row r="8">
      <c r="B8" t="inlineStr">
        <is>
          <t>Leads</t>
        </is>
      </c>
      <c r="C8" s="20" t="n">
        <v>1600</v>
      </c>
      <c r="D8" s="20" t="n">
        <v>1650</v>
      </c>
      <c r="E8" s="20" t="n">
        <v>1900</v>
      </c>
      <c r="F8" s="20" t="n"/>
      <c r="G8" s="20" t="n"/>
      <c r="H8" s="20" t="n"/>
      <c r="I8" s="20" t="n"/>
      <c r="J8" s="20" t="n"/>
      <c r="K8" s="20" t="n"/>
      <c r="L8" s="20" t="n"/>
      <c r="M8" s="20" t="n"/>
      <c r="N8" s="20" t="n"/>
      <c r="O8" s="16">
        <f>IF(COUNT(C8:N8)=0,"",AVERAGE(C8:N8))</f>
        <v/>
      </c>
      <c r="P8" s="16">
        <f>IF(COUNT(C8:N8)=0,"",MAX(C8:N8))</f>
        <v/>
      </c>
      <c r="Q8" s="16">
        <f>IF(COUNT(C8:N8)=0,"",MIN(C8:N8))</f>
        <v/>
      </c>
    </row>
    <row r="9">
      <c r="B9" t="inlineStr">
        <is>
          <t>Aplicaciones completas</t>
        </is>
      </c>
      <c r="C9" s="20" t="n">
        <v>160</v>
      </c>
      <c r="D9" s="20" t="n">
        <v>155</v>
      </c>
      <c r="E9" s="20" t="n">
        <v>190</v>
      </c>
      <c r="F9" s="20" t="n"/>
      <c r="G9" s="20" t="n"/>
      <c r="H9" s="20" t="n"/>
      <c r="I9" s="20" t="n"/>
      <c r="J9" s="20" t="n"/>
      <c r="K9" s="20" t="n"/>
      <c r="L9" s="20" t="n"/>
      <c r="M9" s="20" t="n"/>
      <c r="N9" s="20" t="n"/>
      <c r="O9" s="16">
        <f>IF(COUNT(C9:N9)=0,"",AVERAGE(C9:N9))</f>
        <v/>
      </c>
      <c r="P9" s="16">
        <f>IF(COUNT(C9:N9)=0,"",MAX(C9:N9))</f>
        <v/>
      </c>
      <c r="Q9" s="16">
        <f>IF(COUNT(C9:N9)=0,"",MIN(C9:N9))</f>
        <v/>
      </c>
    </row>
    <row r="10">
      <c r="B10" t="inlineStr">
        <is>
          <t>Calificados</t>
        </is>
      </c>
      <c r="C10" s="20" t="n">
        <v>96</v>
      </c>
      <c r="D10" s="20" t="n">
        <v>90</v>
      </c>
      <c r="E10" s="20" t="n">
        <v>115</v>
      </c>
      <c r="F10" s="20" t="n"/>
      <c r="G10" s="20" t="n"/>
      <c r="H10" s="20" t="n"/>
      <c r="I10" s="20" t="n"/>
      <c r="J10" s="20" t="n"/>
      <c r="K10" s="20" t="n"/>
      <c r="L10" s="20" t="n"/>
      <c r="M10" s="20" t="n"/>
      <c r="N10" s="20" t="n"/>
      <c r="O10" s="16">
        <f>IF(COUNT(C10:N10)=0,"",AVERAGE(C10:N10))</f>
        <v/>
      </c>
      <c r="P10" s="16">
        <f>IF(COUNT(C10:N10)=0,"",MAX(C10:N10))</f>
        <v/>
      </c>
      <c r="Q10" s="16">
        <f>IF(COUNT(C10:N10)=0,"",MIN(C10:N10))</f>
        <v/>
      </c>
    </row>
    <row r="11">
      <c r="B11" t="inlineStr">
        <is>
          <t>Agendas</t>
        </is>
      </c>
      <c r="C11" s="20" t="n">
        <v>58</v>
      </c>
      <c r="D11" s="20" t="n">
        <v>52</v>
      </c>
      <c r="E11" s="20" t="n">
        <v>70</v>
      </c>
      <c r="F11" s="20" t="n"/>
      <c r="G11" s="20" t="n"/>
      <c r="H11" s="20" t="n"/>
      <c r="I11" s="20" t="n"/>
      <c r="J11" s="20" t="n"/>
      <c r="K11" s="20" t="n"/>
      <c r="L11" s="20" t="n"/>
      <c r="M11" s="20" t="n"/>
      <c r="N11" s="20" t="n"/>
      <c r="O11" s="16">
        <f>IF(COUNT(C11:N11)=0,"",AVERAGE(C11:N11))</f>
        <v/>
      </c>
      <c r="P11" s="16">
        <f>IF(COUNT(C11:N11)=0,"",MAX(C11:N11))</f>
        <v/>
      </c>
      <c r="Q11" s="16">
        <f>IF(COUNT(C11:N11)=0,"",MIN(C11:N11))</f>
        <v/>
      </c>
    </row>
    <row r="12">
      <c r="B12" t="inlineStr">
        <is>
          <t>Llamadas realizadas</t>
        </is>
      </c>
      <c r="C12" s="20" t="n">
        <v>41</v>
      </c>
      <c r="D12" s="20" t="n">
        <v>35</v>
      </c>
      <c r="E12" s="20" t="n">
        <v>50</v>
      </c>
      <c r="F12" s="20" t="n"/>
      <c r="G12" s="20" t="n"/>
      <c r="H12" s="20" t="n"/>
      <c r="I12" s="20" t="n"/>
      <c r="J12" s="20" t="n"/>
      <c r="K12" s="20" t="n"/>
      <c r="L12" s="20" t="n"/>
      <c r="M12" s="20" t="n"/>
      <c r="N12" s="20" t="n"/>
      <c r="O12" s="16">
        <f>IF(COUNT(C12:N12)=0,"",AVERAGE(C12:N12))</f>
        <v/>
      </c>
      <c r="P12" s="16">
        <f>IF(COUNT(C12:N12)=0,"",MAX(C12:N12))</f>
        <v/>
      </c>
      <c r="Q12" s="16">
        <f>IF(COUNT(C12:N12)=0,"",MIN(C12:N12))</f>
        <v/>
      </c>
    </row>
    <row r="13">
      <c r="B13" t="inlineStr">
        <is>
          <t>Ventas del programa</t>
        </is>
      </c>
      <c r="C13" s="20" t="n">
        <v>10</v>
      </c>
      <c r="D13" s="20" t="n">
        <v>8</v>
      </c>
      <c r="E13" s="20" t="n">
        <v>13</v>
      </c>
      <c r="F13" s="20" t="n"/>
      <c r="G13" s="20" t="n"/>
      <c r="H13" s="20" t="n"/>
      <c r="I13" s="20" t="n"/>
      <c r="J13" s="20" t="n"/>
      <c r="K13" s="20" t="n"/>
      <c r="L13" s="20" t="n"/>
      <c r="M13" s="20" t="n"/>
      <c r="N13" s="20" t="n"/>
      <c r="O13" s="16">
        <f>IF(COUNT(C13:N13)=0,"",AVERAGE(C13:N13))</f>
        <v/>
      </c>
      <c r="P13" s="16">
        <f>IF(COUNT(C13:N13)=0,"",MAX(C13:N13))</f>
        <v/>
      </c>
      <c r="Q13" s="16">
        <f>IF(COUNT(C13:N13)=0,"",MIN(C13:N13))</f>
        <v/>
      </c>
    </row>
    <row r="14">
      <c r="B14" t="inlineStr">
        <is>
          <t>Ventas del downsell</t>
        </is>
      </c>
      <c r="C14" s="20" t="n">
        <v>3</v>
      </c>
      <c r="D14" s="20" t="n">
        <v>3</v>
      </c>
      <c r="E14" s="20" t="n">
        <v>4</v>
      </c>
      <c r="F14" s="20" t="n"/>
      <c r="G14" s="20" t="n"/>
      <c r="H14" s="20" t="n"/>
      <c r="I14" s="20" t="n"/>
      <c r="J14" s="20" t="n"/>
      <c r="K14" s="20" t="n"/>
      <c r="L14" s="20" t="n"/>
      <c r="M14" s="20" t="n"/>
      <c r="N14" s="20" t="n"/>
      <c r="O14" s="16">
        <f>IF(COUNT(C14:N14)=0,"",AVERAGE(C14:N14))</f>
        <v/>
      </c>
      <c r="P14" s="16">
        <f>IF(COUNT(C14:N14)=0,"",MAX(C14:N14))</f>
        <v/>
      </c>
      <c r="Q14" s="16">
        <f>IF(COUNT(C14:N14)=0,"",MIN(C14:N14))</f>
        <v/>
      </c>
    </row>
    <row r="15">
      <c r="B15" t="inlineStr">
        <is>
          <t>Facturado del mes (a precio de lista, con cuotas por cobrar)</t>
        </is>
      </c>
      <c r="C15" s="21" t="n">
        <v>16500</v>
      </c>
      <c r="D15" s="21" t="n">
        <v>13500</v>
      </c>
      <c r="E15" s="21" t="n">
        <v>21000</v>
      </c>
      <c r="F15" s="21" t="n"/>
      <c r="G15" s="21" t="n"/>
      <c r="H15" s="21" t="n"/>
      <c r="I15" s="21" t="n"/>
      <c r="J15" s="21" t="n"/>
      <c r="K15" s="21" t="n"/>
      <c r="L15" s="21" t="n"/>
      <c r="M15" s="21" t="n"/>
      <c r="N15" s="21" t="n"/>
      <c r="O15" s="26">
        <f>IF(COUNT(C15:N15)=0,"",AVERAGE(C15:N15))</f>
        <v/>
      </c>
      <c r="P15" s="26">
        <f>IF(COUNT(C15:N15)=0,"",MAX(C15:N15))</f>
        <v/>
      </c>
      <c r="Q15" s="26">
        <f>IF(COUNT(C15:N15)=0,"",MIN(C15:N15))</f>
        <v/>
      </c>
    </row>
    <row r="16">
      <c r="B16" t="inlineStr">
        <is>
          <t>Cash cobrado en el mes (incluye cuotas de meses anteriores)</t>
        </is>
      </c>
      <c r="C16" s="21" t="n">
        <v>9000</v>
      </c>
      <c r="D16" s="21" t="n">
        <v>11500</v>
      </c>
      <c r="E16" s="21" t="n">
        <v>15000</v>
      </c>
      <c r="F16" s="21" t="n"/>
      <c r="G16" s="21" t="n"/>
      <c r="H16" s="21" t="n"/>
      <c r="I16" s="21" t="n"/>
      <c r="J16" s="21" t="n"/>
      <c r="K16" s="21" t="n"/>
      <c r="L16" s="21" t="n"/>
      <c r="M16" s="21" t="n"/>
      <c r="N16" s="21" t="n"/>
      <c r="O16" s="26">
        <f>IF(COUNT(C16:N16)=0,"",AVERAGE(C16:N16))</f>
        <v/>
      </c>
      <c r="P16" s="26">
        <f>IF(COUNT(C16:N16)=0,"",MAX(C16:N16))</f>
        <v/>
      </c>
      <c r="Q16" s="26">
        <f>IF(COUNT(C16:N16)=0,"",MIN(C16:N16))</f>
        <v/>
      </c>
    </row>
    <row r="17">
      <c r="B17" s="6" t="inlineStr">
        <is>
          <t>Lo que calcula el modelo</t>
        </is>
      </c>
      <c r="C17" s="7" t="n"/>
      <c r="D17" s="7" t="n"/>
      <c r="E17" s="7" t="n"/>
      <c r="F17" s="7" t="n"/>
      <c r="G17" s="7" t="n"/>
      <c r="H17" s="7" t="n"/>
      <c r="I17" s="7" t="n"/>
      <c r="J17" s="7" t="n"/>
      <c r="K17" s="7" t="n"/>
      <c r="L17" s="7" t="n"/>
      <c r="M17" s="7" t="n"/>
      <c r="N17" s="7" t="n"/>
    </row>
    <row r="18">
      <c r="B18" s="3" t="inlineStr">
        <is>
          <t>CPL real</t>
        </is>
      </c>
      <c r="C18" s="12">
        <f>IF(COUNT(C7:C16)&lt;10,"",IF(C8=0,0,C7/C8))</f>
        <v/>
      </c>
      <c r="D18" s="12">
        <f>IF(COUNT(D7:D16)&lt;10,"",IF(D8=0,0,D7/D8))</f>
        <v/>
      </c>
      <c r="E18" s="12">
        <f>IF(COUNT(E7:E16)&lt;10,"",IF(E8=0,0,E7/E8))</f>
        <v/>
      </c>
      <c r="F18" s="12">
        <f>IF(COUNT(F7:F16)&lt;10,"",IF(F8=0,0,F7/F8))</f>
        <v/>
      </c>
      <c r="G18" s="12">
        <f>IF(COUNT(G7:G16)&lt;10,"",IF(G8=0,0,G7/G8))</f>
        <v/>
      </c>
      <c r="H18" s="12">
        <f>IF(COUNT(H7:H16)&lt;10,"",IF(H8=0,0,H7/H8))</f>
        <v/>
      </c>
      <c r="I18" s="12">
        <f>IF(COUNT(I7:I16)&lt;10,"",IF(I8=0,0,I7/I8))</f>
        <v/>
      </c>
      <c r="J18" s="12">
        <f>IF(COUNT(J7:J16)&lt;10,"",IF(J8=0,0,J7/J8))</f>
        <v/>
      </c>
      <c r="K18" s="12">
        <f>IF(COUNT(K7:K16)&lt;10,"",IF(K8=0,0,K7/K8))</f>
        <v/>
      </c>
      <c r="L18" s="12">
        <f>IF(COUNT(L7:L16)&lt;10,"",IF(L8=0,0,L7/L8))</f>
        <v/>
      </c>
      <c r="M18" s="12">
        <f>IF(COUNT(M7:M16)&lt;10,"",IF(M8=0,0,M7/M8))</f>
        <v/>
      </c>
      <c r="N18" s="12">
        <f>IF(COUNT(N7:N16)&lt;10,"",IF(N8=0,0,N7/N8))</f>
        <v/>
      </c>
      <c r="O18" s="18">
        <f>IF(COUNT(C18:N18)=0,"",AVERAGE(C18:N18))</f>
        <v/>
      </c>
      <c r="P18" s="18">
        <f>IF(COUNT(C18:N18)=0,"",MAX(C18:N18))</f>
        <v/>
      </c>
      <c r="Q18" s="18">
        <f>IF(COUNT(C18:N18)=0,"",MIN(C18:N18))</f>
        <v/>
      </c>
    </row>
    <row r="19">
      <c r="B19" t="inlineStr">
        <is>
          <t>% lead → aplicación</t>
        </is>
      </c>
      <c r="C19" s="17">
        <f>IF(COUNT(C7:C16)&lt;10,"",IF(C8=0,0,C9/C8))</f>
        <v/>
      </c>
      <c r="D19" s="17">
        <f>IF(COUNT(D7:D16)&lt;10,"",IF(D8=0,0,D9/D8))</f>
        <v/>
      </c>
      <c r="E19" s="17">
        <f>IF(COUNT(E7:E16)&lt;10,"",IF(E8=0,0,E9/E8))</f>
        <v/>
      </c>
      <c r="F19" s="17">
        <f>IF(COUNT(F7:F16)&lt;10,"",IF(F8=0,0,F9/F8))</f>
        <v/>
      </c>
      <c r="G19" s="17">
        <f>IF(COUNT(G7:G16)&lt;10,"",IF(G8=0,0,G9/G8))</f>
        <v/>
      </c>
      <c r="H19" s="17">
        <f>IF(COUNT(H7:H16)&lt;10,"",IF(H8=0,0,H9/H8))</f>
        <v/>
      </c>
      <c r="I19" s="17">
        <f>IF(COUNT(I7:I16)&lt;10,"",IF(I8=0,0,I9/I8))</f>
        <v/>
      </c>
      <c r="J19" s="17">
        <f>IF(COUNT(J7:J16)&lt;10,"",IF(J8=0,0,J9/J8))</f>
        <v/>
      </c>
      <c r="K19" s="17">
        <f>IF(COUNT(K7:K16)&lt;10,"",IF(K8=0,0,K9/K8))</f>
        <v/>
      </c>
      <c r="L19" s="17">
        <f>IF(COUNT(L7:L16)&lt;10,"",IF(L8=0,0,L9/L8))</f>
        <v/>
      </c>
      <c r="M19" s="17">
        <f>IF(COUNT(M7:M16)&lt;10,"",IF(M8=0,0,M9/M8))</f>
        <v/>
      </c>
      <c r="N19" s="17">
        <f>IF(COUNT(N7:N16)&lt;10,"",IF(N8=0,0,N9/N8))</f>
        <v/>
      </c>
      <c r="O19" s="17">
        <f>IF(COUNT(C19:N19)=0,"",AVERAGE(C19:N19))</f>
        <v/>
      </c>
      <c r="P19" s="17">
        <f>IF(COUNT(C19:N19)=0,"",MAX(C19:N19))</f>
        <v/>
      </c>
      <c r="Q19" s="17">
        <f>IF(COUNT(C19:N19)=0,"",MIN(C19:N19))</f>
        <v/>
      </c>
    </row>
    <row r="20">
      <c r="B20" t="inlineStr">
        <is>
          <t>% calificado → agenda</t>
        </is>
      </c>
      <c r="C20" s="17">
        <f>IF(COUNT(C7:C16)&lt;10,"",IF(C10=0,0,C11/C10))</f>
        <v/>
      </c>
      <c r="D20" s="17">
        <f>IF(COUNT(D7:D16)&lt;10,"",IF(D10=0,0,D11/D10))</f>
        <v/>
      </c>
      <c r="E20" s="17">
        <f>IF(COUNT(E7:E16)&lt;10,"",IF(E10=0,0,E11/E10))</f>
        <v/>
      </c>
      <c r="F20" s="17">
        <f>IF(COUNT(F7:F16)&lt;10,"",IF(F10=0,0,F11/F10))</f>
        <v/>
      </c>
      <c r="G20" s="17">
        <f>IF(COUNT(G7:G16)&lt;10,"",IF(G10=0,0,G11/G10))</f>
        <v/>
      </c>
      <c r="H20" s="17">
        <f>IF(COUNT(H7:H16)&lt;10,"",IF(H10=0,0,H11/H10))</f>
        <v/>
      </c>
      <c r="I20" s="17">
        <f>IF(COUNT(I7:I16)&lt;10,"",IF(I10=0,0,I11/I10))</f>
        <v/>
      </c>
      <c r="J20" s="17">
        <f>IF(COUNT(J7:J16)&lt;10,"",IF(J10=0,0,J11/J10))</f>
        <v/>
      </c>
      <c r="K20" s="17">
        <f>IF(COUNT(K7:K16)&lt;10,"",IF(K10=0,0,K11/K10))</f>
        <v/>
      </c>
      <c r="L20" s="17">
        <f>IF(COUNT(L7:L16)&lt;10,"",IF(L10=0,0,L11/L10))</f>
        <v/>
      </c>
      <c r="M20" s="17">
        <f>IF(COUNT(M7:M16)&lt;10,"",IF(M10=0,0,M11/M10))</f>
        <v/>
      </c>
      <c r="N20" s="17">
        <f>IF(COUNT(N7:N16)&lt;10,"",IF(N10=0,0,N11/N10))</f>
        <v/>
      </c>
      <c r="O20" s="17">
        <f>IF(COUNT(C20:N20)=0,"",AVERAGE(C20:N20))</f>
        <v/>
      </c>
      <c r="P20" s="17">
        <f>IF(COUNT(C20:N20)=0,"",MAX(C20:N20))</f>
        <v/>
      </c>
      <c r="Q20" s="17">
        <f>IF(COUNT(C20:N20)=0,"",MIN(C20:N20))</f>
        <v/>
      </c>
    </row>
    <row r="21">
      <c r="B21" t="inlineStr">
        <is>
          <t>% agenda → llamada (show)</t>
        </is>
      </c>
      <c r="C21" s="17">
        <f>IF(COUNT(C7:C16)&lt;10,"",IF(C11=0,0,C12/C11))</f>
        <v/>
      </c>
      <c r="D21" s="17">
        <f>IF(COUNT(D7:D16)&lt;10,"",IF(D11=0,0,D12/D11))</f>
        <v/>
      </c>
      <c r="E21" s="17">
        <f>IF(COUNT(E7:E16)&lt;10,"",IF(E11=0,0,E12/E11))</f>
        <v/>
      </c>
      <c r="F21" s="17">
        <f>IF(COUNT(F7:F16)&lt;10,"",IF(F11=0,0,F12/F11))</f>
        <v/>
      </c>
      <c r="G21" s="17">
        <f>IF(COUNT(G7:G16)&lt;10,"",IF(G11=0,0,G12/G11))</f>
        <v/>
      </c>
      <c r="H21" s="17">
        <f>IF(COUNT(H7:H16)&lt;10,"",IF(H11=0,0,H12/H11))</f>
        <v/>
      </c>
      <c r="I21" s="17">
        <f>IF(COUNT(I7:I16)&lt;10,"",IF(I11=0,0,I12/I11))</f>
        <v/>
      </c>
      <c r="J21" s="17">
        <f>IF(COUNT(J7:J16)&lt;10,"",IF(J11=0,0,J12/J11))</f>
        <v/>
      </c>
      <c r="K21" s="17">
        <f>IF(COUNT(K7:K16)&lt;10,"",IF(K11=0,0,K12/K11))</f>
        <v/>
      </c>
      <c r="L21" s="17">
        <f>IF(COUNT(L7:L16)&lt;10,"",IF(L11=0,0,L12/L11))</f>
        <v/>
      </c>
      <c r="M21" s="17">
        <f>IF(COUNT(M7:M16)&lt;10,"",IF(M11=0,0,M12/M11))</f>
        <v/>
      </c>
      <c r="N21" s="17">
        <f>IF(COUNT(N7:N16)&lt;10,"",IF(N11=0,0,N12/N11))</f>
        <v/>
      </c>
      <c r="O21" s="17">
        <f>IF(COUNT(C21:N21)=0,"",AVERAGE(C21:N21))</f>
        <v/>
      </c>
      <c r="P21" s="17">
        <f>IF(COUNT(C21:N21)=0,"",MAX(C21:N21))</f>
        <v/>
      </c>
      <c r="Q21" s="17">
        <f>IF(COUNT(C21:N21)=0,"",MIN(C21:N21))</f>
        <v/>
      </c>
    </row>
    <row r="22">
      <c r="B22" s="3" t="inlineStr">
        <is>
          <t>% llamada → venta (cierre)</t>
        </is>
      </c>
      <c r="C22" s="35">
        <f>IF(COUNT(C7:C16)&lt;10,"",IF(C12=0,0,C13/C12))</f>
        <v/>
      </c>
      <c r="D22" s="35">
        <f>IF(COUNT(D7:D16)&lt;10,"",IF(D12=0,0,D13/D12))</f>
        <v/>
      </c>
      <c r="E22" s="35">
        <f>IF(COUNT(E7:E16)&lt;10,"",IF(E12=0,0,E13/E12))</f>
        <v/>
      </c>
      <c r="F22" s="35">
        <f>IF(COUNT(F7:F16)&lt;10,"",IF(F12=0,0,F13/F12))</f>
        <v/>
      </c>
      <c r="G22" s="35">
        <f>IF(COUNT(G7:G16)&lt;10,"",IF(G12=0,0,G13/G12))</f>
        <v/>
      </c>
      <c r="H22" s="35">
        <f>IF(COUNT(H7:H16)&lt;10,"",IF(H12=0,0,H13/H12))</f>
        <v/>
      </c>
      <c r="I22" s="35">
        <f>IF(COUNT(I7:I16)&lt;10,"",IF(I12=0,0,I13/I12))</f>
        <v/>
      </c>
      <c r="J22" s="35">
        <f>IF(COUNT(J7:J16)&lt;10,"",IF(J12=0,0,J13/J12))</f>
        <v/>
      </c>
      <c r="K22" s="35">
        <f>IF(COUNT(K7:K16)&lt;10,"",IF(K12=0,0,K13/K12))</f>
        <v/>
      </c>
      <c r="L22" s="35">
        <f>IF(COUNT(L7:L16)&lt;10,"",IF(L12=0,0,L13/L12))</f>
        <v/>
      </c>
      <c r="M22" s="35">
        <f>IF(COUNT(M7:M16)&lt;10,"",IF(M12=0,0,M13/M12))</f>
        <v/>
      </c>
      <c r="N22" s="35">
        <f>IF(COUNT(N7:N16)&lt;10,"",IF(N12=0,0,N13/N12))</f>
        <v/>
      </c>
      <c r="O22" s="17">
        <f>IF(COUNT(C22:N22)=0,"",AVERAGE(C22:N22))</f>
        <v/>
      </c>
      <c r="P22" s="17">
        <f>IF(COUNT(C22:N22)=0,"",MAX(C22:N22))</f>
        <v/>
      </c>
      <c r="Q22" s="17">
        <f>IF(COUNT(C22:N22)=0,"",MIN(C22:N22))</f>
        <v/>
      </c>
    </row>
    <row r="23">
      <c r="B23" t="inlineStr">
        <is>
          <t>Costo por agenda</t>
        </is>
      </c>
      <c r="C23" s="18">
        <f>IF(COUNT(C7:C16)&lt;10,"",IF(C11=0,0,C7/C11))</f>
        <v/>
      </c>
      <c r="D23" s="18">
        <f>IF(COUNT(D7:D16)&lt;10,"",IF(D11=0,0,D7/D11))</f>
        <v/>
      </c>
      <c r="E23" s="18">
        <f>IF(COUNT(E7:E16)&lt;10,"",IF(E11=0,0,E7/E11))</f>
        <v/>
      </c>
      <c r="F23" s="18">
        <f>IF(COUNT(F7:F16)&lt;10,"",IF(F11=0,0,F7/F11))</f>
        <v/>
      </c>
      <c r="G23" s="18">
        <f>IF(COUNT(G7:G16)&lt;10,"",IF(G11=0,0,G7/G11))</f>
        <v/>
      </c>
      <c r="H23" s="18">
        <f>IF(COUNT(H7:H16)&lt;10,"",IF(H11=0,0,H7/H11))</f>
        <v/>
      </c>
      <c r="I23" s="18">
        <f>IF(COUNT(I7:I16)&lt;10,"",IF(I11=0,0,I7/I11))</f>
        <v/>
      </c>
      <c r="J23" s="18">
        <f>IF(COUNT(J7:J16)&lt;10,"",IF(J11=0,0,J7/J11))</f>
        <v/>
      </c>
      <c r="K23" s="18">
        <f>IF(COUNT(K7:K16)&lt;10,"",IF(K11=0,0,K7/K11))</f>
        <v/>
      </c>
      <c r="L23" s="18">
        <f>IF(COUNT(L7:L16)&lt;10,"",IF(L11=0,0,L7/L11))</f>
        <v/>
      </c>
      <c r="M23" s="18">
        <f>IF(COUNT(M7:M16)&lt;10,"",IF(M11=0,0,M7/M11))</f>
        <v/>
      </c>
      <c r="N23" s="18">
        <f>IF(COUNT(N7:N16)&lt;10,"",IF(N11=0,0,N7/N11))</f>
        <v/>
      </c>
      <c r="O23" s="18">
        <f>IF(COUNT(C23:N23)=0,"",AVERAGE(C23:N23))</f>
        <v/>
      </c>
      <c r="P23" s="18">
        <f>IF(COUNT(C23:N23)=0,"",MAX(C23:N23))</f>
        <v/>
      </c>
      <c r="Q23" s="18">
        <f>IF(COUNT(C23:N23)=0,"",MIN(C23:N23))</f>
        <v/>
      </c>
    </row>
    <row r="24">
      <c r="B24" t="inlineStr">
        <is>
          <t>CAC real</t>
        </is>
      </c>
      <c r="C24" s="18">
        <f>IF(COUNT(C7:C16)&lt;10,"",IF(C13=0,0,C7/C13))</f>
        <v/>
      </c>
      <c r="D24" s="18">
        <f>IF(COUNT(D7:D16)&lt;10,"",IF(D13=0,0,D7/D13))</f>
        <v/>
      </c>
      <c r="E24" s="18">
        <f>IF(COUNT(E7:E16)&lt;10,"",IF(E13=0,0,E7/E13))</f>
        <v/>
      </c>
      <c r="F24" s="18">
        <f>IF(COUNT(F7:F16)&lt;10,"",IF(F13=0,0,F7/F13))</f>
        <v/>
      </c>
      <c r="G24" s="18">
        <f>IF(COUNT(G7:G16)&lt;10,"",IF(G13=0,0,G7/G13))</f>
        <v/>
      </c>
      <c r="H24" s="18">
        <f>IF(COUNT(H7:H16)&lt;10,"",IF(H13=0,0,H7/H13))</f>
        <v/>
      </c>
      <c r="I24" s="18">
        <f>IF(COUNT(I7:I16)&lt;10,"",IF(I13=0,0,I7/I13))</f>
        <v/>
      </c>
      <c r="J24" s="18">
        <f>IF(COUNT(J7:J16)&lt;10,"",IF(J13=0,0,J7/J13))</f>
        <v/>
      </c>
      <c r="K24" s="18">
        <f>IF(COUNT(K7:K16)&lt;10,"",IF(K13=0,0,K7/K13))</f>
        <v/>
      </c>
      <c r="L24" s="18">
        <f>IF(COUNT(L7:L16)&lt;10,"",IF(L13=0,0,L7/L13))</f>
        <v/>
      </c>
      <c r="M24" s="18">
        <f>IF(COUNT(M7:M16)&lt;10,"",IF(M13=0,0,M7/M13))</f>
        <v/>
      </c>
      <c r="N24" s="18">
        <f>IF(COUNT(N7:N16)&lt;10,"",IF(N13=0,0,N7/N13))</f>
        <v/>
      </c>
      <c r="O24" s="18">
        <f>IF(COUNT(C24:N24)=0,"",AVERAGE(C24:N24))</f>
        <v/>
      </c>
      <c r="P24" s="18">
        <f>IF(COUNT(C24:N24)=0,"",MAX(C24:N24))</f>
        <v/>
      </c>
      <c r="Q24" s="18">
        <f>IF(COUNT(C24:N24)=0,"",MIN(C24:N24))</f>
        <v/>
      </c>
    </row>
    <row r="25">
      <c r="B25" s="3" t="inlineStr">
        <is>
          <t>Valor neto por unidad real (sobre facturado, cobranza completa)</t>
        </is>
      </c>
      <c r="C25" s="12">
        <f>IF(COUNT(C7:C16)&lt;10,"",IF(C8=0,0,(C15*(1-'Supuestos'!$C$33-'Supuestos'!$C$34-'Supuestos'!$C$35)-C8*'Supuestos'!$C$36)/C8))</f>
        <v/>
      </c>
      <c r="D25" s="12">
        <f>IF(COUNT(D7:D16)&lt;10,"",IF(D8=0,0,(D15*(1-'Supuestos'!$C$33-'Supuestos'!$C$34-'Supuestos'!$C$35)-D8*'Supuestos'!$C$36)/D8))</f>
        <v/>
      </c>
      <c r="E25" s="12">
        <f>IF(COUNT(E7:E16)&lt;10,"",IF(E8=0,0,(E15*(1-'Supuestos'!$C$33-'Supuestos'!$C$34-'Supuestos'!$C$35)-E8*'Supuestos'!$C$36)/E8))</f>
        <v/>
      </c>
      <c r="F25" s="12">
        <f>IF(COUNT(F7:F16)&lt;10,"",IF(F8=0,0,(F15*(1-'Supuestos'!$C$33-'Supuestos'!$C$34-'Supuestos'!$C$35)-F8*'Supuestos'!$C$36)/F8))</f>
        <v/>
      </c>
      <c r="G25" s="12">
        <f>IF(COUNT(G7:G16)&lt;10,"",IF(G8=0,0,(G15*(1-'Supuestos'!$C$33-'Supuestos'!$C$34-'Supuestos'!$C$35)-G8*'Supuestos'!$C$36)/G8))</f>
        <v/>
      </c>
      <c r="H25" s="12">
        <f>IF(COUNT(H7:H16)&lt;10,"",IF(H8=0,0,(H15*(1-'Supuestos'!$C$33-'Supuestos'!$C$34-'Supuestos'!$C$35)-H8*'Supuestos'!$C$36)/H8))</f>
        <v/>
      </c>
      <c r="I25" s="12">
        <f>IF(COUNT(I7:I16)&lt;10,"",IF(I8=0,0,(I15*(1-'Supuestos'!$C$33-'Supuestos'!$C$34-'Supuestos'!$C$35)-I8*'Supuestos'!$C$36)/I8))</f>
        <v/>
      </c>
      <c r="J25" s="12">
        <f>IF(COUNT(J7:J16)&lt;10,"",IF(J8=0,0,(J15*(1-'Supuestos'!$C$33-'Supuestos'!$C$34-'Supuestos'!$C$35)-J8*'Supuestos'!$C$36)/J8))</f>
        <v/>
      </c>
      <c r="K25" s="12">
        <f>IF(COUNT(K7:K16)&lt;10,"",IF(K8=0,0,(K15*(1-'Supuestos'!$C$33-'Supuestos'!$C$34-'Supuestos'!$C$35)-K8*'Supuestos'!$C$36)/K8))</f>
        <v/>
      </c>
      <c r="L25" s="12">
        <f>IF(COUNT(L7:L16)&lt;10,"",IF(L8=0,0,(L15*(1-'Supuestos'!$C$33-'Supuestos'!$C$34-'Supuestos'!$C$35)-L8*'Supuestos'!$C$36)/L8))</f>
        <v/>
      </c>
      <c r="M25" s="12">
        <f>IF(COUNT(M7:M16)&lt;10,"",IF(M8=0,0,(M15*(1-'Supuestos'!$C$33-'Supuestos'!$C$34-'Supuestos'!$C$35)-M8*'Supuestos'!$C$36)/M8))</f>
        <v/>
      </c>
      <c r="N25" s="12">
        <f>IF(COUNT(N7:N16)&lt;10,"",IF(N8=0,0,(N15*(1-'Supuestos'!$C$33-'Supuestos'!$C$34-'Supuestos'!$C$35)-N8*'Supuestos'!$C$36)/N8))</f>
        <v/>
      </c>
      <c r="O25" s="18">
        <f>IF(COUNT(C25:N25)=0,"",AVERAGE(C25:N25))</f>
        <v/>
      </c>
      <c r="P25" s="18">
        <f>IF(COUNT(C25:N25)=0,"",MAX(C25:N25))</f>
        <v/>
      </c>
      <c r="Q25" s="18">
        <f>IF(COUNT(C25:N25)=0,"",MIN(C25:N25))</f>
        <v/>
      </c>
    </row>
    <row r="26">
      <c r="B26" s="3" t="inlineStr">
        <is>
          <t>Ganancia del período al completar la cobranza</t>
        </is>
      </c>
      <c r="C26" s="8">
        <f>IF(COUNT(C7:C16)&lt;10,"",C15*(1-'Supuestos'!$C$33-'Supuestos'!$C$34-'Supuestos'!$C$35)-C8*'Supuestos'!$C$36-'Supuestos'!$C$37-C7)</f>
        <v/>
      </c>
      <c r="D26" s="8">
        <f>IF(COUNT(D7:D16)&lt;10,"",D15*(1-'Supuestos'!$C$33-'Supuestos'!$C$34-'Supuestos'!$C$35)-D8*'Supuestos'!$C$36-'Supuestos'!$C$37-D7)</f>
        <v/>
      </c>
      <c r="E26" s="8">
        <f>IF(COUNT(E7:E16)&lt;10,"",E15*(1-'Supuestos'!$C$33-'Supuestos'!$C$34-'Supuestos'!$C$35)-E8*'Supuestos'!$C$36-'Supuestos'!$C$37-E7)</f>
        <v/>
      </c>
      <c r="F26" s="8">
        <f>IF(COUNT(F7:F16)&lt;10,"",F15*(1-'Supuestos'!$C$33-'Supuestos'!$C$34-'Supuestos'!$C$35)-F8*'Supuestos'!$C$36-'Supuestos'!$C$37-F7)</f>
        <v/>
      </c>
      <c r="G26" s="8">
        <f>IF(COUNT(G7:G16)&lt;10,"",G15*(1-'Supuestos'!$C$33-'Supuestos'!$C$34-'Supuestos'!$C$35)-G8*'Supuestos'!$C$36-'Supuestos'!$C$37-G7)</f>
        <v/>
      </c>
      <c r="H26" s="8">
        <f>IF(COUNT(H7:H16)&lt;10,"",H15*(1-'Supuestos'!$C$33-'Supuestos'!$C$34-'Supuestos'!$C$35)-H8*'Supuestos'!$C$36-'Supuestos'!$C$37-H7)</f>
        <v/>
      </c>
      <c r="I26" s="8">
        <f>IF(COUNT(I7:I16)&lt;10,"",I15*(1-'Supuestos'!$C$33-'Supuestos'!$C$34-'Supuestos'!$C$35)-I8*'Supuestos'!$C$36-'Supuestos'!$C$37-I7)</f>
        <v/>
      </c>
      <c r="J26" s="8">
        <f>IF(COUNT(J7:J16)&lt;10,"",J15*(1-'Supuestos'!$C$33-'Supuestos'!$C$34-'Supuestos'!$C$35)-J8*'Supuestos'!$C$36-'Supuestos'!$C$37-J7)</f>
        <v/>
      </c>
      <c r="K26" s="8">
        <f>IF(COUNT(K7:K16)&lt;10,"",K15*(1-'Supuestos'!$C$33-'Supuestos'!$C$34-'Supuestos'!$C$35)-K8*'Supuestos'!$C$36-'Supuestos'!$C$37-K7)</f>
        <v/>
      </c>
      <c r="L26" s="8">
        <f>IF(COUNT(L7:L16)&lt;10,"",L15*(1-'Supuestos'!$C$33-'Supuestos'!$C$34-'Supuestos'!$C$35)-L8*'Supuestos'!$C$36-'Supuestos'!$C$37-L7)</f>
        <v/>
      </c>
      <c r="M26" s="8">
        <f>IF(COUNT(M7:M16)&lt;10,"",M15*(1-'Supuestos'!$C$33-'Supuestos'!$C$34-'Supuestos'!$C$35)-M8*'Supuestos'!$C$36-'Supuestos'!$C$37-M7)</f>
        <v/>
      </c>
      <c r="N26" s="8">
        <f>IF(COUNT(N7:N16)&lt;10,"",N15*(1-'Supuestos'!$C$33-'Supuestos'!$C$34-'Supuestos'!$C$35)-N8*'Supuestos'!$C$36-'Supuestos'!$C$37-N7)</f>
        <v/>
      </c>
      <c r="O26" s="26">
        <f>IF(COUNT(C26:N26)=0,"",AVERAGE(C26:N26))</f>
        <v/>
      </c>
      <c r="P26" s="26">
        <f>IF(COUNT(C26:N26)=0,"",MAX(C26:N26))</f>
        <v/>
      </c>
      <c r="Q26" s="26">
        <f>IF(COUNT(C26:N26)=0,"",MIN(C26:N26))</f>
        <v/>
      </c>
    </row>
    <row r="27">
      <c r="B27" t="inlineStr">
        <is>
          <t>Ganancia de caja del período (con lo cobrado hasta ahora)</t>
        </is>
      </c>
      <c r="C27" s="26">
        <f>IF(COUNT(C7:C16)&lt;10,"",C16*(1-'Supuestos'!$C$33-'Supuestos'!$C$34-'Supuestos'!$C$35)-C8*'Supuestos'!$C$36-'Supuestos'!$C$37-C7)</f>
        <v/>
      </c>
      <c r="D27" s="26">
        <f>IF(COUNT(D7:D16)&lt;10,"",D16*(1-'Supuestos'!$C$33-'Supuestos'!$C$34-'Supuestos'!$C$35)-D8*'Supuestos'!$C$36-'Supuestos'!$C$37-D7)</f>
        <v/>
      </c>
      <c r="E27" s="26">
        <f>IF(COUNT(E7:E16)&lt;10,"",E16*(1-'Supuestos'!$C$33-'Supuestos'!$C$34-'Supuestos'!$C$35)-E8*'Supuestos'!$C$36-'Supuestos'!$C$37-E7)</f>
        <v/>
      </c>
      <c r="F27" s="26">
        <f>IF(COUNT(F7:F16)&lt;10,"",F16*(1-'Supuestos'!$C$33-'Supuestos'!$C$34-'Supuestos'!$C$35)-F8*'Supuestos'!$C$36-'Supuestos'!$C$37-F7)</f>
        <v/>
      </c>
      <c r="G27" s="26">
        <f>IF(COUNT(G7:G16)&lt;10,"",G16*(1-'Supuestos'!$C$33-'Supuestos'!$C$34-'Supuestos'!$C$35)-G8*'Supuestos'!$C$36-'Supuestos'!$C$37-G7)</f>
        <v/>
      </c>
      <c r="H27" s="26">
        <f>IF(COUNT(H7:H16)&lt;10,"",H16*(1-'Supuestos'!$C$33-'Supuestos'!$C$34-'Supuestos'!$C$35)-H8*'Supuestos'!$C$36-'Supuestos'!$C$37-H7)</f>
        <v/>
      </c>
      <c r="I27" s="26">
        <f>IF(COUNT(I7:I16)&lt;10,"",I16*(1-'Supuestos'!$C$33-'Supuestos'!$C$34-'Supuestos'!$C$35)-I8*'Supuestos'!$C$36-'Supuestos'!$C$37-I7)</f>
        <v/>
      </c>
      <c r="J27" s="26">
        <f>IF(COUNT(J7:J16)&lt;10,"",J16*(1-'Supuestos'!$C$33-'Supuestos'!$C$34-'Supuestos'!$C$35)-J8*'Supuestos'!$C$36-'Supuestos'!$C$37-J7)</f>
        <v/>
      </c>
      <c r="K27" s="26">
        <f>IF(COUNT(K7:K16)&lt;10,"",K16*(1-'Supuestos'!$C$33-'Supuestos'!$C$34-'Supuestos'!$C$35)-K8*'Supuestos'!$C$36-'Supuestos'!$C$37-K7)</f>
        <v/>
      </c>
      <c r="L27" s="26">
        <f>IF(COUNT(L7:L16)&lt;10,"",L16*(1-'Supuestos'!$C$33-'Supuestos'!$C$34-'Supuestos'!$C$35)-L8*'Supuestos'!$C$36-'Supuestos'!$C$37-L7)</f>
        <v/>
      </c>
      <c r="M27" s="26">
        <f>IF(COUNT(M7:M16)&lt;10,"",M16*(1-'Supuestos'!$C$33-'Supuestos'!$C$34-'Supuestos'!$C$35)-M8*'Supuestos'!$C$36-'Supuestos'!$C$37-M7)</f>
        <v/>
      </c>
      <c r="N27" s="26">
        <f>IF(COUNT(N7:N16)&lt;10,"",N16*(1-'Supuestos'!$C$33-'Supuestos'!$C$34-'Supuestos'!$C$35)-N8*'Supuestos'!$C$36-'Supuestos'!$C$37-N7)</f>
        <v/>
      </c>
      <c r="O27" s="26">
        <f>IF(COUNT(C27:N27)=0,"",AVERAGE(C27:N27))</f>
        <v/>
      </c>
      <c r="P27" s="26">
        <f>IF(COUNT(C27:N27)=0,"",MAX(C27:N27))</f>
        <v/>
      </c>
      <c r="Q27" s="26">
        <f>IF(COUNT(C27:N27)=0,"",MIN(C27:N27))</f>
        <v/>
      </c>
    </row>
    <row r="28">
      <c r="B28" s="3" t="inlineStr">
        <is>
          <t>Ganancia por unidad real (ganancia ÷ unidades)</t>
        </is>
      </c>
      <c r="C28" s="12">
        <f>IF(COUNT(C7:C16)&lt;10,"",IF(C8=0,0,(C15*(1-'Supuestos'!$C$33-'Supuestos'!$C$34-'Supuestos'!$C$35)-C8*'Supuestos'!$C$36-'Supuestos'!$C$37-C7)/C8))</f>
        <v/>
      </c>
      <c r="D28" s="12">
        <f>IF(COUNT(D7:D16)&lt;10,"",IF(D8=0,0,(D15*(1-'Supuestos'!$C$33-'Supuestos'!$C$34-'Supuestos'!$C$35)-D8*'Supuestos'!$C$36-'Supuestos'!$C$37-D7)/D8))</f>
        <v/>
      </c>
      <c r="E28" s="12">
        <f>IF(COUNT(E7:E16)&lt;10,"",IF(E8=0,0,(E15*(1-'Supuestos'!$C$33-'Supuestos'!$C$34-'Supuestos'!$C$35)-E8*'Supuestos'!$C$36-'Supuestos'!$C$37-E7)/E8))</f>
        <v/>
      </c>
      <c r="F28" s="12">
        <f>IF(COUNT(F7:F16)&lt;10,"",IF(F8=0,0,(F15*(1-'Supuestos'!$C$33-'Supuestos'!$C$34-'Supuestos'!$C$35)-F8*'Supuestos'!$C$36-'Supuestos'!$C$37-F7)/F8))</f>
        <v/>
      </c>
      <c r="G28" s="12">
        <f>IF(COUNT(G7:G16)&lt;10,"",IF(G8=0,0,(G15*(1-'Supuestos'!$C$33-'Supuestos'!$C$34-'Supuestos'!$C$35)-G8*'Supuestos'!$C$36-'Supuestos'!$C$37-G7)/G8))</f>
        <v/>
      </c>
      <c r="H28" s="12">
        <f>IF(COUNT(H7:H16)&lt;10,"",IF(H8=0,0,(H15*(1-'Supuestos'!$C$33-'Supuestos'!$C$34-'Supuestos'!$C$35)-H8*'Supuestos'!$C$36-'Supuestos'!$C$37-H7)/H8))</f>
        <v/>
      </c>
      <c r="I28" s="12">
        <f>IF(COUNT(I7:I16)&lt;10,"",IF(I8=0,0,(I15*(1-'Supuestos'!$C$33-'Supuestos'!$C$34-'Supuestos'!$C$35)-I8*'Supuestos'!$C$36-'Supuestos'!$C$37-I7)/I8))</f>
        <v/>
      </c>
      <c r="J28" s="12">
        <f>IF(COUNT(J7:J16)&lt;10,"",IF(J8=0,0,(J15*(1-'Supuestos'!$C$33-'Supuestos'!$C$34-'Supuestos'!$C$35)-J8*'Supuestos'!$C$36-'Supuestos'!$C$37-J7)/J8))</f>
        <v/>
      </c>
      <c r="K28" s="12">
        <f>IF(COUNT(K7:K16)&lt;10,"",IF(K8=0,0,(K15*(1-'Supuestos'!$C$33-'Supuestos'!$C$34-'Supuestos'!$C$35)-K8*'Supuestos'!$C$36-'Supuestos'!$C$37-K7)/K8))</f>
        <v/>
      </c>
      <c r="L28" s="12">
        <f>IF(COUNT(L7:L16)&lt;10,"",IF(L8=0,0,(L15*(1-'Supuestos'!$C$33-'Supuestos'!$C$34-'Supuestos'!$C$35)-L8*'Supuestos'!$C$36-'Supuestos'!$C$37-L7)/L8))</f>
        <v/>
      </c>
      <c r="M28" s="12">
        <f>IF(COUNT(M7:M16)&lt;10,"",IF(M8=0,0,(M15*(1-'Supuestos'!$C$33-'Supuestos'!$C$34-'Supuestos'!$C$35)-M8*'Supuestos'!$C$36-'Supuestos'!$C$37-M7)/M8))</f>
        <v/>
      </c>
      <c r="N28" s="12">
        <f>IF(COUNT(N7:N16)&lt;10,"",IF(N8=0,0,(N15*(1-'Supuestos'!$C$33-'Supuestos'!$C$34-'Supuestos'!$C$35)-N8*'Supuestos'!$C$36-'Supuestos'!$C$37-N7)/N8))</f>
        <v/>
      </c>
      <c r="O28" s="18">
        <f>IF(COUNT(C28:N28)=0,"",AVERAGE(C28:N28))</f>
        <v/>
      </c>
      <c r="P28" s="18">
        <f>IF(COUNT(C28:N28)=0,"",MAX(C28:N28))</f>
        <v/>
      </c>
      <c r="Q28" s="18">
        <f>IF(COUNT(C28:N28)=0,"",MIN(C28:N28))</f>
        <v/>
      </c>
    </row>
    <row r="29">
      <c r="B29" s="3" t="inlineStr">
        <is>
          <t>ROAS sobre cash neto (cobranza completa)</t>
        </is>
      </c>
      <c r="C29" s="9">
        <f>IF(COUNT(C7:C16)&lt;10,"",IF(C7=0,0,C15*(1-'Supuestos'!$C$33-'Supuestos'!$C$34-'Supuestos'!$C$35)/C7))</f>
        <v/>
      </c>
      <c r="D29" s="9">
        <f>IF(COUNT(D7:D16)&lt;10,"",IF(D7=0,0,D15*(1-'Supuestos'!$C$33-'Supuestos'!$C$34-'Supuestos'!$C$35)/D7))</f>
        <v/>
      </c>
      <c r="E29" s="9">
        <f>IF(COUNT(E7:E16)&lt;10,"",IF(E7=0,0,E15*(1-'Supuestos'!$C$33-'Supuestos'!$C$34-'Supuestos'!$C$35)/E7))</f>
        <v/>
      </c>
      <c r="F29" s="9">
        <f>IF(COUNT(F7:F16)&lt;10,"",IF(F7=0,0,F15*(1-'Supuestos'!$C$33-'Supuestos'!$C$34-'Supuestos'!$C$35)/F7))</f>
        <v/>
      </c>
      <c r="G29" s="9">
        <f>IF(COUNT(G7:G16)&lt;10,"",IF(G7=0,0,G15*(1-'Supuestos'!$C$33-'Supuestos'!$C$34-'Supuestos'!$C$35)/G7))</f>
        <v/>
      </c>
      <c r="H29" s="9">
        <f>IF(COUNT(H7:H16)&lt;10,"",IF(H7=0,0,H15*(1-'Supuestos'!$C$33-'Supuestos'!$C$34-'Supuestos'!$C$35)/H7))</f>
        <v/>
      </c>
      <c r="I29" s="9">
        <f>IF(COUNT(I7:I16)&lt;10,"",IF(I7=0,0,I15*(1-'Supuestos'!$C$33-'Supuestos'!$C$34-'Supuestos'!$C$35)/I7))</f>
        <v/>
      </c>
      <c r="J29" s="9">
        <f>IF(COUNT(J7:J16)&lt;10,"",IF(J7=0,0,J15*(1-'Supuestos'!$C$33-'Supuestos'!$C$34-'Supuestos'!$C$35)/J7))</f>
        <v/>
      </c>
      <c r="K29" s="9">
        <f>IF(COUNT(K7:K16)&lt;10,"",IF(K7=0,0,K15*(1-'Supuestos'!$C$33-'Supuestos'!$C$34-'Supuestos'!$C$35)/K7))</f>
        <v/>
      </c>
      <c r="L29" s="9">
        <f>IF(COUNT(L7:L16)&lt;10,"",IF(L7=0,0,L15*(1-'Supuestos'!$C$33-'Supuestos'!$C$34-'Supuestos'!$C$35)/L7))</f>
        <v/>
      </c>
      <c r="M29" s="9">
        <f>IF(COUNT(M7:M16)&lt;10,"",IF(M7=0,0,M15*(1-'Supuestos'!$C$33-'Supuestos'!$C$34-'Supuestos'!$C$35)/M7))</f>
        <v/>
      </c>
      <c r="N29" s="9">
        <f>IF(COUNT(N7:N16)&lt;10,"",IF(N7=0,0,N15*(1-'Supuestos'!$C$33-'Supuestos'!$C$34-'Supuestos'!$C$35)/N7))</f>
        <v/>
      </c>
      <c r="O29" s="27">
        <f>IF(COUNT(C29:N29)=0,"",AVERAGE(C29:N29))</f>
        <v/>
      </c>
      <c r="P29" s="27">
        <f>IF(COUNT(C29:N29)=0,"",MAX(C29:N29))</f>
        <v/>
      </c>
      <c r="Q29" s="27">
        <f>IF(COUNT(C29:N29)=0,"",MIN(C29:N29))</f>
        <v/>
      </c>
    </row>
    <row r="30">
      <c r="B30" t="inlineStr">
        <is>
          <t>ROAS de caja (cobrado hasta ahora)</t>
        </is>
      </c>
      <c r="C30" s="27">
        <f>IF(COUNT(C7:C16)&lt;10,"",IF(C7=0,0,C16*(1-'Supuestos'!$C$33-'Supuestos'!$C$34-'Supuestos'!$C$35)/C7))</f>
        <v/>
      </c>
      <c r="D30" s="27">
        <f>IF(COUNT(D7:D16)&lt;10,"",IF(D7=0,0,D16*(1-'Supuestos'!$C$33-'Supuestos'!$C$34-'Supuestos'!$C$35)/D7))</f>
        <v/>
      </c>
      <c r="E30" s="27">
        <f>IF(COUNT(E7:E16)&lt;10,"",IF(E7=0,0,E16*(1-'Supuestos'!$C$33-'Supuestos'!$C$34-'Supuestos'!$C$35)/E7))</f>
        <v/>
      </c>
      <c r="F30" s="27">
        <f>IF(COUNT(F7:F16)&lt;10,"",IF(F7=0,0,F16*(1-'Supuestos'!$C$33-'Supuestos'!$C$34-'Supuestos'!$C$35)/F7))</f>
        <v/>
      </c>
      <c r="G30" s="27">
        <f>IF(COUNT(G7:G16)&lt;10,"",IF(G7=0,0,G16*(1-'Supuestos'!$C$33-'Supuestos'!$C$34-'Supuestos'!$C$35)/G7))</f>
        <v/>
      </c>
      <c r="H30" s="27">
        <f>IF(COUNT(H7:H16)&lt;10,"",IF(H7=0,0,H16*(1-'Supuestos'!$C$33-'Supuestos'!$C$34-'Supuestos'!$C$35)/H7))</f>
        <v/>
      </c>
      <c r="I30" s="27">
        <f>IF(COUNT(I7:I16)&lt;10,"",IF(I7=0,0,I16*(1-'Supuestos'!$C$33-'Supuestos'!$C$34-'Supuestos'!$C$35)/I7))</f>
        <v/>
      </c>
      <c r="J30" s="27">
        <f>IF(COUNT(J7:J16)&lt;10,"",IF(J7=0,0,J16*(1-'Supuestos'!$C$33-'Supuestos'!$C$34-'Supuestos'!$C$35)/J7))</f>
        <v/>
      </c>
      <c r="K30" s="27">
        <f>IF(COUNT(K7:K16)&lt;10,"",IF(K7=0,0,K16*(1-'Supuestos'!$C$33-'Supuestos'!$C$34-'Supuestos'!$C$35)/K7))</f>
        <v/>
      </c>
      <c r="L30" s="27">
        <f>IF(COUNT(L7:L16)&lt;10,"",IF(L7=0,0,L16*(1-'Supuestos'!$C$33-'Supuestos'!$C$34-'Supuestos'!$C$35)/L7))</f>
        <v/>
      </c>
      <c r="M30" s="27">
        <f>IF(COUNT(M7:M16)&lt;10,"",IF(M7=0,0,M16*(1-'Supuestos'!$C$33-'Supuestos'!$C$34-'Supuestos'!$C$35)/M7))</f>
        <v/>
      </c>
      <c r="N30" s="27">
        <f>IF(COUNT(N7:N16)&lt;10,"",IF(N7=0,0,N16*(1-'Supuestos'!$C$33-'Supuestos'!$C$34-'Supuestos'!$C$35)/N7))</f>
        <v/>
      </c>
      <c r="O30" s="27">
        <f>IF(COUNT(C30:N30)=0,"",AVERAGE(C30:N30))</f>
        <v/>
      </c>
      <c r="P30" s="27">
        <f>IF(COUNT(C30:N30)=0,"",MAX(C30:N30))</f>
        <v/>
      </c>
      <c r="Q30" s="27">
        <f>IF(COUNT(C30:N30)=0,"",MIN(C30:N30))</f>
        <v/>
      </c>
    </row>
    <row r="31">
      <c r="B31" t="inlineStr">
        <is>
          <t>Techo móvil (mediana de tus últimas 4 columnas; al inicio, el del modelo)</t>
        </is>
      </c>
      <c r="C31" s="18">
        <f>IF(COUNT(C7:C16)&lt;10,"",'Modelo'!$C$48)</f>
        <v/>
      </c>
      <c r="D31" s="18">
        <f>IF(COUNT(D7:D16)&lt;10,"",IF(COUNT(C25:C25)&gt;0,MEDIAN(C25:C25),'Modelo'!$C$48))</f>
        <v/>
      </c>
      <c r="E31" s="18">
        <f>IF(COUNT(E7:E16)&lt;10,"",IF(COUNT(C25:D25)&gt;0,MEDIAN(C25:D25),'Modelo'!$C$48))</f>
        <v/>
      </c>
      <c r="F31" s="18">
        <f>IF(COUNT(F7:F16)&lt;10,"",IF(COUNT(C25:E25)&gt;0,MEDIAN(C25:E25),'Modelo'!$C$48))</f>
        <v/>
      </c>
      <c r="G31" s="18">
        <f>IF(COUNT(G7:G16)&lt;10,"",IF(COUNT(C25:F25)&gt;0,MEDIAN(C25:F25),'Modelo'!$C$48))</f>
        <v/>
      </c>
      <c r="H31" s="18">
        <f>IF(COUNT(H7:H16)&lt;10,"",IF(COUNT(D25:G25)&gt;0,MEDIAN(D25:G25),'Modelo'!$C$48))</f>
        <v/>
      </c>
      <c r="I31" s="18">
        <f>IF(COUNT(I7:I16)&lt;10,"",IF(COUNT(E25:H25)&gt;0,MEDIAN(E25:H25),'Modelo'!$C$48))</f>
        <v/>
      </c>
      <c r="J31" s="18">
        <f>IF(COUNT(J7:J16)&lt;10,"",IF(COUNT(F25:I25)&gt;0,MEDIAN(F25:I25),'Modelo'!$C$48))</f>
        <v/>
      </c>
      <c r="K31" s="18">
        <f>IF(COUNT(K7:K16)&lt;10,"",IF(COUNT(G25:J25)&gt;0,MEDIAN(G25:J25),'Modelo'!$C$48))</f>
        <v/>
      </c>
      <c r="L31" s="18">
        <f>IF(COUNT(L7:L16)&lt;10,"",IF(COUNT(H25:K25)&gt;0,MEDIAN(H25:K25),'Modelo'!$C$48))</f>
        <v/>
      </c>
      <c r="M31" s="18">
        <f>IF(COUNT(M7:M16)&lt;10,"",IF(COUNT(I25:L25)&gt;0,MEDIAN(I25:L25),'Modelo'!$C$48))</f>
        <v/>
      </c>
      <c r="N31" s="18">
        <f>IF(COUNT(N7:N16)&lt;10,"",IF(COUNT(J25:M25)&gt;0,MEDIAN(J25:M25),'Modelo'!$C$48))</f>
        <v/>
      </c>
      <c r="O31" s="18">
        <f>IF(COUNT(C31:N31)=0,"",AVERAGE(C31:N31))</f>
        <v/>
      </c>
      <c r="P31" s="18">
        <f>IF(COUNT(C31:N31)=0,"",MAX(C31:N31))</f>
        <v/>
      </c>
      <c r="Q31" s="18">
        <f>IF(COUNT(C31:N31)=0,"",MIN(C31:N31))</f>
        <v/>
      </c>
    </row>
    <row r="32">
      <c r="B32" s="3" t="inlineStr">
        <is>
          <t>Semáforo (costo por unidad contra el techo móvil, y ROAS contra el objetivo)</t>
        </is>
      </c>
      <c r="C32" s="13">
        <f>IF(COUNT(C7:C16)&lt;10,"",IF(C18&gt;C31,"ROJO",IF(AND(C18&lt;=C31/(1+'Supuestos'!$C$46),C29&gt;='Supuestos'!$C$45),"VERDE","AMARILLO")))</f>
        <v/>
      </c>
      <c r="D32" s="13">
        <f>IF(COUNT(D7:D16)&lt;10,"",IF(D18&gt;D31,"ROJO",IF(AND(D18&lt;=D31/(1+'Supuestos'!$C$46),D29&gt;='Supuestos'!$C$45),"VERDE","AMARILLO")))</f>
        <v/>
      </c>
      <c r="E32" s="13">
        <f>IF(COUNT(E7:E16)&lt;10,"",IF(E18&gt;E31,"ROJO",IF(AND(E18&lt;=E31/(1+'Supuestos'!$C$46),E29&gt;='Supuestos'!$C$45),"VERDE","AMARILLO")))</f>
        <v/>
      </c>
      <c r="F32" s="13">
        <f>IF(COUNT(F7:F16)&lt;10,"",IF(F18&gt;F31,"ROJO",IF(AND(F18&lt;=F31/(1+'Supuestos'!$C$46),F29&gt;='Supuestos'!$C$45),"VERDE","AMARILLO")))</f>
        <v/>
      </c>
      <c r="G32" s="13">
        <f>IF(COUNT(G7:G16)&lt;10,"",IF(G18&gt;G31,"ROJO",IF(AND(G18&lt;=G31/(1+'Supuestos'!$C$46),G29&gt;='Supuestos'!$C$45),"VERDE","AMARILLO")))</f>
        <v/>
      </c>
      <c r="H32" s="13">
        <f>IF(COUNT(H7:H16)&lt;10,"",IF(H18&gt;H31,"ROJO",IF(AND(H18&lt;=H31/(1+'Supuestos'!$C$46),H29&gt;='Supuestos'!$C$45),"VERDE","AMARILLO")))</f>
        <v/>
      </c>
      <c r="I32" s="13">
        <f>IF(COUNT(I7:I16)&lt;10,"",IF(I18&gt;I31,"ROJO",IF(AND(I18&lt;=I31/(1+'Supuestos'!$C$46),I29&gt;='Supuestos'!$C$45),"VERDE","AMARILLO")))</f>
        <v/>
      </c>
      <c r="J32" s="13">
        <f>IF(COUNT(J7:J16)&lt;10,"",IF(J18&gt;J31,"ROJO",IF(AND(J18&lt;=J31/(1+'Supuestos'!$C$46),J29&gt;='Supuestos'!$C$45),"VERDE","AMARILLO")))</f>
        <v/>
      </c>
      <c r="K32" s="13">
        <f>IF(COUNT(K7:K16)&lt;10,"",IF(K18&gt;K31,"ROJO",IF(AND(K18&lt;=K31/(1+'Supuestos'!$C$46),K29&gt;='Supuestos'!$C$45),"VERDE","AMARILLO")))</f>
        <v/>
      </c>
      <c r="L32" s="13">
        <f>IF(COUNT(L7:L16)&lt;10,"",IF(L18&gt;L31,"ROJO",IF(AND(L18&lt;=L31/(1+'Supuestos'!$C$46),L29&gt;='Supuestos'!$C$45),"VERDE","AMARILLO")))</f>
        <v/>
      </c>
      <c r="M32" s="13">
        <f>IF(COUNT(M7:M16)&lt;10,"",IF(M18&gt;M31,"ROJO",IF(AND(M18&lt;=M31/(1+'Supuestos'!$C$46),M29&gt;='Supuestos'!$C$45),"VERDE","AMARILLO")))</f>
        <v/>
      </c>
      <c r="N32" s="13">
        <f>IF(COUNT(N7:N16)&lt;10,"",IF(N18&gt;N31,"ROJO",IF(AND(N18&lt;=N31/(1+'Supuestos'!$C$46),N29&gt;='Supuestos'!$C$45),"VERDE","AMARILLO")))</f>
        <v/>
      </c>
    </row>
  </sheetData>
  <conditionalFormatting sqref="C5:N3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0.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2">
      <c r="B2" s="1" t="inlineStr">
        <is>
          <t>Benchmarks: contra qué comparar tus números</t>
        </is>
      </c>
    </row>
    <row r="3">
      <c r="B3" s="2" t="inlineStr">
        <is>
          <t>Valores de referencia para tráfico frío en español. Son orden de magnitud, no objetivo: tus propios datos de Seguimiento mandan.</t>
        </is>
      </c>
    </row>
    <row r="5">
      <c r="B5" s="5" t="inlineStr">
        <is>
          <t>Métrica</t>
        </is>
      </c>
      <c r="C5" s="5" t="inlineStr">
        <is>
          <t>Malo</t>
        </is>
      </c>
      <c r="D5" s="5" t="inlineStr">
        <is>
          <t>Aceptable</t>
        </is>
      </c>
      <c r="E5" s="5" t="inlineStr">
        <is>
          <t>Bueno</t>
        </is>
      </c>
      <c r="F5" s="5" t="inlineStr">
        <is>
          <t>Ganador</t>
        </is>
      </c>
      <c r="G5" s="5" t="inlineStr">
        <is>
          <t>Tu valor (Modelo)</t>
        </is>
      </c>
      <c r="H5" s="5" t="inlineStr">
        <is>
          <t>Fuente / nota</t>
        </is>
      </c>
    </row>
    <row r="6">
      <c r="B6" t="inlineStr">
        <is>
          <t>CPL (USD)</t>
        </is>
      </c>
      <c r="C6" t="inlineStr">
        <is>
          <t>&gt;6</t>
        </is>
      </c>
      <c r="D6" t="inlineStr">
        <is>
          <t>3 a 6</t>
        </is>
      </c>
      <c r="E6" t="inlineStr">
        <is>
          <t>1,5 a 3</t>
        </is>
      </c>
      <c r="F6" t="inlineStr">
        <is>
          <t>&lt;1,5</t>
        </is>
      </c>
      <c r="G6" s="18">
        <f>'Modelo'!$C$10</f>
        <v/>
      </c>
      <c r="H6" s="4" t="inlineStr">
        <is>
          <t>Hispano, ticket 500 a 3.000, 2024 a 2026.</t>
        </is>
      </c>
    </row>
    <row r="7">
      <c r="B7" t="inlineStr">
        <is>
          <t>% lead → aplicación</t>
        </is>
      </c>
      <c r="C7" t="inlineStr">
        <is>
          <t>&lt;5 %</t>
        </is>
      </c>
      <c r="D7" t="inlineStr">
        <is>
          <t>5 a 10 %</t>
        </is>
      </c>
      <c r="E7" t="inlineStr">
        <is>
          <t>10 a 18 %</t>
        </is>
      </c>
      <c r="F7" t="inlineStr">
        <is>
          <t>&gt;18 %</t>
        </is>
      </c>
      <c r="G7" s="17">
        <f>'Supuestos'!$C$21</f>
        <v/>
      </c>
      <c r="H7" s="4" t="inlineStr">
        <is>
          <t>Formulario largo. Con evento previo se mide sobre asistentes.</t>
        </is>
      </c>
    </row>
    <row r="8">
      <c r="B8" t="inlineStr">
        <is>
          <t>% aplicación → calificado</t>
        </is>
      </c>
      <c r="C8" t="inlineStr">
        <is>
          <t>&lt;40 %</t>
        </is>
      </c>
      <c r="D8" t="inlineStr">
        <is>
          <t>40 a 55 %</t>
        </is>
      </c>
      <c r="E8" t="inlineStr">
        <is>
          <t>55 a 70 %</t>
        </is>
      </c>
      <c r="F8" t="inlineStr">
        <is>
          <t>&gt;70 %</t>
        </is>
      </c>
      <c r="G8" s="17">
        <f>'Supuestos'!$C$22</f>
        <v/>
      </c>
      <c r="H8" s="4" t="inlineStr">
        <is>
          <t>Depende de la dureza del filtro.</t>
        </is>
      </c>
    </row>
    <row r="9">
      <c r="B9" t="inlineStr">
        <is>
          <t>% calificado → agenda</t>
        </is>
      </c>
      <c r="C9" t="inlineStr">
        <is>
          <t>&lt;40 %</t>
        </is>
      </c>
      <c r="D9" t="inlineStr">
        <is>
          <t>40 a 55 %</t>
        </is>
      </c>
      <c r="E9" t="inlineStr">
        <is>
          <t>55 a 70 %</t>
        </is>
      </c>
      <c r="F9" t="inlineStr">
        <is>
          <t>&gt;70 %</t>
        </is>
      </c>
      <c r="G9" s="17">
        <f>'Supuestos'!$C$23</f>
        <v/>
      </c>
      <c r="H9" s="4" t="inlineStr">
        <is>
          <t>Mercado: 30 a 60 % de las aplicaciones terminan agendadas.</t>
        </is>
      </c>
    </row>
    <row r="10">
      <c r="B10" t="inlineStr">
        <is>
          <t>% agenda → llamada (show)</t>
        </is>
      </c>
      <c r="C10" t="inlineStr">
        <is>
          <t>&lt;55 %</t>
        </is>
      </c>
      <c r="D10" t="inlineStr">
        <is>
          <t>55 a 65 %</t>
        </is>
      </c>
      <c r="E10" t="inlineStr">
        <is>
          <t>65 a 75 %</t>
        </is>
      </c>
      <c r="F10" t="inlineStr">
        <is>
          <t>&gt;75 %</t>
        </is>
      </c>
      <c r="G10" s="17">
        <f>'Supuestos'!$C$24</f>
        <v/>
      </c>
      <c r="H10" s="4" t="inlineStr">
        <is>
          <t>Mercado: no-show del 20 a 30 %; equipos muy buenos, 8 a 12 %.</t>
        </is>
      </c>
    </row>
    <row r="11">
      <c r="B11" t="inlineStr">
        <is>
          <t>% llamada → venta (cierre)</t>
        </is>
      </c>
      <c r="C11" t="inlineStr">
        <is>
          <t>&lt;15 %</t>
        </is>
      </c>
      <c r="D11" t="inlineStr">
        <is>
          <t>15 a 25 %</t>
        </is>
      </c>
      <c r="E11" t="inlineStr">
        <is>
          <t>25 a 35 %</t>
        </is>
      </c>
      <c r="F11" t="inlineStr">
        <is>
          <t>&gt;35 %</t>
        </is>
      </c>
      <c r="G11" s="17">
        <f>'Supuestos'!$C$25</f>
        <v/>
      </c>
      <c r="H11" s="4" t="inlineStr">
        <is>
          <t>Lead tibio y filtrado: promedio 30 %. Sin filtro: menos de 5 %. Sin consenso por ticket.</t>
        </is>
      </c>
    </row>
    <row r="12">
      <c r="B12" t="inlineStr">
        <is>
          <t>% lead → venta</t>
        </is>
      </c>
      <c r="C12" t="inlineStr">
        <is>
          <t>&lt;0,4 %</t>
        </is>
      </c>
      <c r="D12" t="inlineStr">
        <is>
          <t>0,4 a 0,8 %</t>
        </is>
      </c>
      <c r="E12" t="inlineStr">
        <is>
          <t>0,8 a 1,5 %</t>
        </is>
      </c>
      <c r="F12" t="inlineStr">
        <is>
          <t>&gt;1,5 %</t>
        </is>
      </c>
      <c r="G12" s="19">
        <f>'Modelo'!$C$25</f>
        <v/>
      </c>
      <c r="H12" s="4" t="inlineStr">
        <is>
          <t>El producto de todas las conversiones.</t>
        </is>
      </c>
    </row>
    <row r="13">
      <c r="B13" t="inlineStr">
        <is>
          <t>Costo por agenda (USD)</t>
        </is>
      </c>
      <c r="C13" t="inlineStr">
        <is>
          <t>&gt;250</t>
        </is>
      </c>
      <c r="D13" t="inlineStr">
        <is>
          <t>120 a 250</t>
        </is>
      </c>
      <c r="E13" t="inlineStr">
        <is>
          <t>60 a 120</t>
        </is>
      </c>
      <c r="F13" t="inlineStr">
        <is>
          <t>&lt;60</t>
        </is>
      </c>
      <c r="G13" s="18">
        <f>'Modelo'!$C$20</f>
        <v/>
      </c>
      <c r="H13" s="4" t="inlineStr">
        <is>
          <t>Ticket 500 a 1.500.</t>
        </is>
      </c>
    </row>
    <row r="14">
      <c r="B14" t="inlineStr">
        <is>
          <t>ROAS del cash del primer mes</t>
        </is>
      </c>
      <c r="C14" t="inlineStr">
        <is>
          <t>&lt;1,0</t>
        </is>
      </c>
      <c r="D14" t="inlineStr">
        <is>
          <t>1,0 a 1,5</t>
        </is>
      </c>
      <c r="E14" t="inlineStr">
        <is>
          <t>1,5 a 2,5</t>
        </is>
      </c>
      <c r="F14" t="inlineStr">
        <is>
          <t>&gt;2,5</t>
        </is>
      </c>
      <c r="G14" s="27">
        <f>'Modelo'!$C$45</f>
        <v/>
      </c>
      <c r="H14" s="4" t="inlineStr">
        <is>
          <t>Con cuotas. Sobre cobranza completa, sumá lo que falta cobrar.</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1.xml><?xml version="1.0" encoding="utf-8"?>
<worksheet xmlns="http://schemas.openxmlformats.org/spreadsheetml/2006/main">
  <sheetPr>
    <outlinePr summaryBelow="1" summaryRight="1"/>
    <pageSetUpPr/>
  </sheetPr>
  <dimension ref="B2: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2">
      <c r="B2" s="1" t="inlineStr">
        <is>
          <t>Glosario</t>
        </is>
      </c>
    </row>
    <row r="3">
      <c r="B3" s="2" t="inlineStr">
        <is>
          <t>Los términos que usa este modelo, en el orden del embudo.</t>
        </is>
      </c>
    </row>
    <row r="5">
      <c r="B5" s="5" t="inlineStr">
        <is>
          <t>Término</t>
        </is>
      </c>
      <c r="C5" s="5" t="inlineStr">
        <is>
          <t>Qué es</t>
        </is>
      </c>
      <c r="D5" s="5" t="inlineStr">
        <is>
          <t>Dónde aparece</t>
        </is>
      </c>
    </row>
    <row r="6" ht="30" customHeight="1">
      <c r="B6" s="3" t="inlineStr">
        <is>
          <t>CPM</t>
        </is>
      </c>
      <c r="C6" s="4" t="inlineStr">
        <is>
          <t>Costo por mil impresiones: lo que cobra la plataforma de anuncios por mostrar el aviso mil veces.</t>
        </is>
      </c>
      <c r="D6" t="inlineStr">
        <is>
          <t>Supuestos</t>
        </is>
      </c>
    </row>
    <row r="7" ht="15" customHeight="1">
      <c r="B7" s="3" t="inlineStr">
        <is>
          <t>CTR</t>
        </is>
      </c>
      <c r="C7" s="4" t="inlineStr">
        <is>
          <t>Porcentaje de impresiones que terminan en clic al enlace.</t>
        </is>
      </c>
      <c r="D7" t="inlineStr">
        <is>
          <t>Supuestos</t>
        </is>
      </c>
    </row>
    <row r="8" ht="30" customHeight="1">
      <c r="B8" s="3" t="inlineStr">
        <is>
          <t>Clic → visita</t>
        </is>
      </c>
      <c r="C8" s="4" t="inlineStr">
        <is>
          <t>Porcentaje de clics que llegan a cargar la página. Siempre menor a 100 % (cierran antes de que cargue).</t>
        </is>
      </c>
      <c r="D8" t="inlineStr">
        <is>
          <t>Supuestos</t>
        </is>
      </c>
    </row>
    <row r="9" ht="30" customHeight="1">
      <c r="B9" s="3" t="inlineStr">
        <is>
          <t>Unidad de adquisición</t>
        </is>
      </c>
      <c r="C9" s="4" t="inlineStr">
        <is>
          <t>Lo que compra la publicidad en este embudo (visita, registro o entrada). Todo el modelo se mide por unidad.</t>
        </is>
      </c>
      <c r="D9" t="inlineStr">
        <is>
          <t>Modelo</t>
        </is>
      </c>
    </row>
    <row r="10" ht="30" customHeight="1">
      <c r="B10" s="3" t="inlineStr">
        <is>
          <t>Costo por unidad</t>
        </is>
      </c>
      <c r="C10" s="4" t="inlineStr">
        <is>
          <t>Inversión dividida por unidades compradas: costo por visita, CPL (costo por lead o registro) o costo por entrada.</t>
        </is>
      </c>
      <c r="D10" t="inlineStr">
        <is>
          <t>Modelo, Seguimiento</t>
        </is>
      </c>
    </row>
    <row r="11" ht="30" customHeight="1">
      <c r="B11" s="3" t="inlineStr">
        <is>
          <t>Conversión</t>
        </is>
      </c>
      <c r="C11" s="4" t="inlineStr">
        <is>
          <t>Porcentaje que pasa de una etapa a la siguiente. Las conversiones se multiplican: 15 % × 14 % × 44 % = 0,9 %.</t>
        </is>
      </c>
      <c r="D11" t="inlineStr">
        <is>
          <t>Supuestos, Modelo</t>
        </is>
      </c>
    </row>
    <row r="12" ht="30" customHeight="1">
      <c r="B12" s="3" t="inlineStr">
        <is>
          <t>Show rate</t>
        </is>
      </c>
      <c r="C12" s="4" t="inlineStr">
        <is>
          <t>Porcentaje de registrados (o compradores) que asisten en vivo. El replay se cuenta aparte.</t>
        </is>
      </c>
      <c r="D12" t="inlineStr">
        <is>
          <t>Supuestos</t>
        </is>
      </c>
    </row>
    <row r="13" ht="30" customHeight="1">
      <c r="B13" s="3" t="inlineStr">
        <is>
          <t>Bump</t>
        </is>
      </c>
      <c r="C13" s="4" t="inlineStr">
        <is>
          <t>Oferta extra en el mismo checkout, con una casilla. Se mide como % de los compradores.</t>
        </is>
      </c>
      <c r="D13" t="inlineStr">
        <is>
          <t>Supuestos</t>
        </is>
      </c>
    </row>
    <row r="14" ht="30" customHeight="1">
      <c r="B14" s="3" t="inlineStr">
        <is>
          <t>OTO / upsell</t>
        </is>
      </c>
      <c r="C14" s="4" t="inlineStr">
        <is>
          <t>Oferta que aparece después de pagar (one-time offer). Downsell: la oferta más barata para quien rechaza la OTO.</t>
        </is>
      </c>
      <c r="D14" t="inlineStr">
        <is>
          <t>Supuestos</t>
        </is>
      </c>
    </row>
    <row r="15" ht="15" customHeight="1">
      <c r="B15" s="3" t="inlineStr">
        <is>
          <t>Backend</t>
        </is>
      </c>
      <c r="C15" s="4" t="inlineStr">
        <is>
          <t>Producto de mayor valor que se vende después del primero, por ascenso o por llamada.</t>
        </is>
      </c>
      <c r="D15" t="inlineStr">
        <is>
          <t>Supuestos</t>
        </is>
      </c>
    </row>
    <row r="16" ht="15" customHeight="1">
      <c r="B16" s="3" t="inlineStr">
        <is>
          <t>AOV</t>
        </is>
      </c>
      <c r="C16" s="4" t="inlineStr">
        <is>
          <t>Facturado promedio por comprador del producto principal, sumando toda la escalera.</t>
        </is>
      </c>
      <c r="D16" t="inlineStr">
        <is>
          <t>Modelo</t>
        </is>
      </c>
    </row>
    <row r="17" ht="15" customHeight="1">
      <c r="B17" s="3" t="inlineStr">
        <is>
          <t>CPA / CAC</t>
        </is>
      </c>
      <c r="C17" s="4" t="inlineStr">
        <is>
          <t>Costo por comprador: inversión dividida por ventas del producto principal.</t>
        </is>
      </c>
      <c r="D17" t="inlineStr">
        <is>
          <t>Modelo</t>
        </is>
      </c>
    </row>
    <row r="18" ht="15" customHeight="1">
      <c r="B18" s="3" t="inlineStr">
        <is>
          <t>Facturado</t>
        </is>
      </c>
      <c r="C18" s="4" t="inlineStr">
        <is>
          <t>Lo vendido a precio de lista, aunque todavía no se haya cobrado (cuotas).</t>
        </is>
      </c>
      <c r="D18" t="inlineStr">
        <is>
          <t>Modelo</t>
        </is>
      </c>
    </row>
    <row r="19" ht="30" customHeight="1">
      <c r="B19" s="3" t="inlineStr">
        <is>
          <t>Cash cobrado</t>
        </is>
      </c>
      <c r="C19" s="4" t="inlineStr">
        <is>
          <t>Lo que efectivamente entró. Con cuotas, entra en varios meses según la curva de cobranza.</t>
        </is>
      </c>
      <c r="D19" t="inlineStr">
        <is>
          <t>Modelo, Proyección</t>
        </is>
      </c>
    </row>
    <row r="20" ht="30" customHeight="1">
      <c r="B20" s="3" t="inlineStr">
        <is>
          <t>Cash neto</t>
        </is>
      </c>
      <c r="C20" s="4" t="inlineStr">
        <is>
          <t>Cash cobrado menos comisiones de pasarela, comisiones de ventas y reembolsos. Es la base de verdad del modelo.</t>
        </is>
      </c>
      <c r="D20" t="inlineStr">
        <is>
          <t>Modelo</t>
        </is>
      </c>
    </row>
    <row r="21" ht="30" customHeight="1">
      <c r="B21" s="3" t="inlineStr">
        <is>
          <t>ROAS</t>
        </is>
      </c>
      <c r="C21" s="4" t="inlineStr">
        <is>
          <t>Retorno sobre la inversión en publicidad. Sobre facturado, sobre cash o sobre cash neto: siempre decí cuál.</t>
        </is>
      </c>
      <c r="D21" t="inlineStr">
        <is>
          <t>Modelo</t>
        </is>
      </c>
    </row>
    <row r="22" ht="30" customHeight="1">
      <c r="B22" s="3" t="inlineStr">
        <is>
          <t>Valor neto por unidad (VPU)</t>
        </is>
      </c>
      <c r="C22" s="4" t="inlineStr">
        <is>
          <t>Cash neto que deja cada unidad de adquisición, descontando los costos que crecen con el volumen. Es lo que vale un lead, una visita o una entrada.</t>
        </is>
      </c>
      <c r="D22" t="inlineStr">
        <is>
          <t>Modelo</t>
        </is>
      </c>
    </row>
    <row r="23" ht="30" customHeight="1">
      <c r="B23" s="3" t="inlineStr">
        <is>
          <t>Techo</t>
        </is>
      </c>
      <c r="C23" s="4" t="inlineStr">
        <is>
          <t>Costo por unidad al que no ganás ni perdés (break-even). Es igual al valor neto por unidad.</t>
        </is>
      </c>
      <c r="D23" t="inlineStr">
        <is>
          <t>Modelo, Seguimiento</t>
        </is>
      </c>
    </row>
    <row r="24" ht="15" customHeight="1">
      <c r="B24" s="3" t="inlineStr">
        <is>
          <t>Objetivo</t>
        </is>
      </c>
      <c r="C24" s="4" t="inlineStr">
        <is>
          <t>Techo dividido por (1 + margen de seguridad). Si pagás eso o menos, estás en verde.</t>
        </is>
      </c>
      <c r="D24" t="inlineStr">
        <is>
          <t>Modelo</t>
        </is>
      </c>
    </row>
    <row r="25" ht="30" customHeight="1">
      <c r="B25" s="3" t="inlineStr">
        <is>
          <t>Margen de seguridad</t>
        </is>
      </c>
      <c r="C25" s="4" t="inlineStr">
        <is>
          <t>Colchón entre el techo y el objetivo para absorber varianza, reembolsos y costos que no viste. 30 % es el estándar.</t>
        </is>
      </c>
      <c r="D25" t="inlineStr">
        <is>
          <t>Supuestos</t>
        </is>
      </c>
    </row>
    <row r="26" ht="60" customHeight="1">
      <c r="B26" s="3" t="inlineStr">
        <is>
          <t>Semáforo</t>
        </is>
      </c>
      <c r="C26" s="4"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3" t="inlineStr">
        <is>
          <t>Techo móvil</t>
        </is>
      </c>
      <c r="C27" s="4" t="inlineStr">
        <is>
          <t>Mediana del valor neto por unidad de tus últimas 4 columnas de Seguimiento. Es el techo que se usa para decidir, porque refleja tu rendimiento reciente.</t>
        </is>
      </c>
      <c r="D27" t="inlineStr">
        <is>
          <t>Seguimiento</t>
        </is>
      </c>
    </row>
    <row r="28" ht="30" customHeight="1">
      <c r="B28" s="3" t="inlineStr">
        <is>
          <t>Escenario</t>
        </is>
      </c>
      <c r="C28" s="4" t="inlineStr">
        <is>
          <t>Conjunto de supuestos conservador, base u optimista. Se elige con una celda en Supuestos.</t>
        </is>
      </c>
      <c r="D28" t="inlineStr">
        <is>
          <t>Supuestos</t>
        </is>
      </c>
    </row>
    <row r="29" ht="30" customHeight="1">
      <c r="B29" s="3" t="inlineStr">
        <is>
          <t>Sensibilidad</t>
        </is>
      </c>
      <c r="C29" s="4" t="inlineStr">
        <is>
          <t>Cuánto cambia la ganancia si mejorás una sola variable un 10 %. Dice qué palanca trabajar primero.</t>
        </is>
      </c>
      <c r="D29" t="inlineStr">
        <is>
          <t>Sensibilidad</t>
        </is>
      </c>
    </row>
    <row r="30" ht="45" customHeight="1">
      <c r="B30" s="3" t="inlineStr">
        <is>
          <t>Ganancia por visita / por lead / por cliente</t>
        </is>
      </c>
      <c r="C30" s="4"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3" t="inlineStr">
        <is>
          <t>Order value (AOV)</t>
        </is>
      </c>
      <c r="C31" s="4" t="inlineStr">
        <is>
          <t>Facturado promedio por comprador del principal sumando toda la escalera. El AOV neto es lo mismo después de comisiones y reembolsos, y su par es el CPA.</t>
        </is>
      </c>
      <c r="D31" t="inlineStr">
        <is>
          <t>Modelo</t>
        </is>
      </c>
    </row>
    <row r="32" ht="45" customHeight="1">
      <c r="B32" s="3" t="inlineStr">
        <is>
          <t>Caja necesaria</t>
        </is>
      </c>
      <c r="C32" s="4"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3" t="inlineStr">
        <is>
          <t>Unit economics</t>
        </is>
      </c>
      <c r="C33" s="4" t="inlineStr">
        <is>
          <t>Los números por unidad: cuánto cuesta y cuánto deja cada visita, registro, entrada o comprador.</t>
        </is>
      </c>
      <c r="D33" t="inlineStr">
        <is>
          <t>Resumen</t>
        </is>
      </c>
    </row>
    <row r="34" ht="30" customHeight="1">
      <c r="B34" s="3" t="inlineStr">
        <is>
          <t>Tráfico frío</t>
        </is>
      </c>
      <c r="C34" s="4" t="inlineStr">
        <is>
          <t>Gente que no te conoce y llega desde un anuncio. Convierte menos que tu audiencia propia.</t>
        </is>
      </c>
      <c r="D34" t="inlineStr">
        <is>
          <t>Benchmarks</t>
        </is>
      </c>
    </row>
    <row r="35" ht="30" customHeight="1">
      <c r="B35" s="3" t="inlineStr">
        <is>
          <t>Front / producto principal</t>
        </is>
      </c>
      <c r="C35" s="4" t="inlineStr">
        <is>
          <t>El primer producto que se vende en el embudo. Todo lo demás (bumps, OTOs, programa) se mide como % de sus compradores.</t>
        </is>
      </c>
      <c r="D35" t="inlineStr">
        <is>
          <t>Supuestos</t>
        </is>
      </c>
    </row>
    <row r="36" ht="15" customHeight="1">
      <c r="B36" s="3" t="inlineStr">
        <is>
          <t>Pitch</t>
        </is>
      </c>
      <c r="C36" s="4" t="inlineStr">
        <is>
          <t>La parte del webinar o la llamada donde se presenta la oferta.</t>
        </is>
      </c>
      <c r="D36" t="inlineStr">
        <is>
          <t>Inicio</t>
        </is>
      </c>
    </row>
    <row r="37" ht="15" customHeight="1">
      <c r="B37" s="3" t="inlineStr">
        <is>
          <t>VSL</t>
        </is>
      </c>
      <c r="C37" s="4" t="inlineStr">
        <is>
          <t>Video de ventas: la página de ventas es un video largo que vende el producto.</t>
        </is>
      </c>
      <c r="D37" t="inlineStr">
        <is>
          <t>Supuestos</t>
        </is>
      </c>
    </row>
    <row r="38" ht="30" customHeight="1">
      <c r="B38" s="3" t="inlineStr">
        <is>
          <t>B2B</t>
        </is>
      </c>
      <c r="C38" s="4" t="inlineStr">
        <is>
          <t>Negocios que venden a empresas. Sus benchmarks de asistencia son más altos que los de tráfico frío a personas.</t>
        </is>
      </c>
      <c r="D38" t="inlineStr">
        <is>
          <t>Benchmarks</t>
        </is>
      </c>
    </row>
    <row r="39" ht="15" customHeight="1">
      <c r="B39" s="3" t="inlineStr">
        <is>
          <t>Self-serve</t>
        </is>
      </c>
      <c r="C39" s="4" t="inlineStr">
        <is>
          <t>Venta sin llamada: la persona compra sola desde una página de pago.</t>
        </is>
      </c>
      <c r="D39" t="inlineStr">
        <is>
          <t>Supuestos</t>
        </is>
      </c>
    </row>
    <row r="40" ht="30" customHeight="1">
      <c r="B40" s="3" t="inlineStr">
        <is>
          <t>Aplicación</t>
        </is>
      </c>
      <c r="C40" s="4" t="inlineStr">
        <is>
          <t>Formulario largo que el lead completa para pedir una llamada. Filtra y le da información al closer.</t>
        </is>
      </c>
      <c r="D40" t="inlineStr">
        <is>
          <t>Supuestos</t>
        </is>
      </c>
    </row>
    <row r="41" ht="30" customHeight="1">
      <c r="B41" s="3" t="inlineStr">
        <is>
          <t>Setter</t>
        </is>
      </c>
      <c r="C41" s="4" t="inlineStr">
        <is>
          <t>Persona que contacta a los que aplicaron, confirma y agenda. Cobra por contacto o por agenda.</t>
        </is>
      </c>
      <c r="D41" t="inlineStr">
        <is>
          <t>Supuestos</t>
        </is>
      </c>
    </row>
    <row r="42" ht="15" customHeight="1">
      <c r="B42" s="3" t="inlineStr">
        <is>
          <t>Closer</t>
        </is>
      </c>
      <c r="C42" s="4" t="inlineStr">
        <is>
          <t>Quien hace la llamada de venta. Cobra comisión sobre el cash cobrado.</t>
        </is>
      </c>
      <c r="D42" t="inlineStr">
        <is>
          <t>Supuestos</t>
        </is>
      </c>
    </row>
    <row r="43" ht="15" customHeight="1">
      <c r="B43" s="3" t="inlineStr">
        <is>
          <t>Show de la llamada</t>
        </is>
      </c>
      <c r="C43" s="4" t="inlineStr">
        <is>
          <t>Porcentaje de agendas que efectivamente ocurren.</t>
        </is>
      </c>
      <c r="D43" t="inlineStr">
        <is>
          <t>Supuestos</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2.xml><?xml version="1.0" encoding="utf-8"?>
<worksheet xmlns="http://schemas.openxmlformats.org/spreadsheetml/2006/main">
  <sheetPr>
    <outlinePr summaryBelow="1" summaryRight="1"/>
    <pageSetUpPr/>
  </sheetPr>
  <dimension ref="B2: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2">
      <c r="B2" s="1" t="inlineStr">
        <is>
          <t>Chequeos: el modelo se revisa solo</t>
        </is>
      </c>
    </row>
    <row r="3">
      <c r="B3" s="2" t="inlineStr">
        <is>
          <t>Si alguna fila dice REVISAR, hay un supuesto fuera de rango o un dato inconsistente.</t>
        </is>
      </c>
    </row>
    <row r="5">
      <c r="B5" s="5" t="inlineStr">
        <is>
          <t>Chequeo</t>
        </is>
      </c>
      <c r="C5" s="5" t="inlineStr">
        <is>
          <t>Estado</t>
        </is>
      </c>
      <c r="D5" s="5" t="inlineStr">
        <is>
          <t>Qué revisar</t>
        </is>
      </c>
    </row>
    <row r="6">
      <c r="B6" t="inlineStr">
        <is>
          <t>Ninguna celda con error en Modelo</t>
        </is>
      </c>
      <c r="C6" s="36">
        <f>IF(ISERROR(SUM('Modelo'!C5:C160)),"REVISAR","OK")</f>
        <v/>
      </c>
      <c r="D6" s="4" t="inlineStr">
        <is>
          <t>Si dice REVISAR, hay un #DIV/0! o #REF!: casi siempre un supuesto en 0 o una fila borrada.</t>
        </is>
      </c>
    </row>
    <row r="7">
      <c r="B7" t="inlineStr">
        <is>
          <t>Ninguna celda con error en Embudo</t>
        </is>
      </c>
      <c r="C7" s="36">
        <f>IF(ISERROR(SUM('Embudo'!C5:I60)),"REVISAR","OK")</f>
        <v/>
      </c>
      <c r="D7" s="4" t="inlineStr">
        <is>
          <t>Si dice REVISAR, hay un #DIV/0! o #REF!: casi siempre un supuesto en 0 o una fila borrada.</t>
        </is>
      </c>
    </row>
    <row r="8">
      <c r="B8" t="inlineStr">
        <is>
          <t>Ninguna celda con error en Resumen</t>
        </is>
      </c>
      <c r="C8" s="36">
        <f>IF(ISERROR(SUM('Resumen'!C5:C60)),"REVISAR","OK")</f>
        <v/>
      </c>
      <c r="D8" s="4" t="inlineStr">
        <is>
          <t>Si dice REVISAR, hay un #DIV/0! o #REF!: casi siempre un supuesto en 0 o una fila borrada.</t>
        </is>
      </c>
    </row>
    <row r="9">
      <c r="B9" t="inlineStr">
        <is>
          <t>Ninguna celda con error en Proyección 12 meses</t>
        </is>
      </c>
      <c r="C9" s="36">
        <f>IF(ISERROR(SUM('Proyección 12 meses'!C5:O40)),"REVISAR","OK")</f>
        <v/>
      </c>
      <c r="D9" s="4" t="inlineStr">
        <is>
          <t>Si dice REVISAR, hay un #DIV/0! o #REF!: casi siempre un supuesto en 0 o una fila borrada.</t>
        </is>
      </c>
    </row>
    <row r="10">
      <c r="B10" t="inlineStr">
        <is>
          <t>Ninguna celda con error en Escenarios</t>
        </is>
      </c>
      <c r="C10" s="36">
        <f>IF(ISERROR(SUM('Escenarios'!C5:L120)),"REVISAR","OK")</f>
        <v/>
      </c>
      <c r="D10" s="4" t="inlineStr">
        <is>
          <t>Si dice REVISAR, hay un #DIV/0! o #REF!: casi siempre un supuesto en 0 o una fila borrada.</t>
        </is>
      </c>
    </row>
    <row r="11">
      <c r="B11" t="inlineStr">
        <is>
          <t>Ninguna celda con error en Seguimiento</t>
        </is>
      </c>
      <c r="C11" s="36">
        <f>IF(ISERROR(SUM('Seguimiento'!C5:Q80)),"REVISAR","OK")</f>
        <v/>
      </c>
      <c r="D11" s="4" t="inlineStr">
        <is>
          <t>Si dice REVISAR, hay un #DIV/0! o #REF!: casi siempre un supuesto en 0 o una fila borrada.</t>
        </is>
      </c>
    </row>
    <row r="12">
      <c r="B12" t="inlineStr">
        <is>
          <t>Los supuestos de tráfico son mayores a cero</t>
        </is>
      </c>
      <c r="C12" s="36">
        <f>IF(AND('Supuestos'!$C$9&gt;0,'Supuestos'!$C$10&gt;0,'Supuestos'!$C$11&gt;0,'Supuestos'!$C$14&gt;0),"OK","REVISAR")</f>
        <v/>
      </c>
      <c r="D12" s="4" t="inlineStr">
        <is>
          <t>Con un 0 en el tráfico o en la conversión de la página no hay unidades y el modelo no dice nada.</t>
        </is>
      </c>
    </row>
    <row r="13">
      <c r="B13" t="inlineStr">
        <is>
          <t>La curva de cobranza suma 100 %</t>
        </is>
      </c>
      <c r="C13" s="36">
        <f>IF(ABS('Supuestos'!$C$40+'Supuestos'!$C$41+'Supuestos'!$C$42-1)&lt;0.001,"OK","REVISAR")</f>
        <v/>
      </c>
      <c r="D13" s="4" t="inlineStr">
        <is>
          <t>Supuestos → cobranza mes 1 + mes 2 + mes 3 = 100 %.</t>
        </is>
      </c>
    </row>
    <row r="14">
      <c r="B14" t="inlineStr">
        <is>
          <t>Comisiones + reembolsos menores al 60 %</t>
        </is>
      </c>
      <c r="C14" s="36">
        <f>IF(('Supuestos'!$C$33+'Supuestos'!$C$34+'Supuestos'!$C$35)&lt;0.6,"OK","REVISAR")</f>
        <v/>
      </c>
      <c r="D14" s="4" t="inlineStr">
        <is>
          <t>Si suman más, revisá los porcentajes.</t>
        </is>
      </c>
    </row>
    <row r="15">
      <c r="B15" t="inlineStr">
        <is>
          <t>El escenario en uso es 1, 2 o 3</t>
        </is>
      </c>
      <c r="C15" s="36">
        <f>IF(OR('Supuestos'!$C$6=1,'Supuestos'!$C$6=2,'Supuestos'!$C$6=3),"OK","REVISAR")</f>
        <v/>
      </c>
      <c r="D15" s="4" t="inlineStr">
        <is>
          <t>Supuestos → celda 'Escenario en uso'.</t>
        </is>
      </c>
    </row>
    <row r="16">
      <c r="B16" t="inlineStr">
        <is>
          <t>La inversión es mayor a cero</t>
        </is>
      </c>
      <c r="C16" s="36">
        <f>IF('Supuestos'!$C$8&gt;0,"OK","REVISAR")</f>
        <v/>
      </c>
      <c r="D16" s="4" t="inlineStr"/>
    </row>
    <row r="17">
      <c r="B17" t="inlineStr">
        <is>
          <t>La meta de ventas es alcanzable (hay conversión a venta)</t>
        </is>
      </c>
      <c r="C17" s="36">
        <f>IF('Modelo'!$C$25&gt;0,"OK","REVISAR")</f>
        <v/>
      </c>
      <c r="D17" s="4" t="inlineStr">
        <is>
          <t>Con conversión a venta en 0, la inversión para la meta dice 'inalcanzable con estos supuestos'.</t>
        </is>
      </c>
    </row>
    <row r="18">
      <c r="B18" t="inlineStr">
        <is>
          <t>Las conversiones están entre 0 y 100 %</t>
        </is>
      </c>
      <c r="C18" s="36">
        <f>IF(AND('Supuestos'!$C$10&gt;=0,'Supuestos'!$C$10&lt;=1,'Supuestos'!$C$11&gt;=0,'Supuestos'!$C$11&lt;=1,'Supuestos'!$C$14&gt;=0,'Supuestos'!$C$14&lt;=1,'Supuestos'!$C$18&gt;=0,'Supuestos'!$C$18&lt;=1,'Supuestos'!$C$21&gt;=0,'Supuestos'!$C$21&lt;=1,'Supuestos'!$C$22&gt;=0,'Supuestos'!$C$22&lt;=1,'Supuestos'!$C$23&gt;=0,'Supuestos'!$C$23&lt;=1,'Supuestos'!$C$24&gt;=0,'Supuestos'!$C$24&lt;=1,'Supuestos'!$C$25&gt;=0,'Supuestos'!$C$25&lt;=1,'Supuestos'!$C$30&gt;=0,'Supuestos'!$C$30&lt;=1),"OK","REVISAR")</f>
        <v/>
      </c>
      <c r="D18" s="4" t="inlineStr">
        <is>
          <t>Un 25 % se escribe 25 % (o 0,25), no 25.</t>
        </is>
      </c>
    </row>
    <row r="19">
      <c r="B19" t="inlineStr">
        <is>
          <t>El margen de seguridad está entre 0 y 100 %</t>
        </is>
      </c>
      <c r="C19" s="36">
        <f>IF(AND('Supuestos'!$C$46&gt;=0,'Supuestos'!$C$46&lt;=1),"OK","REVISAR")</f>
        <v/>
      </c>
      <c r="D19" s="4" t="inlineStr"/>
    </row>
    <row r="20">
      <c r="B20" t="inlineStr">
        <is>
          <t>El crecimiento mensual está entre −50 % y 100 %</t>
        </is>
      </c>
      <c r="C20" s="36">
        <f>IF(AND('Supuestos'!$C$48&gt;=-0.5,'Supuestos'!$C$48&lt;=1),"OK","REVISAR")</f>
        <v/>
      </c>
      <c r="D20" s="4" t="inlineStr">
        <is>
          <t>Más de 100 % por mes no es realista para una proyección.</t>
        </is>
      </c>
    </row>
    <row r="21">
      <c r="B21" t="inlineStr">
        <is>
          <t>La cadena es decreciente (cada etapa tiene menos gente que la anterior)</t>
        </is>
      </c>
      <c r="C21" s="36">
        <f>IF(AND('Modelo'!$C$15&lt;='Modelo'!$C$11,'Modelo'!$C$16&lt;='Modelo'!$C$15,'Modelo'!$C$17&lt;='Modelo'!$C$16,'Modelo'!$C$18&lt;='Modelo'!$C$17,'Modelo'!$C$23&lt;='Modelo'!$C$18),"OK","REVISAR")</f>
        <v/>
      </c>
      <c r="D21" s="4" t="inlineStr">
        <is>
          <t>Si falla, alguna conversión está por encima de 100 %.</t>
        </is>
      </c>
    </row>
    <row r="22">
      <c r="B22" t="inlineStr">
        <is>
          <t>El interruptor de evento previo es 0 o 1</t>
        </is>
      </c>
      <c r="C22" s="36">
        <f>IF(OR('Supuestos'!$C$17=0,'Supuestos'!$C$17=1),"OK","REVISAR")</f>
        <v/>
      </c>
      <c r="D22" s="4" t="inlineStr">
        <is>
          <t>Supuestos → evento previo.</t>
        </is>
      </c>
    </row>
    <row r="24">
      <c r="B24" s="3" t="inlineStr">
        <is>
          <t>Estado general del modelo</t>
        </is>
      </c>
      <c r="C24" s="37">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llamada (high ticket)</dc:title>
  <dc:description xmlns:dc="http://purl.org/dc/elements/1.1/">Modelo financiero de embudos · creado por Jesús Tassarolo · TooAudience · youtube.com/@JesusTassaroloSinFiltro · v1.2 · octubre 2026</dc:description>
  <dc:subject xmlns:dc="http://purl.org/dc/elements/1.1/">Modelo financiero de embudos · creado por Jesús Tassarolo · TooAudience · youtube.com/@JesusTassaroloSinFiltro</dc:subject>
  <dcterms:created xmlns:dcterms="http://purl.org/dc/terms/" xmlns:xsi="http://www.w3.org/2001/XMLSchema-instance" xsi:type="dcterms:W3CDTF">2026-10-01T22:01:20Z</dcterms:created>
  <dcterms:modified xmlns:dcterms="http://purl.org/dc/terms/" xmlns:xsi="http://www.w3.org/2001/XMLSchema-instance" xsi:type="dcterms:W3CDTF">2026-10-01T22:01:20Z</dcterms:modified>
  <cp:lastModifiedBy>Jesús Tassarolo</cp:lastModifiedBy>
  <cp:keywords>modelo financiero, embudo, TooAudience, Jesús Tassarolo</cp:keywords>
</cp:coreProperties>
</file>