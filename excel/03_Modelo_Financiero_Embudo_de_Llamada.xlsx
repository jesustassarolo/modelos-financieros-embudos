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3"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0" fontId="0" fillId="5" borderId="1" pivotButton="0" quotePrefix="0" xfId="0"/>
    <xf numFmtId="164" fontId="0" fillId="3" borderId="1" pivotButton="0" quotePrefix="0" xfId="0"/>
    <xf numFmtId="164" fontId="0" fillId="5" borderId="1" pivotButton="0" quotePrefix="0" xfId="0"/>
    <xf numFmtId="3" fontId="0" fillId="5" borderId="1" pivotButton="0" quotePrefix="0" xfId="0"/>
    <xf numFmtId="166" fontId="0" fillId="3" borderId="1" pivotButton="0" quotePrefix="0" xfId="0"/>
    <xf numFmtId="166" fontId="0" fillId="5" borderId="1" pivotButton="0" quotePrefix="0" xfId="0"/>
    <xf numFmtId="3" fontId="0" fillId="3" borderId="1" pivotButton="0" quotePrefix="0" xfId="0"/>
    <xf numFmtId="168" fontId="0" fillId="5" borderId="1" pivotButton="0" quotePrefix="0" xfId="0"/>
    <xf numFmtId="10" fontId="0" fillId="5" borderId="1" pivotButton="0" quotePrefix="0" xfId="0"/>
    <xf numFmtId="167" fontId="0" fillId="5" borderId="1" pivotButton="0" quotePrefix="0" xfId="0"/>
    <xf numFmtId="167" fontId="0" fillId="3"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166" fontId="3" fillId="5" borderId="1"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llamada (high ticket)</t>
        </is>
      </c>
    </row>
    <row r="3">
      <c r="B3" s="3" t="inlineStr">
        <is>
          <t>Anuncios → página con VSL (o webinar previo) → aplicación → agenda → llamada → cierre → cash en cuotas</t>
        </is>
      </c>
    </row>
    <row r="5">
      <c r="B5" s="4" t="inlineStr">
        <is>
          <t>Para qué sirve este modelo</t>
        </is>
      </c>
    </row>
    <row r="6" ht="75" customHeight="1">
      <c r="B6" s="5" t="inlineStr">
        <is>
          <t>Es el modelo financiero de un embudo de llamada: anuncios que captan leads, una página con video o un webinar que los lleva a aplicar, una agenda, una llamada con un closer y una venta de ticket alto que se cobra al contado o en cuotas. Con tus números (o con el ejemplo cargado) te dice cuánto vale cada lead que comprás con publicidad, hasta cuánto podés pagar por lead y por cada etapa siguiente, cuánto invertir para una meta de ventas, cuánta caja necesitás y qué palanca mejora más la ganancia.</t>
        </is>
      </c>
    </row>
    <row r="7" ht="45" customHeight="1">
      <c r="B7" s="5" t="inlineStr">
        <is>
          <t>La unidad que comprás es el lead. El número que manda es el costo por agenda contra lo que vale una agenda, y después el cierre. Con ticket alto una venta más o menos cambia el ROAS de un mes: juzgá por ventanas de 3 a 4 eventos, nunca por uno.</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mes, ROAS, el techo y el objetivo de costo por lead,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lead.</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programa de 1.500 USD vendido por llamada. Se invierten 4.500 USD por mes a CPM 10 y CTR 1,5 %; el 85 % de los clics carga la página y el 28 % deja sus datos: CPL cerca de 2,80 y unos 1.600 leads.</t>
        </is>
      </c>
    </row>
    <row r="26" ht="45" customHeight="1">
      <c r="B26" s="5" t="inlineStr">
        <is>
          <t>Sin evento previo (interruptor en 0): el 10 % de los leads completa la aplicación, el 60 % califica, el 60 % de los calificados agenda, el 70 % aparece en la llamada y el 25 % compra: unas 10 ventas por mes. A los que no compran se les ofrece un downsell de 497 que toma el 10 %.</t>
        </is>
      </c>
    </row>
    <row r="27" ht="30" customHeight="1">
      <c r="B27" s="5" t="inlineStr">
        <is>
          <t>Si tenés un webinar antes de la aplicación, poné el interruptor en 1 y el % de asistencia: la aplicación pasa a medirse sobre asistentes.</t>
        </is>
      </c>
    </row>
    <row r="28" ht="30" customHeight="1">
      <c r="B28" s="5" t="inlineStr">
        <is>
          <t>Costos: pasarela 5 %, closers 10 % del cash cobrado, reembolsos 5 %, 0,20 por lead en WhatsApp y setter, fijos 2.500 por mes. Cobranza 60 / 20 / 20: el facturado se cobra en tres meses.</t>
        </is>
      </c>
    </row>
    <row r="29" ht="60" customHeight="1">
      <c r="B29" s="5" t="inlineStr">
        <is>
          <t>Resultado: facturado cerca de 17.000 por mes y ROAS sobre cash neto de 3 con la cobranza completa, pero solo 1,8 con lo que entra el primer mes. En este ejemplo el embudo se autofinancia (la caja necesaria da 0): subí el crecimiento mensual o bajá la cobranza del mes 1 en Supuestos y vas a ver en qué mes la caja empieza a hacer falta. El techo de CPL queda cerca de 8: el tráfico no es el cuello de botella, el cierre sí.</t>
        </is>
      </c>
    </row>
    <row r="31">
      <c r="B31" s="4" t="inlineStr">
        <is>
          <t>Reglas de decisión (el protocolo corto)</t>
        </is>
      </c>
    </row>
    <row r="32" ht="30" customHeight="1">
      <c r="B32" s="5" t="inlineStr">
        <is>
          <t>1. Antes de invertir: cargá tus números en Supuestos (si no tenés datos, escenario 1, conservador) y mirá en Resumen el techo y el objetivo de costo por lead.</t>
        </is>
      </c>
    </row>
    <row r="33" ht="45" customHeight="1">
      <c r="B33" s="5" t="inlineStr">
        <is>
          <t>2. Primeros días: compará tu costo real por lead con el objetivo. Verde: seguí. Amarillo: no subas la inversión y revisá en este orden: CPM (público y frecuencia), creativo (CTR) y página (conversión). Rojo: bajá un escalón (−25 %) y arreglá antes de volver a subir.</t>
        </is>
      </c>
    </row>
    <row r="34" ht="30" customHeight="1">
      <c r="B34" s="5" t="inlineStr">
        <is>
          <t>3. Cada mes: completá una columna de Seguimiento. El semáforo compara tu costo con el techo móvil (lo que rindieron tus últimas 4 columnas), no con un número fijo.</t>
        </is>
      </c>
    </row>
    <row r="35" ht="30" customHeight="1">
      <c r="B35" s="5" t="inlineStr">
        <is>
          <t>4. Subí la inversión de a 25 % y esperá 7 días (o 3 a 4 eventos si vendés por llamada) antes de volver a subir. Un día bueno o malo no decide nada.</t>
        </is>
      </c>
    </row>
    <row r="36" ht="30" customHeight="1">
      <c r="B36" s="5" t="inlineStr">
        <is>
          <t>5. Si el costo está en verde y aun así no hay ganancia, el problema no es el tráfico: mirá asistencia, conversión de la oferta y cobranza, en ese orden.</t>
        </is>
      </c>
    </row>
    <row r="37" ht="15" customHeight="1">
      <c r="B37" s="5" t="inlineStr">
        <is>
          <t>6. Cambiá una sola cosa por vez. Si cambiás precio, creativo y página la misma semana no vas a saber qué funcionó.</t>
        </is>
      </c>
    </row>
    <row r="38" ht="30" customHeight="1">
      <c r="B38" s="5" t="inlineStr">
        <is>
          <t>7. Trabajá siempre con cash neto (lo que entra menos comisiones y reembolsos), nunca con facturado. En Proyección ves cuánta caja necesitás para sostener la pauta mientras cobrás.</t>
        </is>
      </c>
    </row>
    <row r="39" ht="30" customHeight="1">
      <c r="B39" s="5" t="inlineStr">
        <is>
          <t>8. En llamada, el techo de CPL casi nunca es el problema: lo que mata el mes es un cierre bajo o un show de llamadas bajo. Mirá primero % de agenda, show de la llamada y cierre; el CPL al final.</t>
        </is>
      </c>
    </row>
    <row r="40" ht="30" customHeight="1">
      <c r="B40" s="5" t="inlineStr">
        <is>
          <t>9. Facturado no es cash. Con cuotas, el ROAS sobre facturado puede dar 3 mientras la caja del mes queda en rojo. Decidí con cash neto y mirá la caja mínima de Proyección.</t>
        </is>
      </c>
    </row>
    <row r="42">
      <c r="B42" s="4" t="inlineStr">
        <is>
          <t>Lo que este modelo no hace</t>
        </is>
      </c>
    </row>
    <row r="43" ht="30" customHeight="1">
      <c r="B43" s="5" t="inlineStr">
        <is>
          <t>No adivina tus conversiones: usa las que cargás. Cuando una conversión cambia, el techo cambia; por eso Seguimiento recalcula el techo móvil con tus últimas 4 columnas.</t>
        </is>
      </c>
    </row>
    <row r="44" ht="15" customHeight="1">
      <c r="B44" s="5" t="inlineStr">
        <is>
          <t>No reemplaza la decisión: la informa. Las reglas de arriba dicen qué hacer con cada color.</t>
        </is>
      </c>
    </row>
    <row r="45" ht="15" customHeight="1">
      <c r="B45" s="5" t="inlineStr">
        <is>
          <t>Los benchmarks son orden de magnitud para tráfico frío en español. Tus datos mandan.</t>
        </is>
      </c>
    </row>
    <row r="47">
      <c r="B47" s="4" t="inlineStr">
        <is>
          <t>Autor y versión</t>
        </is>
      </c>
    </row>
    <row r="48" ht="30" customHeight="1">
      <c r="B48" s="5" t="inlineStr">
        <is>
          <t>Modelo financiero de embudos · creado por Jesús Tassarolo · TooAudience · youtube.com/@JesusTassaroloSinFiltro. v1.2 · octubre 2026. Fórmulas compatibles con Excel, Google Sheets y Numbers. Sin macros.</t>
        </is>
      </c>
    </row>
    <row r="49" ht="30" customHeight="1">
      <c r="B49"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'Modelo'!$C$40</f>
        <v/>
      </c>
      <c r="D7" s="5" t="inlineStr">
        <is>
          <t>Cash neto (cobranza completa) menos costos y menos inversión.</t>
        </is>
      </c>
    </row>
    <row r="8">
      <c r="B8" t="inlineStr">
        <is>
          <t>ROAS sobre cash neto</t>
        </is>
      </c>
      <c r="C8" s="10">
        <f>'Modelo'!$C$42</f>
        <v/>
      </c>
      <c r="D8" s="5" t="inlineStr">
        <is>
          <t>Sobre cash neto con la cobranza completa.</t>
        </is>
      </c>
    </row>
    <row r="9">
      <c r="B9" t="inlineStr">
        <is>
          <t>ROAS del cash del primer mes (sin cuotas futuras)</t>
        </is>
      </c>
      <c r="C9" s="10">
        <f>'Modelo'!$C$45</f>
        <v/>
      </c>
      <c r="D9" s="5" t="inlineStr">
        <is>
          <t>Solo con lo que entra el primer mes. Si es menor a 1, el mes se financia con caja.</t>
        </is>
      </c>
    </row>
    <row r="10">
      <c r="B10" t="inlineStr">
        <is>
          <t>Ventas del programa</t>
        </is>
      </c>
      <c r="C10" s="11">
        <f>'Modelo'!$C$23</f>
        <v/>
      </c>
      <c r="D10" s="5" t="inlineStr">
        <is>
          <t>Ventas del programa por mes.</t>
        </is>
      </c>
    </row>
    <row r="11">
      <c r="B11" t="inlineStr">
        <is>
          <t>Facturado total</t>
        </is>
      </c>
      <c r="C11" s="9">
        <f>'Modelo'!$C$29</f>
        <v/>
      </c>
      <c r="D11" s="5" t="inlineStr">
        <is>
          <t>A precio de lista, incluidas las cuotas por cobrar.</t>
        </is>
      </c>
    </row>
    <row r="12">
      <c r="B12" s="7" t="inlineStr">
        <is>
          <t>La cadena</t>
        </is>
      </c>
      <c r="C12" s="8" t="n"/>
      <c r="D12" s="8" t="n"/>
    </row>
    <row r="13">
      <c r="B13" t="inlineStr">
        <is>
          <t>Leads</t>
        </is>
      </c>
      <c r="C13" s="12">
        <f>'Modelo'!$C$11</f>
        <v/>
      </c>
      <c r="D13" s="5" t="inlineStr">
        <is>
          <t>Leads que compra la pauta.</t>
        </is>
      </c>
    </row>
    <row r="14">
      <c r="B14" t="inlineStr">
        <is>
          <t>Agendas</t>
        </is>
      </c>
      <c r="C14" s="11">
        <f>'Modelo'!$C$17</f>
        <v/>
      </c>
      <c r="D14" s="5" t="inlineStr">
        <is>
          <t>Llamadas agendadas.</t>
        </is>
      </c>
    </row>
    <row r="15">
      <c r="B15" t="inlineStr">
        <is>
          <t>Llamadas realizadas</t>
        </is>
      </c>
      <c r="C15" s="11">
        <f>'Modelo'!$C$18</f>
        <v/>
      </c>
      <c r="D15" s="5" t="inlineStr">
        <is>
          <t>Llamadas que ocurren.</t>
        </is>
      </c>
    </row>
    <row r="16">
      <c r="B16" t="inlineStr">
        <is>
          <t>Costo por agenda</t>
        </is>
      </c>
      <c r="C16" s="13">
        <f>'Modelo'!$C$20</f>
        <v/>
      </c>
      <c r="D16" s="5" t="inlineStr">
        <is>
          <t>Lo que te cuesta cada agenda.</t>
        </is>
      </c>
    </row>
    <row r="17">
      <c r="B17" t="inlineStr">
        <is>
          <t>Costo por venta del programa (CAC)</t>
        </is>
      </c>
      <c r="C17" s="13">
        <f>'Modelo'!$C$26</f>
        <v/>
      </c>
      <c r="D17" s="5" t="inlineStr">
        <is>
          <t>Lo que te cuesta cada venta (CAC).</t>
        </is>
      </c>
    </row>
    <row r="18">
      <c r="B18" s="7" t="inlineStr">
        <is>
          <t>Las dos caras de cada número</t>
        </is>
      </c>
      <c r="C18" s="8" t="n"/>
      <c r="D18" s="8" t="n"/>
    </row>
    <row r="19">
      <c r="B19" t="inlineStr">
        <is>
          <t>Ganancia por visita</t>
        </is>
      </c>
      <c r="C19" s="13">
        <f>'Modelo'!$C$62</f>
        <v/>
      </c>
      <c r="D19" s="5" t="inlineStr">
        <is>
          <t>Lo que te queda por cada visita a la página. La métrica más valiosa del embudo.</t>
        </is>
      </c>
    </row>
    <row r="20">
      <c r="B20" t="inlineStr">
        <is>
          <t>Ganancia por clic</t>
        </is>
      </c>
      <c r="C20" s="13">
        <f>'Modelo'!$C$63</f>
        <v/>
      </c>
      <c r="D20" s="5" t="inlineStr">
        <is>
          <t>Lo que te queda por cada clic. Su par es el costo por clic (Embudo).</t>
        </is>
      </c>
    </row>
    <row r="21">
      <c r="B21" t="inlineStr">
        <is>
          <t>Ganancia por lead</t>
        </is>
      </c>
      <c r="C21" s="13">
        <f>'Modelo'!$C$64</f>
        <v/>
      </c>
      <c r="D21" s="5" t="inlineStr">
        <is>
          <t>Lo que te queda por cada lead. Su par es el CPL.</t>
        </is>
      </c>
    </row>
    <row r="22">
      <c r="B22" t="inlineStr">
        <is>
          <t>Ganancia por agenda</t>
        </is>
      </c>
      <c r="C22" s="13">
        <f>'Modelo'!$C$65</f>
        <v/>
      </c>
      <c r="D22" s="5" t="inlineStr">
        <is>
          <t>Lo que te queda por cada agenda. Su par es el costo por agenda.</t>
        </is>
      </c>
    </row>
    <row r="23">
      <c r="B23" t="inlineStr">
        <is>
          <t>Ganancia por cliente</t>
        </is>
      </c>
      <c r="C23" s="13">
        <f>'Modelo'!$C$67</f>
        <v/>
      </c>
      <c r="D23" s="5" t="inlineStr">
        <is>
          <t>Lo que te queda por cada cliente. Su par es el CAC.</t>
        </is>
      </c>
    </row>
    <row r="24">
      <c r="B24" t="inlineStr">
        <is>
          <t>Order value (AOV)</t>
        </is>
      </c>
      <c r="C24" s="13">
        <f>'Modelo'!$C$30</f>
        <v/>
      </c>
      <c r="D24" s="5" t="inlineStr">
        <is>
          <t>Facturado por comprador del programa, con el downsell.</t>
        </is>
      </c>
    </row>
    <row r="25">
      <c r="B25" t="inlineStr">
        <is>
          <t>Order value neto (AOV neto)</t>
        </is>
      </c>
      <c r="C25" s="13">
        <f>'Modelo'!$C$61</f>
        <v/>
      </c>
      <c r="D25" s="5" t="inlineStr">
        <is>
          <t>Lo mismo después de comisiones, reembolsos y costos por lead.</t>
        </is>
      </c>
    </row>
    <row r="26">
      <c r="B26" s="7" t="inlineStr">
        <is>
          <t>Hasta cuánto pagar</t>
        </is>
      </c>
      <c r="C26" s="8" t="n"/>
      <c r="D26" s="8" t="n"/>
    </row>
    <row r="27">
      <c r="B27" t="inlineStr">
        <is>
          <t>Techo de CPL (break-even)</t>
        </is>
      </c>
      <c r="C27" s="13">
        <f>'Modelo'!$C$48</f>
        <v/>
      </c>
      <c r="D27" s="5" t="inlineStr">
        <is>
          <t>CPL donde no ganás ni perdés.</t>
        </is>
      </c>
    </row>
    <row r="28">
      <c r="B28" t="inlineStr">
        <is>
          <t>Objetivo de CPL</t>
        </is>
      </c>
      <c r="C28" s="13">
        <f>'Modelo'!$C$49</f>
        <v/>
      </c>
      <c r="D28" s="5" t="inlineStr">
        <is>
          <t>A este CPL o menos estás en verde.</t>
        </is>
      </c>
    </row>
    <row r="29">
      <c r="B29" t="inlineStr">
        <is>
          <t>Techo de costo por agenda</t>
        </is>
      </c>
      <c r="C29" s="13">
        <f>'Modelo'!$C$51</f>
        <v/>
      </c>
      <c r="D29" s="5" t="inlineStr">
        <is>
          <t>Costo máximo por agenda.</t>
        </is>
      </c>
    </row>
    <row r="30">
      <c r="B30" t="inlineStr">
        <is>
          <t>Techo de costo por venta (CAC máximo)</t>
        </is>
      </c>
      <c r="C30" s="13">
        <f>'Modelo'!$C$53</f>
        <v/>
      </c>
      <c r="D30" s="5" t="inlineStr">
        <is>
          <t>CAC máximo si lo demás se mantiene.</t>
        </is>
      </c>
    </row>
    <row r="31">
      <c r="B31" t="inlineStr">
        <is>
          <t>Semáforo del CPL actual</t>
        </is>
      </c>
      <c r="C31" s="14">
        <f>'Modelo'!$C$56</f>
        <v/>
      </c>
      <c r="D31" s="5" t="inlineStr">
        <is>
          <t>Tu CPL actual contra techo y objetivo.</t>
        </is>
      </c>
    </row>
    <row r="32">
      <c r="B32" s="7" t="inlineStr">
        <is>
          <t>Cuánto invertir y cuánta caja</t>
        </is>
      </c>
      <c r="C32" s="8" t="n"/>
      <c r="D32" s="8" t="n"/>
    </row>
    <row r="33">
      <c r="B33" t="inlineStr">
        <is>
          <t>Inversión necesaria para la meta de ventas (al CPL actual)</t>
        </is>
      </c>
      <c r="C33" s="9">
        <f>'Modelo'!$C$57</f>
        <v/>
      </c>
      <c r="D33" s="5" t="inlineStr">
        <is>
          <t>Para la meta de ventas de Supuestos, al CPL actual.</t>
        </is>
      </c>
    </row>
    <row r="34">
      <c r="B34" t="inlineStr">
        <is>
          <t>Llamadas que hay que atender por mes para esa meta</t>
        </is>
      </c>
      <c r="C34" s="11">
        <f>'Modelo'!$C$59</f>
        <v/>
      </c>
      <c r="D34" s="5" t="inlineStr">
        <is>
          <t>Para dimensionar el equipo de closers.</t>
        </is>
      </c>
    </row>
    <row r="35">
      <c r="B35" t="inlineStr">
        <is>
          <t>Caja que hay que tener (peor momento de la proyección)</t>
        </is>
      </c>
      <c r="C35" s="9">
        <f>'Proyección 12 meses'!$C$18</f>
        <v/>
      </c>
      <c r="D35" s="5" t="inlineStr">
        <is>
          <t>Si da 0, el embudo se autofinancia: cada mes cobra más de lo que invierte.</t>
        </is>
      </c>
    </row>
    <row r="36">
      <c r="B36" t="inlineStr">
        <is>
          <t>Saldo mínimo de caja con tu caja inicial</t>
        </is>
      </c>
      <c r="C36" s="9">
        <f>'Proyección 12 meses'!$C$19</f>
        <v/>
      </c>
      <c r="D36" s="5" t="inlineStr">
        <is>
          <t>Si es negativo, la caja inicial no alcanza.</t>
        </is>
      </c>
    </row>
    <row r="37">
      <c r="B37" t="inlineStr">
        <is>
          <t>Ganancia acumulada en 12 meses</t>
        </is>
      </c>
      <c r="C37" s="9">
        <f>'Proyección 12 meses'!$C$20</f>
        <v/>
      </c>
      <c r="D37" s="5" t="inlineStr">
        <is>
          <t>Con la inversión creciendo según el supuesto.</t>
        </is>
      </c>
    </row>
    <row r="39" ht="32" customHeight="1">
      <c r="B39" s="4" t="inlineStr">
        <is>
          <t>Recomendación según el semáforo</t>
        </is>
      </c>
      <c r="C39" s="15">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9" s="16" t="n"/>
    </row>
    <row r="41">
      <c r="B41" s="3" t="inlineStr">
        <is>
          <t>Modelo financiero de embudos · creado por Jesús Tassarolo · TooAudience · youtube.com/@JesusTassaroloSinFiltro · v1.2 · octubre 2026</t>
        </is>
      </c>
    </row>
  </sheetData>
  <mergeCells count="1">
    <mergeCell ref="C39:D39"/>
  </mergeCells>
  <conditionalFormatting sqref="C5:C3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9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 width="11" customWidth="1" min="9" max="9"/>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c r="I5" s="6" t="inlineStr">
        <is>
          <t>Rango</t>
        </is>
      </c>
    </row>
    <row r="6">
      <c r="B6" s="7" t="inlineStr">
        <is>
          <t>Tráfico y leads</t>
        </is>
      </c>
      <c r="C6" s="8" t="n"/>
      <c r="D6" s="8" t="n"/>
      <c r="E6" s="8" t="n"/>
      <c r="F6" s="8" t="n"/>
      <c r="G6" s="8" t="n"/>
      <c r="H6" s="8" t="n"/>
    </row>
    <row r="7">
      <c r="B7" t="inlineStr">
        <is>
          <t>CPM (costo por mil impresiones)</t>
        </is>
      </c>
      <c r="C7" s="17">
        <f>'Supuestos'!$C$9</f>
        <v/>
      </c>
      <c r="D7" s="18">
        <f>'Supuestos'!$C$9</f>
        <v/>
      </c>
      <c r="G7">
        <f>IF(C7&lt;&gt;D7,"← cambiado","")</f>
        <v/>
      </c>
      <c r="H7" s="5" t="inlineStr">
        <is>
          <t>Supuesto. Escribí encima para probar; la base queda al lado.</t>
        </is>
      </c>
      <c r="I7" s="19">
        <f>IF(AND(ISNUMBER(C7),C7&gt;=0),"OK","REVISAR")</f>
        <v/>
      </c>
    </row>
    <row r="8">
      <c r="B8" t="inlineStr">
        <is>
          <t>Inversión en publicidad por mes</t>
        </is>
      </c>
      <c r="C8" s="20">
        <f>'Supuestos'!$C$8</f>
        <v/>
      </c>
      <c r="D8" s="21">
        <f>'Supuestos'!$C$8</f>
        <v/>
      </c>
      <c r="G8">
        <f>IF(C8&lt;&gt;D8,"← cambiado","")</f>
        <v/>
      </c>
      <c r="H8" s="5" t="inlineStr">
        <is>
          <t>Supuesto. Escribí encima para probar; la base queda al lado.</t>
        </is>
      </c>
      <c r="I8" s="19">
        <f>IF(AND(ISNUMBER(C8),C8&gt;=0),"OK","REVISAR")</f>
        <v/>
      </c>
    </row>
    <row r="9">
      <c r="B9" t="inlineStr">
        <is>
          <t>Impresiones</t>
        </is>
      </c>
      <c r="E9" s="22">
        <f>IF($C$7=0,0,$C$8/$C$7*1000)</f>
        <v/>
      </c>
      <c r="F9" s="22">
        <f>'Modelo'!$C$7</f>
        <v/>
      </c>
      <c r="G9" s="22">
        <f>IF(AND(ISNUMBER(E9),ISNUMBER(F9)),E9-F9,"")</f>
        <v/>
      </c>
      <c r="H9" s="5" t="inlineStr">
        <is>
          <t>Inversión ÷ CPM × 1.000.</t>
        </is>
      </c>
    </row>
    <row r="10">
      <c r="B10" t="inlineStr">
        <is>
          <t>CTR al enlace</t>
        </is>
      </c>
      <c r="C10" s="23">
        <f>'Supuestos'!$C$10</f>
        <v/>
      </c>
      <c r="D10" s="24">
        <f>'Supuestos'!$C$10</f>
        <v/>
      </c>
      <c r="G10">
        <f>IF(C10&lt;&gt;D10,"← cambiado","")</f>
        <v/>
      </c>
      <c r="H10" s="5" t="inlineStr">
        <is>
          <t>Supuesto. Escribí encima para probar; la base queda al lado.</t>
        </is>
      </c>
      <c r="I10" s="19">
        <f>IF(AND(ISNUMBER(C10),C10&gt;=0,C10&lt;=1),"OK","REVISAR")</f>
        <v/>
      </c>
    </row>
    <row r="11">
      <c r="B11" t="inlineStr">
        <is>
          <t>Clics al enlace</t>
        </is>
      </c>
      <c r="E11" s="22">
        <f>$E$9*$C$10</f>
        <v/>
      </c>
      <c r="F11" s="22">
        <f>'Modelo'!$C$8</f>
        <v/>
      </c>
      <c r="G11" s="22">
        <f>IF(AND(ISNUMBER(E11),ISNUMBER(F11)),E11-F11,"")</f>
        <v/>
      </c>
      <c r="H11" s="5" t="inlineStr">
        <is>
          <t>Impresiones × CTR.</t>
        </is>
      </c>
    </row>
    <row r="12">
      <c r="B12" t="inlineStr">
        <is>
          <t>% de clics que cargan la página</t>
        </is>
      </c>
      <c r="C12" s="23">
        <f>'Supuestos'!$C$11</f>
        <v/>
      </c>
      <c r="D12" s="24">
        <f>'Supuestos'!$C$11</f>
        <v/>
      </c>
      <c r="G12">
        <f>IF(C12&lt;&gt;D12,"← cambiado","")</f>
        <v/>
      </c>
      <c r="H12" s="5" t="inlineStr">
        <is>
          <t>Supuesto. Escribí encima para probar; la base queda al lado.</t>
        </is>
      </c>
      <c r="I12" s="19">
        <f>IF(AND(ISNUMBER(C12),C12&gt;=0,C12&lt;=1),"OK","REVISAR")</f>
        <v/>
      </c>
    </row>
    <row r="13">
      <c r="B13" t="inlineStr">
        <is>
          <t>Visitas a la página</t>
        </is>
      </c>
      <c r="E13" s="22">
        <f>$E$11*$C$12</f>
        <v/>
      </c>
      <c r="F13" s="22">
        <f>'Modelo'!$C$9</f>
        <v/>
      </c>
      <c r="G13" s="22">
        <f>IF(AND(ISNUMBER(E13),ISNUMBER(F13)),E13-F13,"")</f>
        <v/>
      </c>
      <c r="H13" s="5" t="inlineStr">
        <is>
          <t>Clics × % que carga.</t>
        </is>
      </c>
    </row>
    <row r="14">
      <c r="B14" t="inlineStr">
        <is>
          <t>% de visitas que dejan sus datos (lead)</t>
        </is>
      </c>
      <c r="C14" s="23">
        <f>'Supuestos'!$C$14</f>
        <v/>
      </c>
      <c r="D14" s="24">
        <f>'Supuestos'!$C$14</f>
        <v/>
      </c>
      <c r="G14">
        <f>IF(C14&lt;&gt;D14,"← cambiado","")</f>
        <v/>
      </c>
      <c r="H14" s="5" t="inlineStr">
        <is>
          <t>Supuesto. Escribí encima para probar; la base queda al lado.</t>
        </is>
      </c>
      <c r="I14" s="19">
        <f>IF(AND(ISNUMBER(C14),C14&gt;=0,C14&lt;=1),"OK","REVISAR")</f>
        <v/>
      </c>
    </row>
    <row r="15">
      <c r="B15" s="4" t="inlineStr">
        <is>
          <t>Costo por lead (CPL)</t>
        </is>
      </c>
      <c r="E15" s="13">
        <f>IF($C$10*$C$12*$C$14=0,0,$C$7/1000/($C$10*$C$12*$C$14))</f>
        <v/>
      </c>
      <c r="F15" s="18">
        <f>'Modelo'!$C$10</f>
        <v/>
      </c>
      <c r="G15" s="18">
        <f>IF(AND(ISNUMBER(E15),ISNUMBER(F15)),E15-F15,"")</f>
        <v/>
      </c>
      <c r="H15" s="5" t="inlineStr">
        <is>
          <t>CPM ÷ 1.000 ÷ (CTR × clic→visita × conversión de la página).</t>
        </is>
      </c>
    </row>
    <row r="16">
      <c r="B16" s="4" t="inlineStr">
        <is>
          <t>Leads</t>
        </is>
      </c>
      <c r="E16" s="12">
        <f>IF($E$15=0,0,$C$8/$E$15)</f>
        <v/>
      </c>
      <c r="F16" s="22">
        <f>'Modelo'!$C$11</f>
        <v/>
      </c>
      <c r="G16" s="22">
        <f>IF(AND(ISNUMBER(E16),ISNUMBER(F16)),E16-F16,"")</f>
        <v/>
      </c>
      <c r="H16" s="5" t="inlineStr">
        <is>
          <t>Inversión ÷ CPL.</t>
        </is>
      </c>
    </row>
    <row r="17">
      <c r="B17" s="7" t="inlineStr">
        <is>
          <t>Evento, aplicación y agenda</t>
        </is>
      </c>
      <c r="C17" s="8" t="n"/>
      <c r="D17" s="8" t="n"/>
      <c r="E17" s="8" t="n"/>
      <c r="F17" s="8" t="n"/>
      <c r="G17" s="8" t="n"/>
      <c r="H17" s="8" t="n"/>
    </row>
    <row r="18">
      <c r="B18" t="inlineStr">
        <is>
          <t>¿Hay webinar o evento antes de la aplicación? (1 = sí, 0 = no)</t>
        </is>
      </c>
      <c r="C18" s="25">
        <f>'Supuestos'!$C$17</f>
        <v/>
      </c>
      <c r="D18" s="22">
        <f>'Supuestos'!$C$17</f>
        <v/>
      </c>
      <c r="G18">
        <f>IF(C18&lt;&gt;D18,"← cambiado","")</f>
        <v/>
      </c>
      <c r="H18" s="5" t="inlineStr">
        <is>
          <t>Supuesto. Escribí encima para probar; la base queda al lado.</t>
        </is>
      </c>
      <c r="I18" s="19">
        <f>IF(AND(ISNUMBER(C18),C18&gt;=0),"OK","REVISAR")</f>
        <v/>
      </c>
    </row>
    <row r="19">
      <c r="B19" t="inlineStr">
        <is>
          <t>% de leads que asisten al evento</t>
        </is>
      </c>
      <c r="C19" s="23">
        <f>'Supuestos'!$C$18</f>
        <v/>
      </c>
      <c r="D19" s="24">
        <f>'Supuestos'!$C$18</f>
        <v/>
      </c>
      <c r="G19">
        <f>IF(C19&lt;&gt;D19,"← cambiado","")</f>
        <v/>
      </c>
      <c r="H19" s="5" t="inlineStr">
        <is>
          <t>Supuesto. Escribí encima para probar; la base queda al lado.</t>
        </is>
      </c>
      <c r="I19" s="19">
        <f>IF(AND(ISNUMBER(C19),C19&gt;=0,C19&lt;=1),"OK","REVISAR")</f>
        <v/>
      </c>
    </row>
    <row r="20">
      <c r="B20" t="inlineStr">
        <is>
          <t>Asistentes al evento (si hay)</t>
        </is>
      </c>
      <c r="E20" s="22">
        <f>IF($C$18=1,$E$16*$C$19,0)</f>
        <v/>
      </c>
      <c r="F20" s="22">
        <f>'Modelo'!$C$13</f>
        <v/>
      </c>
      <c r="G20" s="22">
        <f>IF(AND(ISNUMBER(E20),ISNUMBER(F20)),E20-F20,"")</f>
        <v/>
      </c>
      <c r="H20" s="5" t="inlineStr">
        <is>
          <t>Leads × asistencia, solo con el interruptor en 1.</t>
        </is>
      </c>
    </row>
    <row r="21">
      <c r="B21" t="inlineStr">
        <is>
          <t>Base de la aplicación (asistentes o leads)</t>
        </is>
      </c>
      <c r="E21" s="22">
        <f>IF($C$18=1,$E$20,$E$16)</f>
        <v/>
      </c>
      <c r="F21" s="22">
        <f>'Modelo'!$C$14</f>
        <v/>
      </c>
      <c r="G21" s="22">
        <f>IF(AND(ISNUMBER(E21),ISNUMBER(F21)),E21-F21,"")</f>
        <v/>
      </c>
      <c r="H21" s="5" t="inlineStr">
        <is>
          <t>Sobre quién se mide la aplicación.</t>
        </is>
      </c>
    </row>
    <row r="22">
      <c r="B22" t="inlineStr">
        <is>
          <t>% que completa la aplicación (de leads, o de asistentes si hay evento)</t>
        </is>
      </c>
      <c r="C22" s="23">
        <f>'Supuestos'!$C$21</f>
        <v/>
      </c>
      <c r="D22" s="24">
        <f>'Supuestos'!$C$21</f>
        <v/>
      </c>
      <c r="G22">
        <f>IF(C22&lt;&gt;D22,"← cambiado","")</f>
        <v/>
      </c>
      <c r="H22" s="5" t="inlineStr">
        <is>
          <t>Supuesto. Escribí encima para probar; la base queda al lado.</t>
        </is>
      </c>
      <c r="I22" s="19">
        <f>IF(AND(ISNUMBER(C22),C22&gt;=0,C22&lt;=1),"OK","REVISAR")</f>
        <v/>
      </c>
    </row>
    <row r="23">
      <c r="B23" t="inlineStr">
        <is>
          <t>Aplicaciones completas</t>
        </is>
      </c>
      <c r="E23" s="22">
        <f>$E$21*$C$22</f>
        <v/>
      </c>
      <c r="F23" s="22">
        <f>'Modelo'!$C$15</f>
        <v/>
      </c>
      <c r="G23" s="22">
        <f>IF(AND(ISNUMBER(E23),ISNUMBER(F23)),E23-F23,"")</f>
        <v/>
      </c>
      <c r="H23" s="5" t="inlineStr">
        <is>
          <t>Base × % que aplica.</t>
        </is>
      </c>
    </row>
    <row r="24">
      <c r="B24" t="inlineStr">
        <is>
          <t>% de aplicaciones que califican</t>
        </is>
      </c>
      <c r="C24" s="23">
        <f>'Supuestos'!$C$22</f>
        <v/>
      </c>
      <c r="D24" s="24">
        <f>'Supuestos'!$C$22</f>
        <v/>
      </c>
      <c r="G24">
        <f>IF(C24&lt;&gt;D24,"← cambiado","")</f>
        <v/>
      </c>
      <c r="H24" s="5" t="inlineStr">
        <is>
          <t>Supuesto. Escribí encima para probar; la base queda al lado.</t>
        </is>
      </c>
      <c r="I24" s="19">
        <f>IF(AND(ISNUMBER(C24),C24&gt;=0,C24&lt;=1),"OK","REVISAR")</f>
        <v/>
      </c>
    </row>
    <row r="25">
      <c r="B25" t="inlineStr">
        <is>
          <t>Calificados</t>
        </is>
      </c>
      <c r="E25" s="22">
        <f>$E$23*$C$24</f>
        <v/>
      </c>
      <c r="F25" s="22">
        <f>'Modelo'!$C$16</f>
        <v/>
      </c>
      <c r="G25" s="22">
        <f>IF(AND(ISNUMBER(E25),ISNUMBER(F25)),E25-F25,"")</f>
        <v/>
      </c>
      <c r="H25" s="5" t="inlineStr">
        <is>
          <t>Aplicaciones × % que califica.</t>
        </is>
      </c>
    </row>
    <row r="26">
      <c r="B26" t="inlineStr">
        <is>
          <t>% de calificados que agendan</t>
        </is>
      </c>
      <c r="C26" s="23">
        <f>'Supuestos'!$C$23</f>
        <v/>
      </c>
      <c r="D26" s="24">
        <f>'Supuestos'!$C$23</f>
        <v/>
      </c>
      <c r="G26">
        <f>IF(C26&lt;&gt;D26,"← cambiado","")</f>
        <v/>
      </c>
      <c r="H26" s="5" t="inlineStr">
        <is>
          <t>Supuesto. Escribí encima para probar; la base queda al lado.</t>
        </is>
      </c>
      <c r="I26" s="19">
        <f>IF(AND(ISNUMBER(C26),C26&gt;=0,C26&lt;=1),"OK","REVISAR")</f>
        <v/>
      </c>
    </row>
    <row r="27">
      <c r="B27" s="4" t="inlineStr">
        <is>
          <t>Agendas</t>
        </is>
      </c>
      <c r="E27" s="11">
        <f>$E$25*$C$26</f>
        <v/>
      </c>
      <c r="F27" s="26">
        <f>'Modelo'!$C$17</f>
        <v/>
      </c>
      <c r="G27" s="26">
        <f>IF(AND(ISNUMBER(E27),ISNUMBER(F27)),E27-F27,"")</f>
        <v/>
      </c>
      <c r="H27" s="5" t="inlineStr">
        <is>
          <t>Calificados × % que agenda.</t>
        </is>
      </c>
    </row>
    <row r="28">
      <c r="B28" t="inlineStr">
        <is>
          <t>% de agendas que aparecen en la llamada</t>
        </is>
      </c>
      <c r="C28" s="23">
        <f>'Supuestos'!$C$24</f>
        <v/>
      </c>
      <c r="D28" s="24">
        <f>'Supuestos'!$C$24</f>
        <v/>
      </c>
      <c r="G28">
        <f>IF(C28&lt;&gt;D28,"← cambiado","")</f>
        <v/>
      </c>
      <c r="H28" s="5" t="inlineStr">
        <is>
          <t>Supuesto. Escribí encima para probar; la base queda al lado.</t>
        </is>
      </c>
      <c r="I28" s="19">
        <f>IF(AND(ISNUMBER(C28),C28&gt;=0,C28&lt;=1),"OK","REVISAR")</f>
        <v/>
      </c>
    </row>
    <row r="29">
      <c r="B29" t="inlineStr">
        <is>
          <t>Llamadas realizadas</t>
        </is>
      </c>
      <c r="E29" s="26">
        <f>$E$27*$C$28</f>
        <v/>
      </c>
      <c r="F29" s="26">
        <f>'Modelo'!$C$18</f>
        <v/>
      </c>
      <c r="G29" s="26">
        <f>IF(AND(ISNUMBER(E29),ISNUMBER(F29)),E29-F29,"")</f>
        <v/>
      </c>
      <c r="H29" s="5" t="inlineStr">
        <is>
          <t>Agendas × show de la llamada.</t>
        </is>
      </c>
    </row>
    <row r="30">
      <c r="B30" t="inlineStr">
        <is>
          <t>Costo por aplicación</t>
        </is>
      </c>
      <c r="E30" s="18">
        <f>IF($E$23=0,0,$C$8/$E$23)</f>
        <v/>
      </c>
      <c r="F30" s="18">
        <f>'Modelo'!$C$19</f>
        <v/>
      </c>
      <c r="G30" s="18">
        <f>IF(AND(ISNUMBER(E30),ISNUMBER(F30)),E30-F30,"")</f>
        <v/>
      </c>
      <c r="H30" s="5" t="inlineStr">
        <is>
          <t>Inversión ÷ aplicaciones.</t>
        </is>
      </c>
    </row>
    <row r="31">
      <c r="B31" s="4" t="inlineStr">
        <is>
          <t>Costo por agenda</t>
        </is>
      </c>
      <c r="E31" s="13">
        <f>IF($E$27=0,0,$C$8/$E$27)</f>
        <v/>
      </c>
      <c r="F31" s="18">
        <f>'Modelo'!$C$20</f>
        <v/>
      </c>
      <c r="G31" s="18">
        <f>IF(AND(ISNUMBER(E31),ISNUMBER(F31)),E31-F31,"")</f>
        <v/>
      </c>
      <c r="H31" s="5" t="inlineStr">
        <is>
          <t>Inversión ÷ agendas.</t>
        </is>
      </c>
    </row>
    <row r="32">
      <c r="B32" t="inlineStr">
        <is>
          <t>Costo por llamada realizada</t>
        </is>
      </c>
      <c r="E32" s="18">
        <f>IF($E$29=0,0,$C$8/$E$29)</f>
        <v/>
      </c>
      <c r="F32" s="18">
        <f>'Modelo'!$C$21</f>
        <v/>
      </c>
      <c r="G32" s="18">
        <f>IF(AND(ISNUMBER(E32),ISNUMBER(F32)),E32-F32,"")</f>
        <v/>
      </c>
      <c r="H32" s="5" t="inlineStr">
        <is>
          <t>Inversión ÷ llamadas.</t>
        </is>
      </c>
    </row>
    <row r="33">
      <c r="B33" s="7" t="inlineStr">
        <is>
          <t>Ventas y facturación</t>
        </is>
      </c>
      <c r="C33" s="8" t="n"/>
      <c r="D33" s="8" t="n"/>
      <c r="E33" s="8" t="n"/>
      <c r="F33" s="8" t="n"/>
      <c r="G33" s="8" t="n"/>
      <c r="H33" s="8" t="n"/>
    </row>
    <row r="34">
      <c r="B34" t="inlineStr">
        <is>
          <t>% de llamadas que compran</t>
        </is>
      </c>
      <c r="C34" s="23">
        <f>'Supuestos'!$C$25</f>
        <v/>
      </c>
      <c r="D34" s="24">
        <f>'Supuestos'!$C$25</f>
        <v/>
      </c>
      <c r="G34">
        <f>IF(C34&lt;&gt;D34,"← cambiado","")</f>
        <v/>
      </c>
      <c r="H34" s="5" t="inlineStr">
        <is>
          <t>Supuesto. Escribí encima para probar; la base queda al lado.</t>
        </is>
      </c>
      <c r="I34" s="19">
        <f>IF(AND(ISNUMBER(C34),C34&gt;=0,C34&lt;=1),"OK","REVISAR")</f>
        <v/>
      </c>
    </row>
    <row r="35">
      <c r="B35" s="4" t="inlineStr">
        <is>
          <t>Ventas del programa</t>
        </is>
      </c>
      <c r="E35" s="11">
        <f>$E$29*$C$34</f>
        <v/>
      </c>
      <c r="F35" s="26">
        <f>'Modelo'!$C$23</f>
        <v/>
      </c>
      <c r="G35" s="26">
        <f>IF(AND(ISNUMBER(E35),ISNUMBER(F35)),E35-F35,"")</f>
        <v/>
      </c>
      <c r="H35" s="5" t="inlineStr">
        <is>
          <t>Llamadas × cierre.</t>
        </is>
      </c>
    </row>
    <row r="36">
      <c r="B36" t="inlineStr">
        <is>
          <t>Downsell: % de los que no compraron que lo toman</t>
        </is>
      </c>
      <c r="C36" s="23">
        <f>'Supuestos'!$C$30</f>
        <v/>
      </c>
      <c r="D36" s="24">
        <f>'Supuestos'!$C$30</f>
        <v/>
      </c>
      <c r="G36">
        <f>IF(C36&lt;&gt;D36,"← cambiado","")</f>
        <v/>
      </c>
      <c r="H36" s="5" t="inlineStr">
        <is>
          <t>Supuesto. Escribí encima para probar; la base queda al lado.</t>
        </is>
      </c>
      <c r="I36" s="19">
        <f>IF(AND(ISNUMBER(C36),C36&gt;=0,C36&lt;=1),"OK","REVISAR")</f>
        <v/>
      </c>
    </row>
    <row r="37">
      <c r="B37" t="inlineStr">
        <is>
          <t>Ventas del downsell</t>
        </is>
      </c>
      <c r="E37" s="26">
        <f>($E$29-$E$35)*$C$36</f>
        <v/>
      </c>
      <c r="F37" s="26">
        <f>'Modelo'!$C$24</f>
        <v/>
      </c>
      <c r="G37" s="26">
        <f>IF(AND(ISNUMBER(E37),ISNUMBER(F37)),E37-F37,"")</f>
        <v/>
      </c>
      <c r="H37" s="5" t="inlineStr">
        <is>
          <t>(Llamadas − ventas) × % que toma el downsell.</t>
        </is>
      </c>
    </row>
    <row r="38">
      <c r="B38" t="inlineStr">
        <is>
          <t>% de leads que compran el programa</t>
        </is>
      </c>
      <c r="E38" s="27">
        <f>IF($E$16=0,0,$E$35/$E$16)</f>
        <v/>
      </c>
      <c r="F38" s="27">
        <f>'Modelo'!$C$25</f>
        <v/>
      </c>
      <c r="G38" s="27">
        <f>IF(AND(ISNUMBER(E38),ISNUMBER(F38)),E38-F38,"")</f>
        <v/>
      </c>
      <c r="H38" s="5" t="inlineStr">
        <is>
          <t>Ventas ÷ leads.</t>
        </is>
      </c>
    </row>
    <row r="39">
      <c r="B39" s="4" t="inlineStr">
        <is>
          <t>Costo por venta del programa (CAC)</t>
        </is>
      </c>
      <c r="E39" s="13">
        <f>IF($E$35=0,0,$C$8/$E$35)</f>
        <v/>
      </c>
      <c r="F39" s="18">
        <f>'Modelo'!$C$26</f>
        <v/>
      </c>
      <c r="G39" s="18">
        <f>IF(AND(ISNUMBER(E39),ISNUMBER(F39)),E39-F39,"")</f>
        <v/>
      </c>
      <c r="H39" s="5" t="inlineStr">
        <is>
          <t>Inversión ÷ ventas.</t>
        </is>
      </c>
    </row>
    <row r="40">
      <c r="B40" t="inlineStr">
        <is>
          <t>Programa: precio</t>
        </is>
      </c>
      <c r="C40" s="17">
        <f>'Supuestos'!$C$28</f>
        <v/>
      </c>
      <c r="D40" s="18">
        <f>'Supuestos'!$C$28</f>
        <v/>
      </c>
      <c r="G40">
        <f>IF(C40&lt;&gt;D40,"← cambiado","")</f>
        <v/>
      </c>
      <c r="H40" s="5" t="inlineStr">
        <is>
          <t>Supuesto. Escribí encima para probar; la base queda al lado.</t>
        </is>
      </c>
      <c r="I40" s="19">
        <f>IF(AND(ISNUMBER(C40),C40&gt;=0),"OK","REVISAR")</f>
        <v/>
      </c>
    </row>
    <row r="41">
      <c r="B41" t="inlineStr">
        <is>
          <t>Facturado: programa</t>
        </is>
      </c>
      <c r="E41" s="21">
        <f>$E$35*$C$40</f>
        <v/>
      </c>
      <c r="F41" s="21">
        <f>'Modelo'!$C$27</f>
        <v/>
      </c>
      <c r="G41" s="21">
        <f>IF(AND(ISNUMBER(E41),ISNUMBER(F41)),E41-F41,"")</f>
        <v/>
      </c>
      <c r="H41" s="5" t="inlineStr">
        <is>
          <t>Ventas × precio.</t>
        </is>
      </c>
    </row>
    <row r="42">
      <c r="B42" t="inlineStr">
        <is>
          <t>Downsell para quien no compra en la llamada: precio</t>
        </is>
      </c>
      <c r="C42" s="17">
        <f>'Supuestos'!$C$29</f>
        <v/>
      </c>
      <c r="D42" s="18">
        <f>'Supuestos'!$C$29</f>
        <v/>
      </c>
      <c r="G42">
        <f>IF(C42&lt;&gt;D42,"← cambiado","")</f>
        <v/>
      </c>
      <c r="H42" s="5" t="inlineStr">
        <is>
          <t>Supuesto. Escribí encima para probar; la base queda al lado.</t>
        </is>
      </c>
      <c r="I42" s="19">
        <f>IF(AND(ISNUMBER(C42),C42&gt;=0),"OK","REVISAR")</f>
        <v/>
      </c>
    </row>
    <row r="43">
      <c r="B43" t="inlineStr">
        <is>
          <t>Facturado: downsell</t>
        </is>
      </c>
      <c r="E43" s="21">
        <f>$E$37*$C$42</f>
        <v/>
      </c>
      <c r="F43" s="21">
        <f>'Modelo'!$C$28</f>
        <v/>
      </c>
      <c r="G43" s="21">
        <f>IF(AND(ISNUMBER(E43),ISNUMBER(F43)),E43-F43,"")</f>
        <v/>
      </c>
      <c r="H43" s="5" t="inlineStr">
        <is>
          <t>Ventas × precio.</t>
        </is>
      </c>
    </row>
    <row r="44">
      <c r="B44" s="4" t="inlineStr">
        <is>
          <t>Facturado total</t>
        </is>
      </c>
      <c r="E44" s="9">
        <f>$E$41+$E$43</f>
        <v/>
      </c>
      <c r="F44" s="21">
        <f>'Modelo'!$C$29</f>
        <v/>
      </c>
      <c r="G44" s="21">
        <f>IF(AND(ISNUMBER(E44),ISNUMBER(F44)),E44-F44,"")</f>
        <v/>
      </c>
      <c r="H44" s="5" t="inlineStr">
        <is>
          <t>Programa + downsell.</t>
        </is>
      </c>
    </row>
    <row r="45">
      <c r="B45" t="inlineStr">
        <is>
          <t>Facturado por comprador del programa</t>
        </is>
      </c>
      <c r="E45" s="18">
        <f>IF($E$35=0,0,$E$44/$E$35)</f>
        <v/>
      </c>
      <c r="F45" s="18">
        <f>'Modelo'!$C$30</f>
        <v/>
      </c>
      <c r="G45" s="18">
        <f>IF(AND(ISNUMBER(E45),ISNUMBER(F45)),E45-F45,"")</f>
        <v/>
      </c>
      <c r="H45" s="5" t="inlineStr">
        <is>
          <t>Facturado ÷ ventas del programa.</t>
        </is>
      </c>
    </row>
    <row r="46">
      <c r="B46" t="inlineStr">
        <is>
          <t>Ventas del programa por lead (para la proyección)</t>
        </is>
      </c>
      <c r="E46" s="27">
        <f>IF($E$16=0,0,$E$35/$E$16)</f>
        <v/>
      </c>
      <c r="F46" s="27">
        <f>'Modelo'!$C$31</f>
        <v/>
      </c>
      <c r="G46" s="27">
        <f>IF(AND(ISNUMBER(E46),ISNUMBER(F46)),E46-F46,"")</f>
        <v/>
      </c>
      <c r="H46" s="5" t="inlineStr">
        <is>
          <t>Igual a '% de leads que compran'.</t>
        </is>
      </c>
    </row>
    <row r="47">
      <c r="B47" t="inlineStr">
        <is>
          <t>Facturado por lead</t>
        </is>
      </c>
      <c r="E47" s="18">
        <f>IF($E$16=0,0,$E$44/$E$16)</f>
        <v/>
      </c>
      <c r="F47" s="18">
        <f>'Modelo'!$C$32</f>
        <v/>
      </c>
      <c r="G47" s="18">
        <f>IF(AND(ISNUMBER(E47),ISNUMBER(F47)),E47-F47,"")</f>
        <v/>
      </c>
      <c r="H47" s="5" t="inlineStr">
        <is>
          <t>Facturado ÷ leads.</t>
        </is>
      </c>
    </row>
    <row r="48">
      <c r="B48" s="7" t="inlineStr">
        <is>
          <t>Cash, costos y ganancia del período</t>
        </is>
      </c>
      <c r="C48" s="8" t="n"/>
      <c r="D48" s="8" t="n"/>
      <c r="E48" s="8" t="n"/>
      <c r="F48" s="8" t="n"/>
      <c r="G48" s="8" t="n"/>
      <c r="H48" s="8" t="n"/>
    </row>
    <row r="49">
      <c r="B49" t="inlineStr">
        <is>
          <t>% del facturado que entra en el mes 1</t>
        </is>
      </c>
      <c r="C49" s="23">
        <f>'Supuestos'!$C$40</f>
        <v/>
      </c>
      <c r="D49" s="24">
        <f>'Supuestos'!$C$40</f>
        <v/>
      </c>
      <c r="G49">
        <f>IF(C49&lt;&gt;D49,"← cambiado","")</f>
        <v/>
      </c>
      <c r="H49" s="5" t="inlineStr">
        <is>
          <t>Supuesto. Escribí encima para probar; la base queda al lado.</t>
        </is>
      </c>
      <c r="I49" s="19">
        <f>IF(AND(ISNUMBER(C49),C49&gt;=0,C49&lt;=1),"OK","REVISAR")</f>
        <v/>
      </c>
    </row>
    <row r="50">
      <c r="B50" t="inlineStr">
        <is>
          <t>% que entra en el mes 2</t>
        </is>
      </c>
      <c r="C50" s="23">
        <f>'Supuestos'!$C$41</f>
        <v/>
      </c>
      <c r="D50" s="24">
        <f>'Supuestos'!$C$41</f>
        <v/>
      </c>
      <c r="G50">
        <f>IF(C50&lt;&gt;D50,"← cambiado","")</f>
        <v/>
      </c>
      <c r="H50" s="5" t="inlineStr">
        <is>
          <t>Supuesto. Escribí encima para probar; la base queda al lado.</t>
        </is>
      </c>
      <c r="I50" s="19">
        <f>IF(AND(ISNUMBER(C50),C50&gt;=0,C50&lt;=1),"OK","REVISAR")</f>
        <v/>
      </c>
    </row>
    <row r="51">
      <c r="B51" t="inlineStr">
        <is>
          <t>% que entra en el mes 3</t>
        </is>
      </c>
      <c r="C51" s="23">
        <f>'Supuestos'!$C$42</f>
        <v/>
      </c>
      <c r="D51" s="24">
        <f>'Supuestos'!$C$42</f>
        <v/>
      </c>
      <c r="G51">
        <f>IF(C51&lt;&gt;D51,"← cambiado","")</f>
        <v/>
      </c>
      <c r="H51" s="5" t="inlineStr">
        <is>
          <t>Supuesto. Escribí encima para probar; la base queda al lado.</t>
        </is>
      </c>
      <c r="I51" s="19">
        <f>IF(AND(ISNUMBER(C51),C51&gt;=0,C51&lt;=1),"OK","REVISAR")</f>
        <v/>
      </c>
    </row>
    <row r="52">
      <c r="B52" t="inlineStr">
        <is>
          <t>Cash a cobrar (facturado × cobranza completa)</t>
        </is>
      </c>
      <c r="E52" s="21">
        <f>$E$44*($C$49+$C$50+$C$51)</f>
        <v/>
      </c>
      <c r="F52" s="21">
        <f>'Modelo'!$C$34</f>
        <v/>
      </c>
      <c r="G52" s="21">
        <f>IF(AND(ISNUMBER(E52),ISNUMBER(F52)),E52-F52,"")</f>
        <v/>
      </c>
      <c r="H52" s="5" t="inlineStr">
        <is>
          <t>Facturado × (mes 1 + mes 2 + mes 3). Si la cobranza suma 100 %, es igual al facturado.</t>
        </is>
      </c>
    </row>
    <row r="53">
      <c r="B53" t="inlineStr">
        <is>
          <t>Cash que entra en el primer mes</t>
        </is>
      </c>
      <c r="E53" s="21">
        <f>$E$44*$C$49</f>
        <v/>
      </c>
      <c r="F53" s="21">
        <f>'Modelo'!$C$35</f>
        <v/>
      </c>
      <c r="G53" s="21">
        <f>IF(AND(ISNUMBER(E53),ISNUMBER(F53)),E53-F53,"")</f>
        <v/>
      </c>
      <c r="H53" s="5" t="inlineStr">
        <is>
          <t>Facturado × % del mes 1.</t>
        </is>
      </c>
    </row>
    <row r="54">
      <c r="B54" t="inlineStr">
        <is>
          <t>Comisión de la pasarela o plataforma de pago</t>
        </is>
      </c>
      <c r="C54" s="23">
        <f>'Supuestos'!$C$33</f>
        <v/>
      </c>
      <c r="D54" s="24">
        <f>'Supuestos'!$C$33</f>
        <v/>
      </c>
      <c r="G54">
        <f>IF(C54&lt;&gt;D54,"← cambiado","")</f>
        <v/>
      </c>
      <c r="H54" s="5" t="inlineStr">
        <is>
          <t>Supuesto. Escribí encima para probar; la base queda al lado.</t>
        </is>
      </c>
      <c r="I54" s="19">
        <f>IF(AND(ISNUMBER(C54),C54&gt;=0,C54&lt;=1),"OK","REVISAR")</f>
        <v/>
      </c>
    </row>
    <row r="55">
      <c r="B55" t="inlineStr">
        <is>
          <t>Comisión del equipo de ventas</t>
        </is>
      </c>
      <c r="C55" s="23">
        <f>'Supuestos'!$C$34</f>
        <v/>
      </c>
      <c r="D55" s="24">
        <f>'Supuestos'!$C$34</f>
        <v/>
      </c>
      <c r="G55">
        <f>IF(C55&lt;&gt;D55,"← cambiado","")</f>
        <v/>
      </c>
      <c r="H55" s="5" t="inlineStr">
        <is>
          <t>Supuesto. Escribí encima para probar; la base queda al lado.</t>
        </is>
      </c>
      <c r="I55" s="19">
        <f>IF(AND(ISNUMBER(C55),C55&gt;=0,C55&lt;=1),"OK","REVISAR")</f>
        <v/>
      </c>
    </row>
    <row r="56">
      <c r="B56" t="inlineStr">
        <is>
          <t>Comisiones (pasarela + ventas)</t>
        </is>
      </c>
      <c r="E56" s="21">
        <f>$E$52*($C$54+$C$55)</f>
        <v/>
      </c>
      <c r="F56" s="21">
        <f>'Modelo'!$C$36</f>
        <v/>
      </c>
      <c r="G56" s="21">
        <f>IF(AND(ISNUMBER(E56),ISNUMBER(F56)),E56-F56,"")</f>
        <v/>
      </c>
      <c r="H56" s="5" t="inlineStr">
        <is>
          <t>Cash × (pasarela + equipo de ventas).</t>
        </is>
      </c>
    </row>
    <row r="57">
      <c r="B57" t="inlineStr">
        <is>
          <t>Reembolsos y contracargos</t>
        </is>
      </c>
      <c r="C57" s="23">
        <f>'Supuestos'!$C$35</f>
        <v/>
      </c>
      <c r="D57" s="24">
        <f>'Supuestos'!$C$35</f>
        <v/>
      </c>
      <c r="G57">
        <f>IF(C57&lt;&gt;D57,"← cambiado","")</f>
        <v/>
      </c>
      <c r="H57" s="5" t="inlineStr">
        <is>
          <t>Supuesto. Escribí encima para probar; la base queda al lado.</t>
        </is>
      </c>
      <c r="I57" s="19">
        <f>IF(AND(ISNUMBER(C57),C57&gt;=0,C57&lt;=1),"OK","REVISAR")</f>
        <v/>
      </c>
    </row>
    <row r="58">
      <c r="B58" t="inlineStr">
        <is>
          <t>Reembolsos</t>
        </is>
      </c>
      <c r="E58" s="21">
        <f>$E$52*$C$57</f>
        <v/>
      </c>
      <c r="F58" s="21">
        <f>'Modelo'!$C$37</f>
        <v/>
      </c>
      <c r="G58" s="21">
        <f>IF(AND(ISNUMBER(E58),ISNUMBER(F58)),E58-F58,"")</f>
        <v/>
      </c>
      <c r="H58" s="5" t="inlineStr">
        <is>
          <t>Cash × % de reembolsos.</t>
        </is>
      </c>
    </row>
    <row r="59">
      <c r="B59" s="4" t="inlineStr">
        <is>
          <t>Cash neto</t>
        </is>
      </c>
      <c r="E59" s="9">
        <f>$E$52*(1-$C$54-$C$55-$C$57)</f>
        <v/>
      </c>
      <c r="F59" s="21">
        <f>'Modelo'!$C$38</f>
        <v/>
      </c>
      <c r="G59" s="21">
        <f>IF(AND(ISNUMBER(E59),ISNUMBER(F59)),E59-F59,"")</f>
        <v/>
      </c>
      <c r="H59" s="5" t="inlineStr">
        <is>
          <t>Cash − comisiones − reembolsos. La base de verdad.</t>
        </is>
      </c>
    </row>
    <row r="60">
      <c r="B60" t="inlineStr">
        <is>
          <t>Costos por lead (herramientas, WhatsApp, IA)</t>
        </is>
      </c>
      <c r="C60" s="17">
        <f>'Supuestos'!$C$36</f>
        <v/>
      </c>
      <c r="D60" s="18">
        <f>'Supuestos'!$C$36</f>
        <v/>
      </c>
      <c r="G60">
        <f>IF(C60&lt;&gt;D60,"← cambiado","")</f>
        <v/>
      </c>
      <c r="H60" s="5" t="inlineStr">
        <is>
          <t>Supuesto. Escribí encima para probar; la base queda al lado.</t>
        </is>
      </c>
      <c r="I60" s="19">
        <f>IF(AND(ISNUMBER(C60),C60&gt;=0),"OK","REVISAR")</f>
        <v/>
      </c>
    </row>
    <row r="61">
      <c r="B61" t="inlineStr">
        <is>
          <t>Costos por lead (herramientas, WhatsApp, IA)</t>
        </is>
      </c>
      <c r="E61" s="21">
        <f>$E$16*$C$60</f>
        <v/>
      </c>
      <c r="F61" s="21">
        <f>'Modelo'!$C$39</f>
        <v/>
      </c>
      <c r="G61" s="21">
        <f>IF(AND(ISNUMBER(E61),ISNUMBER(F61)),E61-F61,"")</f>
        <v/>
      </c>
      <c r="H61" s="5" t="inlineStr">
        <is>
          <t>Leads × costo por lead.</t>
        </is>
      </c>
    </row>
    <row r="62">
      <c r="B62" t="inlineStr">
        <is>
          <t>Costos fijos por mes</t>
        </is>
      </c>
      <c r="C62" s="20">
        <f>'Supuestos'!$C$37</f>
        <v/>
      </c>
      <c r="D62" s="21">
        <f>'Supuestos'!$C$37</f>
        <v/>
      </c>
      <c r="G62">
        <f>IF(C62&lt;&gt;D62,"← cambiado","")</f>
        <v/>
      </c>
      <c r="H62" s="5" t="inlineStr">
        <is>
          <t>Supuesto. Escribí encima para probar; la base queda al lado.</t>
        </is>
      </c>
      <c r="I62" s="19">
        <f>IF(AND(ISNUMBER(C62),C62&gt;=0),"OK","REVISAR")</f>
        <v/>
      </c>
    </row>
    <row r="63">
      <c r="B63" s="4" t="inlineStr">
        <is>
          <t>Ganancia del período</t>
        </is>
      </c>
      <c r="E63" s="9">
        <f>$E$59-$E$61-$C$62-$C$8</f>
        <v/>
      </c>
      <c r="F63" s="21">
        <f>'Modelo'!$C$40</f>
        <v/>
      </c>
      <c r="G63" s="21">
        <f>IF(AND(ISNUMBER(E63),ISNUMBER(F63)),E63-F63,"")</f>
        <v/>
      </c>
      <c r="H63" s="5" t="inlineStr">
        <is>
          <t>Cash neto − costos por unidad − fijos − inversión.</t>
        </is>
      </c>
    </row>
    <row r="64">
      <c r="B64" t="inlineStr">
        <is>
          <t>ROAS sobre facturado</t>
        </is>
      </c>
      <c r="E64" s="28">
        <f>IF($C$8=0,0,$E$44/$C$8)</f>
        <v/>
      </c>
      <c r="F64" s="28">
        <f>'Modelo'!$C$41</f>
        <v/>
      </c>
      <c r="G64" s="28">
        <f>IF(AND(ISNUMBER(E64),ISNUMBER(F64)),E64-F64,"")</f>
        <v/>
      </c>
      <c r="H64" s="5" t="inlineStr">
        <is>
          <t>Facturado ÷ inversión. El número que más se infla: no decidas con este.</t>
        </is>
      </c>
    </row>
    <row r="65">
      <c r="B65" s="4" t="inlineStr">
        <is>
          <t>ROAS sobre cash neto</t>
        </is>
      </c>
      <c r="E65" s="10">
        <f>IF($C$8=0,0,$E$59/$C$8)</f>
        <v/>
      </c>
      <c r="F65" s="28">
        <f>'Modelo'!$C$42</f>
        <v/>
      </c>
      <c r="G65" s="28">
        <f>IF(AND(ISNUMBER(E65),ISNUMBER(F65)),E65-F65,"")</f>
        <v/>
      </c>
      <c r="H65" s="5" t="inlineStr">
        <is>
          <t>Cash neto ÷ inversión. Con este se decide.</t>
        </is>
      </c>
    </row>
    <row r="66">
      <c r="B66" t="inlineStr">
        <is>
          <t>Margen sobre cash</t>
        </is>
      </c>
      <c r="E66" s="24">
        <f>IF($E$52=0,0,$E$63/$E$52)</f>
        <v/>
      </c>
      <c r="F66" s="24">
        <f>'Modelo'!$C$43</f>
        <v/>
      </c>
      <c r="G66" s="24">
        <f>IF(AND(ISNUMBER(E66),ISNUMBER(F66)),E66-F66,"")</f>
        <v/>
      </c>
      <c r="H66" s="5" t="inlineStr">
        <is>
          <t>Ganancia ÷ cash.</t>
        </is>
      </c>
    </row>
    <row r="67">
      <c r="B67" t="inlineStr">
        <is>
          <t>ROAS objetivo sobre cash neto</t>
        </is>
      </c>
      <c r="C67" s="29">
        <f>'Supuestos'!$C$45</f>
        <v/>
      </c>
      <c r="D67" s="28">
        <f>'Supuestos'!$C$45</f>
        <v/>
      </c>
      <c r="G67">
        <f>IF(C67&lt;&gt;D67,"← cambiado","")</f>
        <v/>
      </c>
      <c r="H67" s="5" t="inlineStr">
        <is>
          <t>Supuesto. Escribí encima para probar; la base queda al lado.</t>
        </is>
      </c>
      <c r="I67" s="19">
        <f>IF(AND(ISNUMBER(C67),C67&gt;=0),"OK","REVISAR")</f>
        <v/>
      </c>
    </row>
    <row r="68">
      <c r="B68" t="inlineStr">
        <is>
          <t>¿Cumple el ROAS objetivo?</t>
        </is>
      </c>
      <c r="E68" s="30">
        <f>IF($E$65&gt;=$C$67,"SÍ","NO")</f>
        <v/>
      </c>
      <c r="F68" s="30">
        <f>'Modelo'!$C$44</f>
        <v/>
      </c>
      <c r="G68">
        <f>IF(E68=F68,"","≠ base")</f>
        <v/>
      </c>
      <c r="H68" s="5" t="inlineStr">
        <is>
          <t>ROAS sobre cash neto contra el objetivo de Supuestos.</t>
        </is>
      </c>
    </row>
    <row r="69">
      <c r="B69" s="4" t="inlineStr">
        <is>
          <t>ROAS del cash del primer mes (sin cuotas futuras)</t>
        </is>
      </c>
      <c r="E69" s="10">
        <f>$E$53*(1-$C$54-$C$55-$C$57)/$C$8</f>
        <v/>
      </c>
      <c r="F69" s="28">
        <f>'Modelo'!$C$45</f>
        <v/>
      </c>
      <c r="G69" s="28">
        <f>IF(AND(ISNUMBER(E69),ISNUMBER(F69)),E69-F69,"")</f>
        <v/>
      </c>
      <c r="H69" s="5" t="inlineStr">
        <is>
          <t>Lo que vuelve el mismo mes. Si es menor a 1, el mes se financia con caja.</t>
        </is>
      </c>
    </row>
    <row r="70">
      <c r="B70" s="7" t="inlineStr">
        <is>
          <t>Cuánto vale cada lead y hasta cuánto pagar</t>
        </is>
      </c>
      <c r="C70" s="8" t="n"/>
      <c r="D70" s="8" t="n"/>
      <c r="E70" s="8" t="n"/>
      <c r="F70" s="8" t="n"/>
      <c r="G70" s="8" t="n"/>
      <c r="H70" s="8" t="n"/>
    </row>
    <row r="71">
      <c r="B71" s="4" t="inlineStr">
        <is>
          <t>Valor neto por lead</t>
        </is>
      </c>
      <c r="E71" s="13">
        <f>IF($E$16=0,0,($E$59-$E$61)/$E$16)</f>
        <v/>
      </c>
      <c r="F71" s="18">
        <f>'Modelo'!$C$47</f>
        <v/>
      </c>
      <c r="G71" s="18">
        <f>IF(AND(ISNUMBER(E71),ISNUMBER(F71)),E71-F71,"")</f>
        <v/>
      </c>
      <c r="H71" s="5" t="inlineStr">
        <is>
          <t>(Cash neto − costos por lead) ÷ leads.</t>
        </is>
      </c>
    </row>
    <row r="72">
      <c r="B72" s="4" t="inlineStr">
        <is>
          <t>Techo de CPL (break-even)</t>
        </is>
      </c>
      <c r="E72" s="13">
        <f>$E$71</f>
        <v/>
      </c>
      <c r="F72" s="18">
        <f>'Modelo'!$C$48</f>
        <v/>
      </c>
      <c r="G72" s="18">
        <f>IF(AND(ISNUMBER(E72),ISNUMBER(F72)),E72-F72,"")</f>
        <v/>
      </c>
      <c r="H72" s="5" t="inlineStr">
        <is>
          <t>Igual al valor neto por lead.</t>
        </is>
      </c>
    </row>
    <row r="73">
      <c r="B73" t="inlineStr">
        <is>
          <t>Margen de seguridad</t>
        </is>
      </c>
      <c r="C73" s="23">
        <f>'Supuestos'!$C$46</f>
        <v/>
      </c>
      <c r="D73" s="24">
        <f>'Supuestos'!$C$46</f>
        <v/>
      </c>
      <c r="G73">
        <f>IF(C73&lt;&gt;D73,"← cambiado","")</f>
        <v/>
      </c>
      <c r="H73" s="5" t="inlineStr">
        <is>
          <t>Supuesto. Escribí encima para probar; la base queda al lado.</t>
        </is>
      </c>
      <c r="I73" s="19">
        <f>IF(AND(ISNUMBER(C73),C73&gt;=0,C73&lt;=1),"OK","REVISAR")</f>
        <v/>
      </c>
    </row>
    <row r="74">
      <c r="B74" s="4" t="inlineStr">
        <is>
          <t>Objetivo de CPL</t>
        </is>
      </c>
      <c r="E74" s="13">
        <f>$E$72/(1+$C$73)</f>
        <v/>
      </c>
      <c r="F74" s="18">
        <f>'Modelo'!$C$49</f>
        <v/>
      </c>
      <c r="G74" s="18">
        <f>IF(AND(ISNUMBER(E74),ISNUMBER(F74)),E74-F74,"")</f>
        <v/>
      </c>
      <c r="H74" s="5" t="inlineStr">
        <is>
          <t>Techo ÷ (1 + margen de seguridad).</t>
        </is>
      </c>
    </row>
    <row r="75">
      <c r="B75" t="inlineStr">
        <is>
          <t>Techo de costo por aplicación</t>
        </is>
      </c>
      <c r="E75" s="18">
        <f>IF($E$23=0,0,$E$71*$E$16/$E$23)</f>
        <v/>
      </c>
      <c r="F75" s="18">
        <f>'Modelo'!$C$50</f>
        <v/>
      </c>
      <c r="G75" s="18">
        <f>IF(AND(ISNUMBER(E75),ISNUMBER(F75)),E75-F75,"")</f>
        <v/>
      </c>
      <c r="H75" s="5" t="inlineStr">
        <is>
          <t>Valor total ÷ aplicaciones.</t>
        </is>
      </c>
    </row>
    <row r="76">
      <c r="B76" s="4" t="inlineStr">
        <is>
          <t>Techo de costo por agenda</t>
        </is>
      </c>
      <c r="E76" s="13">
        <f>IF($E$27=0,0,$E$71*$E$16/$E$27)</f>
        <v/>
      </c>
      <c r="F76" s="18">
        <f>'Modelo'!$C$51</f>
        <v/>
      </c>
      <c r="G76" s="18">
        <f>IF(AND(ISNUMBER(E76),ISNUMBER(F76)),E76-F76,"")</f>
        <v/>
      </c>
      <c r="H76" s="5" t="inlineStr">
        <is>
          <t>Valor total ÷ agendas.</t>
        </is>
      </c>
    </row>
    <row r="77">
      <c r="B77" t="inlineStr">
        <is>
          <t>Techo de costo por llamada realizada</t>
        </is>
      </c>
      <c r="E77" s="18">
        <f>IF($E$29=0,0,$E$71*$E$16/$E$29)</f>
        <v/>
      </c>
      <c r="F77" s="18">
        <f>'Modelo'!$C$52</f>
        <v/>
      </c>
      <c r="G77" s="18">
        <f>IF(AND(ISNUMBER(E77),ISNUMBER(F77)),E77-F77,"")</f>
        <v/>
      </c>
      <c r="H77" s="5" t="inlineStr">
        <is>
          <t>Valor total ÷ llamadas.</t>
        </is>
      </c>
    </row>
    <row r="78">
      <c r="B78" t="inlineStr">
        <is>
          <t>Techo de costo por venta (CAC máximo)</t>
        </is>
      </c>
      <c r="E78" s="18">
        <f>IF($E$38=0,0,$E$71/$E$38)</f>
        <v/>
      </c>
      <c r="F78" s="18">
        <f>'Modelo'!$C$53</f>
        <v/>
      </c>
      <c r="G78" s="18">
        <f>IF(AND(ISNUMBER(E78),ISNUMBER(F78)),E78-F78,"")</f>
        <v/>
      </c>
      <c r="H78" s="5" t="inlineStr">
        <is>
          <t>Valor por lead ÷ % de leads que compran.</t>
        </is>
      </c>
    </row>
    <row r="79">
      <c r="B79" t="inlineStr">
        <is>
          <t>Objetivo de CAC</t>
        </is>
      </c>
      <c r="E79" s="18">
        <f>$E$78/(1+$C$73)</f>
        <v/>
      </c>
      <c r="F79" s="18">
        <f>'Modelo'!$C$54</f>
        <v/>
      </c>
      <c r="G79" s="18">
        <f>IF(AND(ISNUMBER(E79),ISNUMBER(F79)),E79-F79,"")</f>
        <v/>
      </c>
      <c r="H79" s="5" t="inlineStr">
        <is>
          <t>CAC máximo ÷ (1 + margen de seguridad).</t>
        </is>
      </c>
    </row>
    <row r="80">
      <c r="B80" s="7" t="inlineStr">
        <is>
          <t>Semáforo y cuánto invertir</t>
        </is>
      </c>
      <c r="C80" s="8" t="n"/>
      <c r="D80" s="8" t="n"/>
      <c r="E80" s="8" t="n"/>
      <c r="F80" s="8" t="n"/>
      <c r="G80" s="8" t="n"/>
      <c r="H80" s="8" t="n"/>
    </row>
    <row r="81">
      <c r="B81" s="4" t="inlineStr">
        <is>
          <t>Semáforo del CPL actual</t>
        </is>
      </c>
      <c r="E81" s="14">
        <f>IF($E$15&gt;$E$72,"ROJO",IF(AND($E$15&lt;=$E$74,$E$65&gt;=$C$67),"VERDE","AMARILLO"))</f>
        <v/>
      </c>
      <c r="F81" s="30">
        <f>'Modelo'!$C$56</f>
        <v/>
      </c>
      <c r="G81">
        <f>IF(E81=F81,"","≠ base")</f>
        <v/>
      </c>
      <c r="H81" s="5" t="inlineStr">
        <is>
          <t>Rojo: costo &gt; techo. Verde: costo ≤ objetivo y ROAS sobre cash neto ≥ objetivo. Amarillo: el resto.</t>
        </is>
      </c>
    </row>
    <row r="82">
      <c r="B82" t="inlineStr">
        <is>
          <t>Meta de ventas del producto principal</t>
        </is>
      </c>
      <c r="C82" s="25">
        <f>'Supuestos'!$C$47</f>
        <v/>
      </c>
      <c r="D82" s="22">
        <f>'Supuestos'!$C$47</f>
        <v/>
      </c>
      <c r="G82">
        <f>IF(C82&lt;&gt;D82,"← cambiado","")</f>
        <v/>
      </c>
      <c r="H82" s="5" t="inlineStr">
        <is>
          <t>Supuesto. Escribí encima para probar; la base queda al lado.</t>
        </is>
      </c>
      <c r="I82" s="19">
        <f>IF(AND(ISNUMBER(C82),C82&gt;=0),"OK","REVISAR")</f>
        <v/>
      </c>
    </row>
    <row r="83">
      <c r="B83" s="4" t="inlineStr">
        <is>
          <t>Inversión necesaria para la meta de ventas (al CPL actual)</t>
        </is>
      </c>
      <c r="E83" s="9">
        <f>IF($E$38=0,"inalcanzable con estos supuestos",$C$82/$E$38*$E$15)</f>
        <v/>
      </c>
      <c r="F83" s="21">
        <f>'Modelo'!$C$57</f>
        <v/>
      </c>
      <c r="G83" s="21">
        <f>IF(AND(ISNUMBER(E83),ISNUMBER(F83)),E83-F83,"")</f>
        <v/>
      </c>
      <c r="H83" s="5" t="inlineStr">
        <is>
          <t>Meta ÷ % de leads que compran × CPL.</t>
        </is>
      </c>
    </row>
    <row r="84">
      <c r="B84" t="inlineStr">
        <is>
          <t>Inversión para la meta al CPL objetivo (lo máximo que conviene pagar)</t>
        </is>
      </c>
      <c r="E84" s="21">
        <f>IF($E$38=0,"inalcanzable con estos supuestos",$C$82/$E$38*$E$74)</f>
        <v/>
      </c>
      <c r="F84" s="21">
        <f>'Modelo'!$C$58</f>
        <v/>
      </c>
      <c r="G84" s="21">
        <f>IF(AND(ISNUMBER(E84),ISNUMBER(F84)),E84-F84,"")</f>
        <v/>
      </c>
      <c r="H84" s="5" t="inlineStr">
        <is>
          <t>Lo mismo, al CPL objetivo.</t>
        </is>
      </c>
    </row>
    <row r="85">
      <c r="B85" t="inlineStr">
        <is>
          <t>Llamadas que hay que atender por mes para esa meta</t>
        </is>
      </c>
      <c r="E85" s="26">
        <f>IF($C$34=0,"inalcanzable con estos supuestos",$C$82/$C$34)</f>
        <v/>
      </c>
      <c r="F85" s="26">
        <f>'Modelo'!$C$59</f>
        <v/>
      </c>
      <c r="G85" s="26">
        <f>IF(AND(ISNUMBER(E85),ISNUMBER(F85)),E85-F85,"")</f>
        <v/>
      </c>
      <c r="H85" s="5" t="inlineStr">
        <is>
          <t>Meta ÷ cierre. Sirve para dimensionar closers.</t>
        </is>
      </c>
    </row>
    <row r="86">
      <c r="B86" s="7" t="inlineStr">
        <is>
          <t>Ganancia por paso (las dos caras de cada número)</t>
        </is>
      </c>
      <c r="C86" s="8" t="n"/>
      <c r="D86" s="8" t="n"/>
      <c r="E86" s="8" t="n"/>
      <c r="F86" s="8" t="n"/>
      <c r="G86" s="8" t="n"/>
      <c r="H86" s="8" t="n"/>
    </row>
    <row r="87">
      <c r="B87" s="4" t="inlineStr">
        <is>
          <t>Cash neto por comprador (AOV neto)</t>
        </is>
      </c>
      <c r="E87" s="13">
        <f>IF($E$35=0,0,($E$59-$E$61)/$E$35)</f>
        <v/>
      </c>
      <c r="F87" s="18">
        <f>'Modelo'!$C$61</f>
        <v/>
      </c>
      <c r="G87" s="18">
        <f>IF(AND(ISNUMBER(E87),ISNUMBER(F87)),E87-F87,"")</f>
        <v/>
      </c>
      <c r="H87" s="5" t="inlineStr">
        <is>
          <t>Lo que deja cada comprador después de comisiones, reembolsos y costos por unidad. Su par es el CPA.</t>
        </is>
      </c>
    </row>
    <row r="88">
      <c r="B88" s="4" t="inlineStr">
        <is>
          <t>Ganancia por visita</t>
        </is>
      </c>
      <c r="E88" s="13">
        <f>IF($E$13=0,0,$E$63/$E$13)</f>
        <v/>
      </c>
      <c r="F88" s="18">
        <f>'Modelo'!$C$62</f>
        <v/>
      </c>
      <c r="G88" s="18">
        <f>IF(AND(ISNUMBER(E88),ISNUMBER(F88)),E88-F88,"")</f>
        <v/>
      </c>
      <c r="H88" s="5" t="inlineStr">
        <is>
          <t>Ganancia del período ÷ visitas a la página. La métrica más valiosa: resume todo lo que pasa después. Su par es el costo por visita.</t>
        </is>
      </c>
    </row>
    <row r="89">
      <c r="B89" t="inlineStr">
        <is>
          <t>Ganancia por clic</t>
        </is>
      </c>
      <c r="E89" s="18">
        <f>IF($E$11=0,0,$E$63/$E$11)</f>
        <v/>
      </c>
      <c r="F89" s="18">
        <f>'Modelo'!$C$63</f>
        <v/>
      </c>
      <c r="G89" s="18">
        <f>IF(AND(ISNUMBER(E89),ISNUMBER(F89)),E89-F89,"")</f>
        <v/>
      </c>
      <c r="H89" s="5" t="inlineStr">
        <is>
          <t>Ganancia del período ÷ clics. Su par es el costo por clic.</t>
        </is>
      </c>
    </row>
    <row r="90">
      <c r="B90" s="4" t="inlineStr">
        <is>
          <t>Ganancia por lead</t>
        </is>
      </c>
      <c r="E90" s="13">
        <f>IF($E$16=0,0,$E$63/$E$16)</f>
        <v/>
      </c>
      <c r="F90" s="18">
        <f>'Modelo'!$C$64</f>
        <v/>
      </c>
      <c r="G90" s="18">
        <f>IF(AND(ISNUMBER(E90),ISNUMBER(F90)),E90-F90,"")</f>
        <v/>
      </c>
      <c r="H90" s="5" t="inlineStr">
        <is>
          <t>Ganancia del período ÷ leads. Su par es el CPL.</t>
        </is>
      </c>
    </row>
    <row r="91">
      <c r="B91" t="inlineStr">
        <is>
          <t>Ganancia por agenda</t>
        </is>
      </c>
      <c r="E91" s="18">
        <f>IF($E$27=0,0,$E$63/$E$27)</f>
        <v/>
      </c>
      <c r="F91" s="18">
        <f>'Modelo'!$C$65</f>
        <v/>
      </c>
      <c r="G91" s="18">
        <f>IF(AND(ISNUMBER(E91),ISNUMBER(F91)),E91-F91,"")</f>
        <v/>
      </c>
      <c r="H91" s="5" t="inlineStr">
        <is>
          <t>Ganancia del período ÷ agendas. Su par es el costo por agenda.</t>
        </is>
      </c>
    </row>
    <row r="92">
      <c r="B92" t="inlineStr">
        <is>
          <t>Ganancia por llamada</t>
        </is>
      </c>
      <c r="E92" s="18">
        <f>IF($E$29=0,0,$E$63/$E$29)</f>
        <v/>
      </c>
      <c r="F92" s="18">
        <f>'Modelo'!$C$66</f>
        <v/>
      </c>
      <c r="G92" s="18">
        <f>IF(AND(ISNUMBER(E92),ISNUMBER(F92)),E92-F92,"")</f>
        <v/>
      </c>
      <c r="H92" s="5" t="inlineStr">
        <is>
          <t>Ganancia del período ÷ llamadas. Su par es el costo por llamada.</t>
        </is>
      </c>
    </row>
    <row r="93">
      <c r="B93" s="4" t="inlineStr">
        <is>
          <t>Ganancia por cliente</t>
        </is>
      </c>
      <c r="E93" s="13">
        <f>IF($E$35=0,0,$E$63/$E$35)</f>
        <v/>
      </c>
      <c r="F93" s="18">
        <f>'Modelo'!$C$67</f>
        <v/>
      </c>
      <c r="G93" s="18">
        <f>IF(AND(ISNUMBER(E93),ISNUMBER(F93)),E93-F93,"")</f>
        <v/>
      </c>
      <c r="H93" s="5" t="inlineStr">
        <is>
          <t>Ganancia del período ÷ compradores. Su par es el CAC.</t>
        </is>
      </c>
    </row>
    <row r="95" ht="30" customHeight="1">
      <c r="B95"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96" ht="30" customHeight="1">
      <c r="B96" s="5" t="inlineStr">
        <is>
          <t>Una variable por vez: si cambiás tres cosas no sabés cuál movió el resultado. La columna Diferencia te muestra exactamente cuánto cambió cada número contra la base.</t>
        </is>
      </c>
    </row>
    <row r="97" ht="30" customHeight="1">
      <c r="B97" s="5" t="inlineStr">
        <is>
          <t>El Simulador no modifica Supuestos ni Modelo: es tu mesa de pruebas. Cuando una prueba te convence, pasá ese número a Supuestos.</t>
        </is>
      </c>
    </row>
    <row r="98" ht="30" customHeight="1">
      <c r="B98" s="5" t="inlineStr">
        <is>
          <t>La columna Rango avisa si escribiste algo imposible (un porcentaje fuera de 0 a 1, un negativo, texto) y Chequeos repite los chequeos del modelo con tus números del Simulador.</t>
        </is>
      </c>
    </row>
  </sheetData>
  <mergeCells count="4">
    <mergeCell ref="B97:H97"/>
    <mergeCell ref="B98:H98"/>
    <mergeCell ref="B95:H95"/>
    <mergeCell ref="B96:H96"/>
  </mergeCells>
  <conditionalFormatting sqref="I6:I93">
    <cfRule type="cellIs" priority="1" operator="equal" dxfId="2">
      <formula>"REVISAR"</formula>
    </cfRule>
  </conditionalFormatting>
  <conditionalFormatting sqref="C6:C93">
    <cfRule type="expression" priority="2" dxfId="3">
      <formula>AND(ISNUMBER(C6),C6&lt;&gt;D6)</formula>
    </cfRule>
  </conditionalFormatting>
  <conditionalFormatting sqref="E68:F68">
    <cfRule type="expression" priority="3" dxfId="0">
      <formula>LEFT(E68,5)="VERDE"</formula>
    </cfRule>
    <cfRule type="expression" priority="4" dxfId="1">
      <formula>LEFT(E68,8)="AMARILLO"</formula>
    </cfRule>
    <cfRule type="expression" priority="5" dxfId="2">
      <formula>LEFT(E68,4)="ROJO"</formula>
    </cfRule>
  </conditionalFormatting>
  <conditionalFormatting sqref="E81:F81">
    <cfRule type="expression" priority="6" dxfId="0">
      <formula>LEFT(E81,5)="VERDE"</formula>
    </cfRule>
    <cfRule type="expression" priority="7" dxfId="1">
      <formula>LEFT(E81,8)="AMARILLO"</formula>
    </cfRule>
    <cfRule type="expression" priority="8" dxfId="2">
      <formula>LEFT(E81,4)="ROJO"</formula>
    </cfRule>
  </conditionalFormatting>
  <dataValidations count="2">
    <dataValidation sqref="C10 C12 C14 C19 C22 C24 C26 C28 C34 C36 C49 C50 C51 C54 C55 C57 C73" showDropDown="0" showInputMessage="0" showErrorMessage="1" allowBlank="0" errorTitle="Porcentaje fuera de rango" error="Escribí el porcentaje como fracción entre 0 y 1 (15 % = 0,15)." type="decimal" operator="between">
      <formula1>0</formula1>
      <formula2>1</formula2>
    </dataValidation>
    <dataValidation sqref="C7 C8 C18 C40 C42 C60 C62 C67 C82"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22">
        <f>'Modelo'!$C$7</f>
        <v/>
      </c>
      <c r="D6" t="inlineStr">
        <is>
          <t>—</t>
        </is>
      </c>
      <c r="E6" t="inlineStr">
        <is>
          <t>—</t>
        </is>
      </c>
      <c r="F6" s="13">
        <f>IF('Modelo'!$C$7=0,0,'Supuestos'!$C$8*1000/'Modelo'!$C$7)</f>
        <v/>
      </c>
      <c r="G6" s="13">
        <f>IF('Modelo'!$C$7=0,0,'Modelo'!$C$40*1000/'Modelo'!$C$7)</f>
        <v/>
      </c>
      <c r="H6" s="13">
        <f>IF('Modelo'!$C$7=0,0,'Modelo'!$C$47*'Modelo'!$C$11*1000/'Modelo'!$C$7)</f>
        <v/>
      </c>
      <c r="I6" s="5" t="inlineStr">
        <is>
          <t>Costo por mil impresiones (CPM) y CPM máximo.</t>
        </is>
      </c>
    </row>
    <row r="7">
      <c r="B7" t="inlineStr">
        <is>
          <t>Clics al enlace</t>
        </is>
      </c>
      <c r="C7" s="22">
        <f>'Modelo'!$C$8</f>
        <v/>
      </c>
      <c r="D7" s="24">
        <f>IF('Modelo'!$C$7=0,0,'Modelo'!$C$8/'Modelo'!$C$7)</f>
        <v/>
      </c>
      <c r="E7" t="inlineStr">
        <is>
          <t>—</t>
        </is>
      </c>
      <c r="F7" s="13">
        <f>IF('Modelo'!$C$8=0,0,'Supuestos'!$C$8*1/'Modelo'!$C$8)</f>
        <v/>
      </c>
      <c r="G7" s="13">
        <f>IF('Modelo'!$C$8=0,0,'Modelo'!$C$40*1/'Modelo'!$C$8)</f>
        <v/>
      </c>
      <c r="H7" s="13">
        <f>IF('Modelo'!$C$8=0,0,'Modelo'!$C$47*'Modelo'!$C$11*1/'Modelo'!$C$8)</f>
        <v/>
      </c>
      <c r="I7" s="5" t="inlineStr">
        <is>
          <t>Costo por clic (CTR).</t>
        </is>
      </c>
    </row>
    <row r="8">
      <c r="B8" t="inlineStr">
        <is>
          <t>Visitas a la página</t>
        </is>
      </c>
      <c r="C8" s="22">
        <f>'Modelo'!$C$9</f>
        <v/>
      </c>
      <c r="D8" s="24">
        <f>IF('Modelo'!$C$8=0,0,'Modelo'!$C$9/'Modelo'!$C$8)</f>
        <v/>
      </c>
      <c r="E8" t="inlineStr">
        <is>
          <t>—</t>
        </is>
      </c>
      <c r="F8" s="13">
        <f>IF('Modelo'!$C$9=0,0,'Supuestos'!$C$8*1/'Modelo'!$C$9)</f>
        <v/>
      </c>
      <c r="G8" s="13">
        <f>IF('Modelo'!$C$9=0,0,'Modelo'!$C$40*1/'Modelo'!$C$9)</f>
        <v/>
      </c>
      <c r="H8" s="13">
        <f>IF('Modelo'!$C$9=0,0,'Modelo'!$C$47*'Modelo'!$C$11*1/'Modelo'!$C$9)</f>
        <v/>
      </c>
      <c r="I8" s="5" t="inlineStr">
        <is>
          <t>Costo por visita.</t>
        </is>
      </c>
    </row>
    <row r="9">
      <c r="B9" s="4" t="inlineStr">
        <is>
          <t>Leads</t>
        </is>
      </c>
      <c r="C9" s="22">
        <f>'Modelo'!$C$11</f>
        <v/>
      </c>
      <c r="D9" s="24">
        <f>IF('Modelo'!$C$9=0,0,'Modelo'!$C$11/'Modelo'!$C$9)</f>
        <v/>
      </c>
      <c r="E9" s="27">
        <f>IF('Modelo'!$C$11=0,0,'Modelo'!$C$11/'Modelo'!$C$11)</f>
        <v/>
      </c>
      <c r="F9" s="13">
        <f>IF('Modelo'!$C$11=0,0,'Supuestos'!$C$8*1/'Modelo'!$C$11)</f>
        <v/>
      </c>
      <c r="G9" s="13">
        <f>IF('Modelo'!$C$11=0,0,'Modelo'!$C$40*1/'Modelo'!$C$11)</f>
        <v/>
      </c>
      <c r="H9" s="13">
        <f>IF('Modelo'!$C$11=0,0,'Modelo'!$C$47*'Modelo'!$C$11*1/'Modelo'!$C$11)</f>
        <v/>
      </c>
      <c r="I9" s="5" t="inlineStr">
        <is>
          <t>CPL real.</t>
        </is>
      </c>
    </row>
    <row r="10">
      <c r="B10" t="inlineStr">
        <is>
          <t>Asisten al evento previo (si hay)</t>
        </is>
      </c>
      <c r="C10" s="22">
        <f>'Modelo'!$C$13</f>
        <v/>
      </c>
      <c r="D10" s="24">
        <f>IF('Modelo'!$C$11=0,0,'Modelo'!$C$13/'Modelo'!$C$11)</f>
        <v/>
      </c>
      <c r="E10" s="27">
        <f>IF('Modelo'!$C$11=0,0,'Modelo'!$C$13/'Modelo'!$C$11)</f>
        <v/>
      </c>
      <c r="F10" s="13">
        <f>IF('Modelo'!$C$13=0,0,'Supuestos'!$C$8*1/'Modelo'!$C$13)</f>
        <v/>
      </c>
      <c r="G10" s="13">
        <f>IF('Modelo'!$C$13=0,0,'Modelo'!$C$40*1/'Modelo'!$C$13)</f>
        <v/>
      </c>
      <c r="H10" s="13">
        <f>IF('Modelo'!$C$13=0,0,'Modelo'!$C$47*'Modelo'!$C$11*1/'Modelo'!$C$13)</f>
        <v/>
      </c>
      <c r="I10" s="5" t="inlineStr">
        <is>
          <t>Solo cuenta con el interruptor de evento en 1; si no, queda en 0.</t>
        </is>
      </c>
    </row>
    <row r="11">
      <c r="B11" t="inlineStr">
        <is>
          <t>Completan la aplicación</t>
        </is>
      </c>
      <c r="C11" s="22">
        <f>'Modelo'!$C$15</f>
        <v/>
      </c>
      <c r="D11" s="24">
        <f>IF('Modelo'!$C$11=0,0,'Modelo'!$C$15/'Modelo'!$C$11)</f>
        <v/>
      </c>
      <c r="E11" s="27">
        <f>IF('Modelo'!$C$11=0,0,'Modelo'!$C$15/'Modelo'!$C$11)</f>
        <v/>
      </c>
      <c r="F11" s="13">
        <f>IF('Modelo'!$C$15=0,0,'Supuestos'!$C$8*1/'Modelo'!$C$15)</f>
        <v/>
      </c>
      <c r="G11" s="13">
        <f>IF('Modelo'!$C$15=0,0,'Modelo'!$C$40*1/'Modelo'!$C$15)</f>
        <v/>
      </c>
      <c r="H11" s="13">
        <f>IF('Modelo'!$C$15=0,0,'Modelo'!$C$47*'Modelo'!$C$11*1/'Modelo'!$C$15)</f>
        <v/>
      </c>
      <c r="I11" s="5" t="inlineStr">
        <is>
          <t>Costo por aplicación. Sobre leads (sobre asistentes si hay evento).</t>
        </is>
      </c>
    </row>
    <row r="12">
      <c r="B12" t="inlineStr">
        <is>
          <t>Califican</t>
        </is>
      </c>
      <c r="C12" s="22">
        <f>'Modelo'!$C$16</f>
        <v/>
      </c>
      <c r="D12" s="24">
        <f>IF('Modelo'!$C$15=0,0,'Modelo'!$C$16/'Modelo'!$C$15)</f>
        <v/>
      </c>
      <c r="E12" s="27">
        <f>IF('Modelo'!$C$11=0,0,'Modelo'!$C$16/'Modelo'!$C$11)</f>
        <v/>
      </c>
      <c r="F12" s="13">
        <f>IF('Modelo'!$C$16=0,0,'Supuestos'!$C$8*1/'Modelo'!$C$16)</f>
        <v/>
      </c>
      <c r="G12" s="13">
        <f>IF('Modelo'!$C$16=0,0,'Modelo'!$C$40*1/'Modelo'!$C$16)</f>
        <v/>
      </c>
      <c r="H12" s="13">
        <f>IF('Modelo'!$C$16=0,0,'Modelo'!$C$47*'Modelo'!$C$11*1/'Modelo'!$C$16)</f>
        <v/>
      </c>
      <c r="I12" s="5" t="inlineStr">
        <is>
          <t>Sobre aplicaciones. Palanca: las preguntas del formulario.</t>
        </is>
      </c>
    </row>
    <row r="13">
      <c r="B13" s="4" t="inlineStr">
        <is>
          <t>Agendan la llamada</t>
        </is>
      </c>
      <c r="C13" s="22">
        <f>'Modelo'!$C$17</f>
        <v/>
      </c>
      <c r="D13" s="24">
        <f>IF('Modelo'!$C$16=0,0,'Modelo'!$C$17/'Modelo'!$C$16)</f>
        <v/>
      </c>
      <c r="E13" s="27">
        <f>IF('Modelo'!$C$11=0,0,'Modelo'!$C$17/'Modelo'!$C$11)</f>
        <v/>
      </c>
      <c r="F13" s="13">
        <f>IF('Modelo'!$C$17=0,0,'Supuestos'!$C$8*1/'Modelo'!$C$17)</f>
        <v/>
      </c>
      <c r="G13" s="13">
        <f>IF('Modelo'!$C$17=0,0,'Modelo'!$C$40*1/'Modelo'!$C$17)</f>
        <v/>
      </c>
      <c r="H13" s="13">
        <f>IF('Modelo'!$C$17=0,0,'Modelo'!$C$47*'Modelo'!$C$11*1/'Modelo'!$C$17)</f>
        <v/>
      </c>
      <c r="I13" s="5" t="inlineStr">
        <is>
          <t>Costo por agenda. Sobre calificados. Palancas: setter, confirmación por WhatsApp.</t>
        </is>
      </c>
    </row>
    <row r="14">
      <c r="B14" t="inlineStr">
        <is>
          <t>Aparecen en la llamada (show)</t>
        </is>
      </c>
      <c r="C14" s="22">
        <f>'Modelo'!$C$18</f>
        <v/>
      </c>
      <c r="D14" s="24">
        <f>IF('Modelo'!$C$17=0,0,'Modelo'!$C$18/'Modelo'!$C$17)</f>
        <v/>
      </c>
      <c r="E14" s="27">
        <f>IF('Modelo'!$C$11=0,0,'Modelo'!$C$18/'Modelo'!$C$11)</f>
        <v/>
      </c>
      <c r="F14" s="13">
        <f>IF('Modelo'!$C$18=0,0,'Supuestos'!$C$8*1/'Modelo'!$C$18)</f>
        <v/>
      </c>
      <c r="G14" s="13">
        <f>IF('Modelo'!$C$18=0,0,'Modelo'!$C$40*1/'Modelo'!$C$18)</f>
        <v/>
      </c>
      <c r="H14" s="13">
        <f>IF('Modelo'!$C$18=0,0,'Modelo'!$C$47*'Modelo'!$C$11*1/'Modelo'!$C$18)</f>
        <v/>
      </c>
      <c r="I14" s="5" t="inlineStr">
        <is>
          <t>Costo por llamada realizada. Sobre agendas. Palancas: recordatorio, video de bienvenida.</t>
        </is>
      </c>
    </row>
    <row r="15">
      <c r="B15" s="4" t="inlineStr">
        <is>
          <t>Compran el programa</t>
        </is>
      </c>
      <c r="C15" s="22">
        <f>'Modelo'!$C$23</f>
        <v/>
      </c>
      <c r="D15" s="24">
        <f>IF('Modelo'!$C$18=0,0,'Modelo'!$C$23/'Modelo'!$C$18)</f>
        <v/>
      </c>
      <c r="E15" s="27">
        <f>IF('Modelo'!$C$11=0,0,'Modelo'!$C$23/'Modelo'!$C$11)</f>
        <v/>
      </c>
      <c r="F15" s="13">
        <f>IF('Modelo'!$C$23=0,0,'Supuestos'!$C$8*1/'Modelo'!$C$23)</f>
        <v/>
      </c>
      <c r="G15" s="13">
        <f>IF('Modelo'!$C$23=0,0,'Modelo'!$C$40*1/'Modelo'!$C$23)</f>
        <v/>
      </c>
      <c r="H15" s="13">
        <f>IF('Modelo'!$C$23=0,0,'Modelo'!$C$47*'Modelo'!$C$11*1/'Modelo'!$C$23)</f>
        <v/>
      </c>
      <c r="I15" s="5" t="inlineStr">
        <is>
          <t>CAC. Sobre llamadas (cierre). Juzgar con 3 a 4 eventos, nunca con uno.</t>
        </is>
      </c>
    </row>
    <row r="16">
      <c r="B16" t="inlineStr">
        <is>
          <t>Toman el downsell</t>
        </is>
      </c>
      <c r="C16" s="22">
        <f>'Modelo'!$C$24</f>
        <v/>
      </c>
      <c r="D16" s="24">
        <f>IF('Modelo'!$C$18=0,0,'Modelo'!$C$24/'Modelo'!$C$18)</f>
        <v/>
      </c>
      <c r="E16" s="27">
        <f>IF('Modelo'!$C$11=0,0,'Modelo'!$C$24/'Modelo'!$C$11)</f>
        <v/>
      </c>
      <c r="F16" t="inlineStr">
        <is>
          <t>sin costo propio</t>
        </is>
      </c>
      <c r="G16" t="inlineStr">
        <is>
          <t>—</t>
        </is>
      </c>
      <c r="H16" t="inlineStr">
        <is>
          <t>—</t>
        </is>
      </c>
      <c r="I16" s="5" t="inlineStr">
        <is>
          <t>Sobre llamadas que no compraron. Se pagó con el CAC; suma al facturado.</t>
        </is>
      </c>
    </row>
    <row r="18">
      <c r="B18" s="4" t="inlineStr">
        <is>
          <t>Comprobalo con la fila de la unidad: costo + ganancia + fijos repartidos = techo</t>
        </is>
      </c>
      <c r="F18" s="18">
        <f>F9</f>
        <v/>
      </c>
      <c r="G18" s="18">
        <f>G9</f>
        <v/>
      </c>
      <c r="H18" s="13">
        <f>F9+G9+'Supuestos'!$C$37/'Modelo'!$C$11</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5"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20" t="n">
        <v>4500</v>
      </c>
      <c r="G8" t="inlineStr">
        <is>
          <t>USD / mes</t>
        </is>
      </c>
      <c r="H8" s="5" t="inlineStr">
        <is>
          <t>150 USD por día en el ejemplo.</t>
        </is>
      </c>
    </row>
    <row r="9">
      <c r="B9" t="inlineStr">
        <is>
          <t>CPM (costo por mil impresiones)</t>
        </is>
      </c>
      <c r="C9" s="18">
        <f>IF('Supuestos'!$C$6=1,D9,IF('Supuestos'!$C$6=2,E9,F9))</f>
        <v/>
      </c>
      <c r="D9" s="17" t="n">
        <v>14</v>
      </c>
      <c r="E9" s="17" t="n">
        <v>10</v>
      </c>
      <c r="F9" s="17" t="n">
        <v>7</v>
      </c>
      <c r="G9" t="inlineStr">
        <is>
          <t>USD</t>
        </is>
      </c>
      <c r="H9" s="5" t="inlineStr">
        <is>
          <t>Públicos de ticket alto suelen ser más caros: 7 a 15.</t>
        </is>
      </c>
    </row>
    <row r="10">
      <c r="B10" t="inlineStr">
        <is>
          <t>CTR al enlace</t>
        </is>
      </c>
      <c r="C10" s="24">
        <f>IF('Supuestos'!$C$6=1,D10,IF('Supuestos'!$C$6=2,E10,F10))</f>
        <v/>
      </c>
      <c r="D10" s="23" t="n">
        <v>0.012</v>
      </c>
      <c r="E10" s="23" t="n">
        <v>0.015</v>
      </c>
      <c r="F10" s="23" t="n">
        <v>0.02</v>
      </c>
      <c r="G10" t="inlineStr">
        <is>
          <t>%</t>
        </is>
      </c>
      <c r="H10" s="5" t="inlineStr"/>
    </row>
    <row r="11">
      <c r="B11" t="inlineStr">
        <is>
          <t>% de clics que cargan la página</t>
        </is>
      </c>
      <c r="C11" s="23" t="n">
        <v>0.85</v>
      </c>
      <c r="G11" t="inlineStr">
        <is>
          <t>%</t>
        </is>
      </c>
      <c r="H11" s="5" t="inlineStr"/>
    </row>
    <row r="13">
      <c r="B13" s="7" t="inlineStr">
        <is>
          <t>2. Página de captación</t>
        </is>
      </c>
      <c r="C13" s="8" t="n"/>
      <c r="D13" s="8" t="n"/>
      <c r="E13" s="8" t="n"/>
      <c r="F13" s="8" t="n"/>
      <c r="G13" s="8" t="n"/>
      <c r="H13" s="8" t="n"/>
    </row>
    <row r="14">
      <c r="B14" t="inlineStr">
        <is>
          <t>% de visitas que dejan sus datos (lead)</t>
        </is>
      </c>
      <c r="C14" s="24">
        <f>IF('Supuestos'!$C$6=1,D14,IF('Supuestos'!$C$6=2,E14,F14))</f>
        <v/>
      </c>
      <c r="D14" s="23" t="n">
        <v>0.2</v>
      </c>
      <c r="E14" s="23" t="n">
        <v>0.28</v>
      </c>
      <c r="F14" s="23" t="n">
        <v>0.35</v>
      </c>
      <c r="G14" t="inlineStr">
        <is>
          <t>%</t>
        </is>
      </c>
      <c r="H14" s="5" t="inlineStr">
        <is>
          <t>Registro al webinar o inicio de la aplicación.</t>
        </is>
      </c>
    </row>
    <row r="16">
      <c r="B16" s="7" t="inlineStr">
        <is>
          <t>3. Evento previo (opcional)</t>
        </is>
      </c>
      <c r="C16" s="8" t="n"/>
      <c r="D16" s="8" t="n"/>
      <c r="E16" s="8" t="n"/>
      <c r="F16" s="8" t="n"/>
      <c r="G16" s="8" t="n"/>
      <c r="H16" s="8" t="n"/>
    </row>
    <row r="17">
      <c r="B17" t="inlineStr">
        <is>
          <t>¿Hay webinar o evento antes de la aplicación? (1 = sí, 0 = no)</t>
        </is>
      </c>
      <c r="C17" s="25" t="n">
        <v>0</v>
      </c>
      <c r="G17" t="inlineStr">
        <is>
          <t>1 / 0</t>
        </is>
      </c>
      <c r="H17" s="5" t="inlineStr">
        <is>
          <t>Con 1, la aplicación se mide sobre los asistentes; con 0, sobre todos los leads.</t>
        </is>
      </c>
    </row>
    <row r="18">
      <c r="B18" t="inlineStr">
        <is>
          <t>% de leads que asisten al evento</t>
        </is>
      </c>
      <c r="C18" s="24">
        <f>IF('Supuestos'!$C$6=1,D18,IF('Supuestos'!$C$6=2,E18,F18))</f>
        <v/>
      </c>
      <c r="D18" s="23" t="n">
        <v>0.1</v>
      </c>
      <c r="E18" s="23" t="n">
        <v>0.14</v>
      </c>
      <c r="F18" s="23" t="n">
        <v>0.2</v>
      </c>
      <c r="G18" t="inlineStr">
        <is>
          <t>%</t>
        </is>
      </c>
      <c r="H18" s="5" t="inlineStr">
        <is>
          <t>Solo cuenta si el interruptor está en 1.</t>
        </is>
      </c>
    </row>
    <row r="20">
      <c r="B20" s="7" t="inlineStr">
        <is>
          <t>4. Aplicación, agenda y llamada</t>
        </is>
      </c>
      <c r="C20" s="8" t="n"/>
      <c r="D20" s="8" t="n"/>
      <c r="E20" s="8" t="n"/>
      <c r="F20" s="8" t="n"/>
      <c r="G20" s="8" t="n"/>
      <c r="H20" s="8" t="n"/>
    </row>
    <row r="21">
      <c r="B21" t="inlineStr">
        <is>
          <t>% que completa la aplicación (de leads, o de asistentes si hay evento)</t>
        </is>
      </c>
      <c r="C21" s="24">
        <f>IF('Supuestos'!$C$6=1,D21,IF('Supuestos'!$C$6=2,E21,F21))</f>
        <v/>
      </c>
      <c r="D21" s="23" t="n">
        <v>0.07000000000000001</v>
      </c>
      <c r="E21" s="23" t="n">
        <v>0.1</v>
      </c>
      <c r="F21" s="23" t="n">
        <v>0.15</v>
      </c>
      <c r="G21" t="inlineStr">
        <is>
          <t>%</t>
        </is>
      </c>
      <c r="H21" s="5" t="inlineStr">
        <is>
          <t>Formulario largo con preguntas que califican.</t>
        </is>
      </c>
    </row>
    <row r="22">
      <c r="B22" t="inlineStr">
        <is>
          <t>% de aplicaciones que califican</t>
        </is>
      </c>
      <c r="C22" s="24">
        <f>IF('Supuestos'!$C$6=1,D22,IF('Supuestos'!$C$6=2,E22,F22))</f>
        <v/>
      </c>
      <c r="D22" s="23" t="n">
        <v>0.5</v>
      </c>
      <c r="E22" s="23" t="n">
        <v>0.6</v>
      </c>
      <c r="F22" s="23" t="n">
        <v>0.7</v>
      </c>
      <c r="G22" t="inlineStr">
        <is>
          <t>%</t>
        </is>
      </c>
      <c r="H22" s="5" t="inlineStr">
        <is>
          <t>Pasan el filtro de capacidad de inversión y perfil.</t>
        </is>
      </c>
    </row>
    <row r="23">
      <c r="B23" t="inlineStr">
        <is>
          <t>% de calificados que agendan</t>
        </is>
      </c>
      <c r="C23" s="24">
        <f>IF('Supuestos'!$C$6=1,D23,IF('Supuestos'!$C$6=2,E23,F23))</f>
        <v/>
      </c>
      <c r="D23" s="23" t="n">
        <v>0.45</v>
      </c>
      <c r="E23" s="23" t="n">
        <v>0.6</v>
      </c>
      <c r="F23" s="23" t="n">
        <v>0.75</v>
      </c>
      <c r="G23" t="inlineStr">
        <is>
          <t>%</t>
        </is>
      </c>
      <c r="H23" s="5" t="inlineStr">
        <is>
          <t>Mercado: 30 a 60 % de las aplicaciones terminan en agenda.</t>
        </is>
      </c>
    </row>
    <row r="24">
      <c r="B24" t="inlineStr">
        <is>
          <t>% de agendas que aparecen en la llamada</t>
        </is>
      </c>
      <c r="C24" s="24">
        <f>IF('Supuestos'!$C$6=1,D24,IF('Supuestos'!$C$6=2,E24,F24))</f>
        <v/>
      </c>
      <c r="D24" s="23" t="n">
        <v>0.6</v>
      </c>
      <c r="E24" s="23" t="n">
        <v>0.7</v>
      </c>
      <c r="F24" s="23" t="n">
        <v>0.8</v>
      </c>
      <c r="G24" t="inlineStr">
        <is>
          <t>%</t>
        </is>
      </c>
      <c r="H24" s="5" t="inlineStr">
        <is>
          <t>Mercado: 65 a 75 %. Confirmación por WhatsApp y video de bienvenida lo suben.</t>
        </is>
      </c>
    </row>
    <row r="25">
      <c r="B25" t="inlineStr">
        <is>
          <t>% de llamadas que compran</t>
        </is>
      </c>
      <c r="C25" s="24">
        <f>IF('Supuestos'!$C$6=1,D25,IF('Supuestos'!$C$6=2,E25,F25))</f>
        <v/>
      </c>
      <c r="D25" s="23" t="n">
        <v>0.18</v>
      </c>
      <c r="E25" s="23" t="n">
        <v>0.25</v>
      </c>
      <c r="F25" s="23" t="n">
        <v>0.35</v>
      </c>
      <c r="G25" t="inlineStr">
        <is>
          <t>%</t>
        </is>
      </c>
      <c r="H25" s="5" t="inlineStr">
        <is>
          <t>Lead tibio y calificado: 20 a 40 %. Frío sin filtro: menos de 5 %.</t>
        </is>
      </c>
    </row>
    <row r="27">
      <c r="B27" s="7" t="inlineStr">
        <is>
          <t>5. Oferta</t>
        </is>
      </c>
      <c r="C27" s="8" t="n"/>
      <c r="D27" s="8" t="n"/>
      <c r="E27" s="8" t="n"/>
      <c r="F27" s="8" t="n"/>
      <c r="G27" s="8" t="n"/>
      <c r="H27" s="8" t="n"/>
    </row>
    <row r="28">
      <c r="B28" t="inlineStr">
        <is>
          <t>Programa: precio</t>
        </is>
      </c>
      <c r="C28" s="17" t="n">
        <v>1500</v>
      </c>
      <c r="G28" t="inlineStr">
        <is>
          <t>USD</t>
        </is>
      </c>
      <c r="H28" s="5" t="inlineStr">
        <is>
          <t>Debajo de 1.500 un closer 1 a 1 rara vez se paga; el modelo te lo muestra en la ganancia.</t>
        </is>
      </c>
    </row>
    <row r="29">
      <c r="B29" t="inlineStr">
        <is>
          <t>Downsell para quien no compra en la llamada: precio</t>
        </is>
      </c>
      <c r="C29" s="17" t="n">
        <v>497</v>
      </c>
      <c r="G29" t="inlineStr">
        <is>
          <t>USD</t>
        </is>
      </c>
      <c r="H29" s="5" t="inlineStr">
        <is>
          <t>Versión reducida o self-serve.</t>
        </is>
      </c>
    </row>
    <row r="30">
      <c r="B30" t="inlineStr">
        <is>
          <t>Downsell: % de los que no compraron que lo toman</t>
        </is>
      </c>
      <c r="C30" s="24">
        <f>IF('Supuestos'!$C$6=1,D30,IF('Supuestos'!$C$6=2,E30,F30))</f>
        <v/>
      </c>
      <c r="D30" s="23" t="n">
        <v>0.05</v>
      </c>
      <c r="E30" s="23" t="n">
        <v>0.1</v>
      </c>
      <c r="F30" s="23" t="n">
        <v>0.15</v>
      </c>
      <c r="G30" t="inlineStr">
        <is>
          <t>%</t>
        </is>
      </c>
      <c r="H30" s="5" t="inlineStr"/>
    </row>
    <row r="32">
      <c r="B32" s="7" t="inlineStr">
        <is>
          <t>6. Costos</t>
        </is>
      </c>
      <c r="C32" s="8" t="n"/>
      <c r="D32" s="8" t="n"/>
      <c r="E32" s="8" t="n"/>
      <c r="F32" s="8" t="n"/>
      <c r="G32" s="8" t="n"/>
      <c r="H32" s="8" t="n"/>
    </row>
    <row r="33">
      <c r="B33" t="inlineStr">
        <is>
          <t>Comisión de la pasarela o plataforma de pago</t>
        </is>
      </c>
      <c r="C33" s="23" t="n">
        <v>0.05</v>
      </c>
      <c r="G33" t="inlineStr">
        <is>
          <t>% del cash</t>
        </is>
      </c>
      <c r="H33" s="5" t="inlineStr">
        <is>
          <t>Hotmart, Stripe, Mercado Pago: lo que se queda la plataforma.</t>
        </is>
      </c>
    </row>
    <row r="34">
      <c r="B34" t="inlineStr">
        <is>
          <t>Comisión del equipo de ventas</t>
        </is>
      </c>
      <c r="C34" s="23" t="n">
        <v>0.1</v>
      </c>
      <c r="G34" t="inlineStr">
        <is>
          <t>% del cash</t>
        </is>
      </c>
      <c r="H34" s="5" t="inlineStr">
        <is>
          <t>Comisión de closers y setters sobre el cash cobrado. 10 a 15 % es lo común.</t>
        </is>
      </c>
    </row>
    <row r="35">
      <c r="B35" t="inlineStr">
        <is>
          <t>Reembolsos y contracargos</t>
        </is>
      </c>
      <c r="C35" s="23" t="n">
        <v>0.05</v>
      </c>
      <c r="G35" t="inlineStr">
        <is>
          <t>% del cash</t>
        </is>
      </c>
      <c r="H35" s="5" t="inlineStr">
        <is>
          <t>5 % es normal en productos digitales. Más de 10 % es un problema de oferta o de expectativa.</t>
        </is>
      </c>
    </row>
    <row r="36">
      <c r="B36" t="inlineStr">
        <is>
          <t>Costos por lead (herramientas, WhatsApp, IA)</t>
        </is>
      </c>
      <c r="C36" s="17" t="n">
        <v>0.2</v>
      </c>
      <c r="G36" t="inlineStr">
        <is>
          <t>USD / lead</t>
        </is>
      </c>
      <c r="H36" s="5" t="inlineStr">
        <is>
          <t>WhatsApp, herramientas de agenda, setter por contacto.</t>
        </is>
      </c>
    </row>
    <row r="37">
      <c r="B37" t="inlineStr">
        <is>
          <t>Costos fijos por mes</t>
        </is>
      </c>
      <c r="C37" s="20" t="n">
        <v>2500</v>
      </c>
      <c r="G37" t="inlineStr">
        <is>
          <t>USD / mes</t>
        </is>
      </c>
      <c r="H37" s="5" t="inlineStr">
        <is>
          <t>Equipo, herramientas, edición: lo que pagás aunque no vendas.</t>
        </is>
      </c>
    </row>
    <row r="39">
      <c r="B39" s="7" t="inlineStr">
        <is>
          <t>7. Cobranza</t>
        </is>
      </c>
      <c r="C39" s="8" t="n"/>
      <c r="D39" s="8" t="n"/>
      <c r="E39" s="8" t="n"/>
      <c r="F39" s="8" t="n"/>
      <c r="G39" s="8" t="n"/>
      <c r="H39" s="8" t="n"/>
    </row>
    <row r="40">
      <c r="B40" t="inlineStr">
        <is>
          <t>% del facturado que entra en el mes 1</t>
        </is>
      </c>
      <c r="C40" s="23" t="n">
        <v>0.6</v>
      </c>
      <c r="G40" t="inlineStr">
        <is>
          <t>%</t>
        </is>
      </c>
      <c r="H40" s="5" t="inlineStr">
        <is>
          <t>Ticket alto con cuotas: 60 % al contado o primera cuota, el resto en dos meses.</t>
        </is>
      </c>
    </row>
    <row r="41">
      <c r="B41" t="inlineStr">
        <is>
          <t>% que entra en el mes 2</t>
        </is>
      </c>
      <c r="C41" s="23" t="n">
        <v>0.2</v>
      </c>
      <c r="G41" t="inlineStr">
        <is>
          <t>%</t>
        </is>
      </c>
      <c r="H41" s="5" t="inlineStr">
        <is>
          <t>Cuotas o pagos diferidos.</t>
        </is>
      </c>
    </row>
    <row r="42">
      <c r="B42" t="inlineStr">
        <is>
          <t>% que entra en el mes 3</t>
        </is>
      </c>
      <c r="C42" s="23" t="n">
        <v>0.2</v>
      </c>
      <c r="G42" t="inlineStr">
        <is>
          <t>%</t>
        </is>
      </c>
      <c r="H42" s="5" t="inlineStr">
        <is>
          <t>Los tres deben sumar 100 %.</t>
        </is>
      </c>
    </row>
    <row r="44">
      <c r="B44" s="7" t="inlineStr">
        <is>
          <t>8. Objetivos y proyección</t>
        </is>
      </c>
      <c r="C44" s="8" t="n"/>
      <c r="D44" s="8" t="n"/>
      <c r="E44" s="8" t="n"/>
      <c r="F44" s="8" t="n"/>
      <c r="G44" s="8" t="n"/>
      <c r="H44" s="8" t="n"/>
    </row>
    <row r="45">
      <c r="B45" t="inlineStr">
        <is>
          <t>ROAS objetivo sobre cash neto</t>
        </is>
      </c>
      <c r="C45" s="29" t="n">
        <v>2.5</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3" t="n">
        <v>0.3</v>
      </c>
      <c r="G46" t="inlineStr">
        <is>
          <t>%</t>
        </is>
      </c>
      <c r="H46" s="5" t="inlineStr">
        <is>
          <t>Colchón entre el techo (donde no ganás ni perdés) y el objetivo. 30 % es el estándar que usamos.</t>
        </is>
      </c>
    </row>
    <row r="47">
      <c r="B47" t="inlineStr">
        <is>
          <t>Meta de ventas del producto principal</t>
        </is>
      </c>
      <c r="C47" s="25" t="n">
        <v>15</v>
      </c>
      <c r="G47" t="inlineStr">
        <is>
          <t>ventas / mes</t>
        </is>
      </c>
      <c r="H47" s="5" t="inlineStr">
        <is>
          <t>Para calcular cuánto invertir.</t>
        </is>
      </c>
    </row>
    <row r="48">
      <c r="B48" t="inlineStr">
        <is>
          <t>Crecimiento de la inversión por mes (proyección)</t>
        </is>
      </c>
      <c r="C48" s="23" t="n">
        <v>0.1</v>
      </c>
      <c r="G48" t="inlineStr">
        <is>
          <t>% / mes</t>
        </is>
      </c>
      <c r="H48" s="5" t="inlineStr">
        <is>
          <t>Cuánto sube la inversión cada mes en la proyección. 10 % por mes es un ritmo prudente; más de 25 % suele encarecer el CPM.</t>
        </is>
      </c>
    </row>
    <row r="49">
      <c r="B49" t="inlineStr">
        <is>
          <t>Caja inicial</t>
        </is>
      </c>
      <c r="C49" s="20" t="n">
        <v>8000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leads</t>
        </is>
      </c>
      <c r="C6" s="8" t="n"/>
      <c r="D6" s="8" t="n"/>
    </row>
    <row r="7">
      <c r="B7" t="inlineStr">
        <is>
          <t>Impresiones</t>
        </is>
      </c>
      <c r="C7" s="22">
        <f>IF('Supuestos'!$C$9=0,0,'Supuestos'!$C$8/'Supuestos'!$C$9*1000)</f>
        <v/>
      </c>
      <c r="D7" s="5" t="inlineStr">
        <is>
          <t>Inversión ÷ CPM × 1.000.</t>
        </is>
      </c>
    </row>
    <row r="8">
      <c r="B8" t="inlineStr">
        <is>
          <t>Clics al enlace</t>
        </is>
      </c>
      <c r="C8" s="22">
        <f>'Modelo'!$C$7*'Supuestos'!$C$10</f>
        <v/>
      </c>
      <c r="D8" s="5" t="inlineStr">
        <is>
          <t>Impresiones × CTR.</t>
        </is>
      </c>
    </row>
    <row r="9">
      <c r="B9" t="inlineStr">
        <is>
          <t>Visitas a la página</t>
        </is>
      </c>
      <c r="C9" s="22">
        <f>'Modelo'!$C$8*'Supuestos'!$C$11</f>
        <v/>
      </c>
      <c r="D9" s="5" t="inlineStr">
        <is>
          <t>Clics × % que carga.</t>
        </is>
      </c>
    </row>
    <row r="10">
      <c r="B10" s="4" t="inlineStr">
        <is>
          <t>Costo por lead (CPL)</t>
        </is>
      </c>
      <c r="C10" s="13">
        <f>IF('Supuestos'!$C$10*'Supuestos'!$C$11*'Supuestos'!$C$14=0,0,'Supuestos'!$C$9/1000/('Supuestos'!$C$10*'Supuestos'!$C$11*'Supuestos'!$C$14))</f>
        <v/>
      </c>
      <c r="D10" s="5" t="inlineStr">
        <is>
          <t>CPM ÷ 1.000 ÷ (CTR × clic→visita × conversión de la página).</t>
        </is>
      </c>
    </row>
    <row r="11">
      <c r="B11" s="4" t="inlineStr">
        <is>
          <t>Leads</t>
        </is>
      </c>
      <c r="C11" s="12">
        <f>IF('Modelo'!$C$10=0,0,'Supuestos'!$C$8/'Modelo'!$C$10)</f>
        <v/>
      </c>
      <c r="D11" s="5" t="inlineStr">
        <is>
          <t>Inversión ÷ CPL.</t>
        </is>
      </c>
    </row>
    <row r="12">
      <c r="B12" s="7" t="inlineStr">
        <is>
          <t>Evento, aplicación y agenda</t>
        </is>
      </c>
      <c r="C12" s="8" t="n"/>
      <c r="D12" s="8" t="n"/>
    </row>
    <row r="13">
      <c r="B13" t="inlineStr">
        <is>
          <t>Asistentes al evento (si hay)</t>
        </is>
      </c>
      <c r="C13" s="22">
        <f>IF('Supuestos'!$C$17=1,'Modelo'!$C$11*'Supuestos'!$C$18,0)</f>
        <v/>
      </c>
      <c r="D13" s="5" t="inlineStr">
        <is>
          <t>Leads × asistencia, solo con el interruptor en 1.</t>
        </is>
      </c>
    </row>
    <row r="14">
      <c r="B14" t="inlineStr">
        <is>
          <t>Base de la aplicación (asistentes o leads)</t>
        </is>
      </c>
      <c r="C14" s="22">
        <f>IF('Supuestos'!$C$17=1,'Modelo'!$C$13,'Modelo'!$C$11)</f>
        <v/>
      </c>
      <c r="D14" s="5" t="inlineStr">
        <is>
          <t>Sobre quién se mide la aplicación.</t>
        </is>
      </c>
    </row>
    <row r="15">
      <c r="B15" t="inlineStr">
        <is>
          <t>Aplicaciones completas</t>
        </is>
      </c>
      <c r="C15" s="22">
        <f>'Modelo'!$C$14*'Supuestos'!$C$21</f>
        <v/>
      </c>
      <c r="D15" s="5" t="inlineStr">
        <is>
          <t>Base × % que aplica.</t>
        </is>
      </c>
    </row>
    <row r="16">
      <c r="B16" t="inlineStr">
        <is>
          <t>Calificados</t>
        </is>
      </c>
      <c r="C16" s="22">
        <f>'Modelo'!$C$15*'Supuestos'!$C$22</f>
        <v/>
      </c>
      <c r="D16" s="5" t="inlineStr">
        <is>
          <t>Aplicaciones × % que califica.</t>
        </is>
      </c>
    </row>
    <row r="17">
      <c r="B17" s="4" t="inlineStr">
        <is>
          <t>Agendas</t>
        </is>
      </c>
      <c r="C17" s="11">
        <f>'Modelo'!$C$16*'Supuestos'!$C$23</f>
        <v/>
      </c>
      <c r="D17" s="5" t="inlineStr">
        <is>
          <t>Calificados × % que agenda.</t>
        </is>
      </c>
    </row>
    <row r="18">
      <c r="B18" t="inlineStr">
        <is>
          <t>Llamadas realizadas</t>
        </is>
      </c>
      <c r="C18" s="26">
        <f>'Modelo'!$C$17*'Supuestos'!$C$24</f>
        <v/>
      </c>
      <c r="D18" s="5" t="inlineStr">
        <is>
          <t>Agendas × show de la llamada.</t>
        </is>
      </c>
    </row>
    <row r="19">
      <c r="B19" t="inlineStr">
        <is>
          <t>Costo por aplicación</t>
        </is>
      </c>
      <c r="C19" s="18">
        <f>IF('Modelo'!$C$15=0,0,'Supuestos'!$C$8/'Modelo'!$C$15)</f>
        <v/>
      </c>
      <c r="D19" s="5" t="inlineStr">
        <is>
          <t>Inversión ÷ aplicaciones.</t>
        </is>
      </c>
    </row>
    <row r="20">
      <c r="B20" s="4" t="inlineStr">
        <is>
          <t>Costo por agenda</t>
        </is>
      </c>
      <c r="C20" s="13">
        <f>IF('Modelo'!$C$17=0,0,'Supuestos'!$C$8/'Modelo'!$C$17)</f>
        <v/>
      </c>
      <c r="D20" s="5" t="inlineStr">
        <is>
          <t>Inversión ÷ agendas.</t>
        </is>
      </c>
    </row>
    <row r="21">
      <c r="B21" t="inlineStr">
        <is>
          <t>Costo por llamada realizada</t>
        </is>
      </c>
      <c r="C21" s="18">
        <f>IF('Modelo'!$C$18=0,0,'Supuestos'!$C$8/'Modelo'!$C$18)</f>
        <v/>
      </c>
      <c r="D21" s="5" t="inlineStr">
        <is>
          <t>Inversión ÷ llamadas.</t>
        </is>
      </c>
    </row>
    <row r="22">
      <c r="B22" s="7" t="inlineStr">
        <is>
          <t>Ventas y facturación</t>
        </is>
      </c>
      <c r="C22" s="8" t="n"/>
      <c r="D22" s="8" t="n"/>
    </row>
    <row r="23">
      <c r="B23" s="4" t="inlineStr">
        <is>
          <t>Ventas del programa</t>
        </is>
      </c>
      <c r="C23" s="11">
        <f>'Modelo'!$C$18*'Supuestos'!$C$25</f>
        <v/>
      </c>
      <c r="D23" s="5" t="inlineStr">
        <is>
          <t>Llamadas × cierre.</t>
        </is>
      </c>
    </row>
    <row r="24">
      <c r="B24" t="inlineStr">
        <is>
          <t>Ventas del downsell</t>
        </is>
      </c>
      <c r="C24" s="26">
        <f>('Modelo'!$C$18-'Modelo'!$C$23)*'Supuestos'!$C$30</f>
        <v/>
      </c>
      <c r="D24" s="5" t="inlineStr">
        <is>
          <t>(Llamadas − ventas) × % que toma el downsell.</t>
        </is>
      </c>
    </row>
    <row r="25">
      <c r="B25" t="inlineStr">
        <is>
          <t>% de leads que compran el programa</t>
        </is>
      </c>
      <c r="C25" s="27">
        <f>IF('Modelo'!$C$11=0,0,'Modelo'!$C$23/'Modelo'!$C$11)</f>
        <v/>
      </c>
      <c r="D25" s="5" t="inlineStr">
        <is>
          <t>Ventas ÷ leads.</t>
        </is>
      </c>
    </row>
    <row r="26">
      <c r="B26" s="4" t="inlineStr">
        <is>
          <t>Costo por venta del programa (CAC)</t>
        </is>
      </c>
      <c r="C26" s="13">
        <f>IF('Modelo'!$C$23=0,0,'Supuestos'!$C$8/'Modelo'!$C$23)</f>
        <v/>
      </c>
      <c r="D26" s="5" t="inlineStr">
        <is>
          <t>Inversión ÷ ventas.</t>
        </is>
      </c>
    </row>
    <row r="27">
      <c r="B27" t="inlineStr">
        <is>
          <t>Facturado: programa</t>
        </is>
      </c>
      <c r="C27" s="21">
        <f>'Modelo'!$C$23*'Supuestos'!$C$28</f>
        <v/>
      </c>
      <c r="D27" s="5" t="inlineStr">
        <is>
          <t>Ventas × precio.</t>
        </is>
      </c>
    </row>
    <row r="28">
      <c r="B28" t="inlineStr">
        <is>
          <t>Facturado: downsell</t>
        </is>
      </c>
      <c r="C28" s="21">
        <f>'Modelo'!$C$24*'Supuestos'!$C$29</f>
        <v/>
      </c>
      <c r="D28" s="5" t="inlineStr">
        <is>
          <t>Ventas × precio.</t>
        </is>
      </c>
    </row>
    <row r="29">
      <c r="B29" s="4" t="inlineStr">
        <is>
          <t>Facturado total</t>
        </is>
      </c>
      <c r="C29" s="9">
        <f>'Modelo'!$C$27+'Modelo'!$C$28</f>
        <v/>
      </c>
      <c r="D29" s="5" t="inlineStr">
        <is>
          <t>Programa + downsell.</t>
        </is>
      </c>
    </row>
    <row r="30">
      <c r="B30" t="inlineStr">
        <is>
          <t>Facturado por comprador del programa</t>
        </is>
      </c>
      <c r="C30" s="18">
        <f>IF('Modelo'!$C$23=0,0,'Modelo'!$C$29/'Modelo'!$C$23)</f>
        <v/>
      </c>
      <c r="D30" s="5" t="inlineStr">
        <is>
          <t>Facturado ÷ ventas del programa.</t>
        </is>
      </c>
    </row>
    <row r="31">
      <c r="B31" t="inlineStr">
        <is>
          <t>Ventas del programa por lead (para la proyección)</t>
        </is>
      </c>
      <c r="C31" s="27">
        <f>IF('Modelo'!$C$11=0,0,'Modelo'!$C$23/'Modelo'!$C$11)</f>
        <v/>
      </c>
      <c r="D31" s="5" t="inlineStr">
        <is>
          <t>Igual a '% de leads que compran'.</t>
        </is>
      </c>
    </row>
    <row r="32">
      <c r="B32" t="inlineStr">
        <is>
          <t>Facturado por lead</t>
        </is>
      </c>
      <c r="C32" s="18">
        <f>IF('Modelo'!$C$11=0,0,'Modelo'!$C$29/'Modelo'!$C$11)</f>
        <v/>
      </c>
      <c r="D32" s="5" t="inlineStr">
        <is>
          <t>Facturado ÷ leads.</t>
        </is>
      </c>
    </row>
    <row r="33">
      <c r="B33" s="7" t="inlineStr">
        <is>
          <t>Cash, costos y ganancia del período</t>
        </is>
      </c>
      <c r="C33" s="8" t="n"/>
      <c r="D33" s="8" t="n"/>
    </row>
    <row r="34">
      <c r="B34" t="inlineStr">
        <is>
          <t>Cash a cobrar (facturado × cobranza completa)</t>
        </is>
      </c>
      <c r="C34" s="21">
        <f>'Modelo'!$C$29*('Supuestos'!$C$40+'Supuestos'!$C$41+'Supuestos'!$C$42)</f>
        <v/>
      </c>
      <c r="D34" s="5" t="inlineStr">
        <is>
          <t>Facturado × (mes 1 + mes 2 + mes 3). Si la cobranza suma 100 %, es igual al facturado.</t>
        </is>
      </c>
    </row>
    <row r="35">
      <c r="B35" t="inlineStr">
        <is>
          <t>Cash que entra en el primer mes</t>
        </is>
      </c>
      <c r="C35" s="21">
        <f>'Modelo'!$C$29*'Supuestos'!$C$40</f>
        <v/>
      </c>
      <c r="D35" s="5" t="inlineStr">
        <is>
          <t>Facturado × % del mes 1.</t>
        </is>
      </c>
    </row>
    <row r="36">
      <c r="B36" t="inlineStr">
        <is>
          <t>Comisiones (pasarela + ventas)</t>
        </is>
      </c>
      <c r="C36" s="21">
        <f>'Modelo'!$C$34*('Supuestos'!$C$33+'Supuestos'!$C$34)</f>
        <v/>
      </c>
      <c r="D36" s="5" t="inlineStr">
        <is>
          <t>Cash × (pasarela + equipo de ventas).</t>
        </is>
      </c>
    </row>
    <row r="37">
      <c r="B37" t="inlineStr">
        <is>
          <t>Reembolsos</t>
        </is>
      </c>
      <c r="C37" s="21">
        <f>'Modelo'!$C$34*'Supuestos'!$C$35</f>
        <v/>
      </c>
      <c r="D37" s="5" t="inlineStr">
        <is>
          <t>Cash × % de reembolsos.</t>
        </is>
      </c>
    </row>
    <row r="38">
      <c r="B38" s="4" t="inlineStr">
        <is>
          <t>Cash neto</t>
        </is>
      </c>
      <c r="C38" s="9">
        <f>'Modelo'!$C$34*(1-'Supuestos'!$C$33-'Supuestos'!$C$34-'Supuestos'!$C$35)</f>
        <v/>
      </c>
      <c r="D38" s="5" t="inlineStr">
        <is>
          <t>Cash − comisiones − reembolsos. La base de verdad.</t>
        </is>
      </c>
    </row>
    <row r="39">
      <c r="B39" t="inlineStr">
        <is>
          <t>Costos por lead (herramientas, WhatsApp, IA)</t>
        </is>
      </c>
      <c r="C39" s="21">
        <f>'Modelo'!$C$11*'Supuestos'!$C$36</f>
        <v/>
      </c>
      <c r="D39" s="5" t="inlineStr">
        <is>
          <t>Leads × costo por lead.</t>
        </is>
      </c>
    </row>
    <row r="40">
      <c r="B40" s="4" t="inlineStr">
        <is>
          <t>Ganancia del período</t>
        </is>
      </c>
      <c r="C40" s="9">
        <f>'Modelo'!$C$38-'Modelo'!$C$39-'Supuestos'!$C$37-'Supuestos'!$C$8</f>
        <v/>
      </c>
      <c r="D40" s="5" t="inlineStr">
        <is>
          <t>Cash neto − costos por unidad − fijos − inversión.</t>
        </is>
      </c>
    </row>
    <row r="41">
      <c r="B41" t="inlineStr">
        <is>
          <t>ROAS sobre facturado</t>
        </is>
      </c>
      <c r="C41" s="28">
        <f>IF('Supuestos'!$C$8=0,0,'Modelo'!$C$29/'Supuestos'!$C$8)</f>
        <v/>
      </c>
      <c r="D41" s="5" t="inlineStr">
        <is>
          <t>Facturado ÷ inversión. El número que más se infla: no decidas con este.</t>
        </is>
      </c>
    </row>
    <row r="42">
      <c r="B42" s="4" t="inlineStr">
        <is>
          <t>ROAS sobre cash neto</t>
        </is>
      </c>
      <c r="C42" s="10">
        <f>IF('Supuestos'!$C$8=0,0,'Modelo'!$C$38/'Supuestos'!$C$8)</f>
        <v/>
      </c>
      <c r="D42" s="5" t="inlineStr">
        <is>
          <t>Cash neto ÷ inversión. Con este se decide.</t>
        </is>
      </c>
    </row>
    <row r="43">
      <c r="B43" t="inlineStr">
        <is>
          <t>Margen sobre cash</t>
        </is>
      </c>
      <c r="C43" s="24">
        <f>IF('Modelo'!$C$34=0,0,'Modelo'!$C$40/'Modelo'!$C$34)</f>
        <v/>
      </c>
      <c r="D43" s="5" t="inlineStr">
        <is>
          <t>Ganancia ÷ cash.</t>
        </is>
      </c>
    </row>
    <row r="44">
      <c r="B44" t="inlineStr">
        <is>
          <t>¿Cumple el ROAS objetivo?</t>
        </is>
      </c>
      <c r="C44" s="30">
        <f>IF('Modelo'!$C$42&gt;='Supuestos'!$C$45,"SÍ","NO")</f>
        <v/>
      </c>
      <c r="D44" s="5" t="inlineStr">
        <is>
          <t>ROAS sobre cash neto contra el objetivo de Supuestos.</t>
        </is>
      </c>
    </row>
    <row r="45">
      <c r="B45" s="4" t="inlineStr">
        <is>
          <t>ROAS del cash del primer mes (sin cuotas futuras)</t>
        </is>
      </c>
      <c r="C45" s="10">
        <f>'Modelo'!$C$35*(1-'Supuestos'!$C$33-'Supuestos'!$C$34-'Supuestos'!$C$35)/'Supuestos'!$C$8</f>
        <v/>
      </c>
      <c r="D45" s="5" t="inlineStr">
        <is>
          <t>Lo que vuelve el mismo mes. Si es menor a 1, el mes se financia con caja.</t>
        </is>
      </c>
    </row>
    <row r="46">
      <c r="B46" s="7" t="inlineStr">
        <is>
          <t>Cuánto vale cada lead y hasta cuánto pagar</t>
        </is>
      </c>
      <c r="C46" s="8" t="n"/>
      <c r="D46" s="8" t="n"/>
    </row>
    <row r="47">
      <c r="B47" s="4" t="inlineStr">
        <is>
          <t>Valor neto por lead</t>
        </is>
      </c>
      <c r="C47" s="13">
        <f>IF('Modelo'!$C$11=0,0,('Modelo'!$C$38-'Modelo'!$C$39)/'Modelo'!$C$11)</f>
        <v/>
      </c>
      <c r="D47" s="5" t="inlineStr">
        <is>
          <t>(Cash neto − costos por lead) ÷ leads.</t>
        </is>
      </c>
    </row>
    <row r="48">
      <c r="B48" s="4" t="inlineStr">
        <is>
          <t>Techo de CPL (break-even)</t>
        </is>
      </c>
      <c r="C48" s="13">
        <f>'Modelo'!$C$47</f>
        <v/>
      </c>
      <c r="D48" s="5" t="inlineStr">
        <is>
          <t>Igual al valor neto por lead.</t>
        </is>
      </c>
    </row>
    <row r="49">
      <c r="B49" s="4" t="inlineStr">
        <is>
          <t>Objetivo de CPL</t>
        </is>
      </c>
      <c r="C49" s="13">
        <f>'Modelo'!$C$48/(1+'Supuestos'!$C$46)</f>
        <v/>
      </c>
      <c r="D49" s="5" t="inlineStr">
        <is>
          <t>Techo ÷ (1 + margen de seguridad).</t>
        </is>
      </c>
    </row>
    <row r="50">
      <c r="B50" t="inlineStr">
        <is>
          <t>Techo de costo por aplicación</t>
        </is>
      </c>
      <c r="C50" s="18">
        <f>IF('Modelo'!$C$15=0,0,'Modelo'!$C$47*'Modelo'!$C$11/'Modelo'!$C$15)</f>
        <v/>
      </c>
      <c r="D50" s="5" t="inlineStr">
        <is>
          <t>Valor total ÷ aplicaciones.</t>
        </is>
      </c>
    </row>
    <row r="51">
      <c r="B51" s="4" t="inlineStr">
        <is>
          <t>Techo de costo por agenda</t>
        </is>
      </c>
      <c r="C51" s="13">
        <f>IF('Modelo'!$C$17=0,0,'Modelo'!$C$47*'Modelo'!$C$11/'Modelo'!$C$17)</f>
        <v/>
      </c>
      <c r="D51" s="5" t="inlineStr">
        <is>
          <t>Valor total ÷ agendas.</t>
        </is>
      </c>
    </row>
    <row r="52">
      <c r="B52" t="inlineStr">
        <is>
          <t>Techo de costo por llamada realizada</t>
        </is>
      </c>
      <c r="C52" s="18">
        <f>IF('Modelo'!$C$18=0,0,'Modelo'!$C$47*'Modelo'!$C$11/'Modelo'!$C$18)</f>
        <v/>
      </c>
      <c r="D52" s="5" t="inlineStr">
        <is>
          <t>Valor total ÷ llamadas.</t>
        </is>
      </c>
    </row>
    <row r="53">
      <c r="B53" t="inlineStr">
        <is>
          <t>Techo de costo por venta (CAC máximo)</t>
        </is>
      </c>
      <c r="C53" s="18">
        <f>IF('Modelo'!$C$25=0,0,'Modelo'!$C$47/'Modelo'!$C$25)</f>
        <v/>
      </c>
      <c r="D53" s="5" t="inlineStr">
        <is>
          <t>Valor por lead ÷ % de leads que compran.</t>
        </is>
      </c>
    </row>
    <row r="54">
      <c r="B54" t="inlineStr">
        <is>
          <t>Objetivo de CAC</t>
        </is>
      </c>
      <c r="C54" s="18">
        <f>'Modelo'!$C$53/(1+'Supuestos'!$C$46)</f>
        <v/>
      </c>
      <c r="D54" s="5" t="inlineStr">
        <is>
          <t>CAC máximo ÷ (1 + margen de seguridad).</t>
        </is>
      </c>
    </row>
    <row r="55">
      <c r="B55" s="7" t="inlineStr">
        <is>
          <t>Semáforo y cuánto invertir</t>
        </is>
      </c>
      <c r="C55" s="8" t="n"/>
      <c r="D55" s="8" t="n"/>
    </row>
    <row r="56">
      <c r="B56" s="4" t="inlineStr">
        <is>
          <t>Semáforo del CPL actual</t>
        </is>
      </c>
      <c r="C56" s="14">
        <f>IF('Modelo'!$C$10&gt;'Modelo'!$C$48,"ROJO",IF(AND('Modelo'!$C$10&lt;='Modelo'!$C$49,'Modelo'!$C$42&gt;='Supuestos'!$C$45),"VERDE","AMARILLO"))</f>
        <v/>
      </c>
      <c r="D56" s="5" t="inlineStr">
        <is>
          <t>Rojo: costo &gt; techo. Verde: costo ≤ objetivo y ROAS sobre cash neto ≥ objetivo. Amarillo: el resto.</t>
        </is>
      </c>
    </row>
    <row r="57">
      <c r="B57" s="4" t="inlineStr">
        <is>
          <t>Inversión necesaria para la meta de ventas (al CPL actual)</t>
        </is>
      </c>
      <c r="C57" s="9">
        <f>IF('Modelo'!$C$25=0,"inalcanzable con estos supuestos",'Supuestos'!$C$47/'Modelo'!$C$25*'Modelo'!$C$10)</f>
        <v/>
      </c>
      <c r="D57" s="5" t="inlineStr">
        <is>
          <t>Meta ÷ % de leads que compran × CPL.</t>
        </is>
      </c>
    </row>
    <row r="58">
      <c r="B58" t="inlineStr">
        <is>
          <t>Inversión para la meta al CPL objetivo (lo máximo que conviene pagar)</t>
        </is>
      </c>
      <c r="C58" s="21">
        <f>IF('Modelo'!$C$25=0,"inalcanzable con estos supuestos",'Supuestos'!$C$47/'Modelo'!$C$25*'Modelo'!$C$49)</f>
        <v/>
      </c>
      <c r="D58" s="5" t="inlineStr">
        <is>
          <t>Lo mismo, al CPL objetivo.</t>
        </is>
      </c>
    </row>
    <row r="59">
      <c r="B59" t="inlineStr">
        <is>
          <t>Llamadas que hay que atender por mes para esa meta</t>
        </is>
      </c>
      <c r="C59" s="26">
        <f>IF('Supuestos'!$C$25=0,"inalcanzable con estos supuestos",'Supuestos'!$C$47/'Supuestos'!$C$25)</f>
        <v/>
      </c>
      <c r="D59" s="5" t="inlineStr">
        <is>
          <t>Meta ÷ cierre. Sirve para dimensionar closers.</t>
        </is>
      </c>
    </row>
    <row r="60">
      <c r="B60" s="7" t="inlineStr">
        <is>
          <t>Ganancia por paso (las dos caras de cada número: costo por X y ganancia por X)</t>
        </is>
      </c>
      <c r="C60" s="8" t="n"/>
      <c r="D60" s="8" t="n"/>
    </row>
    <row r="61">
      <c r="B61" s="4" t="inlineStr">
        <is>
          <t>Cash neto por comprador (AOV neto)</t>
        </is>
      </c>
      <c r="C61" s="13">
        <f>IF('Modelo'!$C$23=0,0,('Modelo'!$C$38-'Modelo'!$C$39)/'Modelo'!$C$23)</f>
        <v/>
      </c>
      <c r="D61" s="5" t="inlineStr">
        <is>
          <t>Lo que deja cada comprador del principal después de comisiones, reembolsos y costos por unidad. Su par es el CPA.</t>
        </is>
      </c>
    </row>
    <row r="62">
      <c r="B62" s="4" t="inlineStr">
        <is>
          <t>Ganancia por visita</t>
        </is>
      </c>
      <c r="C62" s="13">
        <f>IF('Modelo'!$C$9=0,0,'Modelo'!$C$40/'Modelo'!$C$9)</f>
        <v/>
      </c>
      <c r="D62" s="5" t="inlineStr">
        <is>
          <t>Ganancia del período ÷ visitas a la página. La métrica más valiosa: resume todo lo que pasa después. Su par es el costo por visita.</t>
        </is>
      </c>
    </row>
    <row r="63">
      <c r="B63" t="inlineStr">
        <is>
          <t>Ganancia por clic</t>
        </is>
      </c>
      <c r="C63" s="18">
        <f>IF('Modelo'!$C$8=0,0,'Modelo'!$C$40/'Modelo'!$C$8)</f>
        <v/>
      </c>
      <c r="D63" s="5" t="inlineStr">
        <is>
          <t>Ganancia del período ÷ clics. Su par es el costo por clic.</t>
        </is>
      </c>
    </row>
    <row r="64">
      <c r="B64" s="4" t="inlineStr">
        <is>
          <t>Ganancia por lead</t>
        </is>
      </c>
      <c r="C64" s="13">
        <f>IF('Modelo'!$C$11=0,0,'Modelo'!$C$40/'Modelo'!$C$11)</f>
        <v/>
      </c>
      <c r="D64" s="5" t="inlineStr">
        <is>
          <t>Ganancia del período ÷ leads. Su par es el CPL.</t>
        </is>
      </c>
    </row>
    <row r="65">
      <c r="B65" t="inlineStr">
        <is>
          <t>Ganancia por agenda</t>
        </is>
      </c>
      <c r="C65" s="18">
        <f>IF('Modelo'!$C$17=0,0,'Modelo'!$C$40/'Modelo'!$C$17)</f>
        <v/>
      </c>
      <c r="D65" s="5" t="inlineStr">
        <is>
          <t>Ganancia del período ÷ agendas. Su par es el costo por agenda.</t>
        </is>
      </c>
    </row>
    <row r="66">
      <c r="B66" t="inlineStr">
        <is>
          <t>Ganancia por llamada</t>
        </is>
      </c>
      <c r="C66" s="18">
        <f>IF('Modelo'!$C$18=0,0,'Modelo'!$C$40/'Modelo'!$C$18)</f>
        <v/>
      </c>
      <c r="D66" s="5" t="inlineStr">
        <is>
          <t>Ganancia del período ÷ llamadas. Su par es el costo por llamada.</t>
        </is>
      </c>
    </row>
    <row r="67">
      <c r="B67" s="4" t="inlineStr">
        <is>
          <t>Ganancia por cliente</t>
        </is>
      </c>
      <c r="C67" s="13">
        <f>IF('Modelo'!$C$23=0,0,'Modelo'!$C$40/'Modelo'!$C$23)</f>
        <v/>
      </c>
      <c r="D67" s="5" t="inlineStr">
        <is>
          <t>Ganancia del período ÷ compradores. Su par es el CAC.</t>
        </is>
      </c>
    </row>
  </sheetData>
  <conditionalFormatting sqref="C5:C6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1">
        <f>'Supuestos'!$C$8*'Supuestos'!$C$46</f>
        <v/>
      </c>
    </row>
    <row r="7">
      <c r="B7" s="4" t="inlineStr">
        <is>
          <t>Precio del programa × % de llamadas que compran → ganancia del mes</t>
        </is>
      </c>
    </row>
    <row r="8">
      <c r="B8" s="3" t="inlineStr">
        <is>
          <t>A más precio, menos cierre: la tabla muestra desde qué ticket el closer se paga.</t>
        </is>
      </c>
    </row>
    <row r="9">
      <c r="B9" s="4" t="inlineStr">
        <is>
          <t>Precio ↓  /  % cierre →</t>
        </is>
      </c>
      <c r="C9" s="31" t="n">
        <v>0.15</v>
      </c>
      <c r="D9" s="31" t="n">
        <v>0.2</v>
      </c>
      <c r="E9" s="31" t="n">
        <v>0.25</v>
      </c>
      <c r="F9" s="31" t="n">
        <v>0.3</v>
      </c>
      <c r="G9" s="31" t="n">
        <v>0.35</v>
      </c>
      <c r="H9" s="31" t="n">
        <v>0.4</v>
      </c>
    </row>
    <row r="10">
      <c r="B10" s="32" t="n">
        <v>497</v>
      </c>
      <c r="C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10)+((((((((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1">
      <c r="B11" s="32" t="n">
        <v>997</v>
      </c>
      <c r="C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2">
      <c r="B12" s="32" t="n">
        <v>1500</v>
      </c>
      <c r="C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12)+((((((((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3">
      <c r="B13" s="32" t="n">
        <v>2500</v>
      </c>
      <c r="C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13)+((((((((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4">
      <c r="B14" s="32" t="n">
        <v>3500</v>
      </c>
      <c r="C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5">
      <c r="B15" s="32" t="n">
        <v>5000</v>
      </c>
      <c r="C15"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C$9)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D15"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D$9)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5"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E$9)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F15"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F$9)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G15"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G$9)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H15"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B15)+((((((((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H$9))*'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row>
    <row r="18">
      <c r="B18" s="4" t="inlineStr">
        <is>
          <t>CPL × % de llamadas que compran → ganancia del mes</t>
        </is>
      </c>
    </row>
    <row r="19">
      <c r="B19" s="3" t="inlineStr">
        <is>
          <t>Hasta qué CPL seguís ganando según el cierre.</t>
        </is>
      </c>
    </row>
    <row r="20">
      <c r="B20" s="4" t="inlineStr">
        <is>
          <t>CPL ↓  /  % cierre →</t>
        </is>
      </c>
      <c r="C20" s="31" t="n">
        <v>0.15</v>
      </c>
      <c r="D20" s="31" t="n">
        <v>0.2</v>
      </c>
      <c r="E20" s="31" t="n">
        <v>0.25</v>
      </c>
      <c r="F20" s="31" t="n">
        <v>0.3</v>
      </c>
      <c r="G20" s="31" t="n">
        <v>0.35</v>
      </c>
      <c r="H20" s="31" t="n">
        <v>0.4</v>
      </c>
    </row>
    <row r="21">
      <c r="B21" s="33" t="n">
        <v>1</v>
      </c>
      <c r="C21" s="21">
        <f>(((((((((((IF('Supuestos'!$C$17=1,(IF('Supuestos'!$C$17=1,(IF($B21=0,0,'Supuestos'!$C$8/$B21))*'Supuestos'!$C$18,0)),(IF($B21=0,0,'Supuestos'!$C$8/$B21))))*'Supuestos'!$C$21)*'Supuestos'!$C$22)*'Supuestos'!$C$23)*'Supuestos'!$C$24)*C$20)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C$20))*'Supuestos'!$C$30)*'Supuestos'!$C$29))*('Supuestos'!$C$40+'Supuestos'!$C$41+'Supuestos'!$C$42))*(1-'Supuestos'!$C$33-'Supuestos'!$C$34-'Supuestos'!$C$35))-((IF($B21=0,0,'Supuestos'!$C$8/$B21))*'Supuestos'!$C$36)-'Supuestos'!$C$37-'Supuestos'!$C$8)</f>
        <v/>
      </c>
      <c r="D21" s="21">
        <f>(((((((((((IF('Supuestos'!$C$17=1,(IF('Supuestos'!$C$17=1,(IF($B21=0,0,'Supuestos'!$C$8/$B21))*'Supuestos'!$C$18,0)),(IF($B21=0,0,'Supuestos'!$C$8/$B21))))*'Supuestos'!$C$21)*'Supuestos'!$C$22)*'Supuestos'!$C$23)*'Supuestos'!$C$24)*D$20)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D$20))*'Supuestos'!$C$30)*'Supuestos'!$C$29))*('Supuestos'!$C$40+'Supuestos'!$C$41+'Supuestos'!$C$42))*(1-'Supuestos'!$C$33-'Supuestos'!$C$34-'Supuestos'!$C$35))-((IF($B21=0,0,'Supuestos'!$C$8/$B21))*'Supuestos'!$C$36)-'Supuestos'!$C$37-'Supuestos'!$C$8)</f>
        <v/>
      </c>
      <c r="E21" s="21">
        <f>(((((((((((IF('Supuestos'!$C$17=1,(IF('Supuestos'!$C$17=1,(IF($B21=0,0,'Supuestos'!$C$8/$B21))*'Supuestos'!$C$18,0)),(IF($B21=0,0,'Supuestos'!$C$8/$B21))))*'Supuestos'!$C$21)*'Supuestos'!$C$22)*'Supuestos'!$C$23)*'Supuestos'!$C$24)*E$20)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E$20))*'Supuestos'!$C$30)*'Supuestos'!$C$29))*('Supuestos'!$C$40+'Supuestos'!$C$41+'Supuestos'!$C$42))*(1-'Supuestos'!$C$33-'Supuestos'!$C$34-'Supuestos'!$C$35))-((IF($B21=0,0,'Supuestos'!$C$8/$B21))*'Supuestos'!$C$36)-'Supuestos'!$C$37-'Supuestos'!$C$8)</f>
        <v/>
      </c>
      <c r="F21" s="21">
        <f>(((((((((((IF('Supuestos'!$C$17=1,(IF('Supuestos'!$C$17=1,(IF($B21=0,0,'Supuestos'!$C$8/$B21))*'Supuestos'!$C$18,0)),(IF($B21=0,0,'Supuestos'!$C$8/$B21))))*'Supuestos'!$C$21)*'Supuestos'!$C$22)*'Supuestos'!$C$23)*'Supuestos'!$C$24)*F$20)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F$20))*'Supuestos'!$C$30)*'Supuestos'!$C$29))*('Supuestos'!$C$40+'Supuestos'!$C$41+'Supuestos'!$C$42))*(1-'Supuestos'!$C$33-'Supuestos'!$C$34-'Supuestos'!$C$35))-((IF($B21=0,0,'Supuestos'!$C$8/$B21))*'Supuestos'!$C$36)-'Supuestos'!$C$37-'Supuestos'!$C$8)</f>
        <v/>
      </c>
      <c r="G21" s="21">
        <f>(((((((((((IF('Supuestos'!$C$17=1,(IF('Supuestos'!$C$17=1,(IF($B21=0,0,'Supuestos'!$C$8/$B21))*'Supuestos'!$C$18,0)),(IF($B21=0,0,'Supuestos'!$C$8/$B21))))*'Supuestos'!$C$21)*'Supuestos'!$C$22)*'Supuestos'!$C$23)*'Supuestos'!$C$24)*G$20)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G$20))*'Supuestos'!$C$30)*'Supuestos'!$C$29))*('Supuestos'!$C$40+'Supuestos'!$C$41+'Supuestos'!$C$42))*(1-'Supuestos'!$C$33-'Supuestos'!$C$34-'Supuestos'!$C$35))-((IF($B21=0,0,'Supuestos'!$C$8/$B21))*'Supuestos'!$C$36)-'Supuestos'!$C$37-'Supuestos'!$C$8)</f>
        <v/>
      </c>
      <c r="H21" s="21">
        <f>(((((((((((IF('Supuestos'!$C$17=1,(IF('Supuestos'!$C$17=1,(IF($B21=0,0,'Supuestos'!$C$8/$B21))*'Supuestos'!$C$18,0)),(IF($B21=0,0,'Supuestos'!$C$8/$B21))))*'Supuestos'!$C$21)*'Supuestos'!$C$22)*'Supuestos'!$C$23)*'Supuestos'!$C$24)*H$20)*'Supuestos'!$C$28)+((((((((IF('Supuestos'!$C$17=1,(IF('Supuestos'!$C$17=1,(IF($B21=0,0,'Supuestos'!$C$8/$B21))*'Supuestos'!$C$18,0)),(IF($B21=0,0,'Supuestos'!$C$8/$B21))))*'Supuestos'!$C$21)*'Supuestos'!$C$22)*'Supuestos'!$C$23)*'Supuestos'!$C$24)-((((((IF('Supuestos'!$C$17=1,(IF('Supuestos'!$C$17=1,(IF($B21=0,0,'Supuestos'!$C$8/$B21))*'Supuestos'!$C$18,0)),(IF($B21=0,0,'Supuestos'!$C$8/$B21))))*'Supuestos'!$C$21)*'Supuestos'!$C$22)*'Supuestos'!$C$23)*'Supuestos'!$C$24)*H$20))*'Supuestos'!$C$30)*'Supuestos'!$C$29))*('Supuestos'!$C$40+'Supuestos'!$C$41+'Supuestos'!$C$42))*(1-'Supuestos'!$C$33-'Supuestos'!$C$34-'Supuestos'!$C$35))-((IF($B21=0,0,'Supuestos'!$C$8/$B21))*'Supuestos'!$C$36)-'Supuestos'!$C$37-'Supuestos'!$C$8)</f>
        <v/>
      </c>
    </row>
    <row r="22">
      <c r="B22" s="33" t="n">
        <v>2</v>
      </c>
      <c r="C22" s="21">
        <f>(((((((((((IF('Supuestos'!$C$17=1,(IF('Supuestos'!$C$17=1,(IF($B22=0,0,'Supuestos'!$C$8/$B22))*'Supuestos'!$C$18,0)),(IF($B22=0,0,'Supuestos'!$C$8/$B22))))*'Supuestos'!$C$21)*'Supuestos'!$C$22)*'Supuestos'!$C$23)*'Supuestos'!$C$24)*C$20)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C$20))*'Supuestos'!$C$30)*'Supuestos'!$C$29))*('Supuestos'!$C$40+'Supuestos'!$C$41+'Supuestos'!$C$42))*(1-'Supuestos'!$C$33-'Supuestos'!$C$34-'Supuestos'!$C$35))-((IF($B22=0,0,'Supuestos'!$C$8/$B22))*'Supuestos'!$C$36)-'Supuestos'!$C$37-'Supuestos'!$C$8)</f>
        <v/>
      </c>
      <c r="D22" s="21">
        <f>(((((((((((IF('Supuestos'!$C$17=1,(IF('Supuestos'!$C$17=1,(IF($B22=0,0,'Supuestos'!$C$8/$B22))*'Supuestos'!$C$18,0)),(IF($B22=0,0,'Supuestos'!$C$8/$B22))))*'Supuestos'!$C$21)*'Supuestos'!$C$22)*'Supuestos'!$C$23)*'Supuestos'!$C$24)*D$20)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D$20))*'Supuestos'!$C$30)*'Supuestos'!$C$29))*('Supuestos'!$C$40+'Supuestos'!$C$41+'Supuestos'!$C$42))*(1-'Supuestos'!$C$33-'Supuestos'!$C$34-'Supuestos'!$C$35))-((IF($B22=0,0,'Supuestos'!$C$8/$B22))*'Supuestos'!$C$36)-'Supuestos'!$C$37-'Supuestos'!$C$8)</f>
        <v/>
      </c>
      <c r="E22" s="21">
        <f>(((((((((((IF('Supuestos'!$C$17=1,(IF('Supuestos'!$C$17=1,(IF($B22=0,0,'Supuestos'!$C$8/$B22))*'Supuestos'!$C$18,0)),(IF($B22=0,0,'Supuestos'!$C$8/$B22))))*'Supuestos'!$C$21)*'Supuestos'!$C$22)*'Supuestos'!$C$23)*'Supuestos'!$C$24)*E$20)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E$20))*'Supuestos'!$C$30)*'Supuestos'!$C$29))*('Supuestos'!$C$40+'Supuestos'!$C$41+'Supuestos'!$C$42))*(1-'Supuestos'!$C$33-'Supuestos'!$C$34-'Supuestos'!$C$35))-((IF($B22=0,0,'Supuestos'!$C$8/$B22))*'Supuestos'!$C$36)-'Supuestos'!$C$37-'Supuestos'!$C$8)</f>
        <v/>
      </c>
      <c r="F22" s="21">
        <f>(((((((((((IF('Supuestos'!$C$17=1,(IF('Supuestos'!$C$17=1,(IF($B22=0,0,'Supuestos'!$C$8/$B22))*'Supuestos'!$C$18,0)),(IF($B22=0,0,'Supuestos'!$C$8/$B22))))*'Supuestos'!$C$21)*'Supuestos'!$C$22)*'Supuestos'!$C$23)*'Supuestos'!$C$24)*F$20)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F$20))*'Supuestos'!$C$30)*'Supuestos'!$C$29))*('Supuestos'!$C$40+'Supuestos'!$C$41+'Supuestos'!$C$42))*(1-'Supuestos'!$C$33-'Supuestos'!$C$34-'Supuestos'!$C$35))-((IF($B22=0,0,'Supuestos'!$C$8/$B22))*'Supuestos'!$C$36)-'Supuestos'!$C$37-'Supuestos'!$C$8)</f>
        <v/>
      </c>
      <c r="G22" s="21">
        <f>(((((((((((IF('Supuestos'!$C$17=1,(IF('Supuestos'!$C$17=1,(IF($B22=0,0,'Supuestos'!$C$8/$B22))*'Supuestos'!$C$18,0)),(IF($B22=0,0,'Supuestos'!$C$8/$B22))))*'Supuestos'!$C$21)*'Supuestos'!$C$22)*'Supuestos'!$C$23)*'Supuestos'!$C$24)*G$20)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G$20))*'Supuestos'!$C$30)*'Supuestos'!$C$29))*('Supuestos'!$C$40+'Supuestos'!$C$41+'Supuestos'!$C$42))*(1-'Supuestos'!$C$33-'Supuestos'!$C$34-'Supuestos'!$C$35))-((IF($B22=0,0,'Supuestos'!$C$8/$B22))*'Supuestos'!$C$36)-'Supuestos'!$C$37-'Supuestos'!$C$8)</f>
        <v/>
      </c>
      <c r="H22" s="21">
        <f>(((((((((((IF('Supuestos'!$C$17=1,(IF('Supuestos'!$C$17=1,(IF($B22=0,0,'Supuestos'!$C$8/$B22))*'Supuestos'!$C$18,0)),(IF($B22=0,0,'Supuestos'!$C$8/$B22))))*'Supuestos'!$C$21)*'Supuestos'!$C$22)*'Supuestos'!$C$23)*'Supuestos'!$C$24)*H$20)*'Supuestos'!$C$28)+((((((((IF('Supuestos'!$C$17=1,(IF('Supuestos'!$C$17=1,(IF($B22=0,0,'Supuestos'!$C$8/$B22))*'Supuestos'!$C$18,0)),(IF($B22=0,0,'Supuestos'!$C$8/$B22))))*'Supuestos'!$C$21)*'Supuestos'!$C$22)*'Supuestos'!$C$23)*'Supuestos'!$C$24)-((((((IF('Supuestos'!$C$17=1,(IF('Supuestos'!$C$17=1,(IF($B22=0,0,'Supuestos'!$C$8/$B22))*'Supuestos'!$C$18,0)),(IF($B22=0,0,'Supuestos'!$C$8/$B22))))*'Supuestos'!$C$21)*'Supuestos'!$C$22)*'Supuestos'!$C$23)*'Supuestos'!$C$24)*H$20))*'Supuestos'!$C$30)*'Supuestos'!$C$29))*('Supuestos'!$C$40+'Supuestos'!$C$41+'Supuestos'!$C$42))*(1-'Supuestos'!$C$33-'Supuestos'!$C$34-'Supuestos'!$C$35))-((IF($B22=0,0,'Supuestos'!$C$8/$B22))*'Supuestos'!$C$36)-'Supuestos'!$C$37-'Supuestos'!$C$8)</f>
        <v/>
      </c>
    </row>
    <row r="23">
      <c r="B23" s="33" t="n">
        <v>3</v>
      </c>
      <c r="C23" s="21">
        <f>(((((((((((IF('Supuestos'!$C$17=1,(IF('Supuestos'!$C$17=1,(IF($B23=0,0,'Supuestos'!$C$8/$B23))*'Supuestos'!$C$18,0)),(IF($B23=0,0,'Supuestos'!$C$8/$B23))))*'Supuestos'!$C$21)*'Supuestos'!$C$22)*'Supuestos'!$C$23)*'Supuestos'!$C$24)*C$20)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C$20))*'Supuestos'!$C$30)*'Supuestos'!$C$29))*('Supuestos'!$C$40+'Supuestos'!$C$41+'Supuestos'!$C$42))*(1-'Supuestos'!$C$33-'Supuestos'!$C$34-'Supuestos'!$C$35))-((IF($B23=0,0,'Supuestos'!$C$8/$B23))*'Supuestos'!$C$36)-'Supuestos'!$C$37-'Supuestos'!$C$8)</f>
        <v/>
      </c>
      <c r="D23" s="21">
        <f>(((((((((((IF('Supuestos'!$C$17=1,(IF('Supuestos'!$C$17=1,(IF($B23=0,0,'Supuestos'!$C$8/$B23))*'Supuestos'!$C$18,0)),(IF($B23=0,0,'Supuestos'!$C$8/$B23))))*'Supuestos'!$C$21)*'Supuestos'!$C$22)*'Supuestos'!$C$23)*'Supuestos'!$C$24)*D$20)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D$20))*'Supuestos'!$C$30)*'Supuestos'!$C$29))*('Supuestos'!$C$40+'Supuestos'!$C$41+'Supuestos'!$C$42))*(1-'Supuestos'!$C$33-'Supuestos'!$C$34-'Supuestos'!$C$35))-((IF($B23=0,0,'Supuestos'!$C$8/$B23))*'Supuestos'!$C$36)-'Supuestos'!$C$37-'Supuestos'!$C$8)</f>
        <v/>
      </c>
      <c r="E23" s="21">
        <f>(((((((((((IF('Supuestos'!$C$17=1,(IF('Supuestos'!$C$17=1,(IF($B23=0,0,'Supuestos'!$C$8/$B23))*'Supuestos'!$C$18,0)),(IF($B23=0,0,'Supuestos'!$C$8/$B23))))*'Supuestos'!$C$21)*'Supuestos'!$C$22)*'Supuestos'!$C$23)*'Supuestos'!$C$24)*E$20)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E$20))*'Supuestos'!$C$30)*'Supuestos'!$C$29))*('Supuestos'!$C$40+'Supuestos'!$C$41+'Supuestos'!$C$42))*(1-'Supuestos'!$C$33-'Supuestos'!$C$34-'Supuestos'!$C$35))-((IF($B23=0,0,'Supuestos'!$C$8/$B23))*'Supuestos'!$C$36)-'Supuestos'!$C$37-'Supuestos'!$C$8)</f>
        <v/>
      </c>
      <c r="F23" s="21">
        <f>(((((((((((IF('Supuestos'!$C$17=1,(IF('Supuestos'!$C$17=1,(IF($B23=0,0,'Supuestos'!$C$8/$B23))*'Supuestos'!$C$18,0)),(IF($B23=0,0,'Supuestos'!$C$8/$B23))))*'Supuestos'!$C$21)*'Supuestos'!$C$22)*'Supuestos'!$C$23)*'Supuestos'!$C$24)*F$20)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F$20))*'Supuestos'!$C$30)*'Supuestos'!$C$29))*('Supuestos'!$C$40+'Supuestos'!$C$41+'Supuestos'!$C$42))*(1-'Supuestos'!$C$33-'Supuestos'!$C$34-'Supuestos'!$C$35))-((IF($B23=0,0,'Supuestos'!$C$8/$B23))*'Supuestos'!$C$36)-'Supuestos'!$C$37-'Supuestos'!$C$8)</f>
        <v/>
      </c>
      <c r="G23" s="21">
        <f>(((((((((((IF('Supuestos'!$C$17=1,(IF('Supuestos'!$C$17=1,(IF($B23=0,0,'Supuestos'!$C$8/$B23))*'Supuestos'!$C$18,0)),(IF($B23=0,0,'Supuestos'!$C$8/$B23))))*'Supuestos'!$C$21)*'Supuestos'!$C$22)*'Supuestos'!$C$23)*'Supuestos'!$C$24)*G$20)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G$20))*'Supuestos'!$C$30)*'Supuestos'!$C$29))*('Supuestos'!$C$40+'Supuestos'!$C$41+'Supuestos'!$C$42))*(1-'Supuestos'!$C$33-'Supuestos'!$C$34-'Supuestos'!$C$35))-((IF($B23=0,0,'Supuestos'!$C$8/$B23))*'Supuestos'!$C$36)-'Supuestos'!$C$37-'Supuestos'!$C$8)</f>
        <v/>
      </c>
      <c r="H23" s="21">
        <f>(((((((((((IF('Supuestos'!$C$17=1,(IF('Supuestos'!$C$17=1,(IF($B23=0,0,'Supuestos'!$C$8/$B23))*'Supuestos'!$C$18,0)),(IF($B23=0,0,'Supuestos'!$C$8/$B23))))*'Supuestos'!$C$21)*'Supuestos'!$C$22)*'Supuestos'!$C$23)*'Supuestos'!$C$24)*H$20)*'Supuestos'!$C$28)+((((((((IF('Supuestos'!$C$17=1,(IF('Supuestos'!$C$17=1,(IF($B23=0,0,'Supuestos'!$C$8/$B23))*'Supuestos'!$C$18,0)),(IF($B23=0,0,'Supuestos'!$C$8/$B23))))*'Supuestos'!$C$21)*'Supuestos'!$C$22)*'Supuestos'!$C$23)*'Supuestos'!$C$24)-((((((IF('Supuestos'!$C$17=1,(IF('Supuestos'!$C$17=1,(IF($B23=0,0,'Supuestos'!$C$8/$B23))*'Supuestos'!$C$18,0)),(IF($B23=0,0,'Supuestos'!$C$8/$B23))))*'Supuestos'!$C$21)*'Supuestos'!$C$22)*'Supuestos'!$C$23)*'Supuestos'!$C$24)*H$20))*'Supuestos'!$C$30)*'Supuestos'!$C$29))*('Supuestos'!$C$40+'Supuestos'!$C$41+'Supuestos'!$C$42))*(1-'Supuestos'!$C$33-'Supuestos'!$C$34-'Supuestos'!$C$35))-((IF($B23=0,0,'Supuestos'!$C$8/$B23))*'Supuestos'!$C$36)-'Supuestos'!$C$37-'Supuestos'!$C$8)</f>
        <v/>
      </c>
    </row>
    <row r="24">
      <c r="B24" s="33" t="n">
        <v>4</v>
      </c>
      <c r="C24" s="21">
        <f>(((((((((((IF('Supuestos'!$C$17=1,(IF('Supuestos'!$C$17=1,(IF($B24=0,0,'Supuestos'!$C$8/$B24))*'Supuestos'!$C$18,0)),(IF($B24=0,0,'Supuestos'!$C$8/$B24))))*'Supuestos'!$C$21)*'Supuestos'!$C$22)*'Supuestos'!$C$23)*'Supuestos'!$C$24)*C$20)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C$20))*'Supuestos'!$C$30)*'Supuestos'!$C$29))*('Supuestos'!$C$40+'Supuestos'!$C$41+'Supuestos'!$C$42))*(1-'Supuestos'!$C$33-'Supuestos'!$C$34-'Supuestos'!$C$35))-((IF($B24=0,0,'Supuestos'!$C$8/$B24))*'Supuestos'!$C$36)-'Supuestos'!$C$37-'Supuestos'!$C$8)</f>
        <v/>
      </c>
      <c r="D24" s="21">
        <f>(((((((((((IF('Supuestos'!$C$17=1,(IF('Supuestos'!$C$17=1,(IF($B24=0,0,'Supuestos'!$C$8/$B24))*'Supuestos'!$C$18,0)),(IF($B24=0,0,'Supuestos'!$C$8/$B24))))*'Supuestos'!$C$21)*'Supuestos'!$C$22)*'Supuestos'!$C$23)*'Supuestos'!$C$24)*D$20)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D$20))*'Supuestos'!$C$30)*'Supuestos'!$C$29))*('Supuestos'!$C$40+'Supuestos'!$C$41+'Supuestos'!$C$42))*(1-'Supuestos'!$C$33-'Supuestos'!$C$34-'Supuestos'!$C$35))-((IF($B24=0,0,'Supuestos'!$C$8/$B24))*'Supuestos'!$C$36)-'Supuestos'!$C$37-'Supuestos'!$C$8)</f>
        <v/>
      </c>
      <c r="E24" s="21">
        <f>(((((((((((IF('Supuestos'!$C$17=1,(IF('Supuestos'!$C$17=1,(IF($B24=0,0,'Supuestos'!$C$8/$B24))*'Supuestos'!$C$18,0)),(IF($B24=0,0,'Supuestos'!$C$8/$B24))))*'Supuestos'!$C$21)*'Supuestos'!$C$22)*'Supuestos'!$C$23)*'Supuestos'!$C$24)*E$20)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E$20))*'Supuestos'!$C$30)*'Supuestos'!$C$29))*('Supuestos'!$C$40+'Supuestos'!$C$41+'Supuestos'!$C$42))*(1-'Supuestos'!$C$33-'Supuestos'!$C$34-'Supuestos'!$C$35))-((IF($B24=0,0,'Supuestos'!$C$8/$B24))*'Supuestos'!$C$36)-'Supuestos'!$C$37-'Supuestos'!$C$8)</f>
        <v/>
      </c>
      <c r="F24" s="21">
        <f>(((((((((((IF('Supuestos'!$C$17=1,(IF('Supuestos'!$C$17=1,(IF($B24=0,0,'Supuestos'!$C$8/$B24))*'Supuestos'!$C$18,0)),(IF($B24=0,0,'Supuestos'!$C$8/$B24))))*'Supuestos'!$C$21)*'Supuestos'!$C$22)*'Supuestos'!$C$23)*'Supuestos'!$C$24)*F$20)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F$20))*'Supuestos'!$C$30)*'Supuestos'!$C$29))*('Supuestos'!$C$40+'Supuestos'!$C$41+'Supuestos'!$C$42))*(1-'Supuestos'!$C$33-'Supuestos'!$C$34-'Supuestos'!$C$35))-((IF($B24=0,0,'Supuestos'!$C$8/$B24))*'Supuestos'!$C$36)-'Supuestos'!$C$37-'Supuestos'!$C$8)</f>
        <v/>
      </c>
      <c r="G24" s="21">
        <f>(((((((((((IF('Supuestos'!$C$17=1,(IF('Supuestos'!$C$17=1,(IF($B24=0,0,'Supuestos'!$C$8/$B24))*'Supuestos'!$C$18,0)),(IF($B24=0,0,'Supuestos'!$C$8/$B24))))*'Supuestos'!$C$21)*'Supuestos'!$C$22)*'Supuestos'!$C$23)*'Supuestos'!$C$24)*G$20)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G$20))*'Supuestos'!$C$30)*'Supuestos'!$C$29))*('Supuestos'!$C$40+'Supuestos'!$C$41+'Supuestos'!$C$42))*(1-'Supuestos'!$C$33-'Supuestos'!$C$34-'Supuestos'!$C$35))-((IF($B24=0,0,'Supuestos'!$C$8/$B24))*'Supuestos'!$C$36)-'Supuestos'!$C$37-'Supuestos'!$C$8)</f>
        <v/>
      </c>
      <c r="H24" s="21">
        <f>(((((((((((IF('Supuestos'!$C$17=1,(IF('Supuestos'!$C$17=1,(IF($B24=0,0,'Supuestos'!$C$8/$B24))*'Supuestos'!$C$18,0)),(IF($B24=0,0,'Supuestos'!$C$8/$B24))))*'Supuestos'!$C$21)*'Supuestos'!$C$22)*'Supuestos'!$C$23)*'Supuestos'!$C$24)*H$20)*'Supuestos'!$C$28)+((((((((IF('Supuestos'!$C$17=1,(IF('Supuestos'!$C$17=1,(IF($B24=0,0,'Supuestos'!$C$8/$B24))*'Supuestos'!$C$18,0)),(IF($B24=0,0,'Supuestos'!$C$8/$B24))))*'Supuestos'!$C$21)*'Supuestos'!$C$22)*'Supuestos'!$C$23)*'Supuestos'!$C$24)-((((((IF('Supuestos'!$C$17=1,(IF('Supuestos'!$C$17=1,(IF($B24=0,0,'Supuestos'!$C$8/$B24))*'Supuestos'!$C$18,0)),(IF($B24=0,0,'Supuestos'!$C$8/$B24))))*'Supuestos'!$C$21)*'Supuestos'!$C$22)*'Supuestos'!$C$23)*'Supuestos'!$C$24)*H$20))*'Supuestos'!$C$30)*'Supuestos'!$C$29))*('Supuestos'!$C$40+'Supuestos'!$C$41+'Supuestos'!$C$42))*(1-'Supuestos'!$C$33-'Supuestos'!$C$34-'Supuestos'!$C$35))-((IF($B24=0,0,'Supuestos'!$C$8/$B24))*'Supuestos'!$C$36)-'Supuestos'!$C$37-'Supuestos'!$C$8)</f>
        <v/>
      </c>
    </row>
    <row r="25">
      <c r="B25" s="33" t="n">
        <v>6</v>
      </c>
      <c r="C25" s="21">
        <f>(((((((((((IF('Supuestos'!$C$17=1,(IF('Supuestos'!$C$17=1,(IF($B25=0,0,'Supuestos'!$C$8/$B25))*'Supuestos'!$C$18,0)),(IF($B25=0,0,'Supuestos'!$C$8/$B25))))*'Supuestos'!$C$21)*'Supuestos'!$C$22)*'Supuestos'!$C$23)*'Supuestos'!$C$24)*C$20)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C$20))*'Supuestos'!$C$30)*'Supuestos'!$C$29))*('Supuestos'!$C$40+'Supuestos'!$C$41+'Supuestos'!$C$42))*(1-'Supuestos'!$C$33-'Supuestos'!$C$34-'Supuestos'!$C$35))-((IF($B25=0,0,'Supuestos'!$C$8/$B25))*'Supuestos'!$C$36)-'Supuestos'!$C$37-'Supuestos'!$C$8)</f>
        <v/>
      </c>
      <c r="D25" s="21">
        <f>(((((((((((IF('Supuestos'!$C$17=1,(IF('Supuestos'!$C$17=1,(IF($B25=0,0,'Supuestos'!$C$8/$B25))*'Supuestos'!$C$18,0)),(IF($B25=0,0,'Supuestos'!$C$8/$B25))))*'Supuestos'!$C$21)*'Supuestos'!$C$22)*'Supuestos'!$C$23)*'Supuestos'!$C$24)*D$20)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D$20))*'Supuestos'!$C$30)*'Supuestos'!$C$29))*('Supuestos'!$C$40+'Supuestos'!$C$41+'Supuestos'!$C$42))*(1-'Supuestos'!$C$33-'Supuestos'!$C$34-'Supuestos'!$C$35))-((IF($B25=0,0,'Supuestos'!$C$8/$B25))*'Supuestos'!$C$36)-'Supuestos'!$C$37-'Supuestos'!$C$8)</f>
        <v/>
      </c>
      <c r="E25" s="21">
        <f>(((((((((((IF('Supuestos'!$C$17=1,(IF('Supuestos'!$C$17=1,(IF($B25=0,0,'Supuestos'!$C$8/$B25))*'Supuestos'!$C$18,0)),(IF($B25=0,0,'Supuestos'!$C$8/$B25))))*'Supuestos'!$C$21)*'Supuestos'!$C$22)*'Supuestos'!$C$23)*'Supuestos'!$C$24)*E$20)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E$20))*'Supuestos'!$C$30)*'Supuestos'!$C$29))*('Supuestos'!$C$40+'Supuestos'!$C$41+'Supuestos'!$C$42))*(1-'Supuestos'!$C$33-'Supuestos'!$C$34-'Supuestos'!$C$35))-((IF($B25=0,0,'Supuestos'!$C$8/$B25))*'Supuestos'!$C$36)-'Supuestos'!$C$37-'Supuestos'!$C$8)</f>
        <v/>
      </c>
      <c r="F25" s="21">
        <f>(((((((((((IF('Supuestos'!$C$17=1,(IF('Supuestos'!$C$17=1,(IF($B25=0,0,'Supuestos'!$C$8/$B25))*'Supuestos'!$C$18,0)),(IF($B25=0,0,'Supuestos'!$C$8/$B25))))*'Supuestos'!$C$21)*'Supuestos'!$C$22)*'Supuestos'!$C$23)*'Supuestos'!$C$24)*F$20)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F$20))*'Supuestos'!$C$30)*'Supuestos'!$C$29))*('Supuestos'!$C$40+'Supuestos'!$C$41+'Supuestos'!$C$42))*(1-'Supuestos'!$C$33-'Supuestos'!$C$34-'Supuestos'!$C$35))-((IF($B25=0,0,'Supuestos'!$C$8/$B25))*'Supuestos'!$C$36)-'Supuestos'!$C$37-'Supuestos'!$C$8)</f>
        <v/>
      </c>
      <c r="G25" s="21">
        <f>(((((((((((IF('Supuestos'!$C$17=1,(IF('Supuestos'!$C$17=1,(IF($B25=0,0,'Supuestos'!$C$8/$B25))*'Supuestos'!$C$18,0)),(IF($B25=0,0,'Supuestos'!$C$8/$B25))))*'Supuestos'!$C$21)*'Supuestos'!$C$22)*'Supuestos'!$C$23)*'Supuestos'!$C$24)*G$20)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G$20))*'Supuestos'!$C$30)*'Supuestos'!$C$29))*('Supuestos'!$C$40+'Supuestos'!$C$41+'Supuestos'!$C$42))*(1-'Supuestos'!$C$33-'Supuestos'!$C$34-'Supuestos'!$C$35))-((IF($B25=0,0,'Supuestos'!$C$8/$B25))*'Supuestos'!$C$36)-'Supuestos'!$C$37-'Supuestos'!$C$8)</f>
        <v/>
      </c>
      <c r="H25" s="21">
        <f>(((((((((((IF('Supuestos'!$C$17=1,(IF('Supuestos'!$C$17=1,(IF($B25=0,0,'Supuestos'!$C$8/$B25))*'Supuestos'!$C$18,0)),(IF($B25=0,0,'Supuestos'!$C$8/$B25))))*'Supuestos'!$C$21)*'Supuestos'!$C$22)*'Supuestos'!$C$23)*'Supuestos'!$C$24)*H$20)*'Supuestos'!$C$28)+((((((((IF('Supuestos'!$C$17=1,(IF('Supuestos'!$C$17=1,(IF($B25=0,0,'Supuestos'!$C$8/$B25))*'Supuestos'!$C$18,0)),(IF($B25=0,0,'Supuestos'!$C$8/$B25))))*'Supuestos'!$C$21)*'Supuestos'!$C$22)*'Supuestos'!$C$23)*'Supuestos'!$C$24)-((((((IF('Supuestos'!$C$17=1,(IF('Supuestos'!$C$17=1,(IF($B25=0,0,'Supuestos'!$C$8/$B25))*'Supuestos'!$C$18,0)),(IF($B25=0,0,'Supuestos'!$C$8/$B25))))*'Supuestos'!$C$21)*'Supuestos'!$C$22)*'Supuestos'!$C$23)*'Supuestos'!$C$24)*H$20))*'Supuestos'!$C$30)*'Supuestos'!$C$29))*('Supuestos'!$C$40+'Supuestos'!$C$41+'Supuestos'!$C$42))*(1-'Supuestos'!$C$33-'Supuestos'!$C$34-'Supuestos'!$C$35))-((IF($B25=0,0,'Supuestos'!$C$8/$B25))*'Supuestos'!$C$36)-'Supuestos'!$C$37-'Supuestos'!$C$8)</f>
        <v/>
      </c>
    </row>
    <row r="26">
      <c r="B26" s="33" t="n">
        <v>8</v>
      </c>
      <c r="C26" s="21">
        <f>(((((((((((IF('Supuestos'!$C$17=1,(IF('Supuestos'!$C$17=1,(IF($B26=0,0,'Supuestos'!$C$8/$B26))*'Supuestos'!$C$18,0)),(IF($B26=0,0,'Supuestos'!$C$8/$B26))))*'Supuestos'!$C$21)*'Supuestos'!$C$22)*'Supuestos'!$C$23)*'Supuestos'!$C$24)*C$20)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C$20))*'Supuestos'!$C$30)*'Supuestos'!$C$29))*('Supuestos'!$C$40+'Supuestos'!$C$41+'Supuestos'!$C$42))*(1-'Supuestos'!$C$33-'Supuestos'!$C$34-'Supuestos'!$C$35))-((IF($B26=0,0,'Supuestos'!$C$8/$B26))*'Supuestos'!$C$36)-'Supuestos'!$C$37-'Supuestos'!$C$8)</f>
        <v/>
      </c>
      <c r="D26" s="21">
        <f>(((((((((((IF('Supuestos'!$C$17=1,(IF('Supuestos'!$C$17=1,(IF($B26=0,0,'Supuestos'!$C$8/$B26))*'Supuestos'!$C$18,0)),(IF($B26=0,0,'Supuestos'!$C$8/$B26))))*'Supuestos'!$C$21)*'Supuestos'!$C$22)*'Supuestos'!$C$23)*'Supuestos'!$C$24)*D$20)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D$20))*'Supuestos'!$C$30)*'Supuestos'!$C$29))*('Supuestos'!$C$40+'Supuestos'!$C$41+'Supuestos'!$C$42))*(1-'Supuestos'!$C$33-'Supuestos'!$C$34-'Supuestos'!$C$35))-((IF($B26=0,0,'Supuestos'!$C$8/$B26))*'Supuestos'!$C$36)-'Supuestos'!$C$37-'Supuestos'!$C$8)</f>
        <v/>
      </c>
      <c r="E26" s="21">
        <f>(((((((((((IF('Supuestos'!$C$17=1,(IF('Supuestos'!$C$17=1,(IF($B26=0,0,'Supuestos'!$C$8/$B26))*'Supuestos'!$C$18,0)),(IF($B26=0,0,'Supuestos'!$C$8/$B26))))*'Supuestos'!$C$21)*'Supuestos'!$C$22)*'Supuestos'!$C$23)*'Supuestos'!$C$24)*E$20)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E$20))*'Supuestos'!$C$30)*'Supuestos'!$C$29))*('Supuestos'!$C$40+'Supuestos'!$C$41+'Supuestos'!$C$42))*(1-'Supuestos'!$C$33-'Supuestos'!$C$34-'Supuestos'!$C$35))-((IF($B26=0,0,'Supuestos'!$C$8/$B26))*'Supuestos'!$C$36)-'Supuestos'!$C$37-'Supuestos'!$C$8)</f>
        <v/>
      </c>
      <c r="F26" s="21">
        <f>(((((((((((IF('Supuestos'!$C$17=1,(IF('Supuestos'!$C$17=1,(IF($B26=0,0,'Supuestos'!$C$8/$B26))*'Supuestos'!$C$18,0)),(IF($B26=0,0,'Supuestos'!$C$8/$B26))))*'Supuestos'!$C$21)*'Supuestos'!$C$22)*'Supuestos'!$C$23)*'Supuestos'!$C$24)*F$20)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F$20))*'Supuestos'!$C$30)*'Supuestos'!$C$29))*('Supuestos'!$C$40+'Supuestos'!$C$41+'Supuestos'!$C$42))*(1-'Supuestos'!$C$33-'Supuestos'!$C$34-'Supuestos'!$C$35))-((IF($B26=0,0,'Supuestos'!$C$8/$B26))*'Supuestos'!$C$36)-'Supuestos'!$C$37-'Supuestos'!$C$8)</f>
        <v/>
      </c>
      <c r="G26" s="21">
        <f>(((((((((((IF('Supuestos'!$C$17=1,(IF('Supuestos'!$C$17=1,(IF($B26=0,0,'Supuestos'!$C$8/$B26))*'Supuestos'!$C$18,0)),(IF($B26=0,0,'Supuestos'!$C$8/$B26))))*'Supuestos'!$C$21)*'Supuestos'!$C$22)*'Supuestos'!$C$23)*'Supuestos'!$C$24)*G$20)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G$20))*'Supuestos'!$C$30)*'Supuestos'!$C$29))*('Supuestos'!$C$40+'Supuestos'!$C$41+'Supuestos'!$C$42))*(1-'Supuestos'!$C$33-'Supuestos'!$C$34-'Supuestos'!$C$35))-((IF($B26=0,0,'Supuestos'!$C$8/$B26))*'Supuestos'!$C$36)-'Supuestos'!$C$37-'Supuestos'!$C$8)</f>
        <v/>
      </c>
      <c r="H26" s="21">
        <f>(((((((((((IF('Supuestos'!$C$17=1,(IF('Supuestos'!$C$17=1,(IF($B26=0,0,'Supuestos'!$C$8/$B26))*'Supuestos'!$C$18,0)),(IF($B26=0,0,'Supuestos'!$C$8/$B26))))*'Supuestos'!$C$21)*'Supuestos'!$C$22)*'Supuestos'!$C$23)*'Supuestos'!$C$24)*H$20)*'Supuestos'!$C$28)+((((((((IF('Supuestos'!$C$17=1,(IF('Supuestos'!$C$17=1,(IF($B26=0,0,'Supuestos'!$C$8/$B26))*'Supuestos'!$C$18,0)),(IF($B26=0,0,'Supuestos'!$C$8/$B26))))*'Supuestos'!$C$21)*'Supuestos'!$C$22)*'Supuestos'!$C$23)*'Supuestos'!$C$24)-((((((IF('Supuestos'!$C$17=1,(IF('Supuestos'!$C$17=1,(IF($B26=0,0,'Supuestos'!$C$8/$B26))*'Supuestos'!$C$18,0)),(IF($B26=0,0,'Supuestos'!$C$8/$B26))))*'Supuestos'!$C$21)*'Supuestos'!$C$22)*'Supuestos'!$C$23)*'Supuestos'!$C$24)*H$20))*'Supuestos'!$C$30)*'Supuestos'!$C$29))*('Supuestos'!$C$40+'Supuestos'!$C$41+'Supuestos'!$C$42))*(1-'Supuestos'!$C$33-'Supuestos'!$C$34-'Supuestos'!$C$35))-((IF($B26=0,0,'Supuestos'!$C$8/$B26))*'Supuestos'!$C$36)-'Supuestos'!$C$37-'Supuestos'!$C$8)</f>
        <v/>
      </c>
    </row>
    <row r="27">
      <c r="B27" s="33" t="n">
        <v>12</v>
      </c>
      <c r="C27" s="21">
        <f>(((((((((((IF('Supuestos'!$C$17=1,(IF('Supuestos'!$C$17=1,(IF($B27=0,0,'Supuestos'!$C$8/$B27))*'Supuestos'!$C$18,0)),(IF($B27=0,0,'Supuestos'!$C$8/$B27))))*'Supuestos'!$C$21)*'Supuestos'!$C$22)*'Supuestos'!$C$23)*'Supuestos'!$C$24)*C$20)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C$20))*'Supuestos'!$C$30)*'Supuestos'!$C$29))*('Supuestos'!$C$40+'Supuestos'!$C$41+'Supuestos'!$C$42))*(1-'Supuestos'!$C$33-'Supuestos'!$C$34-'Supuestos'!$C$35))-((IF($B27=0,0,'Supuestos'!$C$8/$B27))*'Supuestos'!$C$36)-'Supuestos'!$C$37-'Supuestos'!$C$8)</f>
        <v/>
      </c>
      <c r="D27" s="21">
        <f>(((((((((((IF('Supuestos'!$C$17=1,(IF('Supuestos'!$C$17=1,(IF($B27=0,0,'Supuestos'!$C$8/$B27))*'Supuestos'!$C$18,0)),(IF($B27=0,0,'Supuestos'!$C$8/$B27))))*'Supuestos'!$C$21)*'Supuestos'!$C$22)*'Supuestos'!$C$23)*'Supuestos'!$C$24)*D$20)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D$20))*'Supuestos'!$C$30)*'Supuestos'!$C$29))*('Supuestos'!$C$40+'Supuestos'!$C$41+'Supuestos'!$C$42))*(1-'Supuestos'!$C$33-'Supuestos'!$C$34-'Supuestos'!$C$35))-((IF($B27=0,0,'Supuestos'!$C$8/$B27))*'Supuestos'!$C$36)-'Supuestos'!$C$37-'Supuestos'!$C$8)</f>
        <v/>
      </c>
      <c r="E27" s="21">
        <f>(((((((((((IF('Supuestos'!$C$17=1,(IF('Supuestos'!$C$17=1,(IF($B27=0,0,'Supuestos'!$C$8/$B27))*'Supuestos'!$C$18,0)),(IF($B27=0,0,'Supuestos'!$C$8/$B27))))*'Supuestos'!$C$21)*'Supuestos'!$C$22)*'Supuestos'!$C$23)*'Supuestos'!$C$24)*E$20)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E$20))*'Supuestos'!$C$30)*'Supuestos'!$C$29))*('Supuestos'!$C$40+'Supuestos'!$C$41+'Supuestos'!$C$42))*(1-'Supuestos'!$C$33-'Supuestos'!$C$34-'Supuestos'!$C$35))-((IF($B27=0,0,'Supuestos'!$C$8/$B27))*'Supuestos'!$C$36)-'Supuestos'!$C$37-'Supuestos'!$C$8)</f>
        <v/>
      </c>
      <c r="F27" s="21">
        <f>(((((((((((IF('Supuestos'!$C$17=1,(IF('Supuestos'!$C$17=1,(IF($B27=0,0,'Supuestos'!$C$8/$B27))*'Supuestos'!$C$18,0)),(IF($B27=0,0,'Supuestos'!$C$8/$B27))))*'Supuestos'!$C$21)*'Supuestos'!$C$22)*'Supuestos'!$C$23)*'Supuestos'!$C$24)*F$20)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F$20))*'Supuestos'!$C$30)*'Supuestos'!$C$29))*('Supuestos'!$C$40+'Supuestos'!$C$41+'Supuestos'!$C$42))*(1-'Supuestos'!$C$33-'Supuestos'!$C$34-'Supuestos'!$C$35))-((IF($B27=0,0,'Supuestos'!$C$8/$B27))*'Supuestos'!$C$36)-'Supuestos'!$C$37-'Supuestos'!$C$8)</f>
        <v/>
      </c>
      <c r="G27" s="21">
        <f>(((((((((((IF('Supuestos'!$C$17=1,(IF('Supuestos'!$C$17=1,(IF($B27=0,0,'Supuestos'!$C$8/$B27))*'Supuestos'!$C$18,0)),(IF($B27=0,0,'Supuestos'!$C$8/$B27))))*'Supuestos'!$C$21)*'Supuestos'!$C$22)*'Supuestos'!$C$23)*'Supuestos'!$C$24)*G$20)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G$20))*'Supuestos'!$C$30)*'Supuestos'!$C$29))*('Supuestos'!$C$40+'Supuestos'!$C$41+'Supuestos'!$C$42))*(1-'Supuestos'!$C$33-'Supuestos'!$C$34-'Supuestos'!$C$35))-((IF($B27=0,0,'Supuestos'!$C$8/$B27))*'Supuestos'!$C$36)-'Supuestos'!$C$37-'Supuestos'!$C$8)</f>
        <v/>
      </c>
      <c r="H27" s="21">
        <f>(((((((((((IF('Supuestos'!$C$17=1,(IF('Supuestos'!$C$17=1,(IF($B27=0,0,'Supuestos'!$C$8/$B27))*'Supuestos'!$C$18,0)),(IF($B27=0,0,'Supuestos'!$C$8/$B27))))*'Supuestos'!$C$21)*'Supuestos'!$C$22)*'Supuestos'!$C$23)*'Supuestos'!$C$24)*H$20)*'Supuestos'!$C$28)+((((((((IF('Supuestos'!$C$17=1,(IF('Supuestos'!$C$17=1,(IF($B27=0,0,'Supuestos'!$C$8/$B27))*'Supuestos'!$C$18,0)),(IF($B27=0,0,'Supuestos'!$C$8/$B27))))*'Supuestos'!$C$21)*'Supuestos'!$C$22)*'Supuestos'!$C$23)*'Supuestos'!$C$24)-((((((IF('Supuestos'!$C$17=1,(IF('Supuestos'!$C$17=1,(IF($B27=0,0,'Supuestos'!$C$8/$B27))*'Supuestos'!$C$18,0)),(IF($B27=0,0,'Supuestos'!$C$8/$B27))))*'Supuestos'!$C$21)*'Supuestos'!$C$22)*'Supuestos'!$C$23)*'Supuestos'!$C$24)*H$20))*'Supuestos'!$C$30)*'Supuestos'!$C$29))*('Supuestos'!$C$40+'Supuestos'!$C$41+'Supuestos'!$C$42))*(1-'Supuestos'!$C$33-'Supuestos'!$C$34-'Supuestos'!$C$35))-((IF($B27=0,0,'Supuestos'!$C$8/$B27))*'Supuestos'!$C$36)-'Supuestos'!$C$37-'Supuestos'!$C$8)</f>
        <v/>
      </c>
    </row>
    <row r="30">
      <c r="B30" s="4" t="inlineStr">
        <is>
          <t>Cuánto invertir para una facturación objetivo por mes, según el ROAS que querés</t>
        </is>
      </c>
    </row>
    <row r="31">
      <c r="B31" s="3" t="inlineStr">
        <is>
          <t>Inversión = facturación ÷ ROAS. Debajo: cuántos leads hacen falta y cuánto podés pagar por cada uno.</t>
        </is>
      </c>
    </row>
    <row r="32">
      <c r="B32" s="4" t="inlineStr">
        <is>
          <t>Facturación objetivo ↓ / ROAS objetivo →</t>
        </is>
      </c>
      <c r="C32" s="34" t="n">
        <v>2</v>
      </c>
      <c r="D32" s="34" t="n">
        <v>3</v>
      </c>
      <c r="E32" s="34" t="n">
        <v>4</v>
      </c>
      <c r="F32" s="34" t="n">
        <v>5</v>
      </c>
      <c r="G32" s="34" t="n">
        <v>6</v>
      </c>
    </row>
    <row r="33">
      <c r="B33" s="32" t="n">
        <v>20000</v>
      </c>
      <c r="C33" s="21">
        <f>$B33/C$32</f>
        <v/>
      </c>
      <c r="D33" s="21">
        <f>$B33/D$32</f>
        <v/>
      </c>
      <c r="E33" s="21">
        <f>$B33/E$32</f>
        <v/>
      </c>
      <c r="F33" s="21">
        <f>$B33/F$32</f>
        <v/>
      </c>
      <c r="G33" s="21">
        <f>$B33/G$32</f>
        <v/>
      </c>
    </row>
    <row r="34">
      <c r="B34" s="32" t="n">
        <v>50000</v>
      </c>
      <c r="C34" s="21">
        <f>$B34/C$32</f>
        <v/>
      </c>
      <c r="D34" s="21">
        <f>$B34/D$32</f>
        <v/>
      </c>
      <c r="E34" s="21">
        <f>$B34/E$32</f>
        <v/>
      </c>
      <c r="F34" s="21">
        <f>$B34/F$32</f>
        <v/>
      </c>
      <c r="G34" s="21">
        <f>$B34/G$32</f>
        <v/>
      </c>
    </row>
    <row r="35">
      <c r="B35" s="32" t="n">
        <v>100000</v>
      </c>
      <c r="C35" s="21">
        <f>$B35/C$32</f>
        <v/>
      </c>
      <c r="D35" s="21">
        <f>$B35/D$32</f>
        <v/>
      </c>
      <c r="E35" s="21">
        <f>$B35/E$32</f>
        <v/>
      </c>
      <c r="F35" s="21">
        <f>$B35/F$32</f>
        <v/>
      </c>
      <c r="G35" s="21">
        <f>$B35/G$32</f>
        <v/>
      </c>
    </row>
    <row r="36">
      <c r="B36" s="32" t="n">
        <v>200000</v>
      </c>
      <c r="C36" s="21">
        <f>$B36/C$32</f>
        <v/>
      </c>
      <c r="D36" s="21">
        <f>$B36/D$32</f>
        <v/>
      </c>
      <c r="E36" s="21">
        <f>$B36/E$32</f>
        <v/>
      </c>
      <c r="F36" s="21">
        <f>$B36/F$32</f>
        <v/>
      </c>
      <c r="G36" s="21">
        <f>$B36/G$32</f>
        <v/>
      </c>
    </row>
    <row r="37">
      <c r="B37" s="32" t="n">
        <v>500000</v>
      </c>
      <c r="C37" s="21">
        <f>$B37/C$32</f>
        <v/>
      </c>
      <c r="D37" s="21">
        <f>$B37/D$32</f>
        <v/>
      </c>
      <c r="E37" s="21">
        <f>$B37/E$32</f>
        <v/>
      </c>
      <c r="F37" s="21">
        <f>$B37/F$32</f>
        <v/>
      </c>
      <c r="G37" s="21">
        <f>$B37/G$32</f>
        <v/>
      </c>
    </row>
    <row r="38">
      <c r="B38" s="4" t="inlineStr">
        <is>
          <t>Cantidad de leads necesaria para esa facturación</t>
        </is>
      </c>
    </row>
    <row r="39">
      <c r="B39" s="35">
        <f>$B33</f>
        <v/>
      </c>
      <c r="C39" s="22">
        <f>IF('Modelo'!$C$32=0,"inalcanzable",$B33/'Modelo'!$C$32)</f>
        <v/>
      </c>
    </row>
    <row r="40">
      <c r="B40" s="35">
        <f>$B34</f>
        <v/>
      </c>
      <c r="C40" s="22">
        <f>IF('Modelo'!$C$32=0,"inalcanzable",$B34/'Modelo'!$C$32)</f>
        <v/>
      </c>
    </row>
    <row r="41">
      <c r="B41" s="35">
        <f>$B35</f>
        <v/>
      </c>
      <c r="C41" s="22">
        <f>IF('Modelo'!$C$32=0,"inalcanzable",$B35/'Modelo'!$C$32)</f>
        <v/>
      </c>
    </row>
    <row r="42">
      <c r="B42" s="35">
        <f>$B36</f>
        <v/>
      </c>
      <c r="C42" s="22">
        <f>IF('Modelo'!$C$32=0,"inalcanzable",$B36/'Modelo'!$C$32)</f>
        <v/>
      </c>
    </row>
    <row r="43">
      <c r="B43" s="35">
        <f>$B37</f>
        <v/>
      </c>
      <c r="C43" s="22">
        <f>IF('Modelo'!$C$32=0,"inalcanzable",$B37/'Modelo'!$C$32)</f>
        <v/>
      </c>
    </row>
    <row r="45">
      <c r="B45" s="4" t="inlineStr">
        <is>
          <t>Costo máximo por lead para cumplir cada ROAS (sobre facturado)</t>
        </is>
      </c>
    </row>
    <row r="46">
      <c r="C46" s="36" t="n">
        <v>2</v>
      </c>
      <c r="D46" s="36" t="n">
        <v>3</v>
      </c>
      <c r="E46" s="36" t="n">
        <v>4</v>
      </c>
      <c r="F46" s="36" t="n">
        <v>5</v>
      </c>
      <c r="G46" s="36" t="n">
        <v>6</v>
      </c>
    </row>
    <row r="47">
      <c r="B47" t="inlineStr">
        <is>
          <t>Costo máximo (facturado por unidad ÷ ROAS)</t>
        </is>
      </c>
      <c r="C47" s="18">
        <f>IF(C46=0,0,'Modelo'!$C$32/C46)</f>
        <v/>
      </c>
      <c r="D47" s="18">
        <f>IF(D46=0,0,'Modelo'!$C$32/D46)</f>
        <v/>
      </c>
      <c r="E47" s="18">
        <f>IF(E46=0,0,'Modelo'!$C$32/E46)</f>
        <v/>
      </c>
      <c r="F47" s="18">
        <f>IF(F46=0,0,'Modelo'!$C$32/F46)</f>
        <v/>
      </c>
      <c r="G47" s="18">
        <f>IF(G46=0,0,'Modelo'!$C$32/G46)</f>
        <v/>
      </c>
    </row>
    <row r="48">
      <c r="B48" s="3" t="inlineStr">
        <is>
          <t>Sobre cash neto, el techo real está en Modelo (ya descuenta comisiones y reembolsos).</t>
        </is>
      </c>
    </row>
    <row r="51">
      <c r="B51" s="4" t="inlineStr">
        <is>
          <t>Guardarraíl: el ROAS mínimo que tiene que dar cada nivel de inversión para que subir valga la pena</t>
        </is>
      </c>
    </row>
    <row r="52">
      <c r="B52" s="3" t="inlineStr">
        <is>
          <t>Parte de tu inversión y tu ROAS actuales. Cada dólar extra tiene que devolver al menos 1,3 neto. Si al subir un escalón el ROAS real queda por debajo del mínimo de esa fila, volvé al escalón anterior.</t>
        </is>
      </c>
    </row>
    <row r="53">
      <c r="B53" s="6" t="inlineStr">
        <is>
          <t>Nivel de inversión</t>
        </is>
      </c>
      <c r="C53" s="6" t="inlineStr">
        <is>
          <t>Inversión del período</t>
        </is>
      </c>
      <c r="D53" s="6" t="inlineStr">
        <is>
          <t>ROAS mínimo (cash neto)</t>
        </is>
      </c>
      <c r="E53" s="6" t="inlineStr">
        <is>
          <t>Ganancia mínima</t>
        </is>
      </c>
    </row>
    <row r="54">
      <c r="B54" t="inlineStr">
        <is>
          <t>actual</t>
        </is>
      </c>
      <c r="C54" s="21">
        <f>'Supuestos'!$C$8*1.0</f>
        <v/>
      </c>
      <c r="D54" s="28">
        <f>IF(C54=0,0,('Supuestos'!$C$8*'Modelo'!$C$42+1.3*(C54-'Supuestos'!$C$8))/C54)</f>
        <v/>
      </c>
      <c r="E54" s="21">
        <f>C54*(D54-1)</f>
        <v/>
      </c>
    </row>
    <row r="55">
      <c r="B55" t="inlineStr">
        <is>
          <t>× 1.25</t>
        </is>
      </c>
      <c r="C55" s="21">
        <f>'Supuestos'!$C$8*1.25</f>
        <v/>
      </c>
      <c r="D55" s="28">
        <f>IF(C55=0,0,('Supuestos'!$C$8*'Modelo'!$C$42+1.3*(C55-'Supuestos'!$C$8))/C55)</f>
        <v/>
      </c>
      <c r="E55" s="21">
        <f>C55*(D55-1)</f>
        <v/>
      </c>
    </row>
    <row r="56">
      <c r="B56" t="inlineStr">
        <is>
          <t>× 1.5</t>
        </is>
      </c>
      <c r="C56" s="21">
        <f>'Supuestos'!$C$8*1.5</f>
        <v/>
      </c>
      <c r="D56" s="28">
        <f>IF(C56=0,0,('Supuestos'!$C$8*'Modelo'!$C$42+1.3*(C56-'Supuestos'!$C$8))/C56)</f>
        <v/>
      </c>
      <c r="E56" s="21">
        <f>C56*(D56-1)</f>
        <v/>
      </c>
    </row>
    <row r="57">
      <c r="B57" t="inlineStr">
        <is>
          <t>× 2</t>
        </is>
      </c>
      <c r="C57" s="21">
        <f>'Supuestos'!$C$8*2.0</f>
        <v/>
      </c>
      <c r="D57" s="28">
        <f>IF(C57=0,0,('Supuestos'!$C$8*'Modelo'!$C$42+1.3*(C57-'Supuestos'!$C$8))/C57)</f>
        <v/>
      </c>
      <c r="E57" s="21">
        <f>C57*(D57-1)</f>
        <v/>
      </c>
    </row>
    <row r="58">
      <c r="B58" t="inlineStr">
        <is>
          <t>× 3</t>
        </is>
      </c>
      <c r="C58" s="21">
        <f>'Supuestos'!$C$8*3.0</f>
        <v/>
      </c>
      <c r="D58" s="28">
        <f>IF(C58=0,0,('Supuestos'!$C$8*'Modelo'!$C$42+1.3*(C58-'Supuestos'!$C$8))/C58)</f>
        <v/>
      </c>
      <c r="E58" s="21">
        <f>C58*(D58-1)</f>
        <v/>
      </c>
    </row>
  </sheetData>
  <conditionalFormatting sqref="C10:H15">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1:H27">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'Modelo'!$C$40</f>
        <v/>
      </c>
    </row>
    <row r="7">
      <c r="B7" t="inlineStr">
        <is>
          <t>CPM 10 % más barato</t>
        </is>
      </c>
      <c r="C7" t="inlineStr">
        <is>
          <t>−10 %</t>
        </is>
      </c>
      <c r="D7" s="21">
        <f>(((((((((((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$28)+((((((((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IF('Supuestos'!$C$17=1,(IF('Supuestos'!$C$17=1,(IF((IF('Supuestos'!$C$10*'Supuestos'!$C$11*'Supuestos'!$C$14=0,0,('Supuestos'!$C$9*0.9)/1000/('Supuestos'!$C$10*'Supuestos'!$C$11*'Supuestos'!$C$14)))=0,0,'Supuestos'!$C$8/(IF('Supuestos'!$C$10*'Supuestos'!$C$11*'Supuestos'!$C$14=0,0,('Supuestos'!$C$9*0.9)/1000/('Supuestos'!$C$10*'Supuestos'!$C$11*'Supuestos'!$C$14)))))*'Supuestos'!$C$18,0)),(IF((IF('Supuestos'!$C$10*'Supuestos'!$C$11*'Supuestos'!$C$14=0,0,('Supuestos'!$C$9*0.9)/1000/('Supuestos'!$C$10*'Supuestos'!$C$11*'Supuestos'!$C$14)))=0,0,'Supuestos'!$C$8/(IF('Supuestos'!$C$10*'Supuestos'!$C$11*'Supuestos'!$C$14=0,0,('Supuestos'!$C$9*0.9)/1000/('Supuestos'!$C$10*'Supuestos'!$C$11*'Supuestos'!$C$14)))))))*'Supuestos'!$C$21)*'Supuestos'!$C$22)*'Supuestos'!$C$23)*'Supuestos'!$C$24)*'Supuestos'!$C$25))*'Supuestos'!$C$30)*'Supuestos'!$C$29))*('Supuestos'!$C$40+'Supuestos'!$C$41+'Supuestos'!$C$42))*(1-'Supuestos'!$C$33-'Supuestos'!$C$34-'Supuestos'!$C$35))-((IF((IF('Supuestos'!$C$10*'Supuestos'!$C$11*'Supuestos'!$C$14=0,0,('Supuestos'!$C$9*0.9)/1000/('Supuestos'!$C$10*'Supuestos'!$C$11*'Supuestos'!$C$14)))=0,0,'Supuestos'!$C$8/(IF('Supuestos'!$C$10*'Supuestos'!$C$11*'Supuestos'!$C$14=0,0,('Supuestos'!$C$9*0.9)/1000/('Supuestos'!$C$10*'Supuestos'!$C$11*'Supuestos'!$C$14)))))*'Supuestos'!$C$36)-'Supuestos'!$C$37-'Supuestos'!$C$8)</f>
        <v/>
      </c>
      <c r="E7" s="21">
        <f>D7-$D$6</f>
        <v/>
      </c>
      <c r="F7" s="24">
        <f>IF($D$6=0,0,E7/ABS($D$6))</f>
        <v/>
      </c>
      <c r="G7" s="22">
        <f>RANK(E7,$E$7:$E$14)</f>
        <v/>
      </c>
    </row>
    <row r="8">
      <c r="B8" t="inlineStr">
        <is>
          <t>Página 10 % más conversión a lead</t>
        </is>
      </c>
      <c r="C8" t="inlineStr">
        <is>
          <t>+10 %</t>
        </is>
      </c>
      <c r="D8" s="21">
        <f>(((((((((((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$28)+((((((((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IF('Supuestos'!$C$17=1,(IF('Supuestos'!$C$17=1,(IF((IF('Supuestos'!$C$10*'Supuestos'!$C$11*('Supuestos'!$C$14*1.1)=0,0,'Supuestos'!$C$9/1000/('Supuestos'!$C$10*'Supuestos'!$C$11*('Supuestos'!$C$14*1.1))))=0,0,'Supuestos'!$C$8/(IF('Supuestos'!$C$10*'Supuestos'!$C$11*('Supuestos'!$C$14*1.1)=0,0,'Supuestos'!$C$9/1000/('Supuestos'!$C$10*'Supuestos'!$C$11*('Supuestos'!$C$14*1.1))))))*'Supuestos'!$C$18,0)),(IF((IF('Supuestos'!$C$10*'Supuestos'!$C$11*('Supuestos'!$C$14*1.1)=0,0,'Supuestos'!$C$9/1000/('Supuestos'!$C$10*'Supuestos'!$C$11*('Supuestos'!$C$14*1.1))))=0,0,'Supuestos'!$C$8/(IF('Supuestos'!$C$10*'Supuestos'!$C$11*('Supuestos'!$C$14*1.1)=0,0,'Supuestos'!$C$9/1000/('Supuestos'!$C$10*'Supuestos'!$C$11*('Supuestos'!$C$14*1.1))))))))*'Supuestos'!$C$21)*'Supuestos'!$C$22)*'Supuestos'!$C$23)*'Supuestos'!$C$24)*'Supuestos'!$C$25))*'Supuestos'!$C$30)*'Supuestos'!$C$29))*('Supuestos'!$C$40+'Supuestos'!$C$41+'Supuestos'!$C$42))*(1-'Supuestos'!$C$33-'Supuestos'!$C$34-'Supuestos'!$C$35))-((IF((IF('Supuestos'!$C$10*'Supuestos'!$C$11*('Supuestos'!$C$14*1.1)=0,0,'Supuestos'!$C$9/1000/('Supuestos'!$C$10*'Supuestos'!$C$11*('Supuestos'!$C$14*1.1))))=0,0,'Supuestos'!$C$8/(IF('Supuestos'!$C$10*'Supuestos'!$C$11*('Supuestos'!$C$14*1.1)=0,0,'Supuestos'!$C$9/1000/('Supuestos'!$C$10*'Supuestos'!$C$11*('Supuestos'!$C$14*1.1))))))*'Supuestos'!$C$36)-'Supuestos'!$C$37-'Supuestos'!$C$8)</f>
        <v/>
      </c>
      <c r="E8" s="21">
        <f>D8-$D$6</f>
        <v/>
      </c>
      <c r="F8" s="24">
        <f>IF($D$6=0,0,E8/ABS($D$6))</f>
        <v/>
      </c>
      <c r="G8" s="22">
        <f>RANK(E8,$E$7:$E$14)</f>
        <v/>
      </c>
    </row>
    <row r="9">
      <c r="B9" t="inlineStr">
        <is>
          <t>10 % más aplicaciones</t>
        </is>
      </c>
      <c r="C9" t="inlineStr">
        <is>
          <t>+10 %</t>
        </is>
      </c>
      <c r="D9"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1.1)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9" s="21">
        <f>D9-$D$6</f>
        <v/>
      </c>
      <c r="F9" s="24">
        <f>IF($D$6=0,0,E9/ABS($D$6))</f>
        <v/>
      </c>
      <c r="G9" s="22">
        <f>RANK(E9,$E$7:$E$14)</f>
        <v/>
      </c>
    </row>
    <row r="10">
      <c r="B10" t="inlineStr">
        <is>
          <t>10 % más calificados que agendan</t>
        </is>
      </c>
      <c r="C10" t="inlineStr">
        <is>
          <t>+10 %</t>
        </is>
      </c>
      <c r="D10"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1.1))*'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0" s="21">
        <f>D10-$D$6</f>
        <v/>
      </c>
      <c r="F10" s="24">
        <f>IF($D$6=0,0,E10/ABS($D$6))</f>
        <v/>
      </c>
      <c r="G10" s="22">
        <f>RANK(E10,$E$7:$E$14)</f>
        <v/>
      </c>
    </row>
    <row r="11">
      <c r="B11" t="inlineStr">
        <is>
          <t>Show de la llamada 10 % más alto</t>
        </is>
      </c>
      <c r="C11" t="inlineStr">
        <is>
          <t>+10 %</t>
        </is>
      </c>
      <c r="D11"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1.1))*'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1" s="21">
        <f>D11-$D$6</f>
        <v/>
      </c>
      <c r="F11" s="24">
        <f>IF($D$6=0,0,E11/ABS($D$6))</f>
        <v/>
      </c>
      <c r="G11" s="22">
        <f>RANK(E11,$E$7:$E$14)</f>
        <v/>
      </c>
    </row>
    <row r="12">
      <c r="B12" t="inlineStr">
        <is>
          <t>Cierre 10 % más alto</t>
        </is>
      </c>
      <c r="C12" t="inlineStr">
        <is>
          <t>+10 %</t>
        </is>
      </c>
      <c r="D12"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1.1)))*'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2" s="21">
        <f>D12-$D$6</f>
        <v/>
      </c>
      <c r="F12" s="24">
        <f>IF($D$6=0,0,E12/ABS($D$6))</f>
        <v/>
      </c>
      <c r="G12" s="22">
        <f>RANK(E12,$E$7:$E$14)</f>
        <v/>
      </c>
    </row>
    <row r="13">
      <c r="B13" t="inlineStr">
        <is>
          <t>Precio 10 % más alto (mismo cierre)</t>
        </is>
      </c>
      <c r="C13" t="inlineStr">
        <is>
          <t>+10 %</t>
        </is>
      </c>
      <c r="D13"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1.1))+((((((((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Supuestos'!$C$35))-((IF((IF('Supuestos'!$C$10*'Supuestos'!$C$11*'Supuestos'!$C$14=0,0,'Supuestos'!$C$9/1000/('Supuestos'!$C$10*'Supuestos'!$C$11*'Supuestos'!$C$14)))=0,0,'Supuestos'!$C$8/(IF('Supuestos'!$C$10*'Supuestos'!$C$11*'Supuestos'!$C$14=0,0,'Supuestos'!$C$9/1000/('Supuestos'!$C$10*'Supuestos'!$C$11*'Supuestos'!$C$14)))))*'Supuestos'!$C$36)-'Supuestos'!$C$37-'Supuestos'!$C$8)</f>
        <v/>
      </c>
      <c r="E13" s="21">
        <f>D13-$D$6</f>
        <v/>
      </c>
      <c r="F13" s="24">
        <f>IF($D$6=0,0,E13/ABS($D$6))</f>
        <v/>
      </c>
      <c r="G13" s="22">
        <f>RANK(E13,$E$7:$E$14)</f>
        <v/>
      </c>
    </row>
    <row r="14">
      <c r="B14" t="inlineStr">
        <is>
          <t>Comisión de closers 10 % más baja</t>
        </is>
      </c>
      <c r="C14" t="inlineStr">
        <is>
          <t>−10 %</t>
        </is>
      </c>
      <c r="D14" s="21">
        <f>(((((((((((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$28)+((((((((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IF('Supuestos'!$C$17=1,(IF('Supuestos'!$C$17=1,(IF((IF('Supuestos'!$C$10*'Supuestos'!$C$11*'Supuestos'!$C$14=0,0,'Supuestos'!$C$9/1000/('Supuestos'!$C$10*'Supuestos'!$C$11*'Supuestos'!$C$14)))=0,0,'Supuestos'!$C$8/(IF('Supuestos'!$C$10*'Supuestos'!$C$11*'Supuestos'!$C$14=0,0,'Supuestos'!$C$9/1000/('Supuestos'!$C$10*'Supuestos'!$C$11*'Supuestos'!$C$14)))))*'Supuestos'!$C$18,0)),(IF((IF('Supuestos'!$C$10*'Supuestos'!$C$11*'Supuestos'!$C$14=0,0,'Supuestos'!$C$9/1000/('Supuestos'!$C$10*'Supuestos'!$C$11*'Supuestos'!$C$14)))=0,0,'Supuestos'!$C$8/(IF('Supuestos'!$C$10*'Supuestos'!$C$11*'Supuestos'!$C$14=0,0,'Supuestos'!$C$9/1000/('Supuestos'!$C$10*'Supuestos'!$C$11*'Supuestos'!$C$14)))))))*'Supuestos'!$C$21)*'Supuestos'!$C$22)*'Supuestos'!$C$23)*'Supuestos'!$C$24)*'Supuestos'!$C$25))*'Supuestos'!$C$30)*'Supuestos'!$C$29))*('Supuestos'!$C$40+'Supuestos'!$C$41+'Supuestos'!$C$42))*(1-'Supuestos'!$C$33-('Supuestos'!$C$34*0.9)-'Supuestos'!$C$35))-((IF((IF('Supuestos'!$C$10*'Supuestos'!$C$11*'Supuestos'!$C$14=0,0,'Supuestos'!$C$9/1000/('Supuestos'!$C$10*'Supuestos'!$C$11*'Supuestos'!$C$14)))=0,0,'Supuestos'!$C$8/(IF('Supuestos'!$C$10*'Supuestos'!$C$11*'Supuestos'!$C$14=0,0,'Supuestos'!$C$9/1000/('Supuestos'!$C$10*'Supuestos'!$C$11*'Supuestos'!$C$14)))))*'Supuestos'!$C$36)-'Supuestos'!$C$37-'Supuestos'!$C$8)</f>
        <v/>
      </c>
      <c r="E14" s="21">
        <f>D14-$D$6</f>
        <v/>
      </c>
      <c r="F14" s="24">
        <f>IF($D$6=0,0,E14/ABS($D$6))</f>
        <v/>
      </c>
      <c r="G14" s="22">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1">
        <f>'Supuestos'!$C$8*1</f>
        <v/>
      </c>
      <c r="D6" s="21">
        <f>C6*(1+'Supuestos'!$C$48)</f>
        <v/>
      </c>
      <c r="E6" s="21">
        <f>D6*(1+'Supuestos'!$C$48)</f>
        <v/>
      </c>
      <c r="F6" s="21">
        <f>E6*(1+'Supuestos'!$C$48)</f>
        <v/>
      </c>
      <c r="G6" s="21">
        <f>F6*(1+'Supuestos'!$C$48)</f>
        <v/>
      </c>
      <c r="H6" s="21">
        <f>G6*(1+'Supuestos'!$C$48)</f>
        <v/>
      </c>
      <c r="I6" s="21">
        <f>H6*(1+'Supuestos'!$C$48)</f>
        <v/>
      </c>
      <c r="J6" s="21">
        <f>I6*(1+'Supuestos'!$C$48)</f>
        <v/>
      </c>
      <c r="K6" s="21">
        <f>J6*(1+'Supuestos'!$C$48)</f>
        <v/>
      </c>
      <c r="L6" s="21">
        <f>K6*(1+'Supuestos'!$C$48)</f>
        <v/>
      </c>
      <c r="M6" s="21">
        <f>L6*(1+'Supuestos'!$C$48)</f>
        <v/>
      </c>
      <c r="N6" s="21">
        <f>M6*(1+'Supuestos'!$C$48)</f>
        <v/>
      </c>
      <c r="O6" s="9">
        <f>SUM(C6:N6)</f>
        <v/>
      </c>
    </row>
    <row r="7">
      <c r="B7" t="inlineStr">
        <is>
          <t>Leads compradas</t>
        </is>
      </c>
      <c r="C7" s="22">
        <f>IF('Modelo'!$C$10=0,0,C6/'Modelo'!$C$10)</f>
        <v/>
      </c>
      <c r="D7" s="22">
        <f>IF('Modelo'!$C$10=0,0,D6/'Modelo'!$C$10)</f>
        <v/>
      </c>
      <c r="E7" s="22">
        <f>IF('Modelo'!$C$10=0,0,E6/'Modelo'!$C$10)</f>
        <v/>
      </c>
      <c r="F7" s="22">
        <f>IF('Modelo'!$C$10=0,0,F6/'Modelo'!$C$10)</f>
        <v/>
      </c>
      <c r="G7" s="22">
        <f>IF('Modelo'!$C$10=0,0,G6/'Modelo'!$C$10)</f>
        <v/>
      </c>
      <c r="H7" s="22">
        <f>IF('Modelo'!$C$10=0,0,H6/'Modelo'!$C$10)</f>
        <v/>
      </c>
      <c r="I7" s="22">
        <f>IF('Modelo'!$C$10=0,0,I6/'Modelo'!$C$10)</f>
        <v/>
      </c>
      <c r="J7" s="22">
        <f>IF('Modelo'!$C$10=0,0,J6/'Modelo'!$C$10)</f>
        <v/>
      </c>
      <c r="K7" s="22">
        <f>IF('Modelo'!$C$10=0,0,K6/'Modelo'!$C$10)</f>
        <v/>
      </c>
      <c r="L7" s="22">
        <f>IF('Modelo'!$C$10=0,0,L6/'Modelo'!$C$10)</f>
        <v/>
      </c>
      <c r="M7" s="22">
        <f>IF('Modelo'!$C$10=0,0,M6/'Modelo'!$C$10)</f>
        <v/>
      </c>
      <c r="N7" s="22">
        <f>IF('Modelo'!$C$10=0,0,N6/'Modelo'!$C$10)</f>
        <v/>
      </c>
      <c r="O7" s="12">
        <f>SUM(C7:N7)</f>
        <v/>
      </c>
    </row>
    <row r="8">
      <c r="B8" t="inlineStr">
        <is>
          <t>Ventas del producto principal</t>
        </is>
      </c>
      <c r="C8" s="26">
        <f>C7*'Modelo'!$C$31</f>
        <v/>
      </c>
      <c r="D8" s="26">
        <f>D7*'Modelo'!$C$31</f>
        <v/>
      </c>
      <c r="E8" s="26">
        <f>E7*'Modelo'!$C$31</f>
        <v/>
      </c>
      <c r="F8" s="26">
        <f>F7*'Modelo'!$C$31</f>
        <v/>
      </c>
      <c r="G8" s="26">
        <f>G7*'Modelo'!$C$31</f>
        <v/>
      </c>
      <c r="H8" s="26">
        <f>H7*'Modelo'!$C$31</f>
        <v/>
      </c>
      <c r="I8" s="26">
        <f>I7*'Modelo'!$C$31</f>
        <v/>
      </c>
      <c r="J8" s="26">
        <f>J7*'Modelo'!$C$31</f>
        <v/>
      </c>
      <c r="K8" s="26">
        <f>K7*'Modelo'!$C$31</f>
        <v/>
      </c>
      <c r="L8" s="26">
        <f>L7*'Modelo'!$C$31</f>
        <v/>
      </c>
      <c r="M8" s="26">
        <f>M7*'Modelo'!$C$31</f>
        <v/>
      </c>
      <c r="N8" s="26">
        <f>N7*'Modelo'!$C$31</f>
        <v/>
      </c>
      <c r="O8" s="11">
        <f>SUM(C8:N8)</f>
        <v/>
      </c>
    </row>
    <row r="9">
      <c r="B9" t="inlineStr">
        <is>
          <t>Facturado (todos los productos)</t>
        </is>
      </c>
      <c r="C9" s="21">
        <f>C7*'Modelo'!$C$32</f>
        <v/>
      </c>
      <c r="D9" s="21">
        <f>D7*'Modelo'!$C$32</f>
        <v/>
      </c>
      <c r="E9" s="21">
        <f>E7*'Modelo'!$C$32</f>
        <v/>
      </c>
      <c r="F9" s="21">
        <f>F7*'Modelo'!$C$32</f>
        <v/>
      </c>
      <c r="G9" s="21">
        <f>G7*'Modelo'!$C$32</f>
        <v/>
      </c>
      <c r="H9" s="21">
        <f>H7*'Modelo'!$C$32</f>
        <v/>
      </c>
      <c r="I9" s="21">
        <f>I7*'Modelo'!$C$32</f>
        <v/>
      </c>
      <c r="J9" s="21">
        <f>J7*'Modelo'!$C$32</f>
        <v/>
      </c>
      <c r="K9" s="21">
        <f>K7*'Modelo'!$C$32</f>
        <v/>
      </c>
      <c r="L9" s="21">
        <f>L7*'Modelo'!$C$32</f>
        <v/>
      </c>
      <c r="M9" s="21">
        <f>M7*'Modelo'!$C$32</f>
        <v/>
      </c>
      <c r="N9" s="21">
        <f>N7*'Modelo'!$C$32</f>
        <v/>
      </c>
      <c r="O9" s="9">
        <f>SUM(C9:N9)</f>
        <v/>
      </c>
    </row>
    <row r="10">
      <c r="B10" t="inlineStr">
        <is>
          <t>Cash cobrado en el mes</t>
        </is>
      </c>
      <c r="C10" s="21">
        <f>C9*'Supuestos'!$C$40</f>
        <v/>
      </c>
      <c r="D10" s="21">
        <f>D9*'Supuestos'!$C$40+C9*'Supuestos'!$C$41</f>
        <v/>
      </c>
      <c r="E10" s="21">
        <f>E9*'Supuestos'!$C$40+D9*'Supuestos'!$C$41+C9*'Supuestos'!$C$42</f>
        <v/>
      </c>
      <c r="F10" s="21">
        <f>F9*'Supuestos'!$C$40+E9*'Supuestos'!$C$41+D9*'Supuestos'!$C$42</f>
        <v/>
      </c>
      <c r="G10" s="21">
        <f>G9*'Supuestos'!$C$40+F9*'Supuestos'!$C$41+E9*'Supuestos'!$C$42</f>
        <v/>
      </c>
      <c r="H10" s="21">
        <f>H9*'Supuestos'!$C$40+G9*'Supuestos'!$C$41+F9*'Supuestos'!$C$42</f>
        <v/>
      </c>
      <c r="I10" s="21">
        <f>I9*'Supuestos'!$C$40+H9*'Supuestos'!$C$41+G9*'Supuestos'!$C$42</f>
        <v/>
      </c>
      <c r="J10" s="21">
        <f>J9*'Supuestos'!$C$40+I9*'Supuestos'!$C$41+H9*'Supuestos'!$C$42</f>
        <v/>
      </c>
      <c r="K10" s="21">
        <f>K9*'Supuestos'!$C$40+J9*'Supuestos'!$C$41+I9*'Supuestos'!$C$42</f>
        <v/>
      </c>
      <c r="L10" s="21">
        <f>L9*'Supuestos'!$C$40+K9*'Supuestos'!$C$41+J9*'Supuestos'!$C$42</f>
        <v/>
      </c>
      <c r="M10" s="21">
        <f>M9*'Supuestos'!$C$40+L9*'Supuestos'!$C$41+K9*'Supuestos'!$C$42</f>
        <v/>
      </c>
      <c r="N10" s="21">
        <f>N9*'Supuestos'!$C$40+M9*'Supuestos'!$C$41+L9*'Supuestos'!$C$42</f>
        <v/>
      </c>
      <c r="O10" s="9">
        <f>SUM(C10:N10)</f>
        <v/>
      </c>
    </row>
    <row r="11">
      <c r="B11" t="inlineStr">
        <is>
          <t>Comisiones y reembolsos</t>
        </is>
      </c>
      <c r="C11" s="21">
        <f>C10*('Supuestos'!$C$33+'Supuestos'!$C$34+'Supuestos'!$C$35)</f>
        <v/>
      </c>
      <c r="D11" s="21">
        <f>D10*('Supuestos'!$C$33+'Supuestos'!$C$34+'Supuestos'!$C$35)</f>
        <v/>
      </c>
      <c r="E11" s="21">
        <f>E10*('Supuestos'!$C$33+'Supuestos'!$C$34+'Supuestos'!$C$35)</f>
        <v/>
      </c>
      <c r="F11" s="21">
        <f>F10*('Supuestos'!$C$33+'Supuestos'!$C$34+'Supuestos'!$C$35)</f>
        <v/>
      </c>
      <c r="G11" s="21">
        <f>G10*('Supuestos'!$C$33+'Supuestos'!$C$34+'Supuestos'!$C$35)</f>
        <v/>
      </c>
      <c r="H11" s="21">
        <f>H10*('Supuestos'!$C$33+'Supuestos'!$C$34+'Supuestos'!$C$35)</f>
        <v/>
      </c>
      <c r="I11" s="21">
        <f>I10*('Supuestos'!$C$33+'Supuestos'!$C$34+'Supuestos'!$C$35)</f>
        <v/>
      </c>
      <c r="J11" s="21">
        <f>J10*('Supuestos'!$C$33+'Supuestos'!$C$34+'Supuestos'!$C$35)</f>
        <v/>
      </c>
      <c r="K11" s="21">
        <f>K10*('Supuestos'!$C$33+'Supuestos'!$C$34+'Supuestos'!$C$35)</f>
        <v/>
      </c>
      <c r="L11" s="21">
        <f>L10*('Supuestos'!$C$33+'Supuestos'!$C$34+'Supuestos'!$C$35)</f>
        <v/>
      </c>
      <c r="M11" s="21">
        <f>M10*('Supuestos'!$C$33+'Supuestos'!$C$34+'Supuestos'!$C$35)</f>
        <v/>
      </c>
      <c r="N11" s="21">
        <f>N10*('Supuestos'!$C$33+'Supuestos'!$C$34+'Supuestos'!$C$35)</f>
        <v/>
      </c>
      <c r="O11" s="9">
        <f>SUM(C11:N11)</f>
        <v/>
      </c>
    </row>
    <row r="12">
      <c r="B12" t="inlineStr">
        <is>
          <t>Costos por unidad (herramientas, WhatsApp, IA)</t>
        </is>
      </c>
      <c r="C12" s="21">
        <f>C7*'Supuestos'!$C$36</f>
        <v/>
      </c>
      <c r="D12" s="21">
        <f>D7*'Supuestos'!$C$36</f>
        <v/>
      </c>
      <c r="E12" s="21">
        <f>E7*'Supuestos'!$C$36</f>
        <v/>
      </c>
      <c r="F12" s="21">
        <f>F7*'Supuestos'!$C$36</f>
        <v/>
      </c>
      <c r="G12" s="21">
        <f>G7*'Supuestos'!$C$36</f>
        <v/>
      </c>
      <c r="H12" s="21">
        <f>H7*'Supuestos'!$C$36</f>
        <v/>
      </c>
      <c r="I12" s="21">
        <f>I7*'Supuestos'!$C$36</f>
        <v/>
      </c>
      <c r="J12" s="21">
        <f>J7*'Supuestos'!$C$36</f>
        <v/>
      </c>
      <c r="K12" s="21">
        <f>K7*'Supuestos'!$C$36</f>
        <v/>
      </c>
      <c r="L12" s="21">
        <f>L7*'Supuestos'!$C$36</f>
        <v/>
      </c>
      <c r="M12" s="21">
        <f>M7*'Supuestos'!$C$36</f>
        <v/>
      </c>
      <c r="N12" s="21">
        <f>N7*'Supuestos'!$C$36</f>
        <v/>
      </c>
      <c r="O12" s="9">
        <f>SUM(C12:N12)</f>
        <v/>
      </c>
    </row>
    <row r="13">
      <c r="B13" t="inlineStr">
        <is>
          <t>Costos fijos del mes</t>
        </is>
      </c>
      <c r="C13" s="21">
        <f>'Supuestos'!$C$37*1</f>
        <v/>
      </c>
      <c r="D13" s="21">
        <f>'Supuestos'!$C$37*1</f>
        <v/>
      </c>
      <c r="E13" s="21">
        <f>'Supuestos'!$C$37*1</f>
        <v/>
      </c>
      <c r="F13" s="21">
        <f>'Supuestos'!$C$37*1</f>
        <v/>
      </c>
      <c r="G13" s="21">
        <f>'Supuestos'!$C$37*1</f>
        <v/>
      </c>
      <c r="H13" s="21">
        <f>'Supuestos'!$C$37*1</f>
        <v/>
      </c>
      <c r="I13" s="21">
        <f>'Supuestos'!$C$37*1</f>
        <v/>
      </c>
      <c r="J13" s="21">
        <f>'Supuestos'!$C$37*1</f>
        <v/>
      </c>
      <c r="K13" s="21">
        <f>'Supuestos'!$C$37*1</f>
        <v/>
      </c>
      <c r="L13" s="21">
        <f>'Supuestos'!$C$37*1</f>
        <v/>
      </c>
      <c r="M13" s="21">
        <f>'Supuestos'!$C$37*1</f>
        <v/>
      </c>
      <c r="N13" s="21">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1">
        <f>'Supuestos'!$C$49+C15</f>
        <v/>
      </c>
      <c r="D16" s="21">
        <f>'Supuestos'!$C$49+D15</f>
        <v/>
      </c>
      <c r="E16" s="21">
        <f>'Supuestos'!$C$49+E15</f>
        <v/>
      </c>
      <c r="F16" s="21">
        <f>'Supuestos'!$C$49+F15</f>
        <v/>
      </c>
      <c r="G16" s="21">
        <f>'Supuestos'!$C$49+G15</f>
        <v/>
      </c>
      <c r="H16" s="21">
        <f>'Supuestos'!$C$49+H15</f>
        <v/>
      </c>
      <c r="I16" s="21">
        <f>'Supuestos'!$C$49+I15</f>
        <v/>
      </c>
      <c r="J16" s="21">
        <f>'Supuestos'!$C$49+J15</f>
        <v/>
      </c>
      <c r="K16" s="21">
        <f>'Supuestos'!$C$49+K15</f>
        <v/>
      </c>
      <c r="L16" s="21">
        <f>'Supuestos'!$C$49+L15</f>
        <v/>
      </c>
      <c r="M16" s="21">
        <f>'Supuestos'!$C$49+M15</f>
        <v/>
      </c>
      <c r="N16" s="21">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lead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0" t="n">
        <v>4500</v>
      </c>
      <c r="D7" s="20" t="n">
        <v>4800</v>
      </c>
      <c r="E7" s="20" t="n">
        <v>5200</v>
      </c>
      <c r="F7" s="20" t="n"/>
      <c r="G7" s="20" t="n"/>
      <c r="H7" s="20" t="n"/>
      <c r="I7" s="20" t="n"/>
      <c r="J7" s="20" t="n"/>
      <c r="K7" s="20" t="n"/>
      <c r="L7" s="20" t="n"/>
      <c r="M7" s="20" t="n"/>
      <c r="N7" s="20" t="n"/>
      <c r="O7" s="21">
        <f>IF(COUNT(C7:N7)=0,"",AVERAGE(C7:N7))</f>
        <v/>
      </c>
      <c r="P7" s="21">
        <f>IF(COUNT(C7:N7)=0,"",MAX(C7:N7))</f>
        <v/>
      </c>
      <c r="Q7" s="21">
        <f>IF(COUNT(C7:N7)=0,"",MIN(C7:N7))</f>
        <v/>
      </c>
    </row>
    <row r="8">
      <c r="B8" t="inlineStr">
        <is>
          <t>Leads</t>
        </is>
      </c>
      <c r="C8" s="25" t="n">
        <v>1600</v>
      </c>
      <c r="D8" s="25" t="n">
        <v>1650</v>
      </c>
      <c r="E8" s="25" t="n">
        <v>1900</v>
      </c>
      <c r="F8" s="25" t="n"/>
      <c r="G8" s="25" t="n"/>
      <c r="H8" s="25" t="n"/>
      <c r="I8" s="25" t="n"/>
      <c r="J8" s="25" t="n"/>
      <c r="K8" s="25" t="n"/>
      <c r="L8" s="25" t="n"/>
      <c r="M8" s="25" t="n"/>
      <c r="N8" s="25" t="n"/>
      <c r="O8" s="22">
        <f>IF(COUNT(C8:N8)=0,"",AVERAGE(C8:N8))</f>
        <v/>
      </c>
      <c r="P8" s="22">
        <f>IF(COUNT(C8:N8)=0,"",MAX(C8:N8))</f>
        <v/>
      </c>
      <c r="Q8" s="22">
        <f>IF(COUNT(C8:N8)=0,"",MIN(C8:N8))</f>
        <v/>
      </c>
    </row>
    <row r="9">
      <c r="B9" t="inlineStr">
        <is>
          <t>Aplicaciones completas</t>
        </is>
      </c>
      <c r="C9" s="25" t="n">
        <v>160</v>
      </c>
      <c r="D9" s="25" t="n">
        <v>155</v>
      </c>
      <c r="E9" s="25" t="n">
        <v>190</v>
      </c>
      <c r="F9" s="25" t="n"/>
      <c r="G9" s="25" t="n"/>
      <c r="H9" s="25" t="n"/>
      <c r="I9" s="25" t="n"/>
      <c r="J9" s="25" t="n"/>
      <c r="K9" s="25" t="n"/>
      <c r="L9" s="25" t="n"/>
      <c r="M9" s="25" t="n"/>
      <c r="N9" s="25" t="n"/>
      <c r="O9" s="22">
        <f>IF(COUNT(C9:N9)=0,"",AVERAGE(C9:N9))</f>
        <v/>
      </c>
      <c r="P9" s="22">
        <f>IF(COUNT(C9:N9)=0,"",MAX(C9:N9))</f>
        <v/>
      </c>
      <c r="Q9" s="22">
        <f>IF(COUNT(C9:N9)=0,"",MIN(C9:N9))</f>
        <v/>
      </c>
    </row>
    <row r="10">
      <c r="B10" t="inlineStr">
        <is>
          <t>Calificados</t>
        </is>
      </c>
      <c r="C10" s="25" t="n">
        <v>96</v>
      </c>
      <c r="D10" s="25" t="n">
        <v>90</v>
      </c>
      <c r="E10" s="25" t="n">
        <v>115</v>
      </c>
      <c r="F10" s="25" t="n"/>
      <c r="G10" s="25" t="n"/>
      <c r="H10" s="25" t="n"/>
      <c r="I10" s="25" t="n"/>
      <c r="J10" s="25" t="n"/>
      <c r="K10" s="25" t="n"/>
      <c r="L10" s="25" t="n"/>
      <c r="M10" s="25" t="n"/>
      <c r="N10" s="25" t="n"/>
      <c r="O10" s="22">
        <f>IF(COUNT(C10:N10)=0,"",AVERAGE(C10:N10))</f>
        <v/>
      </c>
      <c r="P10" s="22">
        <f>IF(COUNT(C10:N10)=0,"",MAX(C10:N10))</f>
        <v/>
      </c>
      <c r="Q10" s="22">
        <f>IF(COUNT(C10:N10)=0,"",MIN(C10:N10))</f>
        <v/>
      </c>
    </row>
    <row r="11">
      <c r="B11" t="inlineStr">
        <is>
          <t>Agendas</t>
        </is>
      </c>
      <c r="C11" s="25" t="n">
        <v>58</v>
      </c>
      <c r="D11" s="25" t="n">
        <v>52</v>
      </c>
      <c r="E11" s="25" t="n">
        <v>70</v>
      </c>
      <c r="F11" s="25" t="n"/>
      <c r="G11" s="25" t="n"/>
      <c r="H11" s="25" t="n"/>
      <c r="I11" s="25" t="n"/>
      <c r="J11" s="25" t="n"/>
      <c r="K11" s="25" t="n"/>
      <c r="L11" s="25" t="n"/>
      <c r="M11" s="25" t="n"/>
      <c r="N11" s="25" t="n"/>
      <c r="O11" s="22">
        <f>IF(COUNT(C11:N11)=0,"",AVERAGE(C11:N11))</f>
        <v/>
      </c>
      <c r="P11" s="22">
        <f>IF(COUNT(C11:N11)=0,"",MAX(C11:N11))</f>
        <v/>
      </c>
      <c r="Q11" s="22">
        <f>IF(COUNT(C11:N11)=0,"",MIN(C11:N11))</f>
        <v/>
      </c>
    </row>
    <row r="12">
      <c r="B12" t="inlineStr">
        <is>
          <t>Llamadas realizadas</t>
        </is>
      </c>
      <c r="C12" s="25" t="n">
        <v>41</v>
      </c>
      <c r="D12" s="25" t="n">
        <v>35</v>
      </c>
      <c r="E12" s="25" t="n">
        <v>50</v>
      </c>
      <c r="F12" s="25" t="n"/>
      <c r="G12" s="25" t="n"/>
      <c r="H12" s="25" t="n"/>
      <c r="I12" s="25" t="n"/>
      <c r="J12" s="25" t="n"/>
      <c r="K12" s="25" t="n"/>
      <c r="L12" s="25" t="n"/>
      <c r="M12" s="25" t="n"/>
      <c r="N12" s="25" t="n"/>
      <c r="O12" s="22">
        <f>IF(COUNT(C12:N12)=0,"",AVERAGE(C12:N12))</f>
        <v/>
      </c>
      <c r="P12" s="22">
        <f>IF(COUNT(C12:N12)=0,"",MAX(C12:N12))</f>
        <v/>
      </c>
      <c r="Q12" s="22">
        <f>IF(COUNT(C12:N12)=0,"",MIN(C12:N12))</f>
        <v/>
      </c>
    </row>
    <row r="13">
      <c r="B13" t="inlineStr">
        <is>
          <t>Ventas del programa</t>
        </is>
      </c>
      <c r="C13" s="25" t="n">
        <v>10</v>
      </c>
      <c r="D13" s="25" t="n">
        <v>8</v>
      </c>
      <c r="E13" s="25" t="n">
        <v>13</v>
      </c>
      <c r="F13" s="25" t="n"/>
      <c r="G13" s="25" t="n"/>
      <c r="H13" s="25" t="n"/>
      <c r="I13" s="25" t="n"/>
      <c r="J13" s="25" t="n"/>
      <c r="K13" s="25" t="n"/>
      <c r="L13" s="25" t="n"/>
      <c r="M13" s="25" t="n"/>
      <c r="N13" s="25" t="n"/>
      <c r="O13" s="22">
        <f>IF(COUNT(C13:N13)=0,"",AVERAGE(C13:N13))</f>
        <v/>
      </c>
      <c r="P13" s="22">
        <f>IF(COUNT(C13:N13)=0,"",MAX(C13:N13))</f>
        <v/>
      </c>
      <c r="Q13" s="22">
        <f>IF(COUNT(C13:N13)=0,"",MIN(C13:N13))</f>
        <v/>
      </c>
    </row>
    <row r="14">
      <c r="B14" t="inlineStr">
        <is>
          <t>Ventas del downsell</t>
        </is>
      </c>
      <c r="C14" s="25" t="n">
        <v>3</v>
      </c>
      <c r="D14" s="25" t="n">
        <v>3</v>
      </c>
      <c r="E14" s="25" t="n">
        <v>4</v>
      </c>
      <c r="F14" s="25" t="n"/>
      <c r="G14" s="25" t="n"/>
      <c r="H14" s="25" t="n"/>
      <c r="I14" s="25" t="n"/>
      <c r="J14" s="25" t="n"/>
      <c r="K14" s="25" t="n"/>
      <c r="L14" s="25" t="n"/>
      <c r="M14" s="25" t="n"/>
      <c r="N14" s="25" t="n"/>
      <c r="O14" s="22">
        <f>IF(COUNT(C14:N14)=0,"",AVERAGE(C14:N14))</f>
        <v/>
      </c>
      <c r="P14" s="22">
        <f>IF(COUNT(C14:N14)=0,"",MAX(C14:N14))</f>
        <v/>
      </c>
      <c r="Q14" s="22">
        <f>IF(COUNT(C14:N14)=0,"",MIN(C14:N14))</f>
        <v/>
      </c>
    </row>
    <row r="15">
      <c r="B15" t="inlineStr">
        <is>
          <t>Facturado del mes (a precio de lista, con cuotas por cobrar)</t>
        </is>
      </c>
      <c r="C15" s="20" t="n">
        <v>16500</v>
      </c>
      <c r="D15" s="20" t="n">
        <v>13500</v>
      </c>
      <c r="E15" s="20" t="n">
        <v>21000</v>
      </c>
      <c r="F15" s="20" t="n"/>
      <c r="G15" s="20" t="n"/>
      <c r="H15" s="20" t="n"/>
      <c r="I15" s="20" t="n"/>
      <c r="J15" s="20" t="n"/>
      <c r="K15" s="20" t="n"/>
      <c r="L15" s="20" t="n"/>
      <c r="M15" s="20" t="n"/>
      <c r="N15" s="20" t="n"/>
      <c r="O15" s="21">
        <f>IF(COUNT(C15:N15)=0,"",AVERAGE(C15:N15))</f>
        <v/>
      </c>
      <c r="P15" s="21">
        <f>IF(COUNT(C15:N15)=0,"",MAX(C15:N15))</f>
        <v/>
      </c>
      <c r="Q15" s="21">
        <f>IF(COUNT(C15:N15)=0,"",MIN(C15:N15))</f>
        <v/>
      </c>
    </row>
    <row r="16">
      <c r="B16" t="inlineStr">
        <is>
          <t>Cash cobrado en el mes (incluye cuotas de meses anteriores)</t>
        </is>
      </c>
      <c r="C16" s="20" t="n">
        <v>9000</v>
      </c>
      <c r="D16" s="20" t="n">
        <v>11500</v>
      </c>
      <c r="E16" s="20" t="n">
        <v>15000</v>
      </c>
      <c r="F16" s="20" t="n"/>
      <c r="G16" s="20" t="n"/>
      <c r="H16" s="20" t="n"/>
      <c r="I16" s="20" t="n"/>
      <c r="J16" s="20" t="n"/>
      <c r="K16" s="20" t="n"/>
      <c r="L16" s="20" t="n"/>
      <c r="M16" s="20" t="n"/>
      <c r="N16" s="20" t="n"/>
      <c r="O16" s="21">
        <f>IF(COUNT(C16:N16)=0,"",AVERAGE(C16:N16))</f>
        <v/>
      </c>
      <c r="P16" s="21">
        <f>IF(COUNT(C16:N16)=0,"",MAX(C16:N16))</f>
        <v/>
      </c>
      <c r="Q16" s="21">
        <f>IF(COUNT(C16:N16)=0,"",MIN(C16:N16))</f>
        <v/>
      </c>
    </row>
    <row r="17">
      <c r="B17" s="7" t="inlineStr">
        <is>
          <t>Lo que calcula el modelo</t>
        </is>
      </c>
      <c r="C17" s="8" t="n"/>
      <c r="D17" s="8" t="n"/>
      <c r="E17" s="8" t="n"/>
      <c r="F17" s="8" t="n"/>
      <c r="G17" s="8" t="n"/>
      <c r="H17" s="8" t="n"/>
      <c r="I17" s="8" t="n"/>
      <c r="J17" s="8" t="n"/>
      <c r="K17" s="8" t="n"/>
      <c r="L17" s="8" t="n"/>
      <c r="M17" s="8" t="n"/>
      <c r="N17" s="8" t="n"/>
    </row>
    <row r="18">
      <c r="B18" s="4" t="inlineStr">
        <is>
          <t>CPL real</t>
        </is>
      </c>
      <c r="C18" s="13">
        <f>IF(COUNT(C7:C16)&lt;10,"",IF(C8=0,0,C7/C8))</f>
        <v/>
      </c>
      <c r="D18" s="13">
        <f>IF(COUNT(D7:D16)&lt;10,"",IF(D8=0,0,D7/D8))</f>
        <v/>
      </c>
      <c r="E18" s="13">
        <f>IF(COUNT(E7:E16)&lt;10,"",IF(E8=0,0,E7/E8))</f>
        <v/>
      </c>
      <c r="F18" s="13">
        <f>IF(COUNT(F7:F16)&lt;10,"",IF(F8=0,0,F7/F8))</f>
        <v/>
      </c>
      <c r="G18" s="13">
        <f>IF(COUNT(G7:G16)&lt;10,"",IF(G8=0,0,G7/G8))</f>
        <v/>
      </c>
      <c r="H18" s="13">
        <f>IF(COUNT(H7:H16)&lt;10,"",IF(H8=0,0,H7/H8))</f>
        <v/>
      </c>
      <c r="I18" s="13">
        <f>IF(COUNT(I7:I16)&lt;10,"",IF(I8=0,0,I7/I8))</f>
        <v/>
      </c>
      <c r="J18" s="13">
        <f>IF(COUNT(J7:J16)&lt;10,"",IF(J8=0,0,J7/J8))</f>
        <v/>
      </c>
      <c r="K18" s="13">
        <f>IF(COUNT(K7:K16)&lt;10,"",IF(K8=0,0,K7/K8))</f>
        <v/>
      </c>
      <c r="L18" s="13">
        <f>IF(COUNT(L7:L16)&lt;10,"",IF(L8=0,0,L7/L8))</f>
        <v/>
      </c>
      <c r="M18" s="13">
        <f>IF(COUNT(M7:M16)&lt;10,"",IF(M8=0,0,M7/M8))</f>
        <v/>
      </c>
      <c r="N18" s="13">
        <f>IF(COUNT(N7:N16)&lt;10,"",IF(N8=0,0,N7/N8))</f>
        <v/>
      </c>
      <c r="O18" s="18">
        <f>IF(COUNT(C18:N18)=0,"",AVERAGE(C18:N18))</f>
        <v/>
      </c>
      <c r="P18" s="18">
        <f>IF(COUNT(C18:N18)=0,"",MAX(C18:N18))</f>
        <v/>
      </c>
      <c r="Q18" s="18">
        <f>IF(COUNT(C18:N18)=0,"",MIN(C18:N18))</f>
        <v/>
      </c>
    </row>
    <row r="19">
      <c r="B19" t="inlineStr">
        <is>
          <t>% lead → aplicación</t>
        </is>
      </c>
      <c r="C19" s="24">
        <f>IF(COUNT(C7:C16)&lt;10,"",IF(C8=0,0,C9/C8))</f>
        <v/>
      </c>
      <c r="D19" s="24">
        <f>IF(COUNT(D7:D16)&lt;10,"",IF(D8=0,0,D9/D8))</f>
        <v/>
      </c>
      <c r="E19" s="24">
        <f>IF(COUNT(E7:E16)&lt;10,"",IF(E8=0,0,E9/E8))</f>
        <v/>
      </c>
      <c r="F19" s="24">
        <f>IF(COUNT(F7:F16)&lt;10,"",IF(F8=0,0,F9/F8))</f>
        <v/>
      </c>
      <c r="G19" s="24">
        <f>IF(COUNT(G7:G16)&lt;10,"",IF(G8=0,0,G9/G8))</f>
        <v/>
      </c>
      <c r="H19" s="24">
        <f>IF(COUNT(H7:H16)&lt;10,"",IF(H8=0,0,H9/H8))</f>
        <v/>
      </c>
      <c r="I19" s="24">
        <f>IF(COUNT(I7:I16)&lt;10,"",IF(I8=0,0,I9/I8))</f>
        <v/>
      </c>
      <c r="J19" s="24">
        <f>IF(COUNT(J7:J16)&lt;10,"",IF(J8=0,0,J9/J8))</f>
        <v/>
      </c>
      <c r="K19" s="24">
        <f>IF(COUNT(K7:K16)&lt;10,"",IF(K8=0,0,K9/K8))</f>
        <v/>
      </c>
      <c r="L19" s="24">
        <f>IF(COUNT(L7:L16)&lt;10,"",IF(L8=0,0,L9/L8))</f>
        <v/>
      </c>
      <c r="M19" s="24">
        <f>IF(COUNT(M7:M16)&lt;10,"",IF(M8=0,0,M9/M8))</f>
        <v/>
      </c>
      <c r="N19" s="24">
        <f>IF(COUNT(N7:N16)&lt;10,"",IF(N8=0,0,N9/N8))</f>
        <v/>
      </c>
      <c r="O19" s="24">
        <f>IF(COUNT(C19:N19)=0,"",AVERAGE(C19:N19))</f>
        <v/>
      </c>
      <c r="P19" s="24">
        <f>IF(COUNT(C19:N19)=0,"",MAX(C19:N19))</f>
        <v/>
      </c>
      <c r="Q19" s="24">
        <f>IF(COUNT(C19:N19)=0,"",MIN(C19:N19))</f>
        <v/>
      </c>
    </row>
    <row r="20">
      <c r="B20" t="inlineStr">
        <is>
          <t>% calificado → agenda</t>
        </is>
      </c>
      <c r="C20" s="24">
        <f>IF(COUNT(C7:C16)&lt;10,"",IF(C10=0,0,C11/C10))</f>
        <v/>
      </c>
      <c r="D20" s="24">
        <f>IF(COUNT(D7:D16)&lt;10,"",IF(D10=0,0,D11/D10))</f>
        <v/>
      </c>
      <c r="E20" s="24">
        <f>IF(COUNT(E7:E16)&lt;10,"",IF(E10=0,0,E11/E10))</f>
        <v/>
      </c>
      <c r="F20" s="24">
        <f>IF(COUNT(F7:F16)&lt;10,"",IF(F10=0,0,F11/F10))</f>
        <v/>
      </c>
      <c r="G20" s="24">
        <f>IF(COUNT(G7:G16)&lt;10,"",IF(G10=0,0,G11/G10))</f>
        <v/>
      </c>
      <c r="H20" s="24">
        <f>IF(COUNT(H7:H16)&lt;10,"",IF(H10=0,0,H11/H10))</f>
        <v/>
      </c>
      <c r="I20" s="24">
        <f>IF(COUNT(I7:I16)&lt;10,"",IF(I10=0,0,I11/I10))</f>
        <v/>
      </c>
      <c r="J20" s="24">
        <f>IF(COUNT(J7:J16)&lt;10,"",IF(J10=0,0,J11/J10))</f>
        <v/>
      </c>
      <c r="K20" s="24">
        <f>IF(COUNT(K7:K16)&lt;10,"",IF(K10=0,0,K11/K10))</f>
        <v/>
      </c>
      <c r="L20" s="24">
        <f>IF(COUNT(L7:L16)&lt;10,"",IF(L10=0,0,L11/L10))</f>
        <v/>
      </c>
      <c r="M20" s="24">
        <f>IF(COUNT(M7:M16)&lt;10,"",IF(M10=0,0,M11/M10))</f>
        <v/>
      </c>
      <c r="N20" s="24">
        <f>IF(COUNT(N7:N16)&lt;10,"",IF(N10=0,0,N11/N10))</f>
        <v/>
      </c>
      <c r="O20" s="24">
        <f>IF(COUNT(C20:N20)=0,"",AVERAGE(C20:N20))</f>
        <v/>
      </c>
      <c r="P20" s="24">
        <f>IF(COUNT(C20:N20)=0,"",MAX(C20:N20))</f>
        <v/>
      </c>
      <c r="Q20" s="24">
        <f>IF(COUNT(C20:N20)=0,"",MIN(C20:N20))</f>
        <v/>
      </c>
    </row>
    <row r="21">
      <c r="B21" t="inlineStr">
        <is>
          <t>% agenda → llamada (show)</t>
        </is>
      </c>
      <c r="C21" s="24">
        <f>IF(COUNT(C7:C16)&lt;10,"",IF(C11=0,0,C12/C11))</f>
        <v/>
      </c>
      <c r="D21" s="24">
        <f>IF(COUNT(D7:D16)&lt;10,"",IF(D11=0,0,D12/D11))</f>
        <v/>
      </c>
      <c r="E21" s="24">
        <f>IF(COUNT(E7:E16)&lt;10,"",IF(E11=0,0,E12/E11))</f>
        <v/>
      </c>
      <c r="F21" s="24">
        <f>IF(COUNT(F7:F16)&lt;10,"",IF(F11=0,0,F12/F11))</f>
        <v/>
      </c>
      <c r="G21" s="24">
        <f>IF(COUNT(G7:G16)&lt;10,"",IF(G11=0,0,G12/G11))</f>
        <v/>
      </c>
      <c r="H21" s="24">
        <f>IF(COUNT(H7:H16)&lt;10,"",IF(H11=0,0,H12/H11))</f>
        <v/>
      </c>
      <c r="I21" s="24">
        <f>IF(COUNT(I7:I16)&lt;10,"",IF(I11=0,0,I12/I11))</f>
        <v/>
      </c>
      <c r="J21" s="24">
        <f>IF(COUNT(J7:J16)&lt;10,"",IF(J11=0,0,J12/J11))</f>
        <v/>
      </c>
      <c r="K21" s="24">
        <f>IF(COUNT(K7:K16)&lt;10,"",IF(K11=0,0,K12/K11))</f>
        <v/>
      </c>
      <c r="L21" s="24">
        <f>IF(COUNT(L7:L16)&lt;10,"",IF(L11=0,0,L12/L11))</f>
        <v/>
      </c>
      <c r="M21" s="24">
        <f>IF(COUNT(M7:M16)&lt;10,"",IF(M11=0,0,M12/M11))</f>
        <v/>
      </c>
      <c r="N21" s="24">
        <f>IF(COUNT(N7:N16)&lt;10,"",IF(N11=0,0,N12/N11))</f>
        <v/>
      </c>
      <c r="O21" s="24">
        <f>IF(COUNT(C21:N21)=0,"",AVERAGE(C21:N21))</f>
        <v/>
      </c>
      <c r="P21" s="24">
        <f>IF(COUNT(C21:N21)=0,"",MAX(C21:N21))</f>
        <v/>
      </c>
      <c r="Q21" s="24">
        <f>IF(COUNT(C21:N21)=0,"",MIN(C21:N21))</f>
        <v/>
      </c>
    </row>
    <row r="22">
      <c r="B22" s="4" t="inlineStr">
        <is>
          <t>% llamada → venta (cierre)</t>
        </is>
      </c>
      <c r="C22" s="37">
        <f>IF(COUNT(C7:C16)&lt;10,"",IF(C12=0,0,C13/C12))</f>
        <v/>
      </c>
      <c r="D22" s="37">
        <f>IF(COUNT(D7:D16)&lt;10,"",IF(D12=0,0,D13/D12))</f>
        <v/>
      </c>
      <c r="E22" s="37">
        <f>IF(COUNT(E7:E16)&lt;10,"",IF(E12=0,0,E13/E12))</f>
        <v/>
      </c>
      <c r="F22" s="37">
        <f>IF(COUNT(F7:F16)&lt;10,"",IF(F12=0,0,F13/F12))</f>
        <v/>
      </c>
      <c r="G22" s="37">
        <f>IF(COUNT(G7:G16)&lt;10,"",IF(G12=0,0,G13/G12))</f>
        <v/>
      </c>
      <c r="H22" s="37">
        <f>IF(COUNT(H7:H16)&lt;10,"",IF(H12=0,0,H13/H12))</f>
        <v/>
      </c>
      <c r="I22" s="37">
        <f>IF(COUNT(I7:I16)&lt;10,"",IF(I12=0,0,I13/I12))</f>
        <v/>
      </c>
      <c r="J22" s="37">
        <f>IF(COUNT(J7:J16)&lt;10,"",IF(J12=0,0,J13/J12))</f>
        <v/>
      </c>
      <c r="K22" s="37">
        <f>IF(COUNT(K7:K16)&lt;10,"",IF(K12=0,0,K13/K12))</f>
        <v/>
      </c>
      <c r="L22" s="37">
        <f>IF(COUNT(L7:L16)&lt;10,"",IF(L12=0,0,L13/L12))</f>
        <v/>
      </c>
      <c r="M22" s="37">
        <f>IF(COUNT(M7:M16)&lt;10,"",IF(M12=0,0,M13/M12))</f>
        <v/>
      </c>
      <c r="N22" s="37">
        <f>IF(COUNT(N7:N16)&lt;10,"",IF(N12=0,0,N13/N12))</f>
        <v/>
      </c>
      <c r="O22" s="24">
        <f>IF(COUNT(C22:N22)=0,"",AVERAGE(C22:N22))</f>
        <v/>
      </c>
      <c r="P22" s="24">
        <f>IF(COUNT(C22:N22)=0,"",MAX(C22:N22))</f>
        <v/>
      </c>
      <c r="Q22" s="24">
        <f>IF(COUNT(C22:N22)=0,"",MIN(C22:N22))</f>
        <v/>
      </c>
    </row>
    <row r="23">
      <c r="B23" t="inlineStr">
        <is>
          <t>Costo por agenda</t>
        </is>
      </c>
      <c r="C23" s="18">
        <f>IF(COUNT(C7:C16)&lt;10,"",IF(C11=0,0,C7/C11))</f>
        <v/>
      </c>
      <c r="D23" s="18">
        <f>IF(COUNT(D7:D16)&lt;10,"",IF(D11=0,0,D7/D11))</f>
        <v/>
      </c>
      <c r="E23" s="18">
        <f>IF(COUNT(E7:E16)&lt;10,"",IF(E11=0,0,E7/E11))</f>
        <v/>
      </c>
      <c r="F23" s="18">
        <f>IF(COUNT(F7:F16)&lt;10,"",IF(F11=0,0,F7/F11))</f>
        <v/>
      </c>
      <c r="G23" s="18">
        <f>IF(COUNT(G7:G16)&lt;10,"",IF(G11=0,0,G7/G11))</f>
        <v/>
      </c>
      <c r="H23" s="18">
        <f>IF(COUNT(H7:H16)&lt;10,"",IF(H11=0,0,H7/H11))</f>
        <v/>
      </c>
      <c r="I23" s="18">
        <f>IF(COUNT(I7:I16)&lt;10,"",IF(I11=0,0,I7/I11))</f>
        <v/>
      </c>
      <c r="J23" s="18">
        <f>IF(COUNT(J7:J16)&lt;10,"",IF(J11=0,0,J7/J11))</f>
        <v/>
      </c>
      <c r="K23" s="18">
        <f>IF(COUNT(K7:K16)&lt;10,"",IF(K11=0,0,K7/K11))</f>
        <v/>
      </c>
      <c r="L23" s="18">
        <f>IF(COUNT(L7:L16)&lt;10,"",IF(L11=0,0,L7/L11))</f>
        <v/>
      </c>
      <c r="M23" s="18">
        <f>IF(COUNT(M7:M16)&lt;10,"",IF(M11=0,0,M7/M11))</f>
        <v/>
      </c>
      <c r="N23" s="18">
        <f>IF(COUNT(N7:N16)&lt;10,"",IF(N11=0,0,N7/N11))</f>
        <v/>
      </c>
      <c r="O23" s="18">
        <f>IF(COUNT(C23:N23)=0,"",AVERAGE(C23:N23))</f>
        <v/>
      </c>
      <c r="P23" s="18">
        <f>IF(COUNT(C23:N23)=0,"",MAX(C23:N23))</f>
        <v/>
      </c>
      <c r="Q23" s="18">
        <f>IF(COUNT(C23:N23)=0,"",MIN(C23:N23))</f>
        <v/>
      </c>
    </row>
    <row r="24">
      <c r="B24" t="inlineStr">
        <is>
          <t>CAC real</t>
        </is>
      </c>
      <c r="C24" s="18">
        <f>IF(COUNT(C7:C16)&lt;10,"",IF(C13=0,0,C7/C13))</f>
        <v/>
      </c>
      <c r="D24" s="18">
        <f>IF(COUNT(D7:D16)&lt;10,"",IF(D13=0,0,D7/D13))</f>
        <v/>
      </c>
      <c r="E24" s="18">
        <f>IF(COUNT(E7:E16)&lt;10,"",IF(E13=0,0,E7/E13))</f>
        <v/>
      </c>
      <c r="F24" s="18">
        <f>IF(COUNT(F7:F16)&lt;10,"",IF(F13=0,0,F7/F13))</f>
        <v/>
      </c>
      <c r="G24" s="18">
        <f>IF(COUNT(G7:G16)&lt;10,"",IF(G13=0,0,G7/G13))</f>
        <v/>
      </c>
      <c r="H24" s="18">
        <f>IF(COUNT(H7:H16)&lt;10,"",IF(H13=0,0,H7/H13))</f>
        <v/>
      </c>
      <c r="I24" s="18">
        <f>IF(COUNT(I7:I16)&lt;10,"",IF(I13=0,0,I7/I13))</f>
        <v/>
      </c>
      <c r="J24" s="18">
        <f>IF(COUNT(J7:J16)&lt;10,"",IF(J13=0,0,J7/J13))</f>
        <v/>
      </c>
      <c r="K24" s="18">
        <f>IF(COUNT(K7:K16)&lt;10,"",IF(K13=0,0,K7/K13))</f>
        <v/>
      </c>
      <c r="L24" s="18">
        <f>IF(COUNT(L7:L16)&lt;10,"",IF(L13=0,0,L7/L13))</f>
        <v/>
      </c>
      <c r="M24" s="18">
        <f>IF(COUNT(M7:M16)&lt;10,"",IF(M13=0,0,M7/M13))</f>
        <v/>
      </c>
      <c r="N24" s="18">
        <f>IF(COUNT(N7:N16)&lt;10,"",IF(N13=0,0,N7/N13))</f>
        <v/>
      </c>
      <c r="O24" s="18">
        <f>IF(COUNT(C24:N24)=0,"",AVERAGE(C24:N24))</f>
        <v/>
      </c>
      <c r="P24" s="18">
        <f>IF(COUNT(C24:N24)=0,"",MAX(C24:N24))</f>
        <v/>
      </c>
      <c r="Q24" s="18">
        <f>IF(COUNT(C24:N24)=0,"",MIN(C24:N24))</f>
        <v/>
      </c>
    </row>
    <row r="25">
      <c r="B25" s="4" t="inlineStr">
        <is>
          <t>Valor neto por unidad real (sobre facturado, cobranza completa)</t>
        </is>
      </c>
      <c r="C25" s="13">
        <f>IF(COUNT(C7:C16)&lt;10,"",IF(C8=0,0,(C15*(1-'Supuestos'!$C$33-'Supuestos'!$C$34-'Supuestos'!$C$35)-C8*'Supuestos'!$C$36)/C8))</f>
        <v/>
      </c>
      <c r="D25" s="13">
        <f>IF(COUNT(D7:D16)&lt;10,"",IF(D8=0,0,(D15*(1-'Supuestos'!$C$33-'Supuestos'!$C$34-'Supuestos'!$C$35)-D8*'Supuestos'!$C$36)/D8))</f>
        <v/>
      </c>
      <c r="E25" s="13">
        <f>IF(COUNT(E7:E16)&lt;10,"",IF(E8=0,0,(E15*(1-'Supuestos'!$C$33-'Supuestos'!$C$34-'Supuestos'!$C$35)-E8*'Supuestos'!$C$36)/E8))</f>
        <v/>
      </c>
      <c r="F25" s="13">
        <f>IF(COUNT(F7:F16)&lt;10,"",IF(F8=0,0,(F15*(1-'Supuestos'!$C$33-'Supuestos'!$C$34-'Supuestos'!$C$35)-F8*'Supuestos'!$C$36)/F8))</f>
        <v/>
      </c>
      <c r="G25" s="13">
        <f>IF(COUNT(G7:G16)&lt;10,"",IF(G8=0,0,(G15*(1-'Supuestos'!$C$33-'Supuestos'!$C$34-'Supuestos'!$C$35)-G8*'Supuestos'!$C$36)/G8))</f>
        <v/>
      </c>
      <c r="H25" s="13">
        <f>IF(COUNT(H7:H16)&lt;10,"",IF(H8=0,0,(H15*(1-'Supuestos'!$C$33-'Supuestos'!$C$34-'Supuestos'!$C$35)-H8*'Supuestos'!$C$36)/H8))</f>
        <v/>
      </c>
      <c r="I25" s="13">
        <f>IF(COUNT(I7:I16)&lt;10,"",IF(I8=0,0,(I15*(1-'Supuestos'!$C$33-'Supuestos'!$C$34-'Supuestos'!$C$35)-I8*'Supuestos'!$C$36)/I8))</f>
        <v/>
      </c>
      <c r="J25" s="13">
        <f>IF(COUNT(J7:J16)&lt;10,"",IF(J8=0,0,(J15*(1-'Supuestos'!$C$33-'Supuestos'!$C$34-'Supuestos'!$C$35)-J8*'Supuestos'!$C$36)/J8))</f>
        <v/>
      </c>
      <c r="K25" s="13">
        <f>IF(COUNT(K7:K16)&lt;10,"",IF(K8=0,0,(K15*(1-'Supuestos'!$C$33-'Supuestos'!$C$34-'Supuestos'!$C$35)-K8*'Supuestos'!$C$36)/K8))</f>
        <v/>
      </c>
      <c r="L25" s="13">
        <f>IF(COUNT(L7:L16)&lt;10,"",IF(L8=0,0,(L15*(1-'Supuestos'!$C$33-'Supuestos'!$C$34-'Supuestos'!$C$35)-L8*'Supuestos'!$C$36)/L8))</f>
        <v/>
      </c>
      <c r="M25" s="13">
        <f>IF(COUNT(M7:M16)&lt;10,"",IF(M8=0,0,(M15*(1-'Supuestos'!$C$33-'Supuestos'!$C$34-'Supuestos'!$C$35)-M8*'Supuestos'!$C$36)/M8))</f>
        <v/>
      </c>
      <c r="N25" s="13">
        <f>IF(COUNT(N7:N16)&lt;10,"",IF(N8=0,0,(N15*(1-'Supuestos'!$C$33-'Supuestos'!$C$34-'Supuestos'!$C$35)-N8*'Supuestos'!$C$36)/N8))</f>
        <v/>
      </c>
      <c r="O25" s="18">
        <f>IF(COUNT(C25:N25)=0,"",AVERAGE(C25:N25))</f>
        <v/>
      </c>
      <c r="P25" s="18">
        <f>IF(COUNT(C25:N25)=0,"",MAX(C25:N25))</f>
        <v/>
      </c>
      <c r="Q25" s="18">
        <f>IF(COUNT(C25:N25)=0,"",MIN(C25:N25))</f>
        <v/>
      </c>
    </row>
    <row r="26">
      <c r="B26" s="4" t="inlineStr">
        <is>
          <t>Ganancia del período al completar la cobranza</t>
        </is>
      </c>
      <c r="C26" s="9">
        <f>IF(COUNT(C7:C16)&lt;10,"",C15*(1-'Supuestos'!$C$33-'Supuestos'!$C$34-'Supuestos'!$C$35)-C8*'Supuestos'!$C$36-'Supuestos'!$C$37-C7)</f>
        <v/>
      </c>
      <c r="D26" s="9">
        <f>IF(COUNT(D7:D16)&lt;10,"",D15*(1-'Supuestos'!$C$33-'Supuestos'!$C$34-'Supuestos'!$C$35)-D8*'Supuestos'!$C$36-'Supuestos'!$C$37-D7)</f>
        <v/>
      </c>
      <c r="E26" s="9">
        <f>IF(COUNT(E7:E16)&lt;10,"",E15*(1-'Supuestos'!$C$33-'Supuestos'!$C$34-'Supuestos'!$C$35)-E8*'Supuestos'!$C$36-'Supuestos'!$C$37-E7)</f>
        <v/>
      </c>
      <c r="F26" s="9">
        <f>IF(COUNT(F7:F16)&lt;10,"",F15*(1-'Supuestos'!$C$33-'Supuestos'!$C$34-'Supuestos'!$C$35)-F8*'Supuestos'!$C$36-'Supuestos'!$C$37-F7)</f>
        <v/>
      </c>
      <c r="G26" s="9">
        <f>IF(COUNT(G7:G16)&lt;10,"",G15*(1-'Supuestos'!$C$33-'Supuestos'!$C$34-'Supuestos'!$C$35)-G8*'Supuestos'!$C$36-'Supuestos'!$C$37-G7)</f>
        <v/>
      </c>
      <c r="H26" s="9">
        <f>IF(COUNT(H7:H16)&lt;10,"",H15*(1-'Supuestos'!$C$33-'Supuestos'!$C$34-'Supuestos'!$C$35)-H8*'Supuestos'!$C$36-'Supuestos'!$C$37-H7)</f>
        <v/>
      </c>
      <c r="I26" s="9">
        <f>IF(COUNT(I7:I16)&lt;10,"",I15*(1-'Supuestos'!$C$33-'Supuestos'!$C$34-'Supuestos'!$C$35)-I8*'Supuestos'!$C$36-'Supuestos'!$C$37-I7)</f>
        <v/>
      </c>
      <c r="J26" s="9">
        <f>IF(COUNT(J7:J16)&lt;10,"",J15*(1-'Supuestos'!$C$33-'Supuestos'!$C$34-'Supuestos'!$C$35)-J8*'Supuestos'!$C$36-'Supuestos'!$C$37-J7)</f>
        <v/>
      </c>
      <c r="K26" s="9">
        <f>IF(COUNT(K7:K16)&lt;10,"",K15*(1-'Supuestos'!$C$33-'Supuestos'!$C$34-'Supuestos'!$C$35)-K8*'Supuestos'!$C$36-'Supuestos'!$C$37-K7)</f>
        <v/>
      </c>
      <c r="L26" s="9">
        <f>IF(COUNT(L7:L16)&lt;10,"",L15*(1-'Supuestos'!$C$33-'Supuestos'!$C$34-'Supuestos'!$C$35)-L8*'Supuestos'!$C$36-'Supuestos'!$C$37-L7)</f>
        <v/>
      </c>
      <c r="M26" s="9">
        <f>IF(COUNT(M7:M16)&lt;10,"",M15*(1-'Supuestos'!$C$33-'Supuestos'!$C$34-'Supuestos'!$C$35)-M8*'Supuestos'!$C$36-'Supuestos'!$C$37-M7)</f>
        <v/>
      </c>
      <c r="N26" s="9">
        <f>IF(COUNT(N7:N16)&lt;10,"",N15*(1-'Supuestos'!$C$33-'Supuestos'!$C$34-'Supuestos'!$C$35)-N8*'Supuestos'!$C$36-'Supuestos'!$C$37-N7)</f>
        <v/>
      </c>
      <c r="O26" s="21">
        <f>IF(COUNT(C26:N26)=0,"",AVERAGE(C26:N26))</f>
        <v/>
      </c>
      <c r="P26" s="21">
        <f>IF(COUNT(C26:N26)=0,"",MAX(C26:N26))</f>
        <v/>
      </c>
      <c r="Q26" s="21">
        <f>IF(COUNT(C26:N26)=0,"",MIN(C26:N26))</f>
        <v/>
      </c>
    </row>
    <row r="27">
      <c r="B27" t="inlineStr">
        <is>
          <t>Ganancia de caja del período (con lo cobrado hasta ahora)</t>
        </is>
      </c>
      <c r="C27" s="21">
        <f>IF(COUNT(C7:C16)&lt;10,"",C16*(1-'Supuestos'!$C$33-'Supuestos'!$C$34-'Supuestos'!$C$35)-C8*'Supuestos'!$C$36-'Supuestos'!$C$37-C7)</f>
        <v/>
      </c>
      <c r="D27" s="21">
        <f>IF(COUNT(D7:D16)&lt;10,"",D16*(1-'Supuestos'!$C$33-'Supuestos'!$C$34-'Supuestos'!$C$35)-D8*'Supuestos'!$C$36-'Supuestos'!$C$37-D7)</f>
        <v/>
      </c>
      <c r="E27" s="21">
        <f>IF(COUNT(E7:E16)&lt;10,"",E16*(1-'Supuestos'!$C$33-'Supuestos'!$C$34-'Supuestos'!$C$35)-E8*'Supuestos'!$C$36-'Supuestos'!$C$37-E7)</f>
        <v/>
      </c>
      <c r="F27" s="21">
        <f>IF(COUNT(F7:F16)&lt;10,"",F16*(1-'Supuestos'!$C$33-'Supuestos'!$C$34-'Supuestos'!$C$35)-F8*'Supuestos'!$C$36-'Supuestos'!$C$37-F7)</f>
        <v/>
      </c>
      <c r="G27" s="21">
        <f>IF(COUNT(G7:G16)&lt;10,"",G16*(1-'Supuestos'!$C$33-'Supuestos'!$C$34-'Supuestos'!$C$35)-G8*'Supuestos'!$C$36-'Supuestos'!$C$37-G7)</f>
        <v/>
      </c>
      <c r="H27" s="21">
        <f>IF(COUNT(H7:H16)&lt;10,"",H16*(1-'Supuestos'!$C$33-'Supuestos'!$C$34-'Supuestos'!$C$35)-H8*'Supuestos'!$C$36-'Supuestos'!$C$37-H7)</f>
        <v/>
      </c>
      <c r="I27" s="21">
        <f>IF(COUNT(I7:I16)&lt;10,"",I16*(1-'Supuestos'!$C$33-'Supuestos'!$C$34-'Supuestos'!$C$35)-I8*'Supuestos'!$C$36-'Supuestos'!$C$37-I7)</f>
        <v/>
      </c>
      <c r="J27" s="21">
        <f>IF(COUNT(J7:J16)&lt;10,"",J16*(1-'Supuestos'!$C$33-'Supuestos'!$C$34-'Supuestos'!$C$35)-J8*'Supuestos'!$C$36-'Supuestos'!$C$37-J7)</f>
        <v/>
      </c>
      <c r="K27" s="21">
        <f>IF(COUNT(K7:K16)&lt;10,"",K16*(1-'Supuestos'!$C$33-'Supuestos'!$C$34-'Supuestos'!$C$35)-K8*'Supuestos'!$C$36-'Supuestos'!$C$37-K7)</f>
        <v/>
      </c>
      <c r="L27" s="21">
        <f>IF(COUNT(L7:L16)&lt;10,"",L16*(1-'Supuestos'!$C$33-'Supuestos'!$C$34-'Supuestos'!$C$35)-L8*'Supuestos'!$C$36-'Supuestos'!$C$37-L7)</f>
        <v/>
      </c>
      <c r="M27" s="21">
        <f>IF(COUNT(M7:M16)&lt;10,"",M16*(1-'Supuestos'!$C$33-'Supuestos'!$C$34-'Supuestos'!$C$35)-M8*'Supuestos'!$C$36-'Supuestos'!$C$37-M7)</f>
        <v/>
      </c>
      <c r="N27" s="21">
        <f>IF(COUNT(N7:N16)&lt;10,"",N16*(1-'Supuestos'!$C$33-'Supuestos'!$C$34-'Supuestos'!$C$35)-N8*'Supuestos'!$C$36-'Supuestos'!$C$37-N7)</f>
        <v/>
      </c>
      <c r="O27" s="21">
        <f>IF(COUNT(C27:N27)=0,"",AVERAGE(C27:N27))</f>
        <v/>
      </c>
      <c r="P27" s="21">
        <f>IF(COUNT(C27:N27)=0,"",MAX(C27:N27))</f>
        <v/>
      </c>
      <c r="Q27" s="21">
        <f>IF(COUNT(C27:N27)=0,"",MIN(C27:N27))</f>
        <v/>
      </c>
    </row>
    <row r="28">
      <c r="B28" s="4" t="inlineStr">
        <is>
          <t>Ganancia por unidad real (ganancia ÷ unidades)</t>
        </is>
      </c>
      <c r="C28" s="13">
        <f>IF(COUNT(C7:C16)&lt;10,"",IF(C8=0,0,(C15*(1-'Supuestos'!$C$33-'Supuestos'!$C$34-'Supuestos'!$C$35)-C8*'Supuestos'!$C$36-'Supuestos'!$C$37-C7)/C8))</f>
        <v/>
      </c>
      <c r="D28" s="13">
        <f>IF(COUNT(D7:D16)&lt;10,"",IF(D8=0,0,(D15*(1-'Supuestos'!$C$33-'Supuestos'!$C$34-'Supuestos'!$C$35)-D8*'Supuestos'!$C$36-'Supuestos'!$C$37-D7)/D8))</f>
        <v/>
      </c>
      <c r="E28" s="13">
        <f>IF(COUNT(E7:E16)&lt;10,"",IF(E8=0,0,(E15*(1-'Supuestos'!$C$33-'Supuestos'!$C$34-'Supuestos'!$C$35)-E8*'Supuestos'!$C$36-'Supuestos'!$C$37-E7)/E8))</f>
        <v/>
      </c>
      <c r="F28" s="13">
        <f>IF(COUNT(F7:F16)&lt;10,"",IF(F8=0,0,(F15*(1-'Supuestos'!$C$33-'Supuestos'!$C$34-'Supuestos'!$C$35)-F8*'Supuestos'!$C$36-'Supuestos'!$C$37-F7)/F8))</f>
        <v/>
      </c>
      <c r="G28" s="13">
        <f>IF(COUNT(G7:G16)&lt;10,"",IF(G8=0,0,(G15*(1-'Supuestos'!$C$33-'Supuestos'!$C$34-'Supuestos'!$C$35)-G8*'Supuestos'!$C$36-'Supuestos'!$C$37-G7)/G8))</f>
        <v/>
      </c>
      <c r="H28" s="13">
        <f>IF(COUNT(H7:H16)&lt;10,"",IF(H8=0,0,(H15*(1-'Supuestos'!$C$33-'Supuestos'!$C$34-'Supuestos'!$C$35)-H8*'Supuestos'!$C$36-'Supuestos'!$C$37-H7)/H8))</f>
        <v/>
      </c>
      <c r="I28" s="13">
        <f>IF(COUNT(I7:I16)&lt;10,"",IF(I8=0,0,(I15*(1-'Supuestos'!$C$33-'Supuestos'!$C$34-'Supuestos'!$C$35)-I8*'Supuestos'!$C$36-'Supuestos'!$C$37-I7)/I8))</f>
        <v/>
      </c>
      <c r="J28" s="13">
        <f>IF(COUNT(J7:J16)&lt;10,"",IF(J8=0,0,(J15*(1-'Supuestos'!$C$33-'Supuestos'!$C$34-'Supuestos'!$C$35)-J8*'Supuestos'!$C$36-'Supuestos'!$C$37-J7)/J8))</f>
        <v/>
      </c>
      <c r="K28" s="13">
        <f>IF(COUNT(K7:K16)&lt;10,"",IF(K8=0,0,(K15*(1-'Supuestos'!$C$33-'Supuestos'!$C$34-'Supuestos'!$C$35)-K8*'Supuestos'!$C$36-'Supuestos'!$C$37-K7)/K8))</f>
        <v/>
      </c>
      <c r="L28" s="13">
        <f>IF(COUNT(L7:L16)&lt;10,"",IF(L8=0,0,(L15*(1-'Supuestos'!$C$33-'Supuestos'!$C$34-'Supuestos'!$C$35)-L8*'Supuestos'!$C$36-'Supuestos'!$C$37-L7)/L8))</f>
        <v/>
      </c>
      <c r="M28" s="13">
        <f>IF(COUNT(M7:M16)&lt;10,"",IF(M8=0,0,(M15*(1-'Supuestos'!$C$33-'Supuestos'!$C$34-'Supuestos'!$C$35)-M8*'Supuestos'!$C$36-'Supuestos'!$C$37-M7)/M8))</f>
        <v/>
      </c>
      <c r="N28" s="13">
        <f>IF(COUNT(N7:N16)&lt;10,"",IF(N8=0,0,(N15*(1-'Supuestos'!$C$33-'Supuestos'!$C$34-'Supuestos'!$C$35)-N8*'Supuestos'!$C$36-'Supuestos'!$C$37-N7)/N8))</f>
        <v/>
      </c>
      <c r="O28" s="18">
        <f>IF(COUNT(C28:N28)=0,"",AVERAGE(C28:N28))</f>
        <v/>
      </c>
      <c r="P28" s="18">
        <f>IF(COUNT(C28:N28)=0,"",MAX(C28:N28))</f>
        <v/>
      </c>
      <c r="Q28" s="18">
        <f>IF(COUNT(C28:N28)=0,"",MIN(C28:N28))</f>
        <v/>
      </c>
    </row>
    <row r="29">
      <c r="B29" s="4" t="inlineStr">
        <is>
          <t>ROAS sobre cash neto (cobranza completa)</t>
        </is>
      </c>
      <c r="C29" s="10">
        <f>IF(COUNT(C7:C16)&lt;10,"",IF(C7=0,0,C15*(1-'Supuestos'!$C$33-'Supuestos'!$C$34-'Supuestos'!$C$35)/C7))</f>
        <v/>
      </c>
      <c r="D29" s="10">
        <f>IF(COUNT(D7:D16)&lt;10,"",IF(D7=0,0,D15*(1-'Supuestos'!$C$33-'Supuestos'!$C$34-'Supuestos'!$C$35)/D7))</f>
        <v/>
      </c>
      <c r="E29" s="10">
        <f>IF(COUNT(E7:E16)&lt;10,"",IF(E7=0,0,E15*(1-'Supuestos'!$C$33-'Supuestos'!$C$34-'Supuestos'!$C$35)/E7))</f>
        <v/>
      </c>
      <c r="F29" s="10">
        <f>IF(COUNT(F7:F16)&lt;10,"",IF(F7=0,0,F15*(1-'Supuestos'!$C$33-'Supuestos'!$C$34-'Supuestos'!$C$35)/F7))</f>
        <v/>
      </c>
      <c r="G29" s="10">
        <f>IF(COUNT(G7:G16)&lt;10,"",IF(G7=0,0,G15*(1-'Supuestos'!$C$33-'Supuestos'!$C$34-'Supuestos'!$C$35)/G7))</f>
        <v/>
      </c>
      <c r="H29" s="10">
        <f>IF(COUNT(H7:H16)&lt;10,"",IF(H7=0,0,H15*(1-'Supuestos'!$C$33-'Supuestos'!$C$34-'Supuestos'!$C$35)/H7))</f>
        <v/>
      </c>
      <c r="I29" s="10">
        <f>IF(COUNT(I7:I16)&lt;10,"",IF(I7=0,0,I15*(1-'Supuestos'!$C$33-'Supuestos'!$C$34-'Supuestos'!$C$35)/I7))</f>
        <v/>
      </c>
      <c r="J29" s="10">
        <f>IF(COUNT(J7:J16)&lt;10,"",IF(J7=0,0,J15*(1-'Supuestos'!$C$33-'Supuestos'!$C$34-'Supuestos'!$C$35)/J7))</f>
        <v/>
      </c>
      <c r="K29" s="10">
        <f>IF(COUNT(K7:K16)&lt;10,"",IF(K7=0,0,K15*(1-'Supuestos'!$C$33-'Supuestos'!$C$34-'Supuestos'!$C$35)/K7))</f>
        <v/>
      </c>
      <c r="L29" s="10">
        <f>IF(COUNT(L7:L16)&lt;10,"",IF(L7=0,0,L15*(1-'Supuestos'!$C$33-'Supuestos'!$C$34-'Supuestos'!$C$35)/L7))</f>
        <v/>
      </c>
      <c r="M29" s="10">
        <f>IF(COUNT(M7:M16)&lt;10,"",IF(M7=0,0,M15*(1-'Supuestos'!$C$33-'Supuestos'!$C$34-'Supuestos'!$C$35)/M7))</f>
        <v/>
      </c>
      <c r="N29" s="10">
        <f>IF(COUNT(N7:N16)&lt;10,"",IF(N7=0,0,N15*(1-'Supuestos'!$C$33-'Supuestos'!$C$34-'Supuestos'!$C$35)/N7))</f>
        <v/>
      </c>
      <c r="O29" s="28">
        <f>IF(COUNT(C29:N29)=0,"",AVERAGE(C29:N29))</f>
        <v/>
      </c>
      <c r="P29" s="28">
        <f>IF(COUNT(C29:N29)=0,"",MAX(C29:N29))</f>
        <v/>
      </c>
      <c r="Q29" s="28">
        <f>IF(COUNT(C29:N29)=0,"",MIN(C29:N29))</f>
        <v/>
      </c>
    </row>
    <row r="30">
      <c r="B30" t="inlineStr">
        <is>
          <t>ROAS de caja (cobrado hasta ahora)</t>
        </is>
      </c>
      <c r="C30" s="28">
        <f>IF(COUNT(C7:C16)&lt;10,"",IF(C7=0,0,C16*(1-'Supuestos'!$C$33-'Supuestos'!$C$34-'Supuestos'!$C$35)/C7))</f>
        <v/>
      </c>
      <c r="D30" s="28">
        <f>IF(COUNT(D7:D16)&lt;10,"",IF(D7=0,0,D16*(1-'Supuestos'!$C$33-'Supuestos'!$C$34-'Supuestos'!$C$35)/D7))</f>
        <v/>
      </c>
      <c r="E30" s="28">
        <f>IF(COUNT(E7:E16)&lt;10,"",IF(E7=0,0,E16*(1-'Supuestos'!$C$33-'Supuestos'!$C$34-'Supuestos'!$C$35)/E7))</f>
        <v/>
      </c>
      <c r="F30" s="28">
        <f>IF(COUNT(F7:F16)&lt;10,"",IF(F7=0,0,F16*(1-'Supuestos'!$C$33-'Supuestos'!$C$34-'Supuestos'!$C$35)/F7))</f>
        <v/>
      </c>
      <c r="G30" s="28">
        <f>IF(COUNT(G7:G16)&lt;10,"",IF(G7=0,0,G16*(1-'Supuestos'!$C$33-'Supuestos'!$C$34-'Supuestos'!$C$35)/G7))</f>
        <v/>
      </c>
      <c r="H30" s="28">
        <f>IF(COUNT(H7:H16)&lt;10,"",IF(H7=0,0,H16*(1-'Supuestos'!$C$33-'Supuestos'!$C$34-'Supuestos'!$C$35)/H7))</f>
        <v/>
      </c>
      <c r="I30" s="28">
        <f>IF(COUNT(I7:I16)&lt;10,"",IF(I7=0,0,I16*(1-'Supuestos'!$C$33-'Supuestos'!$C$34-'Supuestos'!$C$35)/I7))</f>
        <v/>
      </c>
      <c r="J30" s="28">
        <f>IF(COUNT(J7:J16)&lt;10,"",IF(J7=0,0,J16*(1-'Supuestos'!$C$33-'Supuestos'!$C$34-'Supuestos'!$C$35)/J7))</f>
        <v/>
      </c>
      <c r="K30" s="28">
        <f>IF(COUNT(K7:K16)&lt;10,"",IF(K7=0,0,K16*(1-'Supuestos'!$C$33-'Supuestos'!$C$34-'Supuestos'!$C$35)/K7))</f>
        <v/>
      </c>
      <c r="L30" s="28">
        <f>IF(COUNT(L7:L16)&lt;10,"",IF(L7=0,0,L16*(1-'Supuestos'!$C$33-'Supuestos'!$C$34-'Supuestos'!$C$35)/L7))</f>
        <v/>
      </c>
      <c r="M30" s="28">
        <f>IF(COUNT(M7:M16)&lt;10,"",IF(M7=0,0,M16*(1-'Supuestos'!$C$33-'Supuestos'!$C$34-'Supuestos'!$C$35)/M7))</f>
        <v/>
      </c>
      <c r="N30" s="28">
        <f>IF(COUNT(N7:N16)&lt;10,"",IF(N7=0,0,N16*(1-'Supuestos'!$C$33-'Supuestos'!$C$34-'Supuestos'!$C$35)/N7))</f>
        <v/>
      </c>
      <c r="O30" s="28">
        <f>IF(COUNT(C30:N30)=0,"",AVERAGE(C30:N30))</f>
        <v/>
      </c>
      <c r="P30" s="28">
        <f>IF(COUNT(C30:N30)=0,"",MAX(C30:N30))</f>
        <v/>
      </c>
      <c r="Q30" s="28">
        <f>IF(COUNT(C30:N30)=0,"",MIN(C30:N30))</f>
        <v/>
      </c>
    </row>
    <row r="31">
      <c r="B31" t="inlineStr">
        <is>
          <t>Techo móvil (mediana de tus últimas 4 columnas; al inicio, el del modelo)</t>
        </is>
      </c>
      <c r="C31" s="18">
        <f>IF(COUNT(C7:C16)&lt;10,"",'Modelo'!$C$48)</f>
        <v/>
      </c>
      <c r="D31" s="18">
        <f>IF(COUNT(D7:D16)&lt;10,"",IF(COUNT(C25:C25)&gt;0,MEDIAN(C25:C25),'Modelo'!$C$48))</f>
        <v/>
      </c>
      <c r="E31" s="18">
        <f>IF(COUNT(E7:E16)&lt;10,"",IF(COUNT(C25:D25)&gt;0,MEDIAN(C25:D25),'Modelo'!$C$48))</f>
        <v/>
      </c>
      <c r="F31" s="18">
        <f>IF(COUNT(F7:F16)&lt;10,"",IF(COUNT(C25:E25)&gt;0,MEDIAN(C25:E25),'Modelo'!$C$48))</f>
        <v/>
      </c>
      <c r="G31" s="18">
        <f>IF(COUNT(G7:G16)&lt;10,"",IF(COUNT(C25:F25)&gt;0,MEDIAN(C25:F25),'Modelo'!$C$48))</f>
        <v/>
      </c>
      <c r="H31" s="18">
        <f>IF(COUNT(H7:H16)&lt;10,"",IF(COUNT(D25:G25)&gt;0,MEDIAN(D25:G25),'Modelo'!$C$48))</f>
        <v/>
      </c>
      <c r="I31" s="18">
        <f>IF(COUNT(I7:I16)&lt;10,"",IF(COUNT(E25:H25)&gt;0,MEDIAN(E25:H25),'Modelo'!$C$48))</f>
        <v/>
      </c>
      <c r="J31" s="18">
        <f>IF(COUNT(J7:J16)&lt;10,"",IF(COUNT(F25:I25)&gt;0,MEDIAN(F25:I25),'Modelo'!$C$48))</f>
        <v/>
      </c>
      <c r="K31" s="18">
        <f>IF(COUNT(K7:K16)&lt;10,"",IF(COUNT(G25:J25)&gt;0,MEDIAN(G25:J25),'Modelo'!$C$48))</f>
        <v/>
      </c>
      <c r="L31" s="18">
        <f>IF(COUNT(L7:L16)&lt;10,"",IF(COUNT(H25:K25)&gt;0,MEDIAN(H25:K25),'Modelo'!$C$48))</f>
        <v/>
      </c>
      <c r="M31" s="18">
        <f>IF(COUNT(M7:M16)&lt;10,"",IF(COUNT(I25:L25)&gt;0,MEDIAN(I25:L25),'Modelo'!$C$48))</f>
        <v/>
      </c>
      <c r="N31" s="18">
        <f>IF(COUNT(N7:N16)&lt;10,"",IF(COUNT(J25:M25)&gt;0,MEDIAN(J25:M25),'Modelo'!$C$48))</f>
        <v/>
      </c>
      <c r="O31" s="18">
        <f>IF(COUNT(C31:N31)=0,"",AVERAGE(C31:N31))</f>
        <v/>
      </c>
      <c r="P31" s="18">
        <f>IF(COUNT(C31:N31)=0,"",MAX(C31:N31))</f>
        <v/>
      </c>
      <c r="Q31" s="18">
        <f>IF(COUNT(C31:N31)=0,"",MIN(C31:N31))</f>
        <v/>
      </c>
    </row>
    <row r="32">
      <c r="B32" s="4" t="inlineStr">
        <is>
          <t>Semáforo (costo por unidad contra el techo móvil, y ROAS contra el objetivo)</t>
        </is>
      </c>
      <c r="C32" s="14">
        <f>IF(COUNT(C7:C16)&lt;10,"",IF(C18&gt;C31,"ROJO",IF(AND(C18&lt;=C31/(1+'Supuestos'!$C$46),C29&gt;='Supuestos'!$C$45),"VERDE","AMARILLO")))</f>
        <v/>
      </c>
      <c r="D32" s="14">
        <f>IF(COUNT(D7:D16)&lt;10,"",IF(D18&gt;D31,"ROJO",IF(AND(D18&lt;=D31/(1+'Supuestos'!$C$46),D29&gt;='Supuestos'!$C$45),"VERDE","AMARILLO")))</f>
        <v/>
      </c>
      <c r="E32" s="14">
        <f>IF(COUNT(E7:E16)&lt;10,"",IF(E18&gt;E31,"ROJO",IF(AND(E18&lt;=E31/(1+'Supuestos'!$C$46),E29&gt;='Supuestos'!$C$45),"VERDE","AMARILLO")))</f>
        <v/>
      </c>
      <c r="F32" s="14">
        <f>IF(COUNT(F7:F16)&lt;10,"",IF(F18&gt;F31,"ROJO",IF(AND(F18&lt;=F31/(1+'Supuestos'!$C$46),F29&gt;='Supuestos'!$C$45),"VERDE","AMARILLO")))</f>
        <v/>
      </c>
      <c r="G32" s="14">
        <f>IF(COUNT(G7:G16)&lt;10,"",IF(G18&gt;G31,"ROJO",IF(AND(G18&lt;=G31/(1+'Supuestos'!$C$46),G29&gt;='Supuestos'!$C$45),"VERDE","AMARILLO")))</f>
        <v/>
      </c>
      <c r="H32" s="14">
        <f>IF(COUNT(H7:H16)&lt;10,"",IF(H18&gt;H31,"ROJO",IF(AND(H18&lt;=H31/(1+'Supuestos'!$C$46),H29&gt;='Supuestos'!$C$45),"VERDE","AMARILLO")))</f>
        <v/>
      </c>
      <c r="I32" s="14">
        <f>IF(COUNT(I7:I16)&lt;10,"",IF(I18&gt;I31,"ROJO",IF(AND(I18&lt;=I31/(1+'Supuestos'!$C$46),I29&gt;='Supuestos'!$C$45),"VERDE","AMARILLO")))</f>
        <v/>
      </c>
      <c r="J32" s="14">
        <f>IF(COUNT(J7:J16)&lt;10,"",IF(J18&gt;J31,"ROJO",IF(AND(J18&lt;=J31/(1+'Supuestos'!$C$46),J29&gt;='Supuestos'!$C$45),"VERDE","AMARILLO")))</f>
        <v/>
      </c>
      <c r="K32" s="14">
        <f>IF(COUNT(K7:K16)&lt;10,"",IF(K18&gt;K31,"ROJO",IF(AND(K18&lt;=K31/(1+'Supuestos'!$C$46),K29&gt;='Supuestos'!$C$45),"VERDE","AMARILLO")))</f>
        <v/>
      </c>
      <c r="L32" s="14">
        <f>IF(COUNT(L7:L16)&lt;10,"",IF(L18&gt;L31,"ROJO",IF(AND(L18&lt;=L31/(1+'Supuestos'!$C$46),L29&gt;='Supuestos'!$C$45),"VERDE","AMARILLO")))</f>
        <v/>
      </c>
      <c r="M32" s="14">
        <f>IF(COUNT(M7:M16)&lt;10,"",IF(M18&gt;M31,"ROJO",IF(AND(M18&lt;=M31/(1+'Supuestos'!$C$46),M29&gt;='Supuestos'!$C$45),"VERDE","AMARILLO")))</f>
        <v/>
      </c>
      <c r="N32" s="14">
        <f>IF(COUNT(N7:N16)&lt;10,"",IF(N18&gt;N31,"ROJO",IF(AND(N18&lt;=N31/(1+'Supuestos'!$C$46),N29&gt;='Supuestos'!$C$45),"VERDE","AMARILLO")))</f>
        <v/>
      </c>
    </row>
  </sheetData>
  <conditionalFormatting sqref="C5:N3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&gt;6</t>
        </is>
      </c>
      <c r="D6" t="inlineStr">
        <is>
          <t>3 a 6</t>
        </is>
      </c>
      <c r="E6" t="inlineStr">
        <is>
          <t>1,5 a 3</t>
        </is>
      </c>
      <c r="F6" t="inlineStr">
        <is>
          <t>&lt;1,5</t>
        </is>
      </c>
      <c r="G6" s="18">
        <f>'Modelo'!$C$10</f>
        <v/>
      </c>
      <c r="H6" s="5" t="inlineStr">
        <is>
          <t>Hispano, ticket 500 a 3.000, 2024 a 2026.</t>
        </is>
      </c>
    </row>
    <row r="7">
      <c r="B7" t="inlineStr">
        <is>
          <t>% lead → aplicación</t>
        </is>
      </c>
      <c r="C7" t="inlineStr">
        <is>
          <t>&lt;5 %</t>
        </is>
      </c>
      <c r="D7" t="inlineStr">
        <is>
          <t>5 a 10 %</t>
        </is>
      </c>
      <c r="E7" t="inlineStr">
        <is>
          <t>10 a 18 %</t>
        </is>
      </c>
      <c r="F7" t="inlineStr">
        <is>
          <t>&gt;18 %</t>
        </is>
      </c>
      <c r="G7" s="24">
        <f>'Supuestos'!$C$21</f>
        <v/>
      </c>
      <c r="H7" s="5" t="inlineStr">
        <is>
          <t>Formulario largo. Con evento previo se mide sobre asistentes.</t>
        </is>
      </c>
    </row>
    <row r="8">
      <c r="B8" t="inlineStr">
        <is>
          <t>% aplicación → calificado</t>
        </is>
      </c>
      <c r="C8" t="inlineStr">
        <is>
          <t>&lt;40 %</t>
        </is>
      </c>
      <c r="D8" t="inlineStr">
        <is>
          <t>40 a 55 %</t>
        </is>
      </c>
      <c r="E8" t="inlineStr">
        <is>
          <t>55 a 70 %</t>
        </is>
      </c>
      <c r="F8" t="inlineStr">
        <is>
          <t>&gt;70 %</t>
        </is>
      </c>
      <c r="G8" s="24">
        <f>'Supuestos'!$C$22</f>
        <v/>
      </c>
      <c r="H8" s="5" t="inlineStr">
        <is>
          <t>Depende de la dureza del filtro.</t>
        </is>
      </c>
    </row>
    <row r="9">
      <c r="B9" t="inlineStr">
        <is>
          <t>% calificado → agenda</t>
        </is>
      </c>
      <c r="C9" t="inlineStr">
        <is>
          <t>&lt;40 %</t>
        </is>
      </c>
      <c r="D9" t="inlineStr">
        <is>
          <t>40 a 55 %</t>
        </is>
      </c>
      <c r="E9" t="inlineStr">
        <is>
          <t>55 a 70 %</t>
        </is>
      </c>
      <c r="F9" t="inlineStr">
        <is>
          <t>&gt;70 %</t>
        </is>
      </c>
      <c r="G9" s="24">
        <f>'Supuestos'!$C$23</f>
        <v/>
      </c>
      <c r="H9" s="5" t="inlineStr">
        <is>
          <t>Mercado: 30 a 60 % de las aplicaciones terminan agendadas.</t>
        </is>
      </c>
    </row>
    <row r="10">
      <c r="B10" t="inlineStr">
        <is>
          <t>% agenda → llamada (show)</t>
        </is>
      </c>
      <c r="C10" t="inlineStr">
        <is>
          <t>&lt;55 %</t>
        </is>
      </c>
      <c r="D10" t="inlineStr">
        <is>
          <t>55 a 65 %</t>
        </is>
      </c>
      <c r="E10" t="inlineStr">
        <is>
          <t>65 a 75 %</t>
        </is>
      </c>
      <c r="F10" t="inlineStr">
        <is>
          <t>&gt;75 %</t>
        </is>
      </c>
      <c r="G10" s="24">
        <f>'Supuestos'!$C$24</f>
        <v/>
      </c>
      <c r="H10" s="5" t="inlineStr">
        <is>
          <t>Mercado: no-show del 20 a 30 %; equipos muy buenos, 8 a 12 %.</t>
        </is>
      </c>
    </row>
    <row r="11">
      <c r="B11" t="inlineStr">
        <is>
          <t>% llamada → venta (cierre)</t>
        </is>
      </c>
      <c r="C11" t="inlineStr">
        <is>
          <t>&lt;15 %</t>
        </is>
      </c>
      <c r="D11" t="inlineStr">
        <is>
          <t>15 a 25 %</t>
        </is>
      </c>
      <c r="E11" t="inlineStr">
        <is>
          <t>25 a 35 %</t>
        </is>
      </c>
      <c r="F11" t="inlineStr">
        <is>
          <t>&gt;35 %</t>
        </is>
      </c>
      <c r="G11" s="24">
        <f>'Supuestos'!$C$25</f>
        <v/>
      </c>
      <c r="H11" s="5" t="inlineStr">
        <is>
          <t>Lead tibio y filtrado: promedio 30 %. Sin filtro: menos de 5 %. Sin consenso por ticket.</t>
        </is>
      </c>
    </row>
    <row r="12">
      <c r="B12" t="inlineStr">
        <is>
          <t>% lead → venta</t>
        </is>
      </c>
      <c r="C12" t="inlineStr">
        <is>
          <t>&lt;0,4 %</t>
        </is>
      </c>
      <c r="D12" t="inlineStr">
        <is>
          <t>0,4 a 0,8 %</t>
        </is>
      </c>
      <c r="E12" t="inlineStr">
        <is>
          <t>0,8 a 1,5 %</t>
        </is>
      </c>
      <c r="F12" t="inlineStr">
        <is>
          <t>&gt;1,5 %</t>
        </is>
      </c>
      <c r="G12" s="27">
        <f>'Modelo'!$C$25</f>
        <v/>
      </c>
      <c r="H12" s="5" t="inlineStr">
        <is>
          <t>El producto de todas las conversiones.</t>
        </is>
      </c>
    </row>
    <row r="13">
      <c r="B13" t="inlineStr">
        <is>
          <t>Costo por agenda (USD)</t>
        </is>
      </c>
      <c r="C13" t="inlineStr">
        <is>
          <t>&gt;250</t>
        </is>
      </c>
      <c r="D13" t="inlineStr">
        <is>
          <t>120 a 250</t>
        </is>
      </c>
      <c r="E13" t="inlineStr">
        <is>
          <t>60 a 120</t>
        </is>
      </c>
      <c r="F13" t="inlineStr">
        <is>
          <t>&lt;60</t>
        </is>
      </c>
      <c r="G13" s="18">
        <f>'Modelo'!$C$20</f>
        <v/>
      </c>
      <c r="H13" s="5" t="inlineStr">
        <is>
          <t>Ticket 500 a 1.500.</t>
        </is>
      </c>
    </row>
    <row r="14">
      <c r="B14" t="inlineStr">
        <is>
          <t>ROAS del cash del primer mes</t>
        </is>
      </c>
      <c r="C14" t="inlineStr">
        <is>
          <t>&lt;1,0</t>
        </is>
      </c>
      <c r="D14" t="inlineStr">
        <is>
          <t>1,0 a 1,5</t>
        </is>
      </c>
      <c r="E14" t="inlineStr">
        <is>
          <t>1,5 a 2,5</t>
        </is>
      </c>
      <c r="F14" t="inlineStr">
        <is>
          <t>&gt;2,5</t>
        </is>
      </c>
      <c r="G14" s="28">
        <f>'Modelo'!$C$45</f>
        <v/>
      </c>
      <c r="H14" s="5" t="inlineStr">
        <is>
          <t>Con cuotas. Sobre cobranza completa, sumá lo que falta cobrar.</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Aplicación</t>
        </is>
      </c>
      <c r="C40" s="5" t="inlineStr">
        <is>
          <t>Formulario largo que el lead completa para pedir una llamada. Filtra y le da información al closer.</t>
        </is>
      </c>
      <c r="D40" t="inlineStr">
        <is>
          <t>Supuestos</t>
        </is>
      </c>
    </row>
    <row r="41" ht="30" customHeight="1">
      <c r="B41" s="4" t="inlineStr">
        <is>
          <t>Setter</t>
        </is>
      </c>
      <c r="C41" s="5" t="inlineStr">
        <is>
          <t>Persona que contacta a los que aplicaron, confirma y agenda. Cobra por contacto o por agenda.</t>
        </is>
      </c>
      <c r="D41" t="inlineStr">
        <is>
          <t>Supuestos</t>
        </is>
      </c>
    </row>
    <row r="42" ht="15" customHeight="1">
      <c r="B42" s="4" t="inlineStr">
        <is>
          <t>Closer</t>
        </is>
      </c>
      <c r="C42" s="5" t="inlineStr">
        <is>
          <t>Quien hace la llamada de venta. Cobra comisión sobre el cash cobrado.</t>
        </is>
      </c>
      <c r="D42" t="inlineStr">
        <is>
          <t>Supuestos</t>
        </is>
      </c>
    </row>
    <row r="43" ht="15" customHeight="1">
      <c r="B43" s="4" t="inlineStr">
        <is>
          <t>Show de la llamada</t>
        </is>
      </c>
      <c r="C43" s="5" t="inlineStr">
        <is>
          <t>Porcentaje de agendas que efectivamente ocurren.</t>
        </is>
      </c>
      <c r="D43"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19">
        <f>IF(ISERROR(SUM('Modelo'!C5:C160)),"REVISAR","OK")</f>
        <v/>
      </c>
      <c r="D6" s="5" t="inlineStr">
        <is>
          <t>Si dice REVISAR, hay un #DIV/0! o #REF!: casi siempre un supuesto en 0 o una fila borrada.</t>
        </is>
      </c>
    </row>
    <row r="7">
      <c r="B7" t="inlineStr">
        <is>
          <t>Ninguna celda con error en Simulador</t>
        </is>
      </c>
      <c r="C7" s="19">
        <f>IF(ISERROR(SUM('Simulador'!C5:G220)),"REVISAR","OK")</f>
        <v/>
      </c>
      <c r="D7" s="5" t="inlineStr">
        <is>
          <t>Si dice REVISAR, hay un #DIV/0! o #REF!: casi siempre un supuesto en 0 o una fila borrada.</t>
        </is>
      </c>
    </row>
    <row r="8">
      <c r="B8" t="inlineStr">
        <is>
          <t>Ninguna celda con error en Embudo</t>
        </is>
      </c>
      <c r="C8" s="19">
        <f>IF(ISERROR(SUM('Embudo'!C5:H60)),"REVISAR","OK")</f>
        <v/>
      </c>
      <c r="D8" s="5" t="inlineStr">
        <is>
          <t>Si dice REVISAR, hay un #DIV/0! o #REF!: casi siempre un supuesto en 0 o una fila borrada.</t>
        </is>
      </c>
    </row>
    <row r="9">
      <c r="B9" t="inlineStr">
        <is>
          <t>Ninguna celda con error en Resumen</t>
        </is>
      </c>
      <c r="C9" s="19">
        <f>IF(ISERROR(SUM('Resumen'!C5:C60)),"REVISAR","OK")</f>
        <v/>
      </c>
      <c r="D9" s="5" t="inlineStr">
        <is>
          <t>Si dice REVISAR, hay un #DIV/0! o #REF!: casi siempre un supuesto en 0 o una fila borrada.</t>
        </is>
      </c>
    </row>
    <row r="10">
      <c r="B10" t="inlineStr">
        <is>
          <t>Ninguna celda con error en Proyección 12 meses</t>
        </is>
      </c>
      <c r="C10" s="19">
        <f>IF(ISERROR(SUM('Proyección 12 meses'!C5:O40)),"REVISAR","OK")</f>
        <v/>
      </c>
      <c r="D10" s="5" t="inlineStr">
        <is>
          <t>Si dice REVISAR, hay un #DIV/0! o #REF!: casi siempre un supuesto en 0 o una fila borrada.</t>
        </is>
      </c>
    </row>
    <row r="11">
      <c r="B11" t="inlineStr">
        <is>
          <t>Ninguna celda con error en Escenarios</t>
        </is>
      </c>
      <c r="C11" s="19">
        <f>IF(ISERROR(SUM('Escenarios'!C5:L120)),"REVISAR","OK")</f>
        <v/>
      </c>
      <c r="D11" s="5" t="inlineStr">
        <is>
          <t>Si dice REVISAR, hay un #DIV/0! o #REF!: casi siempre un supuesto en 0 o una fila borrada.</t>
        </is>
      </c>
    </row>
    <row r="12">
      <c r="B12" t="inlineStr">
        <is>
          <t>Ninguna celda con error en Seguimiento</t>
        </is>
      </c>
      <c r="C12" s="19">
        <f>IF(ISERROR(SUM('Seguimiento'!C5:Q80)),"REVISAR","OK")</f>
        <v/>
      </c>
      <c r="D12" s="5" t="inlineStr">
        <is>
          <t>Si dice REVISAR, hay un #DIV/0! o #REF!: casi siempre un supuesto en 0 o una fila borrada.</t>
        </is>
      </c>
    </row>
    <row r="13">
      <c r="B13" t="inlineStr">
        <is>
          <t>Los supuestos de tráfico son mayores a cero</t>
        </is>
      </c>
      <c r="C13" s="19">
        <f>IF(AND('Supuestos'!$C$9&gt;0,'Supuestos'!$C$10&gt;0,'Supuestos'!$C$11&gt;0,'Supuestos'!$C$14&gt;0),"OK","REVISAR")</f>
        <v/>
      </c>
      <c r="D13" s="5" t="inlineStr">
        <is>
          <t>Con un 0 en el tráfico o en la conversión de la página no hay unidades y el modelo no dice nada.</t>
        </is>
      </c>
    </row>
    <row r="14">
      <c r="B14" t="inlineStr">
        <is>
          <t>La curva de cobranza suma 100 %</t>
        </is>
      </c>
      <c r="C14" s="19">
        <f>IF(ABS('Supuestos'!$C$40+'Supuestos'!$C$41+'Supuestos'!$C$42-1)&lt;0.001,"OK","REVISAR")</f>
        <v/>
      </c>
      <c r="D14" s="5" t="inlineStr">
        <is>
          <t>Supuestos → cobranza mes 1 + mes 2 + mes 3 = 100 %.</t>
        </is>
      </c>
    </row>
    <row r="15">
      <c r="B15" t="inlineStr">
        <is>
          <t>Comisiones + reembolsos menores al 60 %</t>
        </is>
      </c>
      <c r="C15" s="19">
        <f>IF(('Supuestos'!$C$33+'Supuestos'!$C$34+'Supuestos'!$C$35)&lt;0.6,"OK","REVISAR")</f>
        <v/>
      </c>
      <c r="D15" s="5" t="inlineStr">
        <is>
          <t>Si suman más, revisá los porcentajes.</t>
        </is>
      </c>
    </row>
    <row r="16">
      <c r="B16" t="inlineStr">
        <is>
          <t>El escenario en uso es 1, 2 o 3</t>
        </is>
      </c>
      <c r="C16" s="19">
        <f>IF(OR('Supuestos'!$C$6=1,'Supuestos'!$C$6=2,'Supuestos'!$C$6=3),"OK","REVISAR")</f>
        <v/>
      </c>
      <c r="D16" s="5" t="inlineStr">
        <is>
          <t>Supuestos → celda 'Escenario en uso'.</t>
        </is>
      </c>
    </row>
    <row r="17">
      <c r="B17" t="inlineStr">
        <is>
          <t>La inversión es mayor a cero</t>
        </is>
      </c>
      <c r="C17" s="19">
        <f>IF('Supuestos'!$C$8&gt;0,"OK","REVISAR")</f>
        <v/>
      </c>
      <c r="D17" s="5" t="inlineStr"/>
    </row>
    <row r="18">
      <c r="B18" t="inlineStr">
        <is>
          <t>La meta de ventas es alcanzable (hay conversión a venta)</t>
        </is>
      </c>
      <c r="C18" s="19">
        <f>IF('Modelo'!$C$25&gt;0,"OK","REVISAR")</f>
        <v/>
      </c>
      <c r="D18" s="5" t="inlineStr">
        <is>
          <t>Con conversión a venta en 0, la inversión para la meta dice 'inalcanzable con estos supuestos'.</t>
        </is>
      </c>
    </row>
    <row r="19">
      <c r="B19" t="inlineStr">
        <is>
          <t>Las conversiones están entre 0 y 100 %</t>
        </is>
      </c>
      <c r="C19" s="19">
        <f>IF(AND('Supuestos'!$C$10&gt;=0,'Supuestos'!$C$10&lt;=1,'Supuestos'!$C$11&gt;=0,'Supuestos'!$C$11&lt;=1,'Supuestos'!$C$14&gt;=0,'Supuestos'!$C$14&lt;=1,'Supuestos'!$C$18&gt;=0,'Supuestos'!$C$18&lt;=1,'Supuestos'!$C$21&gt;=0,'Supuestos'!$C$21&lt;=1,'Supuestos'!$C$22&gt;=0,'Supuestos'!$C$22&lt;=1,'Supuestos'!$C$23&gt;=0,'Supuestos'!$C$23&lt;=1,'Supuestos'!$C$24&gt;=0,'Supuestos'!$C$24&lt;=1,'Supuestos'!$C$25&gt;=0,'Supuestos'!$C$25&lt;=1,'Supuestos'!$C$30&gt;=0,'Supuestos'!$C$30&lt;=1),"OK","REVISAR")</f>
        <v/>
      </c>
      <c r="D19" s="5" t="inlineStr">
        <is>
          <t>Un 25 % se escribe 25 % (o 0,25), no 25.</t>
        </is>
      </c>
    </row>
    <row r="20">
      <c r="B20" t="inlineStr">
        <is>
          <t>El margen de seguridad está entre 0 y 100 %</t>
        </is>
      </c>
      <c r="C20" s="19">
        <f>IF(AND('Supuestos'!$C$46&gt;=0,'Supuestos'!$C$46&lt;=1),"OK","REVISAR")</f>
        <v/>
      </c>
      <c r="D20" s="5" t="inlineStr"/>
    </row>
    <row r="21">
      <c r="B21" t="inlineStr">
        <is>
          <t>El crecimiento mensual está entre −50 % y 100 %</t>
        </is>
      </c>
      <c r="C21" s="19">
        <f>IF(AND('Supuestos'!$C$48&gt;=-0.5,'Supuestos'!$C$48&lt;=1),"OK","REVISAR")</f>
        <v/>
      </c>
      <c r="D21" s="5" t="inlineStr">
        <is>
          <t>Más de 100 % por mes no es realista para una proyección.</t>
        </is>
      </c>
    </row>
    <row r="22">
      <c r="B22" t="inlineStr">
        <is>
          <t>La cadena es decreciente (cada etapa tiene menos gente que la anterior)</t>
        </is>
      </c>
      <c r="C22" s="19">
        <f>IF(AND('Modelo'!$C$15&lt;='Modelo'!$C$11,'Modelo'!$C$16&lt;='Modelo'!$C$15,'Modelo'!$C$17&lt;='Modelo'!$C$16,'Modelo'!$C$18&lt;='Modelo'!$C$17,'Modelo'!$C$23&lt;='Modelo'!$C$18),"OK","REVISAR")</f>
        <v/>
      </c>
      <c r="D22" s="5" t="inlineStr">
        <is>
          <t>Si falla, alguna conversión está por encima de 100 %.</t>
        </is>
      </c>
    </row>
    <row r="23">
      <c r="B23" t="inlineStr">
        <is>
          <t>El interruptor de evento previo es 0 o 1</t>
        </is>
      </c>
      <c r="C23" s="19">
        <f>IF(OR('Supuestos'!$C$17=0,'Supuestos'!$C$17=1),"OK","REVISAR")</f>
        <v/>
      </c>
      <c r="D23" s="5" t="inlineStr">
        <is>
          <t>Supuestos → evento previo.</t>
        </is>
      </c>
    </row>
    <row r="24">
      <c r="B24" s="7" t="inlineStr">
        <is>
          <t>Simulador: lo que escribiste en las celdas amarillas</t>
        </is>
      </c>
      <c r="C24" s="8" t="n"/>
      <c r="D24" s="8" t="n"/>
    </row>
    <row r="25">
      <c r="B25" t="inlineStr">
        <is>
          <t>Ningún supuesto del Simulador fuera de rango (porcentajes entre 0 y 1, números no negativos)</t>
        </is>
      </c>
      <c r="C25" s="19">
        <f>IF(COUNTIF('Simulador'!$I$6:$I$93,"REVISAR")=0,"OK","REVISAR")</f>
        <v/>
      </c>
      <c r="D25" s="5" t="inlineStr">
        <is>
          <t>La columna Rango del Simulador marca la fila con el problema.</t>
        </is>
      </c>
    </row>
    <row r="26">
      <c r="B26" t="inlineStr">
        <is>
          <t>Simulador: Los supuestos de tráfico son mayores a cero</t>
        </is>
      </c>
      <c r="C26" s="19">
        <f>IF(AND('Simulador'!$C$7&gt;0,'Simulador'!$C$10&gt;0,'Simulador'!$C$12&gt;0,'Simulador'!$C$14&gt;0),"OK","REVISAR")</f>
        <v/>
      </c>
      <c r="D26" s="5" t="inlineStr">
        <is>
          <t>Con un 0 en el tráfico o en la conversión de la página no hay unidades y el modelo no dice nada.</t>
        </is>
      </c>
    </row>
    <row r="27">
      <c r="B27" t="inlineStr">
        <is>
          <t>Simulador: La curva de cobranza suma 100 %</t>
        </is>
      </c>
      <c r="C27" s="19">
        <f>IF(ABS('Simulador'!$C$49+'Simulador'!$C$50+'Simulador'!$C$51-1)&lt;0.001,"OK","REVISAR")</f>
        <v/>
      </c>
      <c r="D27" s="5" t="inlineStr">
        <is>
          <t>Supuestos → cobranza mes 1 + mes 2 + mes 3 = 100 %.</t>
        </is>
      </c>
    </row>
    <row r="28">
      <c r="B28" t="inlineStr">
        <is>
          <t>Simulador: Comisiones + reembolsos menores al 60 %</t>
        </is>
      </c>
      <c r="C28" s="19">
        <f>IF(('Simulador'!$C$54+'Simulador'!$C$55+'Simulador'!$C$57)&lt;0.6,"OK","REVISAR")</f>
        <v/>
      </c>
      <c r="D28" s="5" t="inlineStr">
        <is>
          <t>Si suman más, revisá los porcentajes.</t>
        </is>
      </c>
    </row>
    <row r="29">
      <c r="B29" t="inlineStr">
        <is>
          <t>Simulador: El escenario en uso es 1, 2 o 3</t>
        </is>
      </c>
      <c r="C29" s="19">
        <f>IF(OR('Supuestos'!$C$6=1,'Supuestos'!$C$6=2,'Supuestos'!$C$6=3),"OK","REVISAR")</f>
        <v/>
      </c>
      <c r="D29" s="5" t="inlineStr">
        <is>
          <t>Supuestos → celda 'Escenario en uso'.</t>
        </is>
      </c>
    </row>
    <row r="30">
      <c r="B30" t="inlineStr">
        <is>
          <t>Simulador: La inversión es mayor a cero</t>
        </is>
      </c>
      <c r="C30" s="19">
        <f>IF('Simulador'!$C$8&gt;0,"OK","REVISAR")</f>
        <v/>
      </c>
      <c r="D30" s="5" t="inlineStr"/>
    </row>
    <row r="31">
      <c r="B31" t="inlineStr">
        <is>
          <t>Simulador: La meta de ventas es alcanzable (hay conversión a venta)</t>
        </is>
      </c>
      <c r="C31" s="19">
        <f>IF('Simulador'!$E$38&gt;0,"OK","REVISAR")</f>
        <v/>
      </c>
      <c r="D31" s="5" t="inlineStr">
        <is>
          <t>Con conversión a venta en 0, la inversión para la meta dice 'inalcanzable con estos supuestos'.</t>
        </is>
      </c>
    </row>
    <row r="32">
      <c r="B32" t="inlineStr">
        <is>
          <t>Simulador: Las conversiones están entre 0 y 100 %</t>
        </is>
      </c>
      <c r="C32" s="19">
        <f>IF(AND('Simulador'!$C$10&gt;=0,'Simulador'!$C$10&lt;=1,'Simulador'!$C$12&gt;=0,'Simulador'!$C$12&lt;=1,'Simulador'!$C$14&gt;=0,'Simulador'!$C$14&lt;=1,'Simulador'!$C$19&gt;=0,'Simulador'!$C$19&lt;=1,'Simulador'!$C$22&gt;=0,'Simulador'!$C$22&lt;=1,'Simulador'!$C$24&gt;=0,'Simulador'!$C$24&lt;=1,'Simulador'!$C$26&gt;=0,'Simulador'!$C$26&lt;=1,'Simulador'!$C$28&gt;=0,'Simulador'!$C$28&lt;=1,'Simulador'!$C$34&gt;=0,'Simulador'!$C$34&lt;=1,'Simulador'!$C$36&gt;=0,'Simulador'!$C$36&lt;=1),"OK","REVISAR")</f>
        <v/>
      </c>
      <c r="D32" s="5" t="inlineStr">
        <is>
          <t>Un 25 % se escribe 25 % (o 0,25), no 25.</t>
        </is>
      </c>
    </row>
    <row r="33">
      <c r="B33" t="inlineStr">
        <is>
          <t>Simulador: El margen de seguridad está entre 0 y 100 %</t>
        </is>
      </c>
      <c r="C33" s="19">
        <f>IF(AND('Simulador'!$C$73&gt;=0,'Simulador'!$C$73&lt;=1),"OK","REVISAR")</f>
        <v/>
      </c>
      <c r="D33" s="5" t="inlineStr"/>
    </row>
    <row r="34">
      <c r="B34" t="inlineStr">
        <is>
          <t>Simulador: El crecimiento mensual está entre −50 % y 100 %</t>
        </is>
      </c>
      <c r="C34" s="19">
        <f>IF(AND('Supuestos'!$C$48&gt;=-0.5,'Supuestos'!$C$48&lt;=1),"OK","REVISAR")</f>
        <v/>
      </c>
      <c r="D34" s="5" t="inlineStr">
        <is>
          <t>Más de 100 % por mes no es realista para una proyección.</t>
        </is>
      </c>
    </row>
    <row r="35">
      <c r="B35" t="inlineStr">
        <is>
          <t>Simulador: La cadena es decreciente (cada etapa tiene menos gente que la anterior)</t>
        </is>
      </c>
      <c r="C35" s="19">
        <f>IF(AND('Simulador'!$E$23&lt;='Simulador'!$E$16,'Simulador'!$E$25&lt;='Simulador'!$E$23,'Simulador'!$E$27&lt;='Simulador'!$E$25,'Simulador'!$E$29&lt;='Simulador'!$E$27,'Simulador'!$E$35&lt;='Simulador'!$E$29),"OK","REVISAR")</f>
        <v/>
      </c>
      <c r="D35" s="5" t="inlineStr">
        <is>
          <t>Si falla, alguna conversión está por encima de 100 %.</t>
        </is>
      </c>
    </row>
    <row r="36">
      <c r="B36" t="inlineStr">
        <is>
          <t>Simulador: El interruptor de evento previo es 0 o 1</t>
        </is>
      </c>
      <c r="C36" s="19">
        <f>IF(OR('Simulador'!$C$18=0,'Simulador'!$C$18=1),"OK","REVISAR")</f>
        <v/>
      </c>
      <c r="D36" s="5" t="inlineStr">
        <is>
          <t>Supuestos → evento previo.</t>
        </is>
      </c>
    </row>
    <row r="38">
      <c r="B38" s="4" t="inlineStr">
        <is>
          <t>Estado general del modelo</t>
        </is>
      </c>
      <c r="C38" s="38">
        <f>IF(COUNTIF(C6:C36,"REVISAR")=0,"OK","REVISAR")</f>
        <v/>
      </c>
    </row>
  </sheetData>
  <conditionalFormatting sqref="C6:C38">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llamada (high ticket)</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llamada (high ticket)</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2026-10-02T16:38:00Z</dcterms:created>
  <dcterms:modified xmlns:dcterms="http://purl.org/dc/terms/" xmlns:xsi="http://www.w3.org/2001/XMLSchema-instance" xsi:type="dcterms:W3CDTF">2026-10-02T16:38:00Z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