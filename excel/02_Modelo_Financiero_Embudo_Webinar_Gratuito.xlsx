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icio" sheetId="1" state="visible" r:id="rId1"/>
    <sheet xmlns:r="http://schemas.openxmlformats.org/officeDocument/2006/relationships" name="Resumen" sheetId="2" state="visible" r:id="rId2"/>
    <sheet xmlns:r="http://schemas.openxmlformats.org/officeDocument/2006/relationships" name="Embudo" sheetId="3" state="visible" r:id="rId3"/>
    <sheet xmlns:r="http://schemas.openxmlformats.org/officeDocument/2006/relationships" name="Supuestos" sheetId="4" state="visible" r:id="rId4"/>
    <sheet xmlns:r="http://schemas.openxmlformats.org/officeDocument/2006/relationships" name="Modelo" sheetId="5" state="visible" r:id="rId5"/>
    <sheet xmlns:r="http://schemas.openxmlformats.org/officeDocument/2006/relationships" name="Escenarios" sheetId="6" state="visible" r:id="rId6"/>
    <sheet xmlns:r="http://schemas.openxmlformats.org/officeDocument/2006/relationships" name="Sensibilidad" sheetId="7" state="visible" r:id="rId7"/>
    <sheet xmlns:r="http://schemas.openxmlformats.org/officeDocument/2006/relationships" name="Proyección 12 meses" sheetId="8" state="visible" r:id="rId8"/>
    <sheet xmlns:r="http://schemas.openxmlformats.org/officeDocument/2006/relationships" name="Seguimiento" sheetId="9" state="visible" r:id="rId9"/>
    <sheet xmlns:r="http://schemas.openxmlformats.org/officeDocument/2006/relationships" name="Benchmarks" sheetId="10" state="visible" r:id="rId10"/>
    <sheet xmlns:r="http://schemas.openxmlformats.org/officeDocument/2006/relationships" name="Glosario" sheetId="11" state="visible" r:id="rId11"/>
    <sheet xmlns:r="http://schemas.openxmlformats.org/officeDocument/2006/relationships" name="Chequeos" sheetId="12" state="visible" r:id="rId12"/>
  </sheets>
  <definedNames/>
  <calcPr calcId="124519" fullCalcOnLoad="1"/>
</workbook>
</file>

<file path=xl/styles.xml><?xml version="1.0" encoding="utf-8"?>
<styleSheet xmlns="http://schemas.openxmlformats.org/spreadsheetml/2006/main">
  <numFmts count="5">
    <numFmt numFmtId="164" formatCode="&quot;$&quot;#,##0"/>
    <numFmt numFmtId="165" formatCode="&quot;$&quot;#,##0.00"/>
    <numFmt numFmtId="166" formatCode="0.0%"/>
    <numFmt numFmtId="167" formatCode="0.00&quot;x&quot;"/>
    <numFmt numFmtId="168" formatCode="0.0"/>
  </numFmts>
  <fonts count="5">
    <font>
      <name val="Calibri"/>
      <family val="2"/>
      <color theme="1"/>
      <sz val="11"/>
      <scheme val="minor"/>
    </font>
    <font>
      <b val="1"/>
      <sz val="14"/>
    </font>
    <font>
      <i val="1"/>
      <color rgb="00595959"/>
    </font>
    <font>
      <b val="1"/>
    </font>
    <font>
      <b val="1"/>
      <color rgb="00FFFFFF"/>
    </font>
  </fonts>
  <fills count="6">
    <fill>
      <patternFill/>
    </fill>
    <fill>
      <patternFill patternType="gray125"/>
    </fill>
    <fill>
      <patternFill patternType="solid">
        <fgColor rgb="001F3864"/>
      </patternFill>
    </fill>
    <fill>
      <patternFill patternType="solid">
        <fgColor rgb="00FFF2CC"/>
      </patternFill>
    </fill>
    <fill>
      <patternFill patternType="solid">
        <fgColor rgb="00D9E1F2"/>
      </patternFill>
    </fill>
    <fill>
      <patternFill patternType="solid">
        <fgColor rgb="00DDEBF7"/>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horizontal="center" vertical="center"/>
    </xf>
    <xf numFmtId="0" fontId="3" fillId="4" borderId="0" pivotButton="0" quotePrefix="0" xfId="0"/>
    <xf numFmtId="0" fontId="0" fillId="4" borderId="0" pivotButton="0" quotePrefix="0" xfId="0"/>
    <xf numFmtId="164" fontId="3" fillId="5" borderId="1" pivotButton="0" quotePrefix="0" xfId="0"/>
    <xf numFmtId="167" fontId="3" fillId="5" borderId="1" pivotButton="0" quotePrefix="0" xfId="0"/>
    <xf numFmtId="3" fontId="3" fillId="5" borderId="1" pivotButton="0" quotePrefix="0" xfId="0"/>
    <xf numFmtId="168" fontId="3" fillId="5" borderId="1" pivotButton="0" quotePrefix="0" xfId="0"/>
    <xf numFmtId="165" fontId="3" fillId="5" borderId="1" pivotButton="0" quotePrefix="0" xfId="0"/>
    <xf numFmtId="49" fontId="3" fillId="5" borderId="1" pivotButton="0" quotePrefix="0" xfId="0"/>
    <xf numFmtId="0" fontId="0" fillId="5" borderId="1" applyAlignment="1" pivotButton="0" quotePrefix="0" xfId="0">
      <alignment vertical="top" wrapText="1"/>
    </xf>
    <xf numFmtId="0" fontId="0" fillId="0" borderId="4" pivotButton="0" quotePrefix="0" xfId="0"/>
    <xf numFmtId="3" fontId="0" fillId="5" borderId="1" pivotButton="0" quotePrefix="0" xfId="0"/>
    <xf numFmtId="166" fontId="0" fillId="5" borderId="1" pivotButton="0" quotePrefix="0" xfId="0"/>
    <xf numFmtId="10" fontId="0" fillId="5" borderId="1" pivotButton="0" quotePrefix="0" xfId="0"/>
    <xf numFmtId="165" fontId="0" fillId="5" borderId="1" pivotButton="0" quotePrefix="0" xfId="0"/>
    <xf numFmtId="3" fontId="0" fillId="3" borderId="1" pivotButton="0" quotePrefix="0" xfId="0"/>
    <xf numFmtId="164" fontId="0" fillId="3" borderId="1" pivotButton="0" quotePrefix="0" xfId="0"/>
    <xf numFmtId="165" fontId="0" fillId="3" borderId="1" pivotButton="0" quotePrefix="0" xfId="0"/>
    <xf numFmtId="166" fontId="0" fillId="3" borderId="1" pivotButton="0" quotePrefix="0" xfId="0"/>
    <xf numFmtId="167" fontId="0" fillId="3" borderId="1" pivotButton="0" quotePrefix="0" xfId="0"/>
    <xf numFmtId="168" fontId="0" fillId="5" borderId="1" pivotButton="0" quotePrefix="0" xfId="0"/>
    <xf numFmtId="164" fontId="0" fillId="5" borderId="1" pivotButton="0" quotePrefix="0" xfId="0"/>
    <xf numFmtId="167" fontId="0" fillId="5" borderId="1" pivotButton="0" quotePrefix="0" xfId="0"/>
    <xf numFmtId="49" fontId="0" fillId="5" borderId="1" pivotButton="0" quotePrefix="0" xfId="0"/>
    <xf numFmtId="166" fontId="3" fillId="3" borderId="1" pivotButton="0" quotePrefix="0" xfId="0"/>
    <xf numFmtId="164" fontId="3" fillId="3" borderId="1" pivotButton="0" quotePrefix="0" xfId="0"/>
    <xf numFmtId="165" fontId="3" fillId="3" borderId="1" pivotButton="0" quotePrefix="0" xfId="0"/>
    <xf numFmtId="167" fontId="3" fillId="3" borderId="1" pivotButton="0" quotePrefix="0" xfId="0"/>
    <xf numFmtId="164" fontId="0" fillId="0" borderId="0" pivotButton="0" quotePrefix="0" xfId="0"/>
    <xf numFmtId="167" fontId="3" fillId="0" borderId="0" pivotButton="0" quotePrefix="0" xfId="0"/>
    <xf numFmtId="0" fontId="0" fillId="5" borderId="1" pivotButton="0" quotePrefix="0" xfId="0"/>
    <xf numFmtId="0" fontId="3" fillId="5" borderId="1" pivotButton="0" quotePrefix="0" xfId="0"/>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46"/>
  <sheetViews>
    <sheetView showGridLines="0" workbookViewId="0">
      <selection activeCell="A1" sqref="A1"/>
    </sheetView>
  </sheetViews>
  <sheetFormatPr baseColWidth="8" defaultRowHeight="15"/>
  <cols>
    <col width="2" customWidth="1" min="1" max="1"/>
    <col width="118" customWidth="1" min="2" max="2"/>
  </cols>
  <sheetData>
    <row r="2">
      <c r="B2" s="1" t="inlineStr">
        <is>
          <t>Modelo financiero · Embudo de webinar gratuito</t>
        </is>
      </c>
    </row>
    <row r="3">
      <c r="B3" s="2" t="inlineStr">
        <is>
          <t>Anuncios → landing de registro → grupo de WhatsApp → webinar en vivo y replay → oferta + bump + programa superior</t>
        </is>
      </c>
    </row>
    <row r="5">
      <c r="B5" s="3" t="inlineStr">
        <is>
          <t>Para qué sirve este modelo</t>
        </is>
      </c>
    </row>
    <row r="6" ht="75" customHeight="1">
      <c r="B6" s="4" t="inlineStr">
        <is>
          <t>Es el modelo financiero de un embudo de webinar gratuito: anuncios que llevan a una landing de registro, un grupo de WhatsApp, un webinar en vivo (con replay) donde se presenta una oferta, y un programa superior que se vende después. Con tus números (o con el ejemplo cargado) te dice cuánto vale cada registro que comprás con publicidad, hasta cuánto podés pagar por registro y por cada etapa siguiente, cuánto invertir para una meta de ventas, cuánta caja necesitás y qué palanca mejora más la ganancia.</t>
        </is>
      </c>
    </row>
    <row r="7" ht="45" customHeight="1">
      <c r="B7" s="4" t="inlineStr">
        <is>
          <t>La unidad que comprás es el registro (lead). El número que manda es el valor neto por registro contra el costo por registro (CPL real y CPL calificado). Después, escalón por escalón: costo por persona en el grupo, costo por asistente en vivo, costo por solicitud y cierre, cada uno con su cantidad y su porcentaje.</t>
        </is>
      </c>
    </row>
    <row r="9">
      <c r="B9" s="3" t="inlineStr">
        <is>
          <t>Cómo usarlo en 6 pasos</t>
        </is>
      </c>
    </row>
    <row r="10" ht="30" customHeight="1">
      <c r="B10" s="4" t="inlineStr">
        <is>
          <t>1. Andá a Supuestos y reemplazá el ejemplo por tus números. Si todavía no tenés datos, dejá el escenario en 1 (conservador) y usá Benchmarks como referencia.</t>
        </is>
      </c>
    </row>
    <row r="11" ht="30" customHeight="1">
      <c r="B11" s="4" t="inlineStr">
        <is>
          <t>2. Mirá Resumen: ganancia del lanzamiento, ROAS, el techo y el objetivo de costo por registro, y el semáforo. Después Embudo: todos los pasos en orden con cuántos pasan, qué porcentaje se pierde y cuánto cuesta cada paso.</t>
        </is>
      </c>
    </row>
    <row r="12" ht="30" customHeight="1">
      <c r="B12" s="4" t="inlineStr">
        <is>
          <t>3. Abrí Escenarios para ver qué pasa si cambia el precio, la conversión o el costo. Las celdas amarillas de cada tabla se pueden cambiar.</t>
        </is>
      </c>
    </row>
    <row r="13" ht="15" customHeight="1">
      <c r="B13" s="4" t="inlineStr">
        <is>
          <t>4. Abrí Sensibilidad para saber qué variable conviene trabajar primero.</t>
        </is>
      </c>
    </row>
    <row r="14" ht="30" customHeight="1">
      <c r="B14" s="4" t="inlineStr">
        <is>
          <t>5. Antes de invertir, mirá Proyección 12 meses: la caja necesaria es la plata que tenés que tener para no frenar la pauta mientras cobrás. Si da 0, el embudo se autofinancia.</t>
        </is>
      </c>
    </row>
    <row r="15" ht="30" customHeight="1">
      <c r="B15" s="4" t="inlineStr">
        <is>
          <t>6. Cuando el embudo esté andando, completá una columna de Seguimiento por lanzamiento. El semáforo te dice si estás pagando de más por cada registro.</t>
        </is>
      </c>
    </row>
    <row r="17">
      <c r="B17" s="3" t="inlineStr">
        <is>
          <t>Colores y hojas</t>
        </is>
      </c>
    </row>
    <row r="18" ht="15" customHeight="1">
      <c r="B18" s="4" t="inlineStr">
        <is>
          <t>Amarillo = celda que editás vos. Azul = resultado calculado: no lo toques, se recalcula solo.</t>
        </is>
      </c>
    </row>
    <row r="19" ht="45" customHeight="1">
      <c r="B19" s="4" t="inlineStr">
        <is>
          <t>Resumen, Embudo y Modelo leen de Supuestos. Escenarios y Sensibilidad recalculan el modelo entero cambiando una o dos variables. Proyección usa los mismos supuestos mes a mes. Seguimiento es la única hoja, además de Supuestos, donde cargás datos.</t>
        </is>
      </c>
    </row>
    <row r="20" ht="15" customHeight="1">
      <c r="B20" s="4" t="inlineStr">
        <is>
          <t>Chequeos avisa si un supuesto quedó fuera de rango. Si dice REVISAR, arreglalo antes de leer los resultados.</t>
        </is>
      </c>
    </row>
    <row r="21" ht="30" customHeight="1">
      <c r="B21" s="4" t="inlineStr">
        <is>
          <t>Cómo elegir escenario: en Supuestos, la celda 'Escenario en uso' (1, 2 o 3) elige la columna conservador, base u optimista de cada fila que tiene tres valores. Las filas con un solo valor se usan tal cual.</t>
        </is>
      </c>
    </row>
    <row r="23">
      <c r="B23" s="3" t="inlineStr">
        <is>
          <t>El ejemplo que viene cargado</t>
        </is>
      </c>
    </row>
    <row r="24" ht="30" customHeight="1">
      <c r="B24" s="4" t="inlineStr">
        <is>
          <t>Un lanzamiento semanal con 6.000 USD de pauta. CPM de 4,50, CTR del 2,2 %, el 90 % de los clics carga la landing y el 23 % se registra: CPL cerca de 1,00 y unos 6.000 registros.</t>
        </is>
      </c>
    </row>
    <row r="25" ht="90" customHeight="1">
      <c r="B25" s="4" t="inlineStr">
        <is>
          <t>El formulario califica: el 60 % de los registros califica, así que el CPL calificado ronda 1,65 contra un CPL real cerca de 1,00. El 67 % entra al grupo de WhatsApp (costo por persona en el grupo cerca de 1,50), el 15 % asiste en vivo (costo por asistente cerca de 6,60) y el 55 % ve el replay. Cuando se presenta la oferta, el 10 % de los asistentes en vivo solicita (completa el formulario de compra o de aplicación, o pide hablar con un vendedor) y el 2,5 % de los del replay; el 40 % de las solicitudes termina en compra: unas 70 ventas de una oferta de 297, con un bump de 47 (20 %) y un programa de 997 al que pasa el 5 %.</t>
        </is>
      </c>
    </row>
    <row r="26" ht="30" customHeight="1">
      <c r="B26" s="4" t="inlineStr">
        <is>
          <t>Costos: pasarela 10 %, reembolsos 5 %, 0,10 por registro en WhatsApp e IA, fijos 1.200 por lanzamiento. Cobranza 70 / 15 / 15 (hay cuotas).</t>
        </is>
      </c>
    </row>
    <row r="27" ht="30" customHeight="1">
      <c r="B27" s="4" t="inlineStr">
        <is>
          <t>Resultado: facturado cerca de 25.000 por lanzamiento, ROAS sobre cash neto de 3,5, techo de CPL cerca de 3,40 y objetivo cerca de 2,60: hay margen para escalar. Cambiá los números por los tuyos.</t>
        </is>
      </c>
    </row>
    <row r="29">
      <c r="B29" s="3" t="inlineStr">
        <is>
          <t>Reglas de decisión (el protocolo corto)</t>
        </is>
      </c>
    </row>
    <row r="30" ht="30" customHeight="1">
      <c r="B30" s="4" t="inlineStr">
        <is>
          <t>1. Antes de invertir: cargá tus números en Supuestos (si no tenés datos, escenario 1, conservador) y mirá en Resumen el techo y el objetivo de costo por registro.</t>
        </is>
      </c>
    </row>
    <row r="31" ht="45" customHeight="1">
      <c r="B31" s="4" t="inlineStr">
        <is>
          <t>2. Primeros días: compará tu costo real por registro con el objetivo. Verde: seguí. Amarillo: no subas la inversión y revisá en este orden: CPM (público y frecuencia), creativo (CTR) y página (conversión). Rojo: bajá un escalón (−25 %) y arreglá antes de volver a subir.</t>
        </is>
      </c>
    </row>
    <row r="32" ht="30" customHeight="1">
      <c r="B32" s="4" t="inlineStr">
        <is>
          <t>3. Cada lanzamiento: completá una columna de Seguimiento. El semáforo compara tu costo con el techo móvil (lo que rindieron tus últimas 4 columnas), no con un número fijo.</t>
        </is>
      </c>
    </row>
    <row r="33" ht="30" customHeight="1">
      <c r="B33" s="4" t="inlineStr">
        <is>
          <t>4. Subí la inversión de a 25 % y esperá 7 días (o 3 a 4 eventos si vendés por llamada) antes de volver a subir. Un día bueno o malo no decide nada.</t>
        </is>
      </c>
    </row>
    <row r="34" ht="30" customHeight="1">
      <c r="B34" s="4" t="inlineStr">
        <is>
          <t>5. Si el costo está en verde y aun así no hay ganancia, el problema no es el tráfico: mirá asistencia, conversión de la oferta y cobranza, en ese orden.</t>
        </is>
      </c>
    </row>
    <row r="35" ht="15" customHeight="1">
      <c r="B35" s="4" t="inlineStr">
        <is>
          <t>6. Cambiá una sola cosa por vez. Si cambiás precio, creativo y página la misma semana no vas a saber qué funcionó.</t>
        </is>
      </c>
    </row>
    <row r="36" ht="30" customHeight="1">
      <c r="B36" s="4" t="inlineStr">
        <is>
          <t>7. Trabajá siempre con cash neto (lo que entra menos comisiones y reembolsos), nunca con facturado. En Proyección ves cuánta caja necesitás para sostener la pauta mientras cobrás.</t>
        </is>
      </c>
    </row>
    <row r="37" ht="30" customHeight="1">
      <c r="B37" s="4" t="inlineStr">
        <is>
          <t>8. El techo de CPL supone que el show rate y la conversión se mantienen. Si el show rate cae, el techo cae con él: por eso el show rate se mira antes que el CPL cuando algo no cierra.</t>
        </is>
      </c>
    </row>
    <row r="39">
      <c r="B39" s="3" t="inlineStr">
        <is>
          <t>Lo que este modelo no hace</t>
        </is>
      </c>
    </row>
    <row r="40" ht="30" customHeight="1">
      <c r="B40" s="4" t="inlineStr">
        <is>
          <t>No adivina tus conversiones: usa las que cargás. Cuando una conversión cambia, el techo cambia; por eso Seguimiento recalcula el techo móvil con tus últimas 4 columnas.</t>
        </is>
      </c>
    </row>
    <row r="41" ht="15" customHeight="1">
      <c r="B41" s="4" t="inlineStr">
        <is>
          <t>No reemplaza la decisión: la informa. Las reglas de arriba dicen qué hacer con cada color.</t>
        </is>
      </c>
    </row>
    <row r="42" ht="15" customHeight="1">
      <c r="B42" s="4" t="inlineStr">
        <is>
          <t>Los benchmarks son orden de magnitud para tráfico frío en español. Tus datos mandan.</t>
        </is>
      </c>
    </row>
    <row r="44">
      <c r="B44" s="3" t="inlineStr">
        <is>
          <t>Autor y versión</t>
        </is>
      </c>
    </row>
    <row r="45" ht="30" customHeight="1">
      <c r="B45" s="4" t="inlineStr">
        <is>
          <t>Modelo financiero de embudos · creado por Jesús Tassarolo · TooAudience · youtube.com/@JesusTassaroloSinFiltro. v1.2 · octubre 2026. Fórmulas compatibles con Excel, Google Sheets y Numbers. Sin macros.</t>
        </is>
      </c>
    </row>
    <row r="46" ht="30" customHeight="1">
      <c r="B46" s="4" t="inlineStr">
        <is>
          <t>Este modelo se comparte para que lo uses con tus números. Si lo compartís, dejá esta línea: es la forma de saber de dónde salió.</t>
        </is>
      </c>
    </row>
  </sheetData>
  <pageMargins left="0.75" right="0.75" top="1" bottom="1" header="0.5" footer="0.5"/>
  <headerFooter>
    <oddHeader/>
    <oddFooter>&amp;C&amp;7 Modelo financiero de embudos · creado por Jesús Tassarolo · TooAudience · youtube.com/@JesusTassaroloSinFiltro</oddFooter>
    <evenHeader/>
    <evenFooter>&amp;C&amp;7 Modelo financiero de embudos · creado por Jesús Tassarolo · TooAudience · youtube.com/@JesusTassaroloSinFiltro</evenFooter>
    <firstHeader/>
    <firstFooter/>
  </headerFooter>
</worksheet>
</file>

<file path=xl/worksheets/sheet2.xml><?xml version="1.0" encoding="utf-8"?>
<worksheet xmlns="http://schemas.openxmlformats.org/spreadsheetml/2006/main">
  <sheetPr>
    <outlinePr summaryBelow="1" summaryRight="1"/>
    <pageSetUpPr/>
  </sheetPr>
  <dimension ref="B2:D44"/>
  <sheetViews>
    <sheetView showGridLines="0" workbookViewId="0">
      <selection activeCell="A1" sqref="A1"/>
    </sheetView>
  </sheetViews>
  <sheetFormatPr baseColWidth="8" defaultRowHeight="15"/>
  <cols>
    <col width="2" customWidth="1" min="1" max="1"/>
    <col width="52" customWidth="1" min="2" max="2"/>
    <col width="18" customWidth="1" min="3" max="3"/>
    <col width="60" customWidth="1" min="4" max="4"/>
  </cols>
  <sheetData>
    <row r="2">
      <c r="B2" s="1" t="inlineStr">
        <is>
          <t>Resumen: lo que hay que mirar</t>
        </is>
      </c>
    </row>
    <row r="3">
      <c r="B3" s="2" t="inlineStr">
        <is>
          <t>Todo sale de Modelo con los supuestos del escenario en uso. Cambiá Supuestos y esto se actualiza.</t>
        </is>
      </c>
    </row>
    <row r="5">
      <c r="B5" s="5" t="inlineStr">
        <is>
          <t>Indicador</t>
        </is>
      </c>
      <c r="C5" s="5" t="inlineStr">
        <is>
          <t>Valor</t>
        </is>
      </c>
      <c r="D5" s="5" t="inlineStr">
        <is>
          <t>Qué significa</t>
        </is>
      </c>
    </row>
    <row r="6">
      <c r="B6" s="6" t="inlineStr">
        <is>
          <t>Resultado del lanzamiento</t>
        </is>
      </c>
      <c r="C6" s="7" t="n"/>
      <c r="D6" s="7" t="n"/>
    </row>
    <row r="7">
      <c r="B7" t="inlineStr">
        <is>
          <t>Ganancia del período</t>
        </is>
      </c>
      <c r="C7" s="8">
        <f>'Modelo'!$C$45</f>
        <v/>
      </c>
      <c r="D7" s="4" t="inlineStr">
        <is>
          <t>Cash neto menos costos y menos inversión.</t>
        </is>
      </c>
    </row>
    <row r="8">
      <c r="B8" t="inlineStr">
        <is>
          <t>ROAS sobre cash neto</t>
        </is>
      </c>
      <c r="C8" s="9">
        <f>'Modelo'!$C$47</f>
        <v/>
      </c>
      <c r="D8" s="4" t="inlineStr">
        <is>
          <t>Cada dólar invertido vuelve como esto, ya neto.</t>
        </is>
      </c>
    </row>
    <row r="9">
      <c r="B9" t="inlineStr">
        <is>
          <t>ROAS sobre facturado</t>
        </is>
      </c>
      <c r="C9" s="9">
        <f>'Modelo'!$C$46</f>
        <v/>
      </c>
      <c r="D9" s="4" t="inlineStr">
        <is>
          <t>Sobre facturado. No decidas con este.</t>
        </is>
      </c>
    </row>
    <row r="10">
      <c r="B10" t="inlineStr">
        <is>
          <t>Registros (leads)</t>
        </is>
      </c>
      <c r="C10" s="10">
        <f>'Modelo'!$C$11</f>
        <v/>
      </c>
      <c r="D10" s="4" t="inlineStr">
        <is>
          <t>Registros que compra la pauta.</t>
        </is>
      </c>
    </row>
    <row r="11">
      <c r="B11" t="inlineStr">
        <is>
          <t>Asistentes en vivo</t>
        </is>
      </c>
      <c r="C11" s="10">
        <f>'Modelo'!$C$17</f>
        <v/>
      </c>
      <c r="D11" s="4" t="inlineStr">
        <is>
          <t>Asistentes en vivo.</t>
        </is>
      </c>
    </row>
    <row r="12">
      <c r="B12" t="inlineStr">
        <is>
          <t>Ventas de la oferta</t>
        </is>
      </c>
      <c r="C12" s="11">
        <f>'Modelo'!$C$26</f>
        <v/>
      </c>
      <c r="D12" s="4" t="inlineStr">
        <is>
          <t>Ventas de la oferta (vivo + replay).</t>
        </is>
      </c>
    </row>
    <row r="13">
      <c r="B13" s="6" t="inlineStr">
        <is>
          <t>Unit economics</t>
        </is>
      </c>
      <c r="C13" s="7" t="n"/>
      <c r="D13" s="7" t="n"/>
    </row>
    <row r="14">
      <c r="B14" t="inlineStr">
        <is>
          <t>Costo por registro (CPL)</t>
        </is>
      </c>
      <c r="C14" s="12">
        <f>'Modelo'!$C$10</f>
        <v/>
      </c>
      <c r="D14" s="4" t="inlineStr">
        <is>
          <t>CPL real: inversión ÷ registros.</t>
        </is>
      </c>
    </row>
    <row r="15">
      <c r="B15" t="inlineStr">
        <is>
          <t>Costo por registro calificado (CPL calificado)</t>
        </is>
      </c>
      <c r="C15" s="12">
        <f>'Modelo'!$C$13</f>
        <v/>
      </c>
      <c r="D15" s="4" t="inlineStr">
        <is>
          <t>CPL calificado: inversión ÷ registros que califican.</t>
        </is>
      </c>
    </row>
    <row r="16">
      <c r="B16" t="inlineStr">
        <is>
          <t>Costo por persona en el grupo</t>
        </is>
      </c>
      <c r="C16" s="12">
        <f>'Modelo'!$C$16</f>
        <v/>
      </c>
      <c r="D16" s="4" t="inlineStr">
        <is>
          <t>Lo que te cuesta cada persona que entra al grupo.</t>
        </is>
      </c>
    </row>
    <row r="17">
      <c r="B17" t="inlineStr">
        <is>
          <t>Valor neto por registro</t>
        </is>
      </c>
      <c r="C17" s="12">
        <f>'Modelo'!$C$51</f>
        <v/>
      </c>
      <c r="D17" s="4" t="inlineStr">
        <is>
          <t>Lo que vale un registro en cash neto.</t>
        </is>
      </c>
    </row>
    <row r="18">
      <c r="B18" t="inlineStr">
        <is>
          <t>Costo por asistente en vivo</t>
        </is>
      </c>
      <c r="C18" s="12">
        <f>'Modelo'!$C$19</f>
        <v/>
      </c>
      <c r="D18" s="4" t="inlineStr">
        <is>
          <t>Lo que te cuesta cada persona que asiste en vivo.</t>
        </is>
      </c>
    </row>
    <row r="19">
      <c r="B19" s="6" t="inlineStr">
        <is>
          <t>Las dos caras de cada número</t>
        </is>
      </c>
      <c r="C19" s="7" t="n"/>
      <c r="D19" s="7" t="n"/>
    </row>
    <row r="20">
      <c r="B20" t="inlineStr">
        <is>
          <t>Ganancia por visita</t>
        </is>
      </c>
      <c r="C20" s="12">
        <f>'Modelo'!$C$66</f>
        <v/>
      </c>
      <c r="D20" s="4" t="inlineStr">
        <is>
          <t>Lo que te queda por cada visita a la landing. La métrica más valiosa del embudo.</t>
        </is>
      </c>
    </row>
    <row r="21">
      <c r="B21" t="inlineStr">
        <is>
          <t>Ganancia por clic</t>
        </is>
      </c>
      <c r="C21" s="12">
        <f>'Modelo'!$C$67</f>
        <v/>
      </c>
      <c r="D21" s="4" t="inlineStr">
        <is>
          <t>Lo que te queda por cada clic. Su par es el costo por clic (Embudo).</t>
        </is>
      </c>
    </row>
    <row r="22">
      <c r="B22" t="inlineStr">
        <is>
          <t>Ganancia por lead</t>
        </is>
      </c>
      <c r="C22" s="12">
        <f>'Modelo'!$C$68</f>
        <v/>
      </c>
      <c r="D22" s="4" t="inlineStr">
        <is>
          <t>Lo que te queda por cada registro. Su par es el CPL.</t>
        </is>
      </c>
    </row>
    <row r="23">
      <c r="B23" t="inlineStr">
        <is>
          <t>Ganancia por cliente</t>
        </is>
      </c>
      <c r="C23" s="12">
        <f>'Modelo'!$C$71</f>
        <v/>
      </c>
      <c r="D23" s="4" t="inlineStr">
        <is>
          <t>Lo que te queda por cada comprador. Su par es el CPA.</t>
        </is>
      </c>
    </row>
    <row r="24">
      <c r="B24" t="inlineStr">
        <is>
          <t>Order value (AOV)</t>
        </is>
      </c>
      <c r="C24" s="12">
        <f>'Modelo'!$C$35</f>
        <v/>
      </c>
      <c r="D24" s="4" t="inlineStr">
        <is>
          <t>Facturado por comprador con bump y programa.</t>
        </is>
      </c>
    </row>
    <row r="25">
      <c r="B25" t="inlineStr">
        <is>
          <t>Order value neto (AOV neto)</t>
        </is>
      </c>
      <c r="C25" s="12">
        <f>'Modelo'!$C$65</f>
        <v/>
      </c>
      <c r="D25" s="4" t="inlineStr">
        <is>
          <t>Lo mismo después de comisiones, reembolsos y costos por registro.</t>
        </is>
      </c>
    </row>
    <row r="26">
      <c r="B26" t="inlineStr">
        <is>
          <t>Solicitudes (total)</t>
        </is>
      </c>
      <c r="C26" s="11">
        <f>'Modelo'!$C$23</f>
        <v/>
      </c>
      <c r="D26" s="4" t="inlineStr">
        <is>
          <t>Formularios de compra, aplicaciones o pedidos de hablar con un vendedor.</t>
        </is>
      </c>
    </row>
    <row r="27">
      <c r="B27" t="inlineStr">
        <is>
          <t>Costo por solicitud</t>
        </is>
      </c>
      <c r="C27" s="12">
        <f>'Modelo'!$C$25</f>
        <v/>
      </c>
      <c r="D27" s="4" t="inlineStr">
        <is>
          <t>Lo que te cuesta cada solicitud.</t>
        </is>
      </c>
    </row>
    <row r="28">
      <c r="B28" t="inlineStr">
        <is>
          <t>Costo por comprador (CPA)</t>
        </is>
      </c>
      <c r="C28" s="12">
        <f>'Modelo'!$C$28</f>
        <v/>
      </c>
      <c r="D28" s="4" t="inlineStr">
        <is>
          <t>Lo que te cuesta cada comprador.</t>
        </is>
      </c>
    </row>
    <row r="29">
      <c r="B29" s="6" t="inlineStr">
        <is>
          <t>Hasta cuánto pagar</t>
        </is>
      </c>
      <c r="C29" s="7" t="n"/>
      <c r="D29" s="7" t="n"/>
    </row>
    <row r="30">
      <c r="B30" t="inlineStr">
        <is>
          <t>Techo de CPL (break-even)</t>
        </is>
      </c>
      <c r="C30" s="12">
        <f>'Modelo'!$C$52</f>
        <v/>
      </c>
      <c r="D30" s="4" t="inlineStr">
        <is>
          <t>CPL donde no ganás ni perdés.</t>
        </is>
      </c>
    </row>
    <row r="31">
      <c r="B31" t="inlineStr">
        <is>
          <t>Objetivo de CPL</t>
        </is>
      </c>
      <c r="C31" s="12">
        <f>'Modelo'!$C$53</f>
        <v/>
      </c>
      <c r="D31" s="4" t="inlineStr">
        <is>
          <t>A este CPL o menos estás en verde.</t>
        </is>
      </c>
    </row>
    <row r="32">
      <c r="B32" t="inlineStr">
        <is>
          <t>Techo de costo por asistente en vivo</t>
        </is>
      </c>
      <c r="C32" s="12">
        <f>'Modelo'!$C$55</f>
        <v/>
      </c>
      <c r="D32" s="4" t="inlineStr">
        <is>
          <t>Costo máximo por asistente en vivo.</t>
        </is>
      </c>
    </row>
    <row r="33">
      <c r="B33" t="inlineStr">
        <is>
          <t>Techo de costo por solicitud</t>
        </is>
      </c>
      <c r="C33" s="12">
        <f>'Modelo'!$C$57</f>
        <v/>
      </c>
      <c r="D33" s="4" t="inlineStr">
        <is>
          <t>Costo máximo por solicitud.</t>
        </is>
      </c>
    </row>
    <row r="34">
      <c r="B34" t="inlineStr">
        <is>
          <t>Techo de costo por comprador (CPA máximo)</t>
        </is>
      </c>
      <c r="C34" s="12">
        <f>'Modelo'!$C$58</f>
        <v/>
      </c>
      <c r="D34" s="4" t="inlineStr">
        <is>
          <t>CPA máximo si lo demás se mantiene.</t>
        </is>
      </c>
    </row>
    <row r="35">
      <c r="B35" t="inlineStr">
        <is>
          <t>Semáforo del CPL actual</t>
        </is>
      </c>
      <c r="C35" s="13">
        <f>'Modelo'!$C$61</f>
        <v/>
      </c>
      <c r="D35" s="4" t="inlineStr">
        <is>
          <t>Tu CPL actual contra techo y objetivo.</t>
        </is>
      </c>
    </row>
    <row r="36">
      <c r="B36" s="6" t="inlineStr">
        <is>
          <t>Cuánto invertir y cuánta caja</t>
        </is>
      </c>
      <c r="C36" s="7" t="n"/>
      <c r="D36" s="7" t="n"/>
    </row>
    <row r="37">
      <c r="B37" t="inlineStr">
        <is>
          <t>Inversión necesaria para la meta de ventas (al CPL actual)</t>
        </is>
      </c>
      <c r="C37" s="8">
        <f>'Modelo'!$C$62</f>
        <v/>
      </c>
      <c r="D37" s="4" t="inlineStr">
        <is>
          <t>Para la meta de ventas de Supuestos, al CPL actual.</t>
        </is>
      </c>
    </row>
    <row r="38">
      <c r="B38" t="inlineStr">
        <is>
          <t>Caja que hay que tener (peor momento de la proyección)</t>
        </is>
      </c>
      <c r="C38" s="8">
        <f>'Proyección 12 meses'!$C$18</f>
        <v/>
      </c>
      <c r="D38" s="4" t="inlineStr">
        <is>
          <t>Si da 0, el embudo se autofinancia: cada mes cobra más de lo que invierte.</t>
        </is>
      </c>
    </row>
    <row r="39">
      <c r="B39" t="inlineStr">
        <is>
          <t>Saldo mínimo de caja con tu caja inicial</t>
        </is>
      </c>
      <c r="C39" s="8">
        <f>'Proyección 12 meses'!$C$19</f>
        <v/>
      </c>
      <c r="D39" s="4" t="inlineStr">
        <is>
          <t>Si es negativo, la caja inicial no alcanza.</t>
        </is>
      </c>
    </row>
    <row r="40">
      <c r="B40" t="inlineStr">
        <is>
          <t>Ganancia acumulada en 12 meses</t>
        </is>
      </c>
      <c r="C40" s="8">
        <f>'Proyección 12 meses'!$C$20</f>
        <v/>
      </c>
      <c r="D40" s="4" t="inlineStr">
        <is>
          <t>Con la inversión creciendo según el supuesto.</t>
        </is>
      </c>
    </row>
    <row r="42" ht="32" customHeight="1">
      <c r="B42" s="3" t="inlineStr">
        <is>
          <t>Recomendación según el semáforo</t>
        </is>
      </c>
      <c r="C42" s="14">
        <f>IF('Modelo'!$C$61="VERDE","Sostener o subir un escalón (+25 %) y medir 7 días",IF('Modelo'!$C$61="AMARILLO","No subir. Si el costo está bien, el ROAS no llega al objetivo: mirá Sensibilidad. Si no, revisar en orden: CPM, creativo, página",IF('Modelo'!$C$61="ROJO","Bajar un escalón (−25 %) y arreglar antes de volver a subir","")))</f>
        <v/>
      </c>
      <c r="D42" s="15" t="n"/>
    </row>
    <row r="44">
      <c r="B44" s="2" t="inlineStr">
        <is>
          <t>Modelo financiero de embudos · creado por Jesús Tassarolo · TooAudience · youtube.com/@JesusTassaroloSinFiltro · v1.2 · octubre 2026</t>
        </is>
      </c>
    </row>
  </sheetData>
  <mergeCells count="1">
    <mergeCell ref="C42:D42"/>
  </mergeCells>
  <conditionalFormatting sqref="C5:C42">
    <cfRule type="expression" priority="1" dxfId="0">
      <formula>LEFT(C5,5)="VERDE"</formula>
    </cfRule>
    <cfRule type="expression" priority="2" dxfId="1">
      <formula>LEFT(C5,8)="AMARILLO"</formula>
    </cfRule>
    <cfRule type="expression" priority="3" dxfId="2">
      <formula>LEFT(C5,4)="ROJO"</formula>
    </cfRule>
  </conditionalFormatting>
  <pageMargins left="0.75" right="0.75" top="1" bottom="1" header="0.5" footer="0.5"/>
  <headerFooter>
    <oddHeader/>
    <oddFooter>&amp;C&amp;7 Modelo financiero de embudos · creado por Jesús Tassarolo · TooAudience · youtube.com/@JesusTassaroloSinFiltro</oddFooter>
    <evenHeader/>
    <evenFooter>&amp;C&amp;7 Modelo financiero de embudos · creado por Jesús Tassarolo · TooAudience · youtube.com/@JesusTassaroloSinFiltro</evenFooter>
    <firstHeader/>
    <firstFooter/>
  </headerFooter>
</worksheet>
</file>

<file path=xl/worksheets/sheet3.xml><?xml version="1.0" encoding="utf-8"?>
<worksheet xmlns="http://schemas.openxmlformats.org/spreadsheetml/2006/main">
  <sheetPr>
    <outlinePr summaryBelow="1" summaryRight="1"/>
    <pageSetUpPr/>
  </sheetPr>
  <dimension ref="B2:I2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 customWidth="1" min="1" max="1"/>
    <col width="46" customWidth="1" min="2" max="2"/>
    <col width="13" customWidth="1" min="3" max="3"/>
    <col width="13" customWidth="1" min="4" max="4"/>
    <col width="13" customWidth="1" min="5" max="5"/>
    <col width="15" customWidth="1" min="6" max="6"/>
    <col width="15" customWidth="1" min="7" max="7"/>
    <col width="15" customWidth="1" min="8" max="8"/>
    <col width="50" customWidth="1" min="9" max="9"/>
  </cols>
  <sheetData>
    <row r="2">
      <c r="B2" s="1" t="inlineStr">
        <is>
          <t>Embudo: todos los pasos, cuántos pasan y, por cada uno, qué pagás, qué te queda y hasta cuánto podrías pagar</t>
        </is>
      </c>
    </row>
    <row r="3">
      <c r="B3" s="2" t="inlineStr">
        <is>
          <t>Cada fila es un paso del embudo en orden. '% que pasa' compara con el paso anterior (o con el que dice la nota). Tres números por paso: lo que pagás hoy por cada uno (inversión ÷ cantidad), lo que te queda por cada uno (ganancia ÷ cantidad) y lo máximo que podrías pagar (el techo: lo que cada uno genera en cash neto). Techo = costo + ganancia + fijos repartidos.</t>
        </is>
      </c>
    </row>
    <row r="5">
      <c r="B5" s="5" t="inlineStr">
        <is>
          <t>Paso</t>
        </is>
      </c>
      <c r="C5" s="5" t="inlineStr">
        <is>
          <t>Cantidad</t>
        </is>
      </c>
      <c r="D5" s="5" t="inlineStr">
        <is>
          <t>% que pasa</t>
        </is>
      </c>
      <c r="E5" s="5" t="inlineStr">
        <is>
          <t>% acumulado</t>
        </is>
      </c>
      <c r="F5" s="5" t="inlineStr">
        <is>
          <t>Costo por paso (pagás hoy)</t>
        </is>
      </c>
      <c r="G5" s="5" t="inlineStr">
        <is>
          <t>Ganancia por paso (te queda)</t>
        </is>
      </c>
      <c r="H5" s="5" t="inlineStr">
        <is>
          <t>Techo por paso (máximo a pagar)</t>
        </is>
      </c>
      <c r="I5" s="5" t="inlineStr">
        <is>
          <t>Qué se paga acá / cómo se lee</t>
        </is>
      </c>
    </row>
    <row r="6">
      <c r="B6" t="inlineStr">
        <is>
          <t>Impresiones del anuncio (por mil)</t>
        </is>
      </c>
      <c r="C6" s="16">
        <f>'Modelo'!$C$7</f>
        <v/>
      </c>
      <c r="D6" t="inlineStr">
        <is>
          <t>—</t>
        </is>
      </c>
      <c r="E6" t="inlineStr">
        <is>
          <t>—</t>
        </is>
      </c>
      <c r="F6" s="12">
        <f>IF('Modelo'!$C$7=0,0,'Supuestos'!$C$8*1000/'Modelo'!$C$7)</f>
        <v/>
      </c>
      <c r="G6" s="12">
        <f>IF('Modelo'!$C$7=0,0,'Modelo'!$C$45*1000/'Modelo'!$C$7)</f>
        <v/>
      </c>
      <c r="H6" s="12">
        <f>IF('Modelo'!$C$7=0,0,'Modelo'!$C$51*'Modelo'!$C$11*1000/'Modelo'!$C$7)</f>
        <v/>
      </c>
      <c r="I6" s="4" t="inlineStr">
        <is>
          <t>Costo por mil impresiones (CPM) y CPM máximo. Palancas: público, frecuencia, horario.</t>
        </is>
      </c>
    </row>
    <row r="7">
      <c r="B7" t="inlineStr">
        <is>
          <t>Clics al enlace</t>
        </is>
      </c>
      <c r="C7" s="16">
        <f>'Modelo'!$C$8</f>
        <v/>
      </c>
      <c r="D7" s="17">
        <f>IF('Modelo'!$C$7=0,0,'Modelo'!$C$8/'Modelo'!$C$7)</f>
        <v/>
      </c>
      <c r="E7" t="inlineStr">
        <is>
          <t>—</t>
        </is>
      </c>
      <c r="F7" s="12">
        <f>IF('Modelo'!$C$8=0,0,'Supuestos'!$C$8*1/'Modelo'!$C$8)</f>
        <v/>
      </c>
      <c r="G7" s="12">
        <f>IF('Modelo'!$C$8=0,0,'Modelo'!$C$45*1/'Modelo'!$C$8)</f>
        <v/>
      </c>
      <c r="H7" s="12">
        <f>IF('Modelo'!$C$8=0,0,'Modelo'!$C$51*'Modelo'!$C$11*1/'Modelo'!$C$8)</f>
        <v/>
      </c>
      <c r="I7" s="4" t="inlineStr">
        <is>
          <t>Costo por clic. Palanca: el creativo (CTR).</t>
        </is>
      </c>
    </row>
    <row r="8">
      <c r="B8" t="inlineStr">
        <is>
          <t>Visitas a la landing</t>
        </is>
      </c>
      <c r="C8" s="16">
        <f>'Modelo'!$C$9</f>
        <v/>
      </c>
      <c r="D8" s="17">
        <f>IF('Modelo'!$C$8=0,0,'Modelo'!$C$9/'Modelo'!$C$8)</f>
        <v/>
      </c>
      <c r="E8" t="inlineStr">
        <is>
          <t>—</t>
        </is>
      </c>
      <c r="F8" s="12">
        <f>IF('Modelo'!$C$9=0,0,'Supuestos'!$C$8*1/'Modelo'!$C$9)</f>
        <v/>
      </c>
      <c r="G8" s="12">
        <f>IF('Modelo'!$C$9=0,0,'Modelo'!$C$45*1/'Modelo'!$C$9)</f>
        <v/>
      </c>
      <c r="H8" s="12">
        <f>IF('Modelo'!$C$9=0,0,'Modelo'!$C$51*'Modelo'!$C$11*1/'Modelo'!$C$9)</f>
        <v/>
      </c>
      <c r="I8" s="4" t="inlineStr">
        <is>
          <t>Costo por visita. Palanca: velocidad de carga, enlace correcto.</t>
        </is>
      </c>
    </row>
    <row r="9">
      <c r="B9" s="3" t="inlineStr">
        <is>
          <t>Registros (leads)</t>
        </is>
      </c>
      <c r="C9" s="16">
        <f>'Modelo'!$C$11</f>
        <v/>
      </c>
      <c r="D9" s="17">
        <f>IF('Modelo'!$C$9=0,0,'Modelo'!$C$11/'Modelo'!$C$9)</f>
        <v/>
      </c>
      <c r="E9" s="18">
        <f>IF('Modelo'!$C$11=0,0,'Modelo'!$C$11/'Modelo'!$C$11)</f>
        <v/>
      </c>
      <c r="F9" s="12">
        <f>IF('Modelo'!$C$11=0,0,'Supuestos'!$C$8*1/'Modelo'!$C$11)</f>
        <v/>
      </c>
      <c r="G9" s="12">
        <f>IF('Modelo'!$C$11=0,0,'Modelo'!$C$45*1/'Modelo'!$C$11)</f>
        <v/>
      </c>
      <c r="H9" s="12">
        <f>IF('Modelo'!$C$11=0,0,'Modelo'!$C$51*'Modelo'!$C$11*1/'Modelo'!$C$11)</f>
        <v/>
      </c>
      <c r="I9" s="4" t="inlineStr">
        <is>
          <t>CPL real. Palanca: promesa y formulario del landing.</t>
        </is>
      </c>
    </row>
    <row r="10">
      <c r="B10" t="inlineStr">
        <is>
          <t>Registros calificados</t>
        </is>
      </c>
      <c r="C10" s="16">
        <f>'Modelo'!$C$12</f>
        <v/>
      </c>
      <c r="D10" s="17">
        <f>IF('Modelo'!$C$11=0,0,'Modelo'!$C$12/'Modelo'!$C$11)</f>
        <v/>
      </c>
      <c r="E10" s="18">
        <f>IF('Modelo'!$C$11=0,0,'Modelo'!$C$12/'Modelo'!$C$11)</f>
        <v/>
      </c>
      <c r="F10" s="12">
        <f>IF('Modelo'!$C$12=0,0,'Supuestos'!$C$8*1/'Modelo'!$C$12)</f>
        <v/>
      </c>
      <c r="G10" s="12">
        <f>IF('Modelo'!$C$12=0,0,'Modelo'!$C$45*1/'Modelo'!$C$12)</f>
        <v/>
      </c>
      <c r="H10" s="12">
        <f>IF('Modelo'!$C$12=0,0,'Modelo'!$C$51*'Modelo'!$C$11*1/'Modelo'!$C$12)</f>
        <v/>
      </c>
      <c r="I10" s="4" t="inlineStr">
        <is>
          <t>CPL calificado. Sobre registros.</t>
        </is>
      </c>
    </row>
    <row r="11">
      <c r="B11" t="inlineStr">
        <is>
          <t>Entran al grupo de WhatsApp</t>
        </is>
      </c>
      <c r="C11" s="16">
        <f>'Modelo'!$C$15</f>
        <v/>
      </c>
      <c r="D11" s="17">
        <f>IF('Modelo'!$C$11=0,0,'Modelo'!$C$15/'Modelo'!$C$11)</f>
        <v/>
      </c>
      <c r="E11" s="18">
        <f>IF('Modelo'!$C$11=0,0,'Modelo'!$C$15/'Modelo'!$C$11)</f>
        <v/>
      </c>
      <c r="F11" s="12">
        <f>IF('Modelo'!$C$15=0,0,'Supuestos'!$C$8*1/'Modelo'!$C$15)</f>
        <v/>
      </c>
      <c r="G11" s="12">
        <f>IF('Modelo'!$C$15=0,0,'Modelo'!$C$45*1/'Modelo'!$C$15)</f>
        <v/>
      </c>
      <c r="H11" s="12">
        <f>IF('Modelo'!$C$15=0,0,'Modelo'!$C$51*'Modelo'!$C$11*1/'Modelo'!$C$15)</f>
        <v/>
      </c>
      <c r="I11" s="4" t="inlineStr">
        <is>
          <t>Costo por persona en el grupo. Sobre registros.</t>
        </is>
      </c>
    </row>
    <row r="12">
      <c r="B12" s="3" t="inlineStr">
        <is>
          <t>Asisten en vivo</t>
        </is>
      </c>
      <c r="C12" s="16">
        <f>'Modelo'!$C$17</f>
        <v/>
      </c>
      <c r="D12" s="17">
        <f>IF('Modelo'!$C$11=0,0,'Modelo'!$C$17/'Modelo'!$C$11)</f>
        <v/>
      </c>
      <c r="E12" s="18">
        <f>IF('Modelo'!$C$11=0,0,'Modelo'!$C$17/'Modelo'!$C$11)</f>
        <v/>
      </c>
      <c r="F12" s="12">
        <f>IF('Modelo'!$C$17=0,0,'Supuestos'!$C$8*1/'Modelo'!$C$17)</f>
        <v/>
      </c>
      <c r="G12" s="12">
        <f>IF('Modelo'!$C$17=0,0,'Modelo'!$C$45*1/'Modelo'!$C$17)</f>
        <v/>
      </c>
      <c r="H12" s="12">
        <f>IF('Modelo'!$C$17=0,0,'Modelo'!$C$51*'Modelo'!$C$11*1/'Modelo'!$C$17)</f>
        <v/>
      </c>
      <c r="I12" s="4" t="inlineStr">
        <is>
          <t>Costo por asistente en vivo. Sobre registros. Palancas: recordatorios, grupo, horario.</t>
        </is>
      </c>
    </row>
    <row r="13">
      <c r="B13" t="inlineStr">
        <is>
          <t>Ven el replay</t>
        </is>
      </c>
      <c r="C13" s="16">
        <f>'Modelo'!$C$18</f>
        <v/>
      </c>
      <c r="D13" s="17">
        <f>IF('Modelo'!$C$11=0,0,'Modelo'!$C$18/'Modelo'!$C$11)</f>
        <v/>
      </c>
      <c r="E13" s="18">
        <f>IF('Modelo'!$C$11=0,0,'Modelo'!$C$18/'Modelo'!$C$11)</f>
        <v/>
      </c>
      <c r="F13" s="12">
        <f>IF('Modelo'!$C$18=0,0,'Supuestos'!$C$8*1/'Modelo'!$C$18)</f>
        <v/>
      </c>
      <c r="G13" s="12">
        <f>IF('Modelo'!$C$18=0,0,'Modelo'!$C$45*1/'Modelo'!$C$18)</f>
        <v/>
      </c>
      <c r="H13" s="12">
        <f>IF('Modelo'!$C$18=0,0,'Modelo'!$C$51*'Modelo'!$C$11*1/'Modelo'!$C$18)</f>
        <v/>
      </c>
      <c r="I13" s="4" t="inlineStr">
        <is>
          <t>Costo por persona que vio el replay. Sobre registros.</t>
        </is>
      </c>
    </row>
    <row r="14">
      <c r="B14" t="inlineStr">
        <is>
          <t>Solicitan, de los que estuvieron en vivo</t>
        </is>
      </c>
      <c r="C14" s="16">
        <f>'Modelo'!$C$21</f>
        <v/>
      </c>
      <c r="D14" s="17">
        <f>IF('Modelo'!$C$17=0,0,'Modelo'!$C$21/'Modelo'!$C$17)</f>
        <v/>
      </c>
      <c r="E14" s="18">
        <f>IF('Modelo'!$C$11=0,0,'Modelo'!$C$21/'Modelo'!$C$11)</f>
        <v/>
      </c>
      <c r="F14" s="12">
        <f>IF('Modelo'!$C$21=0,0,'Supuestos'!$C$8*1/'Modelo'!$C$21)</f>
        <v/>
      </c>
      <c r="G14" s="12">
        <f>IF('Modelo'!$C$21=0,0,'Modelo'!$C$45*1/'Modelo'!$C$21)</f>
        <v/>
      </c>
      <c r="H14" s="12">
        <f>IF('Modelo'!$C$21=0,0,'Modelo'!$C$51*'Modelo'!$C$11*1/'Modelo'!$C$21)</f>
        <v/>
      </c>
      <c r="I14" s="4" t="inlineStr">
        <is>
          <t>Formulario de compra, aplicación o vendedor. Sobre asistentes en vivo. Palancas: oferta, pitch.</t>
        </is>
      </c>
    </row>
    <row r="15">
      <c r="B15" t="inlineStr">
        <is>
          <t>Solicitan, de los que vieron el replay</t>
        </is>
      </c>
      <c r="C15" s="16">
        <f>'Modelo'!$C$22</f>
        <v/>
      </c>
      <c r="D15" s="17">
        <f>IF('Modelo'!$C$18=0,0,'Modelo'!$C$22/'Modelo'!$C$18)</f>
        <v/>
      </c>
      <c r="E15" s="18">
        <f>IF('Modelo'!$C$11=0,0,'Modelo'!$C$22/'Modelo'!$C$11)</f>
        <v/>
      </c>
      <c r="F15" s="12">
        <f>IF('Modelo'!$C$22=0,0,'Supuestos'!$C$8*1/'Modelo'!$C$22)</f>
        <v/>
      </c>
      <c r="G15" s="12">
        <f>IF('Modelo'!$C$22=0,0,'Modelo'!$C$45*1/'Modelo'!$C$22)</f>
        <v/>
      </c>
      <c r="H15" s="12">
        <f>IF('Modelo'!$C$22=0,0,'Modelo'!$C$51*'Modelo'!$C$11*1/'Modelo'!$C$22)</f>
        <v/>
      </c>
      <c r="I15" s="4" t="inlineStr">
        <is>
          <t>Sobre los que vieron el replay.</t>
        </is>
      </c>
    </row>
    <row r="16">
      <c r="B16" s="3" t="inlineStr">
        <is>
          <t>Solicitudes (total)</t>
        </is>
      </c>
      <c r="C16" s="16">
        <f>'Modelo'!$C$23</f>
        <v/>
      </c>
      <c r="D16" s="17">
        <f>IF('Modelo'!$C$11=0,0,'Modelo'!$C$23/'Modelo'!$C$11)</f>
        <v/>
      </c>
      <c r="E16" s="18">
        <f>IF('Modelo'!$C$11=0,0,'Modelo'!$C$23/'Modelo'!$C$11)</f>
        <v/>
      </c>
      <c r="F16" s="12">
        <f>IF('Modelo'!$C$23=0,0,'Supuestos'!$C$8*1/'Modelo'!$C$23)</f>
        <v/>
      </c>
      <c r="G16" s="12">
        <f>IF('Modelo'!$C$23=0,0,'Modelo'!$C$45*1/'Modelo'!$C$23)</f>
        <v/>
      </c>
      <c r="H16" s="12">
        <f>IF('Modelo'!$C$23=0,0,'Modelo'!$C$51*'Modelo'!$C$11*1/'Modelo'!$C$23)</f>
        <v/>
      </c>
      <c r="I16" s="4" t="inlineStr">
        <is>
          <t>Costo por solicitud. Sobre registros.</t>
        </is>
      </c>
    </row>
    <row r="17">
      <c r="B17" s="3" t="inlineStr">
        <is>
          <t>Compran la oferta</t>
        </is>
      </c>
      <c r="C17" s="16">
        <f>'Modelo'!$C$26</f>
        <v/>
      </c>
      <c r="D17" s="17">
        <f>IF('Modelo'!$C$23=0,0,'Modelo'!$C$26/'Modelo'!$C$23)</f>
        <v/>
      </c>
      <c r="E17" s="18">
        <f>IF('Modelo'!$C$11=0,0,'Modelo'!$C$26/'Modelo'!$C$11)</f>
        <v/>
      </c>
      <c r="F17" s="12">
        <f>IF('Modelo'!$C$26=0,0,'Supuestos'!$C$8*1/'Modelo'!$C$26)</f>
        <v/>
      </c>
      <c r="G17" s="12">
        <f>IF('Modelo'!$C$26=0,0,'Modelo'!$C$45*1/'Modelo'!$C$26)</f>
        <v/>
      </c>
      <c r="H17" s="12">
        <f>IF('Modelo'!$C$26=0,0,'Modelo'!$C$51*'Modelo'!$C$11*1/'Modelo'!$C$26)</f>
        <v/>
      </c>
      <c r="I17" s="4" t="inlineStr">
        <is>
          <t>CPA: costo por comprador. Sobre solicitudes (cierre). Palancas: seguimiento, vendedor, forma de pago.</t>
        </is>
      </c>
    </row>
    <row r="18">
      <c r="B18" t="inlineStr">
        <is>
          <t>Toman el bump</t>
        </is>
      </c>
      <c r="C18" s="16">
        <f>'Modelo'!$C$30</f>
        <v/>
      </c>
      <c r="D18" s="17">
        <f>IF('Modelo'!$C$26=0,0,'Modelo'!$C$30/'Modelo'!$C$26)</f>
        <v/>
      </c>
      <c r="E18" s="18">
        <f>IF('Modelo'!$C$11=0,0,'Modelo'!$C$30/'Modelo'!$C$11)</f>
        <v/>
      </c>
      <c r="F18" t="inlineStr">
        <is>
          <t>sin costo propio</t>
        </is>
      </c>
      <c r="G18" t="inlineStr">
        <is>
          <t>—</t>
        </is>
      </c>
      <c r="H18" t="inlineStr">
        <is>
          <t>—</t>
        </is>
      </c>
      <c r="I18" s="4" t="inlineStr">
        <is>
          <t>Sobre compradores. Se pagó con el CPA; suma al AOV.</t>
        </is>
      </c>
    </row>
    <row r="19">
      <c r="B19" t="inlineStr">
        <is>
          <t>Pasan al programa superior</t>
        </is>
      </c>
      <c r="C19" s="16">
        <f>'Modelo'!$C$32</f>
        <v/>
      </c>
      <c r="D19" s="17">
        <f>IF('Modelo'!$C$26=0,0,'Modelo'!$C$32/'Modelo'!$C$26)</f>
        <v/>
      </c>
      <c r="E19" s="18">
        <f>IF('Modelo'!$C$11=0,0,'Modelo'!$C$32/'Modelo'!$C$11)</f>
        <v/>
      </c>
      <c r="F19" t="inlineStr">
        <is>
          <t>sin costo propio</t>
        </is>
      </c>
      <c r="G19" t="inlineStr">
        <is>
          <t>—</t>
        </is>
      </c>
      <c r="H19" t="inlineStr">
        <is>
          <t>—</t>
        </is>
      </c>
      <c r="I19" s="4" t="inlineStr">
        <is>
          <t>Sobre compradores.</t>
        </is>
      </c>
    </row>
    <row r="21">
      <c r="B21" s="3" t="inlineStr">
        <is>
          <t>Comprobalo con la fila de la unidad: costo + ganancia + fijos repartidos = techo</t>
        </is>
      </c>
      <c r="F21" s="19">
        <f>F9</f>
        <v/>
      </c>
      <c r="G21" s="19">
        <f>G9</f>
        <v/>
      </c>
      <c r="H21" s="12">
        <f>F9+G9+'Supuestos'!$C$38/'Modelo'!$C$11</f>
        <v/>
      </c>
      <c r="I21" s="4" t="inlineStr">
        <is>
          <t>Techo = costo + ganancia + fijos ÷ unidades. Lo que falta entre (costo + ganancia) y el techo son los costos fijos repartidos entre las unidades.</t>
        </is>
      </c>
    </row>
    <row r="22">
      <c r="B22" s="3" t="inlineStr">
        <is>
          <t>Cómo se lee</t>
        </is>
      </c>
    </row>
    <row r="23" ht="28" customHeight="1">
      <c r="B23" s="4" t="inlineStr">
        <is>
          <t>Cantidad: cuántas acciones o personas hubo en ese paso con los supuestos del escenario en uso.</t>
        </is>
      </c>
    </row>
    <row r="24" ht="28" customHeight="1">
      <c r="B24" s="4" t="inlineStr">
        <is>
          <t>% que pasa: de los que estaban en el paso anterior (o en el paso que indica la nota), cuántos llegan a este. % acumulado: cuántos llegan a este paso por cada 100 unidades que compra la pauta.</t>
        </is>
      </c>
    </row>
    <row r="25" ht="28" customHeight="1">
      <c r="B25" s="4" t="inlineStr">
        <is>
          <t>Costo por paso: inversión ÷ cantidad. Es lo que te está costando hoy cada persona que llega a ese paso.</t>
        </is>
      </c>
    </row>
    <row r="26" ht="28" customHeight="1">
      <c r="B26" s="4" t="inlineStr">
        <is>
          <t>Ganancia por paso: ganancia del período ÷ cantidad. Lo que te queda por cada persona de ese paso después de pagar la pauta, las comisiones, los reembolsos y los fijos. La ganancia por visita es la métrica más valiosa del embudo: resume todo lo que pasa después.</t>
        </is>
      </c>
    </row>
    <row r="27" ht="28" customHeight="1">
      <c r="B27" s="4" t="inlineStr">
        <is>
          <t>Techo por paso: lo que cada persona de ese paso genera en cash neto (cash neto menos costos por unidad, dividido por la cantidad). Es lo máximo que podrías pagar por ese paso antes de que la ganancia llegue a cero, si lo demás se mantiene. Por eso siempre es mayor que la ganancia: techo = costo + ganancia + fijos repartidos.</t>
        </is>
      </c>
    </row>
    <row r="28" ht="28" customHeight="1">
      <c r="B28" s="4" t="inlineStr">
        <is>
          <t>Los bumps, las OTOs y la ascensión no tienen costo propio: se pagan con el CPA del comprador principal y se miden por lo que suman al AOV.</t>
        </is>
      </c>
    </row>
  </sheetData>
  <mergeCells count="6">
    <mergeCell ref="B25:I25"/>
    <mergeCell ref="B24:I24"/>
    <mergeCell ref="B28:I28"/>
    <mergeCell ref="B23:I23"/>
    <mergeCell ref="B27:I27"/>
    <mergeCell ref="B26:I26"/>
  </mergeCells>
  <pageMargins left="0.75" right="0.75" top="1" bottom="1" header="0.5" footer="0.5"/>
  <headerFooter>
    <oddHeader/>
    <oddFooter>&amp;C&amp;7 Modelo financiero de embudos · creado por Jesús Tassarolo · TooAudience · youtube.com/@JesusTassaroloSinFiltro</oddFooter>
    <evenHeader/>
    <evenFooter>&amp;C&amp;7 Modelo financiero de embudos · creado por Jesús Tassarolo · TooAudience · youtube.com/@JesusTassaroloSinFiltro</evenFooter>
    <firstHeader/>
    <firstFooter/>
  </headerFooter>
</worksheet>
</file>

<file path=xl/worksheets/sheet4.xml><?xml version="1.0" encoding="utf-8"?>
<worksheet xmlns="http://schemas.openxmlformats.org/spreadsheetml/2006/main">
  <sheetPr>
    <outlinePr summaryBelow="1" summaryRight="1"/>
    <pageSetUpPr/>
  </sheetPr>
  <dimension ref="B2:H5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 customWidth="1" min="1" max="1"/>
    <col width="58" customWidth="1" min="2" max="2"/>
    <col width="16" customWidth="1" min="3" max="3"/>
    <col width="14" customWidth="1" min="4" max="4"/>
    <col width="14" customWidth="1" min="5" max="5"/>
    <col width="14" customWidth="1" min="6" max="6"/>
    <col width="12" customWidth="1" min="7" max="7"/>
    <col width="70" customWidth="1" min="8" max="8"/>
  </cols>
  <sheetData>
    <row r="2">
      <c r="B2" s="1" t="inlineStr">
        <is>
          <t>Supuestos</t>
        </is>
      </c>
    </row>
    <row r="3">
      <c r="B3" s="2" t="inlineStr">
        <is>
          <t>Celdas amarillas = las editás vos. Celdas azules = se calculan solas. Cada fila dice en qué unidad va y de dónde sale el valor del ejemplo.</t>
        </is>
      </c>
    </row>
    <row r="5">
      <c r="B5" s="5" t="inlineStr">
        <is>
          <t>Supuesto</t>
        </is>
      </c>
      <c r="C5" s="5" t="inlineStr">
        <is>
          <t>Valor en uso</t>
        </is>
      </c>
      <c r="D5" s="5" t="inlineStr">
        <is>
          <t>Conservador</t>
        </is>
      </c>
      <c r="E5" s="5" t="inlineStr">
        <is>
          <t>Base</t>
        </is>
      </c>
      <c r="F5" s="5" t="inlineStr">
        <is>
          <t>Optimista</t>
        </is>
      </c>
      <c r="G5" s="5" t="inlineStr">
        <is>
          <t>Unidad</t>
        </is>
      </c>
      <c r="H5" s="5" t="inlineStr">
        <is>
          <t>Nota / fuente del ejemplo</t>
        </is>
      </c>
    </row>
    <row r="6">
      <c r="B6" s="3" t="inlineStr">
        <is>
          <t>Escenario en uso (1 = conservador · 2 = base · 3 = optimista)</t>
        </is>
      </c>
      <c r="C6" s="20" t="n">
        <v>2</v>
      </c>
      <c r="G6" t="inlineStr">
        <is>
          <t>1 / 2 / 3</t>
        </is>
      </c>
      <c r="H6" s="4" t="inlineStr">
        <is>
          <t>Cambia todas las filas que tienen tres valores. Si una fila no tiene tres valores, se usa el de 'Valor en uso'.</t>
        </is>
      </c>
    </row>
    <row r="7">
      <c r="B7" s="6" t="inlineStr">
        <is>
          <t>1. Inversión y tráfico</t>
        </is>
      </c>
      <c r="C7" s="7" t="n"/>
      <c r="D7" s="7" t="n"/>
      <c r="E7" s="7" t="n"/>
      <c r="F7" s="7" t="n"/>
      <c r="G7" s="7" t="n"/>
      <c r="H7" s="7" t="n"/>
    </row>
    <row r="8">
      <c r="B8" t="inlineStr">
        <is>
          <t>Inversión en publicidad por lanzamiento</t>
        </is>
      </c>
      <c r="C8" s="21" t="n">
        <v>6000</v>
      </c>
      <c r="G8" t="inlineStr">
        <is>
          <t>USD / lanzamiento</t>
        </is>
      </c>
      <c r="H8" s="4" t="inlineStr">
        <is>
          <t>Un lanzamiento = un ciclo de captación + webinar + venta (en el ejemplo, una semana).</t>
        </is>
      </c>
    </row>
    <row r="9">
      <c r="B9" t="inlineStr">
        <is>
          <t>Lanzamientos por mes (para la proyección)</t>
        </is>
      </c>
      <c r="C9" s="20" t="n">
        <v>4</v>
      </c>
      <c r="G9" t="inlineStr">
        <is>
          <t>lanzamientos / mes</t>
        </is>
      </c>
      <c r="H9" s="4" t="inlineStr">
        <is>
          <t>Cuántos lanzamientos como este hacés por mes. La proyección multiplica inversión, costos fijos y ventas por este número.</t>
        </is>
      </c>
    </row>
    <row r="10">
      <c r="B10" t="inlineStr">
        <is>
          <t>CPM (costo por mil impresiones)</t>
        </is>
      </c>
      <c r="C10" s="19">
        <f>IF('Supuestos'!$C$6=1,D10,IF('Supuestos'!$C$6=2,E10,F10))</f>
        <v/>
      </c>
      <c r="D10" s="22" t="n">
        <v>6</v>
      </c>
      <c r="E10" s="22" t="n">
        <v>4.5</v>
      </c>
      <c r="F10" s="22" t="n">
        <v>3.5</v>
      </c>
      <c r="G10" t="inlineStr">
        <is>
          <t>USD</t>
        </is>
      </c>
      <c r="H10" s="4" t="inlineStr">
        <is>
          <t>Lo que cobra Meta por mil impresiones. Hispano: 3 a 7.</t>
        </is>
      </c>
    </row>
    <row r="11">
      <c r="B11" t="inlineStr">
        <is>
          <t>CTR al enlace</t>
        </is>
      </c>
      <c r="C11" s="17">
        <f>IF('Supuestos'!$C$6=1,D11,IF('Supuestos'!$C$6=2,E11,F11))</f>
        <v/>
      </c>
      <c r="D11" s="23" t="n">
        <v>0.016</v>
      </c>
      <c r="E11" s="23" t="n">
        <v>0.022</v>
      </c>
      <c r="F11" s="23" t="n">
        <v>0.03</v>
      </c>
      <c r="G11" t="inlineStr">
        <is>
          <t>%</t>
        </is>
      </c>
      <c r="H11" s="4" t="inlineStr">
        <is>
          <t>Clics en el enlace ÷ impresiones.</t>
        </is>
      </c>
    </row>
    <row r="12">
      <c r="B12" t="inlineStr">
        <is>
          <t>% de clics que cargan la landing</t>
        </is>
      </c>
      <c r="C12" s="23" t="n">
        <v>0.9</v>
      </c>
      <c r="G12" t="inlineStr">
        <is>
          <t>%</t>
        </is>
      </c>
      <c r="H12" s="4" t="inlineStr">
        <is>
          <t>Siempre menor a 100 %: una parte cierra antes de que cargue.</t>
        </is>
      </c>
    </row>
    <row r="14">
      <c r="B14" s="6" t="inlineStr">
        <is>
          <t>2. Landing de registro</t>
        </is>
      </c>
      <c r="C14" s="7" t="n"/>
      <c r="D14" s="7" t="n"/>
      <c r="E14" s="7" t="n"/>
      <c r="F14" s="7" t="n"/>
      <c r="G14" s="7" t="n"/>
      <c r="H14" s="7" t="n"/>
    </row>
    <row r="15">
      <c r="B15" t="inlineStr">
        <is>
          <t>% de visitas que se registran</t>
        </is>
      </c>
      <c r="C15" s="17">
        <f>IF('Supuestos'!$C$6=1,D15,IF('Supuestos'!$C$6=2,E15,F15))</f>
        <v/>
      </c>
      <c r="D15" s="23" t="n">
        <v>0.18</v>
      </c>
      <c r="E15" s="23" t="n">
        <v>0.23</v>
      </c>
      <c r="F15" s="23" t="n">
        <v>0.3</v>
      </c>
      <c r="G15" t="inlineStr">
        <is>
          <t>%</t>
        </is>
      </c>
      <c r="H15" s="4" t="inlineStr">
        <is>
          <t>La conversión del landing. Con nombre + WhatsApp: 20 a 30 %.</t>
        </is>
      </c>
    </row>
    <row r="16">
      <c r="B16" t="inlineStr">
        <is>
          <t>% de registros que califican (si el formulario tiene una pregunta que califica)</t>
        </is>
      </c>
      <c r="C16" s="17">
        <f>IF('Supuestos'!$C$6=1,D16,IF('Supuestos'!$C$6=2,E16,F16))</f>
        <v/>
      </c>
      <c r="D16" s="23" t="n">
        <v>0.5</v>
      </c>
      <c r="E16" s="23" t="n">
        <v>0.6</v>
      </c>
      <c r="F16" s="23" t="n">
        <v>0.7</v>
      </c>
      <c r="G16" t="inlineStr">
        <is>
          <t>%</t>
        </is>
      </c>
      <c r="H16" s="4" t="inlineStr">
        <is>
          <t>Si no calificás en el formulario, poné 100 %. Sirve para ver el CPL calificado además del CPL real.</t>
        </is>
      </c>
    </row>
    <row r="18">
      <c r="B18" s="6" t="inlineStr">
        <is>
          <t>3. Grupo de WhatsApp y asistencia</t>
        </is>
      </c>
      <c r="C18" s="7" t="n"/>
      <c r="D18" s="7" t="n"/>
      <c r="E18" s="7" t="n"/>
      <c r="F18" s="7" t="n"/>
      <c r="G18" s="7" t="n"/>
      <c r="H18" s="7" t="n"/>
    </row>
    <row r="19">
      <c r="B19" t="inlineStr">
        <is>
          <t>% de registrados que entran al grupo de WhatsApp</t>
        </is>
      </c>
      <c r="C19" s="17">
        <f>IF('Supuestos'!$C$6=1,D19,IF('Supuestos'!$C$6=2,E19,F19))</f>
        <v/>
      </c>
      <c r="D19" s="23" t="n">
        <v>0.55</v>
      </c>
      <c r="E19" s="23" t="n">
        <v>0.67</v>
      </c>
      <c r="F19" s="23" t="n">
        <v>0.78</v>
      </c>
      <c r="G19" t="inlineStr">
        <is>
          <t>%</t>
        </is>
      </c>
      <c r="H19" s="4" t="inlineStr">
        <is>
          <t>Si no usás grupo, poné 0 %: no afecta las ventas en este modelo, solo el techo por persona en el grupo.</t>
        </is>
      </c>
    </row>
    <row r="20">
      <c r="B20" t="inlineStr">
        <is>
          <t>% de registrados que asisten en vivo</t>
        </is>
      </c>
      <c r="C20" s="17">
        <f>IF('Supuestos'!$C$6=1,D20,IF('Supuestos'!$C$6=2,E20,F20))</f>
        <v/>
      </c>
      <c r="D20" s="23" t="n">
        <v>0.11</v>
      </c>
      <c r="E20" s="23" t="n">
        <v>0.15</v>
      </c>
      <c r="F20" s="23" t="n">
        <v>0.2</v>
      </c>
      <c r="G20" t="inlineStr">
        <is>
          <t>%</t>
        </is>
      </c>
      <c r="H20" s="4" t="inlineStr">
        <is>
          <t>Tráfico frío hispano: 10 a 20 %. En B2B USA promedia 33 %.</t>
        </is>
      </c>
    </row>
    <row r="21">
      <c r="B21" t="inlineStr">
        <is>
          <t>% de registrados que ven el replay</t>
        </is>
      </c>
      <c r="C21" s="17">
        <f>IF('Supuestos'!$C$6=1,D21,IF('Supuestos'!$C$6=2,E21,F21))</f>
        <v/>
      </c>
      <c r="D21" s="23" t="n">
        <v>0.4</v>
      </c>
      <c r="E21" s="23" t="n">
        <v>0.55</v>
      </c>
      <c r="F21" s="23" t="n">
        <v>0.7</v>
      </c>
      <c r="G21" t="inlineStr">
        <is>
          <t>%</t>
        </is>
      </c>
      <c r="H21" s="4" t="inlineStr">
        <is>
          <t>Sin contar a los que fueron en vivo.</t>
        </is>
      </c>
    </row>
    <row r="23">
      <c r="B23" s="6" t="inlineStr">
        <is>
          <t>4. Oferta y escalera</t>
        </is>
      </c>
      <c r="C23" s="7" t="n"/>
      <c r="D23" s="7" t="n"/>
      <c r="E23" s="7" t="n"/>
      <c r="F23" s="7" t="n"/>
      <c r="G23" s="7" t="n"/>
      <c r="H23" s="7" t="n"/>
    </row>
    <row r="24">
      <c r="B24" t="inlineStr">
        <is>
          <t>Oferta del webinar: precio</t>
        </is>
      </c>
      <c r="C24" s="22" t="n">
        <v>297</v>
      </c>
      <c r="G24" t="inlineStr">
        <is>
          <t>USD</t>
        </is>
      </c>
      <c r="H24" s="4" t="inlineStr">
        <is>
          <t>El producto que se presenta en el webinar.</t>
        </is>
      </c>
    </row>
    <row r="25">
      <c r="B25" t="inlineStr">
        <is>
          <t>% de asistentes en vivo que solicitan (formulario de compra, de aplicación o hablar con un vendedor)</t>
        </is>
      </c>
      <c r="C25" s="17">
        <f>IF('Supuestos'!$C$6=1,D25,IF('Supuestos'!$C$6=2,E25,F25))</f>
        <v/>
      </c>
      <c r="D25" s="23" t="n">
        <v>0.06</v>
      </c>
      <c r="E25" s="23" t="n">
        <v>0.1</v>
      </c>
      <c r="F25" s="23" t="n">
        <v>0.15</v>
      </c>
      <c r="G25" t="inlineStr">
        <is>
          <t>%</t>
        </is>
      </c>
      <c r="H25" s="4" t="inlineStr">
        <is>
          <t>La solicitud es lo que pasa en el webinar cuando se presenta la oferta. Incluye la ventana de 72 h.</t>
        </is>
      </c>
    </row>
    <row r="26">
      <c r="B26" t="inlineStr">
        <is>
          <t>% de los que ven el replay que solicitan</t>
        </is>
      </c>
      <c r="C26" s="17">
        <f>IF('Supuestos'!$C$6=1,D26,IF('Supuestos'!$C$6=2,E26,F26))</f>
        <v/>
      </c>
      <c r="D26" s="23" t="n">
        <v>0.012</v>
      </c>
      <c r="E26" s="23" t="n">
        <v>0.025</v>
      </c>
      <c r="F26" s="23" t="n">
        <v>0.04</v>
      </c>
      <c r="G26" t="inlineStr">
        <is>
          <t>%</t>
        </is>
      </c>
      <c r="H26" s="4" t="inlineStr">
        <is>
          <t>Mucho menor que en vivo.</t>
        </is>
      </c>
    </row>
    <row r="27">
      <c r="B27" t="inlineStr">
        <is>
          <t>% de solicitudes que terminan en compra</t>
        </is>
      </c>
      <c r="C27" s="17">
        <f>IF('Supuestos'!$C$6=1,D27,IF('Supuestos'!$C$6=2,E27,F27))</f>
        <v/>
      </c>
      <c r="D27" s="23" t="n">
        <v>0.3</v>
      </c>
      <c r="E27" s="23" t="n">
        <v>0.4</v>
      </c>
      <c r="F27" s="23" t="n">
        <v>0.5</v>
      </c>
      <c r="G27" t="inlineStr">
        <is>
          <t>%</t>
        </is>
      </c>
      <c r="H27" s="4" t="inlineStr">
        <is>
          <t>Con compra directa en el formulario suele ser alto; con vendedor o aplicación, 30 a 50 %.</t>
        </is>
      </c>
    </row>
    <row r="28">
      <c r="B28" t="inlineStr">
        <is>
          <t>Bump en el checkout: precio</t>
        </is>
      </c>
      <c r="C28" s="22" t="n">
        <v>47</v>
      </c>
      <c r="G28" t="inlineStr">
        <is>
          <t>USD</t>
        </is>
      </c>
      <c r="H28" s="4" t="inlineStr">
        <is>
          <t>Oferta extra con una casilla en el checkout.</t>
        </is>
      </c>
    </row>
    <row r="29">
      <c r="B29" t="inlineStr">
        <is>
          <t>Bump: % de compradores que lo toman</t>
        </is>
      </c>
      <c r="C29" s="17">
        <f>IF('Supuestos'!$C$6=1,D29,IF('Supuestos'!$C$6=2,E29,F29))</f>
        <v/>
      </c>
      <c r="D29" s="23" t="n">
        <v>0.12</v>
      </c>
      <c r="E29" s="23" t="n">
        <v>0.2</v>
      </c>
      <c r="F29" s="23" t="n">
        <v>0.3</v>
      </c>
      <c r="G29" t="inlineStr">
        <is>
          <t>%</t>
        </is>
      </c>
      <c r="H29" s="4" t="inlineStr"/>
    </row>
    <row r="30">
      <c r="B30" t="inlineStr">
        <is>
          <t>Programa superior: precio</t>
        </is>
      </c>
      <c r="C30" s="22" t="n">
        <v>997</v>
      </c>
      <c r="G30" t="inlineStr">
        <is>
          <t>USD</t>
        </is>
      </c>
      <c r="H30" s="4" t="inlineStr">
        <is>
          <t>Se vende después de la oferta, por llamada o por ascenso.</t>
        </is>
      </c>
    </row>
    <row r="31">
      <c r="B31" t="inlineStr">
        <is>
          <t>Programa superior: % de compradores que lo toman</t>
        </is>
      </c>
      <c r="C31" s="17">
        <f>IF('Supuestos'!$C$6=1,D31,IF('Supuestos'!$C$6=2,E31,F31))</f>
        <v/>
      </c>
      <c r="D31" s="23" t="n">
        <v>0.03</v>
      </c>
      <c r="E31" s="23" t="n">
        <v>0.05</v>
      </c>
      <c r="F31" s="23" t="n">
        <v>0.08</v>
      </c>
      <c r="G31" t="inlineStr">
        <is>
          <t>%</t>
        </is>
      </c>
      <c r="H31" s="4" t="inlineStr">
        <is>
          <t>Sobre compradores de la oferta.</t>
        </is>
      </c>
    </row>
    <row r="33">
      <c r="B33" s="6" t="inlineStr">
        <is>
          <t>5. Costos</t>
        </is>
      </c>
      <c r="C33" s="7" t="n"/>
      <c r="D33" s="7" t="n"/>
      <c r="E33" s="7" t="n"/>
      <c r="F33" s="7" t="n"/>
      <c r="G33" s="7" t="n"/>
      <c r="H33" s="7" t="n"/>
    </row>
    <row r="34">
      <c r="B34" t="inlineStr">
        <is>
          <t>Comisión de la pasarela o plataforma de pago</t>
        </is>
      </c>
      <c r="C34" s="23" t="n">
        <v>0.1</v>
      </c>
      <c r="G34" t="inlineStr">
        <is>
          <t>% del cash</t>
        </is>
      </c>
      <c r="H34" s="4" t="inlineStr">
        <is>
          <t>Hotmart, Stripe, Mercado Pago: lo que se queda la plataforma.</t>
        </is>
      </c>
    </row>
    <row r="35">
      <c r="B35" t="inlineStr">
        <is>
          <t>Comisión del equipo de ventas</t>
        </is>
      </c>
      <c r="C35" s="23" t="n">
        <v>0</v>
      </c>
      <c r="G35" t="inlineStr">
        <is>
          <t>% del cash</t>
        </is>
      </c>
      <c r="H35" s="4" t="inlineStr">
        <is>
          <t>Sobre el cash cobrado. Si vendés el programa superior por llamada, poné acá la comisión del closer (10 a 15 % de esa parte).</t>
        </is>
      </c>
    </row>
    <row r="36">
      <c r="B36" t="inlineStr">
        <is>
          <t>Reembolsos y contracargos</t>
        </is>
      </c>
      <c r="C36" s="23" t="n">
        <v>0.05</v>
      </c>
      <c r="G36" t="inlineStr">
        <is>
          <t>% del cash</t>
        </is>
      </c>
      <c r="H36" s="4" t="inlineStr">
        <is>
          <t>5 % es normal en productos digitales. Más de 10 % es un problema de oferta o de expectativa.</t>
        </is>
      </c>
    </row>
    <row r="37">
      <c r="B37" t="inlineStr">
        <is>
          <t>Costos por registro (herramientas, WhatsApp, IA)</t>
        </is>
      </c>
      <c r="C37" s="22" t="n">
        <v>0.1</v>
      </c>
      <c r="G37" t="inlineStr">
        <is>
          <t>USD / registro</t>
        </is>
      </c>
      <c r="H37" s="4" t="inlineStr">
        <is>
          <t>WhatsApp API, email, IA: lo que pagás por cada registro.</t>
        </is>
      </c>
    </row>
    <row r="38">
      <c r="B38" t="inlineStr">
        <is>
          <t>Costos fijos por lanzamiento</t>
        </is>
      </c>
      <c r="C38" s="21" t="n">
        <v>1200</v>
      </c>
      <c r="G38" t="inlineStr">
        <is>
          <t>USD / lanzamiento</t>
        </is>
      </c>
      <c r="H38" s="4" t="inlineStr">
        <is>
          <t>Equipo, herramientas, edición: lo que pagás aunque no vendas.</t>
        </is>
      </c>
    </row>
    <row r="40">
      <c r="B40" s="6" t="inlineStr">
        <is>
          <t>6. Cobranza</t>
        </is>
      </c>
      <c r="C40" s="7" t="n"/>
      <c r="D40" s="7" t="n"/>
      <c r="E40" s="7" t="n"/>
      <c r="F40" s="7" t="n"/>
      <c r="G40" s="7" t="n"/>
      <c r="H40" s="7" t="n"/>
    </row>
    <row r="41">
      <c r="B41" t="inlineStr">
        <is>
          <t>% del facturado que entra en el mes 1</t>
        </is>
      </c>
      <c r="C41" s="23" t="n">
        <v>0.7</v>
      </c>
      <c r="G41" t="inlineStr">
        <is>
          <t>%</t>
        </is>
      </c>
      <c r="H41" s="4" t="inlineStr">
        <is>
          <t>Con cuotas, el 70 % entra el primer mes y el resto en los dos siguientes.</t>
        </is>
      </c>
    </row>
    <row r="42">
      <c r="B42" t="inlineStr">
        <is>
          <t>% que entra en el mes 2</t>
        </is>
      </c>
      <c r="C42" s="23" t="n">
        <v>0.15</v>
      </c>
      <c r="G42" t="inlineStr">
        <is>
          <t>%</t>
        </is>
      </c>
      <c r="H42" s="4" t="inlineStr">
        <is>
          <t>Cuotas o pagos diferidos.</t>
        </is>
      </c>
    </row>
    <row r="43">
      <c r="B43" t="inlineStr">
        <is>
          <t>% que entra en el mes 3</t>
        </is>
      </c>
      <c r="C43" s="23" t="n">
        <v>0.15</v>
      </c>
      <c r="G43" t="inlineStr">
        <is>
          <t>%</t>
        </is>
      </c>
      <c r="H43" s="4" t="inlineStr">
        <is>
          <t>Los tres deben sumar 100 %.</t>
        </is>
      </c>
    </row>
    <row r="45">
      <c r="B45" s="6" t="inlineStr">
        <is>
          <t>7. Objetivos y proyección</t>
        </is>
      </c>
      <c r="C45" s="7" t="n"/>
      <c r="D45" s="7" t="n"/>
      <c r="E45" s="7" t="n"/>
      <c r="F45" s="7" t="n"/>
      <c r="G45" s="7" t="n"/>
      <c r="H45" s="7" t="n"/>
    </row>
    <row r="46">
      <c r="B46" t="inlineStr">
        <is>
          <t>ROAS objetivo sobre cash neto</t>
        </is>
      </c>
      <c r="C46" s="24" t="n">
        <v>2</v>
      </c>
      <c r="G46" t="inlineStr">
        <is>
          <t>x</t>
        </is>
      </c>
      <c r="H46" s="4" t="inlineStr">
        <is>
          <t>El retorno mínimo que querés por cada dólar invertido, después de comisiones y reembolsos. Entra en el semáforo: sin llegar a este ROAS no hay verde.</t>
        </is>
      </c>
    </row>
    <row r="47">
      <c r="B47" t="inlineStr">
        <is>
          <t>Margen de seguridad</t>
        </is>
      </c>
      <c r="C47" s="23" t="n">
        <v>0.3</v>
      </c>
      <c r="G47" t="inlineStr">
        <is>
          <t>%</t>
        </is>
      </c>
      <c r="H47" s="4" t="inlineStr">
        <is>
          <t>Colchón entre el techo (donde no ganás ni perdés) y el objetivo. 30 % es el estándar que usamos.</t>
        </is>
      </c>
    </row>
    <row r="48">
      <c r="B48" t="inlineStr">
        <is>
          <t>Meta de ventas del producto principal</t>
        </is>
      </c>
      <c r="C48" s="20" t="n">
        <v>60</v>
      </c>
      <c r="G48" t="inlineStr">
        <is>
          <t>ventas / lanzamiento</t>
        </is>
      </c>
      <c r="H48" s="4" t="inlineStr">
        <is>
          <t>Para calcular cuánto invertir.</t>
        </is>
      </c>
    </row>
    <row r="49">
      <c r="B49" t="inlineStr">
        <is>
          <t>Crecimiento de la inversión por mes (proyección)</t>
        </is>
      </c>
      <c r="C49" s="23" t="n">
        <v>0.1</v>
      </c>
      <c r="G49" t="inlineStr">
        <is>
          <t>% / mes</t>
        </is>
      </c>
      <c r="H49" s="4" t="inlineStr">
        <is>
          <t>Cuánto sube la inversión cada mes en la proyección. 10 % por mes es un ritmo prudente; más de 25 % suele encarecer el CPM.</t>
        </is>
      </c>
    </row>
    <row r="50">
      <c r="B50" t="inlineStr">
        <is>
          <t>Caja inicial</t>
        </is>
      </c>
      <c r="C50" s="21" t="n">
        <v>5000</v>
      </c>
      <c r="G50" t="inlineStr">
        <is>
          <t>USD</t>
        </is>
      </c>
      <c r="H50" s="4" t="inlineStr">
        <is>
          <t>Con cuánta plata arrancás. La proyección te dice si alcanza.</t>
        </is>
      </c>
    </row>
  </sheetData>
  <pageMargins left="0.75" right="0.75" top="1" bottom="1" header="0.5" footer="0.5"/>
  <headerFooter>
    <oddHeader/>
    <oddFooter>&amp;C&amp;7 Modelo financiero de embudos · creado por Jesús Tassarolo · TooAudience · youtube.com/@JesusTassaroloSinFiltro</oddFooter>
    <evenHeader/>
    <evenFooter>&amp;C&amp;7 Modelo financiero de embudos · creado por Jesús Tassarolo · TooAudience · youtube.com/@JesusTassaroloSinFiltro</evenFooter>
    <firstHeader/>
    <firstFooter/>
  </headerFooter>
</worksheet>
</file>

<file path=xl/worksheets/sheet5.xml><?xml version="1.0" encoding="utf-8"?>
<worksheet xmlns="http://schemas.openxmlformats.org/spreadsheetml/2006/main">
  <sheetPr>
    <outlinePr summaryBelow="1" summaryRight="1"/>
    <pageSetUpPr/>
  </sheetPr>
  <dimension ref="B2:D7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 customWidth="1" min="1" max="1"/>
    <col width="60" customWidth="1" min="2" max="2"/>
    <col width="18" customWidth="1" min="3" max="3"/>
    <col width="72" customWidth="1" min="4" max="4"/>
  </cols>
  <sheetData>
    <row r="2">
      <c r="B2" s="1" t="inlineStr">
        <is>
          <t>Modelo: la cadena completa del embudo</t>
        </is>
      </c>
    </row>
    <row r="3">
      <c r="B3" s="2" t="inlineStr">
        <is>
          <t>Cada fila es una etapa o un resultado. No se edita: todo sale de Supuestos. La columna de la derecha dice cómo se calcula.</t>
        </is>
      </c>
    </row>
    <row r="5">
      <c r="B5" s="5" t="inlineStr">
        <is>
          <t>Etapa / resultado</t>
        </is>
      </c>
      <c r="C5" s="5" t="inlineStr">
        <is>
          <t>Valor</t>
        </is>
      </c>
      <c r="D5" s="5" t="inlineStr">
        <is>
          <t>Cómo se calcula</t>
        </is>
      </c>
    </row>
    <row r="6">
      <c r="B6" s="6" t="inlineStr">
        <is>
          <t>Tráfico y registros</t>
        </is>
      </c>
      <c r="C6" s="7" t="n"/>
      <c r="D6" s="7" t="n"/>
    </row>
    <row r="7">
      <c r="B7" t="inlineStr">
        <is>
          <t>Impresiones</t>
        </is>
      </c>
      <c r="C7" s="16">
        <f>IF('Supuestos'!$C$10=0,0,'Supuestos'!$C$8/'Supuestos'!$C$10*1000)</f>
        <v/>
      </c>
      <c r="D7" s="4" t="inlineStr">
        <is>
          <t>Inversión ÷ CPM × 1.000.</t>
        </is>
      </c>
    </row>
    <row r="8">
      <c r="B8" t="inlineStr">
        <is>
          <t>Clics al enlace</t>
        </is>
      </c>
      <c r="C8" s="16">
        <f>'Modelo'!$C$7*'Supuestos'!$C$11</f>
        <v/>
      </c>
      <c r="D8" s="4" t="inlineStr">
        <is>
          <t>Impresiones × CTR.</t>
        </is>
      </c>
    </row>
    <row r="9">
      <c r="B9" t="inlineStr">
        <is>
          <t>Visitas a la landing</t>
        </is>
      </c>
      <c r="C9" s="16">
        <f>'Modelo'!$C$8*'Supuestos'!$C$12</f>
        <v/>
      </c>
      <c r="D9" s="4" t="inlineStr">
        <is>
          <t>Clics × % que carga.</t>
        </is>
      </c>
    </row>
    <row r="10">
      <c r="B10" s="3" t="inlineStr">
        <is>
          <t>Costo por registro (CPL)</t>
        </is>
      </c>
      <c r="C10" s="12">
        <f>IF('Supuestos'!$C$11*'Supuestos'!$C$12*'Supuestos'!$C$15=0,0,'Supuestos'!$C$10/1000/('Supuestos'!$C$11*'Supuestos'!$C$12*'Supuestos'!$C$15))</f>
        <v/>
      </c>
      <c r="D10" s="4" t="inlineStr">
        <is>
          <t>CPM ÷ 1.000 ÷ (CTR × clic→visita × conversión del landing).</t>
        </is>
      </c>
    </row>
    <row r="11">
      <c r="B11" s="3" t="inlineStr">
        <is>
          <t>Registros (leads)</t>
        </is>
      </c>
      <c r="C11" s="10">
        <f>IF('Modelo'!$C$10=0,0,'Supuestos'!$C$8/'Modelo'!$C$10)</f>
        <v/>
      </c>
      <c r="D11" s="4" t="inlineStr">
        <is>
          <t>Inversión ÷ CPL.</t>
        </is>
      </c>
    </row>
    <row r="12">
      <c r="B12" t="inlineStr">
        <is>
          <t>Registros calificados</t>
        </is>
      </c>
      <c r="C12" s="16">
        <f>'Modelo'!$C$11*'Supuestos'!$C$16</f>
        <v/>
      </c>
      <c r="D12" s="4" t="inlineStr">
        <is>
          <t>Registros × % que califica.</t>
        </is>
      </c>
    </row>
    <row r="13">
      <c r="B13" s="3" t="inlineStr">
        <is>
          <t>Costo por registro calificado (CPL calificado)</t>
        </is>
      </c>
      <c r="C13" s="12">
        <f>IF('Modelo'!$C$12=0,0,'Supuestos'!$C$8/'Modelo'!$C$12)</f>
        <v/>
      </c>
      <c r="D13" s="4" t="inlineStr">
        <is>
          <t>Inversión ÷ registros calificados.</t>
        </is>
      </c>
    </row>
    <row r="14">
      <c r="B14" s="6" t="inlineStr">
        <is>
          <t>Grupo y asistencia</t>
        </is>
      </c>
      <c r="C14" s="7" t="n"/>
      <c r="D14" s="7" t="n"/>
    </row>
    <row r="15">
      <c r="B15" t="inlineStr">
        <is>
          <t>Personas en el grupo de WhatsApp</t>
        </is>
      </c>
      <c r="C15" s="16">
        <f>'Modelo'!$C$11*'Supuestos'!$C$19</f>
        <v/>
      </c>
      <c r="D15" s="4" t="inlineStr">
        <is>
          <t>Registros × % que entra.</t>
        </is>
      </c>
    </row>
    <row r="16">
      <c r="B16" s="3" t="inlineStr">
        <is>
          <t>Costo por persona en el grupo</t>
        </is>
      </c>
      <c r="C16" s="12">
        <f>IF('Modelo'!$C$15=0,0,'Supuestos'!$C$8/'Modelo'!$C$15)</f>
        <v/>
      </c>
      <c r="D16" s="4" t="inlineStr">
        <is>
          <t>Inversión ÷ personas en el grupo.</t>
        </is>
      </c>
    </row>
    <row r="17">
      <c r="B17" s="3" t="inlineStr">
        <is>
          <t>Asistentes en vivo</t>
        </is>
      </c>
      <c r="C17" s="10">
        <f>'Modelo'!$C$11*'Supuestos'!$C$20</f>
        <v/>
      </c>
      <c r="D17" s="4" t="inlineStr">
        <is>
          <t>Registros × show rate en vivo.</t>
        </is>
      </c>
    </row>
    <row r="18">
      <c r="B18" t="inlineStr">
        <is>
          <t>Vieron el replay</t>
        </is>
      </c>
      <c r="C18" s="16">
        <f>'Modelo'!$C$11*'Supuestos'!$C$21</f>
        <v/>
      </c>
      <c r="D18" s="4" t="inlineStr">
        <is>
          <t>Registros × % que ve el replay.</t>
        </is>
      </c>
    </row>
    <row r="19">
      <c r="B19" t="inlineStr">
        <is>
          <t>Costo por asistente en vivo</t>
        </is>
      </c>
      <c r="C19" s="19">
        <f>IF('Modelo'!$C$17=0,0,'Supuestos'!$C$8/'Modelo'!$C$17)</f>
        <v/>
      </c>
      <c r="D19" s="4" t="inlineStr">
        <is>
          <t>Inversión ÷ asistentes en vivo.</t>
        </is>
      </c>
    </row>
    <row r="20">
      <c r="B20" s="6" t="inlineStr">
        <is>
          <t>Solicitudes (formulario de compra, aplicación o vendedor), ventas y facturación</t>
        </is>
      </c>
      <c r="C20" s="7" t="n"/>
      <c r="D20" s="7" t="n"/>
    </row>
    <row r="21">
      <c r="B21" t="inlineStr">
        <is>
          <t>Solicitudes: en vivo</t>
        </is>
      </c>
      <c r="C21" s="25">
        <f>'Modelo'!$C$17*'Supuestos'!$C$25</f>
        <v/>
      </c>
      <c r="D21" s="4" t="inlineStr">
        <is>
          <t>Asistentes en vivo × % que solicita.</t>
        </is>
      </c>
    </row>
    <row r="22">
      <c r="B22" t="inlineStr">
        <is>
          <t>Solicitudes: replay</t>
        </is>
      </c>
      <c r="C22" s="25">
        <f>'Modelo'!$C$18*'Supuestos'!$C$26</f>
        <v/>
      </c>
      <c r="D22" s="4" t="inlineStr">
        <is>
          <t>Replay × % que solicita.</t>
        </is>
      </c>
    </row>
    <row r="23">
      <c r="B23" s="3" t="inlineStr">
        <is>
          <t>Solicitudes (total)</t>
        </is>
      </c>
      <c r="C23" s="11">
        <f>'Modelo'!$C$21+'Modelo'!$C$22</f>
        <v/>
      </c>
      <c r="D23" s="4" t="inlineStr">
        <is>
          <t>En vivo + replay.</t>
        </is>
      </c>
    </row>
    <row r="24">
      <c r="B24" t="inlineStr">
        <is>
          <t>% de registros que solicitan</t>
        </is>
      </c>
      <c r="C24" s="18">
        <f>IF('Modelo'!$C$11=0,0,'Modelo'!$C$23/'Modelo'!$C$11)</f>
        <v/>
      </c>
      <c r="D24" s="4" t="inlineStr">
        <is>
          <t>Solicitudes ÷ registros.</t>
        </is>
      </c>
    </row>
    <row r="25">
      <c r="B25" s="3" t="inlineStr">
        <is>
          <t>Costo por solicitud</t>
        </is>
      </c>
      <c r="C25" s="12">
        <f>IF('Modelo'!$C$23=0,0,'Supuestos'!$C$8/'Modelo'!$C$23)</f>
        <v/>
      </c>
      <c r="D25" s="4" t="inlineStr">
        <is>
          <t>Inversión ÷ solicitudes.</t>
        </is>
      </c>
    </row>
    <row r="26">
      <c r="B26" s="3" t="inlineStr">
        <is>
          <t>Ventas de la oferta</t>
        </is>
      </c>
      <c r="C26" s="11">
        <f>'Modelo'!$C$23*'Supuestos'!$C$27</f>
        <v/>
      </c>
      <c r="D26" s="4" t="inlineStr">
        <is>
          <t>Solicitudes × % que termina en compra.</t>
        </is>
      </c>
    </row>
    <row r="27">
      <c r="B27" t="inlineStr">
        <is>
          <t>% de registros que compran</t>
        </is>
      </c>
      <c r="C27" s="18">
        <f>IF('Modelo'!$C$11=0,0,'Modelo'!$C$26/'Modelo'!$C$11)</f>
        <v/>
      </c>
      <c r="D27" s="4" t="inlineStr">
        <is>
          <t>Ventas ÷ registros.</t>
        </is>
      </c>
    </row>
    <row r="28">
      <c r="B28" s="3" t="inlineStr">
        <is>
          <t>Costo por comprador (CPA)</t>
        </is>
      </c>
      <c r="C28" s="12">
        <f>IF('Modelo'!$C$26=0,0,'Supuestos'!$C$8/'Modelo'!$C$26)</f>
        <v/>
      </c>
      <c r="D28" s="4" t="inlineStr">
        <is>
          <t>Inversión ÷ ventas de la oferta.</t>
        </is>
      </c>
    </row>
    <row r="29">
      <c r="B29" t="inlineStr">
        <is>
          <t>Facturado: oferta</t>
        </is>
      </c>
      <c r="C29" s="26">
        <f>'Modelo'!$C$26*'Supuestos'!$C$24</f>
        <v/>
      </c>
      <c r="D29" s="4" t="inlineStr">
        <is>
          <t>Ventas × precio.</t>
        </is>
      </c>
    </row>
    <row r="30">
      <c r="B30" t="inlineStr">
        <is>
          <t>Ventas: bump</t>
        </is>
      </c>
      <c r="C30" s="25">
        <f>'Modelo'!$C$26*'Supuestos'!$C$29</f>
        <v/>
      </c>
      <c r="D30" s="4" t="inlineStr">
        <is>
          <t>Compradores × % que lo toma.</t>
        </is>
      </c>
    </row>
    <row r="31">
      <c r="B31" t="inlineStr">
        <is>
          <t>Facturado: bump</t>
        </is>
      </c>
      <c r="C31" s="26">
        <f>'Modelo'!$C$30*'Supuestos'!$C$28</f>
        <v/>
      </c>
      <c r="D31" s="4" t="inlineStr">
        <is>
          <t>Ventas × precio.</t>
        </is>
      </c>
    </row>
    <row r="32">
      <c r="B32" t="inlineStr">
        <is>
          <t>Ventas: programa superior</t>
        </is>
      </c>
      <c r="C32" s="25">
        <f>'Modelo'!$C$26*'Supuestos'!$C$31</f>
        <v/>
      </c>
      <c r="D32" s="4" t="inlineStr">
        <is>
          <t>Compradores × % que asciende.</t>
        </is>
      </c>
    </row>
    <row r="33">
      <c r="B33" t="inlineStr">
        <is>
          <t>Facturado: programa superior</t>
        </is>
      </c>
      <c r="C33" s="26">
        <f>'Modelo'!$C$32*'Supuestos'!$C$30</f>
        <v/>
      </c>
      <c r="D33" s="4" t="inlineStr">
        <is>
          <t>Ventas × precio.</t>
        </is>
      </c>
    </row>
    <row r="34">
      <c r="B34" s="3" t="inlineStr">
        <is>
          <t>Facturado total</t>
        </is>
      </c>
      <c r="C34" s="8">
        <f>'Modelo'!$C$29+'Modelo'!$C$31+'Modelo'!$C$33</f>
        <v/>
      </c>
      <c r="D34" s="4" t="inlineStr">
        <is>
          <t>Oferta + bump + programa.</t>
        </is>
      </c>
    </row>
    <row r="35">
      <c r="B35" s="3" t="inlineStr">
        <is>
          <t>Facturado por comprador (AOV)</t>
        </is>
      </c>
      <c r="C35" s="12">
        <f>IF('Modelo'!$C$26=0,0,'Modelo'!$C$34/'Modelo'!$C$26)</f>
        <v/>
      </c>
      <c r="D35" s="4" t="inlineStr">
        <is>
          <t>Facturado ÷ ventas de la oferta.</t>
        </is>
      </c>
    </row>
    <row r="36">
      <c r="B36" t="inlineStr">
        <is>
          <t>Ventas de la oferta por registro (para la proyección)</t>
        </is>
      </c>
      <c r="C36" s="18">
        <f>IF('Modelo'!$C$11=0,0,'Modelo'!$C$26/'Modelo'!$C$11)</f>
        <v/>
      </c>
      <c r="D36" s="4" t="inlineStr">
        <is>
          <t>Igual a '% de registros que compran'.</t>
        </is>
      </c>
    </row>
    <row r="37">
      <c r="B37" t="inlineStr">
        <is>
          <t>Facturado por registro</t>
        </is>
      </c>
      <c r="C37" s="19">
        <f>IF('Modelo'!$C$11=0,0,'Modelo'!$C$34/'Modelo'!$C$11)</f>
        <v/>
      </c>
      <c r="D37" s="4" t="inlineStr">
        <is>
          <t>Facturado ÷ registros.</t>
        </is>
      </c>
    </row>
    <row r="38">
      <c r="B38" s="6" t="inlineStr">
        <is>
          <t>Cash, costos y ganancia del período</t>
        </is>
      </c>
      <c r="C38" s="7" t="n"/>
      <c r="D38" s="7" t="n"/>
    </row>
    <row r="39">
      <c r="B39" t="inlineStr">
        <is>
          <t>Cash a cobrar (facturado × cobranza completa)</t>
        </is>
      </c>
      <c r="C39" s="26">
        <f>'Modelo'!$C$34*('Supuestos'!$C$41+'Supuestos'!$C$42+'Supuestos'!$C$43)</f>
        <v/>
      </c>
      <c r="D39" s="4" t="inlineStr">
        <is>
          <t>Facturado × (mes 1 + mes 2 + mes 3). Si la cobranza suma 100 %, es igual al facturado.</t>
        </is>
      </c>
    </row>
    <row r="40">
      <c r="B40" t="inlineStr">
        <is>
          <t>Cash que entra en el primer mes</t>
        </is>
      </c>
      <c r="C40" s="26">
        <f>'Modelo'!$C$34*'Supuestos'!$C$41</f>
        <v/>
      </c>
      <c r="D40" s="4" t="inlineStr">
        <is>
          <t>Facturado × % del mes 1.</t>
        </is>
      </c>
    </row>
    <row r="41">
      <c r="B41" t="inlineStr">
        <is>
          <t>Comisiones (pasarela + ventas)</t>
        </is>
      </c>
      <c r="C41" s="26">
        <f>'Modelo'!$C$39*('Supuestos'!$C$34+'Supuestos'!$C$35)</f>
        <v/>
      </c>
      <c r="D41" s="4" t="inlineStr">
        <is>
          <t>Cash × (pasarela + equipo de ventas).</t>
        </is>
      </c>
    </row>
    <row r="42">
      <c r="B42" t="inlineStr">
        <is>
          <t>Reembolsos</t>
        </is>
      </c>
      <c r="C42" s="26">
        <f>'Modelo'!$C$39*'Supuestos'!$C$36</f>
        <v/>
      </c>
      <c r="D42" s="4" t="inlineStr">
        <is>
          <t>Cash × % de reembolsos.</t>
        </is>
      </c>
    </row>
    <row r="43">
      <c r="B43" s="3" t="inlineStr">
        <is>
          <t>Cash neto</t>
        </is>
      </c>
      <c r="C43" s="8">
        <f>'Modelo'!$C$39*(1-'Supuestos'!$C$34-'Supuestos'!$C$35-'Supuestos'!$C$36)</f>
        <v/>
      </c>
      <c r="D43" s="4" t="inlineStr">
        <is>
          <t>Cash − comisiones − reembolsos. La base de verdad.</t>
        </is>
      </c>
    </row>
    <row r="44">
      <c r="B44" t="inlineStr">
        <is>
          <t>Costos por registro (herramientas, WhatsApp, IA)</t>
        </is>
      </c>
      <c r="C44" s="26">
        <f>'Modelo'!$C$11*'Supuestos'!$C$37</f>
        <v/>
      </c>
      <c r="D44" s="4" t="inlineStr">
        <is>
          <t>Registros × costo por registro.</t>
        </is>
      </c>
    </row>
    <row r="45">
      <c r="B45" s="3" t="inlineStr">
        <is>
          <t>Ganancia del período</t>
        </is>
      </c>
      <c r="C45" s="8">
        <f>'Modelo'!$C$43-'Modelo'!$C$44-'Supuestos'!$C$38-'Supuestos'!$C$8</f>
        <v/>
      </c>
      <c r="D45" s="4" t="inlineStr">
        <is>
          <t>Cash neto − costos por unidad − fijos − inversión.</t>
        </is>
      </c>
    </row>
    <row r="46">
      <c r="B46" t="inlineStr">
        <is>
          <t>ROAS sobre facturado</t>
        </is>
      </c>
      <c r="C46" s="27">
        <f>IF('Supuestos'!$C$8=0,0,'Modelo'!$C$34/'Supuestos'!$C$8)</f>
        <v/>
      </c>
      <c r="D46" s="4" t="inlineStr">
        <is>
          <t>Facturado ÷ inversión. El número que más se infla: no decidas con este.</t>
        </is>
      </c>
    </row>
    <row r="47">
      <c r="B47" s="3" t="inlineStr">
        <is>
          <t>ROAS sobre cash neto</t>
        </is>
      </c>
      <c r="C47" s="9">
        <f>IF('Supuestos'!$C$8=0,0,'Modelo'!$C$43/'Supuestos'!$C$8)</f>
        <v/>
      </c>
      <c r="D47" s="4" t="inlineStr">
        <is>
          <t>Cash neto ÷ inversión. Con este se decide.</t>
        </is>
      </c>
    </row>
    <row r="48">
      <c r="B48" t="inlineStr">
        <is>
          <t>Margen sobre cash</t>
        </is>
      </c>
      <c r="C48" s="17">
        <f>IF('Modelo'!$C$39=0,0,'Modelo'!$C$45/'Modelo'!$C$39)</f>
        <v/>
      </c>
      <c r="D48" s="4" t="inlineStr">
        <is>
          <t>Ganancia ÷ cash.</t>
        </is>
      </c>
    </row>
    <row r="49">
      <c r="B49" t="inlineStr">
        <is>
          <t>¿Cumple el ROAS objetivo?</t>
        </is>
      </c>
      <c r="C49" s="28">
        <f>IF('Modelo'!$C$47&gt;='Supuestos'!$C$46,"SÍ","NO")</f>
        <v/>
      </c>
      <c r="D49" s="4" t="inlineStr">
        <is>
          <t>ROAS sobre cash neto contra el objetivo de Supuestos.</t>
        </is>
      </c>
    </row>
    <row r="50">
      <c r="B50" s="6" t="inlineStr">
        <is>
          <t>Cuánto vale cada registro y hasta cuánto pagar</t>
        </is>
      </c>
      <c r="C50" s="7" t="n"/>
      <c r="D50" s="7" t="n"/>
    </row>
    <row r="51">
      <c r="B51" s="3" t="inlineStr">
        <is>
          <t>Valor neto por registro</t>
        </is>
      </c>
      <c r="C51" s="12">
        <f>IF('Modelo'!$C$11=0,0,('Modelo'!$C$43-'Modelo'!$C$44)/'Modelo'!$C$11)</f>
        <v/>
      </c>
      <c r="D51" s="4" t="inlineStr">
        <is>
          <t>(Cash neto − costos por registro) ÷ registros.</t>
        </is>
      </c>
    </row>
    <row r="52">
      <c r="B52" s="3" t="inlineStr">
        <is>
          <t>Techo de CPL (break-even)</t>
        </is>
      </c>
      <c r="C52" s="12">
        <f>'Modelo'!$C$51</f>
        <v/>
      </c>
      <c r="D52" s="4" t="inlineStr">
        <is>
          <t>Igual al valor neto por registro.</t>
        </is>
      </c>
    </row>
    <row r="53">
      <c r="B53" s="3" t="inlineStr">
        <is>
          <t>Objetivo de CPL</t>
        </is>
      </c>
      <c r="C53" s="12">
        <f>'Modelo'!$C$52/(1+'Supuestos'!$C$47)</f>
        <v/>
      </c>
      <c r="D53" s="4" t="inlineStr">
        <is>
          <t>Techo ÷ (1 + margen de seguridad).</t>
        </is>
      </c>
    </row>
    <row r="54">
      <c r="B54" t="inlineStr">
        <is>
          <t>Techo de costo por persona en el grupo</t>
        </is>
      </c>
      <c r="C54" s="19">
        <f>IF('Supuestos'!$C$19=0,0,'Modelo'!$C$51/'Supuestos'!$C$19)</f>
        <v/>
      </c>
      <c r="D54" s="4" t="inlineStr">
        <is>
          <t>Valor por registro ÷ % que entra al grupo.</t>
        </is>
      </c>
    </row>
    <row r="55">
      <c r="B55" s="3" t="inlineStr">
        <is>
          <t>Techo de costo por asistente en vivo</t>
        </is>
      </c>
      <c r="C55" s="12">
        <f>IF('Supuestos'!$C$20=0,0,'Modelo'!$C$51/'Supuestos'!$C$20)</f>
        <v/>
      </c>
      <c r="D55" s="4" t="inlineStr">
        <is>
          <t>Valor por registro ÷ show rate.</t>
        </is>
      </c>
    </row>
    <row r="56">
      <c r="B56" t="inlineStr">
        <is>
          <t>Techo de CPL calificado</t>
        </is>
      </c>
      <c r="C56" s="19">
        <f>IF('Supuestos'!$C$16=0,0,'Modelo'!$C$51/'Supuestos'!$C$16)</f>
        <v/>
      </c>
      <c r="D56" s="4" t="inlineStr">
        <is>
          <t>Valor por registro ÷ % que califica.</t>
        </is>
      </c>
    </row>
    <row r="57">
      <c r="B57" s="3" t="inlineStr">
        <is>
          <t>Techo de costo por solicitud</t>
        </is>
      </c>
      <c r="C57" s="12">
        <f>IF('Modelo'!$C$23=0,0,'Modelo'!$C$51*'Modelo'!$C$11/'Modelo'!$C$23)</f>
        <v/>
      </c>
      <c r="D57" s="4" t="inlineStr">
        <is>
          <t>Valor total ÷ solicitudes.</t>
        </is>
      </c>
    </row>
    <row r="58">
      <c r="B58" t="inlineStr">
        <is>
          <t>Techo de costo por comprador (CPA máximo)</t>
        </is>
      </c>
      <c r="C58" s="19">
        <f>IF('Modelo'!$C$27=0,0,'Modelo'!$C$51/'Modelo'!$C$27)</f>
        <v/>
      </c>
      <c r="D58" s="4" t="inlineStr">
        <is>
          <t>Valor por registro ÷ % de registros que compran.</t>
        </is>
      </c>
    </row>
    <row r="59">
      <c r="B59" t="inlineStr">
        <is>
          <t>Objetivo de CPA</t>
        </is>
      </c>
      <c r="C59" s="19">
        <f>'Modelo'!$C$58/(1+'Supuestos'!$C$47)</f>
        <v/>
      </c>
      <c r="D59" s="4" t="inlineStr">
        <is>
          <t>CPA máximo ÷ (1 + margen de seguridad).</t>
        </is>
      </c>
    </row>
    <row r="60">
      <c r="B60" s="6" t="inlineStr">
        <is>
          <t>Semáforo y cuánto invertir</t>
        </is>
      </c>
      <c r="C60" s="7" t="n"/>
      <c r="D60" s="7" t="n"/>
    </row>
    <row r="61">
      <c r="B61" s="3" t="inlineStr">
        <is>
          <t>Semáforo del CPL actual</t>
        </is>
      </c>
      <c r="C61" s="13">
        <f>IF('Modelo'!$C$10&gt;'Modelo'!$C$52,"ROJO",IF(AND('Modelo'!$C$10&lt;='Modelo'!$C$53,'Modelo'!$C$47&gt;='Supuestos'!$C$46),"VERDE","AMARILLO"))</f>
        <v/>
      </c>
      <c r="D61" s="4" t="inlineStr">
        <is>
          <t>Rojo: costo &gt; techo. Verde: costo ≤ objetivo y ROAS sobre cash neto ≥ objetivo. Amarillo: el resto.</t>
        </is>
      </c>
    </row>
    <row r="62">
      <c r="B62" s="3" t="inlineStr">
        <is>
          <t>Inversión necesaria para la meta de ventas (al CPL actual)</t>
        </is>
      </c>
      <c r="C62" s="8">
        <f>IF('Modelo'!$C$27=0,"inalcanzable con estos supuestos",'Supuestos'!$C$48/'Modelo'!$C$27*'Modelo'!$C$10)</f>
        <v/>
      </c>
      <c r="D62" s="4" t="inlineStr">
        <is>
          <t>Meta ÷ % de registros que compran × CPL.</t>
        </is>
      </c>
    </row>
    <row r="63">
      <c r="B63" t="inlineStr">
        <is>
          <t>Inversión para la meta al CPL objetivo (lo máximo que conviene pagar)</t>
        </is>
      </c>
      <c r="C63" s="26">
        <f>IF('Modelo'!$C$27=0,"inalcanzable con estos supuestos",'Supuestos'!$C$48/'Modelo'!$C$27*'Modelo'!$C$53)</f>
        <v/>
      </c>
      <c r="D63" s="4" t="inlineStr">
        <is>
          <t>Lo mismo, al CPL objetivo.</t>
        </is>
      </c>
    </row>
    <row r="64">
      <c r="B64" s="6" t="inlineStr">
        <is>
          <t>Ganancia por paso (las dos caras de cada número: costo por X y ganancia por X)</t>
        </is>
      </c>
      <c r="C64" s="7" t="n"/>
      <c r="D64" s="7" t="n"/>
    </row>
    <row r="65">
      <c r="B65" s="3" t="inlineStr">
        <is>
          <t>Cash neto por comprador (AOV neto)</t>
        </is>
      </c>
      <c r="C65" s="12">
        <f>IF('Modelo'!$C$26=0,0,('Modelo'!$C$43-'Modelo'!$C$44)/'Modelo'!$C$26)</f>
        <v/>
      </c>
      <c r="D65" s="4" t="inlineStr">
        <is>
          <t>Lo que deja cada comprador del principal después de comisiones, reembolsos y costos por unidad. Su par es el CPA.</t>
        </is>
      </c>
    </row>
    <row r="66">
      <c r="B66" s="3" t="inlineStr">
        <is>
          <t>Ganancia por visita</t>
        </is>
      </c>
      <c r="C66" s="12">
        <f>IF('Modelo'!$C$9=0,0,'Modelo'!$C$45/'Modelo'!$C$9)</f>
        <v/>
      </c>
      <c r="D66" s="4" t="inlineStr">
        <is>
          <t>Ganancia del período ÷ visitas a la landing. La métrica más valiosa: resume todo lo que pasa después de la página. Su par es el costo por visita.</t>
        </is>
      </c>
    </row>
    <row r="67">
      <c r="B67" t="inlineStr">
        <is>
          <t>Ganancia por clic</t>
        </is>
      </c>
      <c r="C67" s="19">
        <f>IF('Modelo'!$C$8=0,0,'Modelo'!$C$45/'Modelo'!$C$8)</f>
        <v/>
      </c>
      <c r="D67" s="4" t="inlineStr">
        <is>
          <t>Ganancia del período ÷ clics. Su par es el costo por clic.</t>
        </is>
      </c>
    </row>
    <row r="68">
      <c r="B68" s="3" t="inlineStr">
        <is>
          <t>Ganancia por lead</t>
        </is>
      </c>
      <c r="C68" s="12">
        <f>IF('Modelo'!$C$11=0,0,'Modelo'!$C$45/'Modelo'!$C$11)</f>
        <v/>
      </c>
      <c r="D68" s="4" t="inlineStr">
        <is>
          <t>Ganancia del período ÷ registros. Su par es el CPL.</t>
        </is>
      </c>
    </row>
    <row r="69">
      <c r="B69" t="inlineStr">
        <is>
          <t>Ganancia por asistente en vivo</t>
        </is>
      </c>
      <c r="C69" s="19">
        <f>IF('Modelo'!$C$17=0,0,'Modelo'!$C$45/'Modelo'!$C$17)</f>
        <v/>
      </c>
      <c r="D69" s="4" t="inlineStr">
        <is>
          <t>Ganancia del período ÷ asistente en vivos. Su par es el costo por asistente en vivo.</t>
        </is>
      </c>
    </row>
    <row r="70">
      <c r="B70" t="inlineStr">
        <is>
          <t>Ganancia por solicitud</t>
        </is>
      </c>
      <c r="C70" s="19">
        <f>IF('Modelo'!$C$23=0,0,'Modelo'!$C$45/'Modelo'!$C$23)</f>
        <v/>
      </c>
      <c r="D70" s="4" t="inlineStr">
        <is>
          <t>Ganancia del período ÷ solicituds. Su par es el costo por solicitud.</t>
        </is>
      </c>
    </row>
    <row r="71">
      <c r="B71" s="3" t="inlineStr">
        <is>
          <t>Ganancia por cliente</t>
        </is>
      </c>
      <c r="C71" s="12">
        <f>IF('Modelo'!$C$26=0,0,'Modelo'!$C$45/'Modelo'!$C$26)</f>
        <v/>
      </c>
      <c r="D71" s="4" t="inlineStr">
        <is>
          <t>Ganancia del período ÷ compradores. Su par es el CPA.</t>
        </is>
      </c>
    </row>
  </sheetData>
  <conditionalFormatting sqref="C5:C72">
    <cfRule type="expression" priority="1" dxfId="0">
      <formula>LEFT(C5,5)="VERDE"</formula>
    </cfRule>
    <cfRule type="expression" priority="2" dxfId="1">
      <formula>LEFT(C5,8)="AMARILLO"</formula>
    </cfRule>
    <cfRule type="expression" priority="3" dxfId="2">
      <formula>LEFT(C5,4)="ROJO"</formula>
    </cfRule>
  </conditionalFormatting>
  <pageMargins left="0.75" right="0.75" top="1" bottom="1" header="0.5" footer="0.5"/>
  <headerFooter>
    <oddHeader/>
    <oddFooter>&amp;C&amp;7 Modelo financiero de embudos · creado por Jesús Tassarolo · TooAudience · youtube.com/@JesusTassaroloSinFiltro</oddFooter>
    <evenHeader/>
    <evenFooter>&amp;C&amp;7 Modelo financiero de embudos · creado por Jesús Tassarolo · TooAudience · youtube.com/@JesusTassaroloSinFiltro</evenFooter>
    <firstHeader/>
    <firstFooter/>
  </headerFooter>
</worksheet>
</file>

<file path=xl/worksheets/sheet6.xml><?xml version="1.0" encoding="utf-8"?>
<worksheet xmlns="http://schemas.openxmlformats.org/spreadsheetml/2006/main">
  <sheetPr>
    <outlinePr summaryBelow="1" summaryRight="1"/>
    <pageSetUpPr/>
  </sheetPr>
  <dimension ref="B2:H57"/>
  <sheetViews>
    <sheetView showGridLines="0" workbookViewId="0">
      <selection activeCell="A1" sqref="A1"/>
    </sheetView>
  </sheetViews>
  <sheetFormatPr baseColWidth="8" defaultRowHeight="15"/>
  <cols>
    <col width="2" customWidth="1" min="1" max="1"/>
    <col width="24"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2">
      <c r="B2" s="1" t="inlineStr">
        <is>
          <t>Escenarios: qué pasa si cambian el precio, la conversión o el costo</t>
        </is>
      </c>
    </row>
    <row r="3">
      <c r="B3" s="2" t="inlineStr">
        <is>
          <t>Las celdas amarillas de cada tabla (fila y columna) se pueden cambiar. Verde = ganancia, amarillo = cerca del cero, rojo = pérdida. Todo lo demás queda como en Supuestos.</t>
        </is>
      </c>
    </row>
    <row r="5">
      <c r="B5" t="inlineStr">
        <is>
          <t>Umbral de 'cerca del cero' (inversión × margen de seguridad)</t>
        </is>
      </c>
      <c r="C5" s="26">
        <f>'Supuestos'!$C$8*'Supuestos'!$C$47</f>
        <v/>
      </c>
    </row>
    <row r="7">
      <c r="B7" s="3" t="inlineStr">
        <is>
          <t>Precio de la oferta × % de solicitudes que terminan en compra → ganancia del lanzamiento</t>
        </is>
      </c>
    </row>
    <row r="8">
      <c r="B8" s="2" t="inlineStr">
        <is>
          <t>A más precio, menos cierre: la tabla muestra qué combinación gana.</t>
        </is>
      </c>
    </row>
    <row r="9">
      <c r="B9" s="3" t="inlineStr">
        <is>
          <t>Precio ↓  /  % solicitud → compra →</t>
        </is>
      </c>
      <c r="C9" s="29" t="n">
        <v>0.25</v>
      </c>
      <c r="D9" s="29" t="n">
        <v>0.3</v>
      </c>
      <c r="E9" s="29" t="n">
        <v>0.4</v>
      </c>
      <c r="F9" s="29" t="n">
        <v>0.5</v>
      </c>
      <c r="G9" s="29" t="n">
        <v>0.6</v>
      </c>
    </row>
    <row r="10">
      <c r="B10" s="30" t="n">
        <v>97</v>
      </c>
      <c r="C10" s="26">
        <f>((((((((((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C$9)*$B10)+(((((((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C$9)*'Supuestos'!$C$29)*'Supuestos'!$C$28)+(((((((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C$9)*'Supuestos'!$C$31)*'Supuestos'!$C$30))*('Supuestos'!$C$41+'Supuestos'!$C$42+'Supuestos'!$C$43))*(1-'Supuestos'!$C$34-'Supuestos'!$C$35-'Supuestos'!$C$36))-((IF((IF('Supuestos'!$C$11*'Supuestos'!$C$12*'Supuestos'!$C$15=0,0,'Supuestos'!$C$10/1000/('Supuestos'!$C$11*'Supuestos'!$C$12*'Supuestos'!$C$15)))=0,0,'Supuestos'!$C$8/(IF('Supuestos'!$C$11*'Supuestos'!$C$12*'Supuestos'!$C$15=0,0,'Supuestos'!$C$10/1000/('Supuestos'!$C$11*'Supuestos'!$C$12*'Supuestos'!$C$15)))))*'Supuestos'!$C$37)-'Supuestos'!$C$38-'Supuestos'!$C$8)</f>
        <v/>
      </c>
      <c r="D10" s="26">
        <f>((((((((((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D$9)*$B10)+(((((((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D$9)*'Supuestos'!$C$29)*'Supuestos'!$C$28)+(((((((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D$9)*'Supuestos'!$C$31)*'Supuestos'!$C$30))*('Supuestos'!$C$41+'Supuestos'!$C$42+'Supuestos'!$C$43))*(1-'Supuestos'!$C$34-'Supuestos'!$C$35-'Supuestos'!$C$36))-((IF((IF('Supuestos'!$C$11*'Supuestos'!$C$12*'Supuestos'!$C$15=0,0,'Supuestos'!$C$10/1000/('Supuestos'!$C$11*'Supuestos'!$C$12*'Supuestos'!$C$15)))=0,0,'Supuestos'!$C$8/(IF('Supuestos'!$C$11*'Supuestos'!$C$12*'Supuestos'!$C$15=0,0,'Supuestos'!$C$10/1000/('Supuestos'!$C$11*'Supuestos'!$C$12*'Supuestos'!$C$15)))))*'Supuestos'!$C$37)-'Supuestos'!$C$38-'Supuestos'!$C$8)</f>
        <v/>
      </c>
      <c r="E10" s="26">
        <f>((((((((((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E$9)*$B10)+(((((((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E$9)*'Supuestos'!$C$29)*'Supuestos'!$C$28)+(((((((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E$9)*'Supuestos'!$C$31)*'Supuestos'!$C$30))*('Supuestos'!$C$41+'Supuestos'!$C$42+'Supuestos'!$C$43))*(1-'Supuestos'!$C$34-'Supuestos'!$C$35-'Supuestos'!$C$36))-((IF((IF('Supuestos'!$C$11*'Supuestos'!$C$12*'Supuestos'!$C$15=0,0,'Supuestos'!$C$10/1000/('Supuestos'!$C$11*'Supuestos'!$C$12*'Supuestos'!$C$15)))=0,0,'Supuestos'!$C$8/(IF('Supuestos'!$C$11*'Supuestos'!$C$12*'Supuestos'!$C$15=0,0,'Supuestos'!$C$10/1000/('Supuestos'!$C$11*'Supuestos'!$C$12*'Supuestos'!$C$15)))))*'Supuestos'!$C$37)-'Supuestos'!$C$38-'Supuestos'!$C$8)</f>
        <v/>
      </c>
      <c r="F10" s="26">
        <f>((((((((((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F$9)*$B10)+(((((((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F$9)*'Supuestos'!$C$29)*'Supuestos'!$C$28)+(((((((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F$9)*'Supuestos'!$C$31)*'Supuestos'!$C$30))*('Supuestos'!$C$41+'Supuestos'!$C$42+'Supuestos'!$C$43))*(1-'Supuestos'!$C$34-'Supuestos'!$C$35-'Supuestos'!$C$36))-((IF((IF('Supuestos'!$C$11*'Supuestos'!$C$12*'Supuestos'!$C$15=0,0,'Supuestos'!$C$10/1000/('Supuestos'!$C$11*'Supuestos'!$C$12*'Supuestos'!$C$15)))=0,0,'Supuestos'!$C$8/(IF('Supuestos'!$C$11*'Supuestos'!$C$12*'Supuestos'!$C$15=0,0,'Supuestos'!$C$10/1000/('Supuestos'!$C$11*'Supuestos'!$C$12*'Supuestos'!$C$15)))))*'Supuestos'!$C$37)-'Supuestos'!$C$38-'Supuestos'!$C$8)</f>
        <v/>
      </c>
      <c r="G10" s="26">
        <f>((((((((((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G$9)*$B10)+(((((((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G$9)*'Supuestos'!$C$29)*'Supuestos'!$C$28)+(((((((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G$9)*'Supuestos'!$C$31)*'Supuestos'!$C$30))*('Supuestos'!$C$41+'Supuestos'!$C$42+'Supuestos'!$C$43))*(1-'Supuestos'!$C$34-'Supuestos'!$C$35-'Supuestos'!$C$36))-((IF((IF('Supuestos'!$C$11*'Supuestos'!$C$12*'Supuestos'!$C$15=0,0,'Supuestos'!$C$10/1000/('Supuestos'!$C$11*'Supuestos'!$C$12*'Supuestos'!$C$15)))=0,0,'Supuestos'!$C$8/(IF('Supuestos'!$C$11*'Supuestos'!$C$12*'Supuestos'!$C$15=0,0,'Supuestos'!$C$10/1000/('Supuestos'!$C$11*'Supuestos'!$C$12*'Supuestos'!$C$15)))))*'Supuestos'!$C$37)-'Supuestos'!$C$38-'Supuestos'!$C$8)</f>
        <v/>
      </c>
    </row>
    <row r="11">
      <c r="B11" s="30" t="n">
        <v>197</v>
      </c>
      <c r="C11" s="26">
        <f>((((((((((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C$9)*$B11)+(((((((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C$9)*'Supuestos'!$C$29)*'Supuestos'!$C$28)+(((((((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C$9)*'Supuestos'!$C$31)*'Supuestos'!$C$30))*('Supuestos'!$C$41+'Supuestos'!$C$42+'Supuestos'!$C$43))*(1-'Supuestos'!$C$34-'Supuestos'!$C$35-'Supuestos'!$C$36))-((IF((IF('Supuestos'!$C$11*'Supuestos'!$C$12*'Supuestos'!$C$15=0,0,'Supuestos'!$C$10/1000/('Supuestos'!$C$11*'Supuestos'!$C$12*'Supuestos'!$C$15)))=0,0,'Supuestos'!$C$8/(IF('Supuestos'!$C$11*'Supuestos'!$C$12*'Supuestos'!$C$15=0,0,'Supuestos'!$C$10/1000/('Supuestos'!$C$11*'Supuestos'!$C$12*'Supuestos'!$C$15)))))*'Supuestos'!$C$37)-'Supuestos'!$C$38-'Supuestos'!$C$8)</f>
        <v/>
      </c>
      <c r="D11" s="26">
        <f>((((((((((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D$9)*$B11)+(((((((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D$9)*'Supuestos'!$C$29)*'Supuestos'!$C$28)+(((((((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D$9)*'Supuestos'!$C$31)*'Supuestos'!$C$30))*('Supuestos'!$C$41+'Supuestos'!$C$42+'Supuestos'!$C$43))*(1-'Supuestos'!$C$34-'Supuestos'!$C$35-'Supuestos'!$C$36))-((IF((IF('Supuestos'!$C$11*'Supuestos'!$C$12*'Supuestos'!$C$15=0,0,'Supuestos'!$C$10/1000/('Supuestos'!$C$11*'Supuestos'!$C$12*'Supuestos'!$C$15)))=0,0,'Supuestos'!$C$8/(IF('Supuestos'!$C$11*'Supuestos'!$C$12*'Supuestos'!$C$15=0,0,'Supuestos'!$C$10/1000/('Supuestos'!$C$11*'Supuestos'!$C$12*'Supuestos'!$C$15)))))*'Supuestos'!$C$37)-'Supuestos'!$C$38-'Supuestos'!$C$8)</f>
        <v/>
      </c>
      <c r="E11" s="26">
        <f>((((((((((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E$9)*$B11)+(((((((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E$9)*'Supuestos'!$C$29)*'Supuestos'!$C$28)+(((((((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E$9)*'Supuestos'!$C$31)*'Supuestos'!$C$30))*('Supuestos'!$C$41+'Supuestos'!$C$42+'Supuestos'!$C$43))*(1-'Supuestos'!$C$34-'Supuestos'!$C$35-'Supuestos'!$C$36))-((IF((IF('Supuestos'!$C$11*'Supuestos'!$C$12*'Supuestos'!$C$15=0,0,'Supuestos'!$C$10/1000/('Supuestos'!$C$11*'Supuestos'!$C$12*'Supuestos'!$C$15)))=0,0,'Supuestos'!$C$8/(IF('Supuestos'!$C$11*'Supuestos'!$C$12*'Supuestos'!$C$15=0,0,'Supuestos'!$C$10/1000/('Supuestos'!$C$11*'Supuestos'!$C$12*'Supuestos'!$C$15)))))*'Supuestos'!$C$37)-'Supuestos'!$C$38-'Supuestos'!$C$8)</f>
        <v/>
      </c>
      <c r="F11" s="26">
        <f>((((((((((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F$9)*$B11)+(((((((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F$9)*'Supuestos'!$C$29)*'Supuestos'!$C$28)+(((((((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F$9)*'Supuestos'!$C$31)*'Supuestos'!$C$30))*('Supuestos'!$C$41+'Supuestos'!$C$42+'Supuestos'!$C$43))*(1-'Supuestos'!$C$34-'Supuestos'!$C$35-'Supuestos'!$C$36))-((IF((IF('Supuestos'!$C$11*'Supuestos'!$C$12*'Supuestos'!$C$15=0,0,'Supuestos'!$C$10/1000/('Supuestos'!$C$11*'Supuestos'!$C$12*'Supuestos'!$C$15)))=0,0,'Supuestos'!$C$8/(IF('Supuestos'!$C$11*'Supuestos'!$C$12*'Supuestos'!$C$15=0,0,'Supuestos'!$C$10/1000/('Supuestos'!$C$11*'Supuestos'!$C$12*'Supuestos'!$C$15)))))*'Supuestos'!$C$37)-'Supuestos'!$C$38-'Supuestos'!$C$8)</f>
        <v/>
      </c>
      <c r="G11" s="26">
        <f>((((((((((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G$9)*$B11)+(((((((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G$9)*'Supuestos'!$C$29)*'Supuestos'!$C$28)+(((((((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G$9)*'Supuestos'!$C$31)*'Supuestos'!$C$30))*('Supuestos'!$C$41+'Supuestos'!$C$42+'Supuestos'!$C$43))*(1-'Supuestos'!$C$34-'Supuestos'!$C$35-'Supuestos'!$C$36))-((IF((IF('Supuestos'!$C$11*'Supuestos'!$C$12*'Supuestos'!$C$15=0,0,'Supuestos'!$C$10/1000/('Supuestos'!$C$11*'Supuestos'!$C$12*'Supuestos'!$C$15)))=0,0,'Supuestos'!$C$8/(IF('Supuestos'!$C$11*'Supuestos'!$C$12*'Supuestos'!$C$15=0,0,'Supuestos'!$C$10/1000/('Supuestos'!$C$11*'Supuestos'!$C$12*'Supuestos'!$C$15)))))*'Supuestos'!$C$37)-'Supuestos'!$C$38-'Supuestos'!$C$8)</f>
        <v/>
      </c>
    </row>
    <row r="12">
      <c r="B12" s="30" t="n">
        <v>297</v>
      </c>
      <c r="C12" s="26">
        <f>((((((((((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C$9)*$B12)+(((((((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C$9)*'Supuestos'!$C$29)*'Supuestos'!$C$28)+(((((((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C$9)*'Supuestos'!$C$31)*'Supuestos'!$C$30))*('Supuestos'!$C$41+'Supuestos'!$C$42+'Supuestos'!$C$43))*(1-'Supuestos'!$C$34-'Supuestos'!$C$35-'Supuestos'!$C$36))-((IF((IF('Supuestos'!$C$11*'Supuestos'!$C$12*'Supuestos'!$C$15=0,0,'Supuestos'!$C$10/1000/('Supuestos'!$C$11*'Supuestos'!$C$12*'Supuestos'!$C$15)))=0,0,'Supuestos'!$C$8/(IF('Supuestos'!$C$11*'Supuestos'!$C$12*'Supuestos'!$C$15=0,0,'Supuestos'!$C$10/1000/('Supuestos'!$C$11*'Supuestos'!$C$12*'Supuestos'!$C$15)))))*'Supuestos'!$C$37)-'Supuestos'!$C$38-'Supuestos'!$C$8)</f>
        <v/>
      </c>
      <c r="D12" s="26">
        <f>((((((((((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D$9)*$B12)+(((((((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D$9)*'Supuestos'!$C$29)*'Supuestos'!$C$28)+(((((((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D$9)*'Supuestos'!$C$31)*'Supuestos'!$C$30))*('Supuestos'!$C$41+'Supuestos'!$C$42+'Supuestos'!$C$43))*(1-'Supuestos'!$C$34-'Supuestos'!$C$35-'Supuestos'!$C$36))-((IF((IF('Supuestos'!$C$11*'Supuestos'!$C$12*'Supuestos'!$C$15=0,0,'Supuestos'!$C$10/1000/('Supuestos'!$C$11*'Supuestos'!$C$12*'Supuestos'!$C$15)))=0,0,'Supuestos'!$C$8/(IF('Supuestos'!$C$11*'Supuestos'!$C$12*'Supuestos'!$C$15=0,0,'Supuestos'!$C$10/1000/('Supuestos'!$C$11*'Supuestos'!$C$12*'Supuestos'!$C$15)))))*'Supuestos'!$C$37)-'Supuestos'!$C$38-'Supuestos'!$C$8)</f>
        <v/>
      </c>
      <c r="E12" s="26">
        <f>((((((((((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E$9)*$B12)+(((((((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E$9)*'Supuestos'!$C$29)*'Supuestos'!$C$28)+(((((((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E$9)*'Supuestos'!$C$31)*'Supuestos'!$C$30))*('Supuestos'!$C$41+'Supuestos'!$C$42+'Supuestos'!$C$43))*(1-'Supuestos'!$C$34-'Supuestos'!$C$35-'Supuestos'!$C$36))-((IF((IF('Supuestos'!$C$11*'Supuestos'!$C$12*'Supuestos'!$C$15=0,0,'Supuestos'!$C$10/1000/('Supuestos'!$C$11*'Supuestos'!$C$12*'Supuestos'!$C$15)))=0,0,'Supuestos'!$C$8/(IF('Supuestos'!$C$11*'Supuestos'!$C$12*'Supuestos'!$C$15=0,0,'Supuestos'!$C$10/1000/('Supuestos'!$C$11*'Supuestos'!$C$12*'Supuestos'!$C$15)))))*'Supuestos'!$C$37)-'Supuestos'!$C$38-'Supuestos'!$C$8)</f>
        <v/>
      </c>
      <c r="F12" s="26">
        <f>((((((((((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F$9)*$B12)+(((((((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F$9)*'Supuestos'!$C$29)*'Supuestos'!$C$28)+(((((((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F$9)*'Supuestos'!$C$31)*'Supuestos'!$C$30))*('Supuestos'!$C$41+'Supuestos'!$C$42+'Supuestos'!$C$43))*(1-'Supuestos'!$C$34-'Supuestos'!$C$35-'Supuestos'!$C$36))-((IF((IF('Supuestos'!$C$11*'Supuestos'!$C$12*'Supuestos'!$C$15=0,0,'Supuestos'!$C$10/1000/('Supuestos'!$C$11*'Supuestos'!$C$12*'Supuestos'!$C$15)))=0,0,'Supuestos'!$C$8/(IF('Supuestos'!$C$11*'Supuestos'!$C$12*'Supuestos'!$C$15=0,0,'Supuestos'!$C$10/1000/('Supuestos'!$C$11*'Supuestos'!$C$12*'Supuestos'!$C$15)))))*'Supuestos'!$C$37)-'Supuestos'!$C$38-'Supuestos'!$C$8)</f>
        <v/>
      </c>
      <c r="G12" s="26">
        <f>((((((((((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G$9)*$B12)+(((((((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G$9)*'Supuestos'!$C$29)*'Supuestos'!$C$28)+(((((((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G$9)*'Supuestos'!$C$31)*'Supuestos'!$C$30))*('Supuestos'!$C$41+'Supuestos'!$C$42+'Supuestos'!$C$43))*(1-'Supuestos'!$C$34-'Supuestos'!$C$35-'Supuestos'!$C$36))-((IF((IF('Supuestos'!$C$11*'Supuestos'!$C$12*'Supuestos'!$C$15=0,0,'Supuestos'!$C$10/1000/('Supuestos'!$C$11*'Supuestos'!$C$12*'Supuestos'!$C$15)))=0,0,'Supuestos'!$C$8/(IF('Supuestos'!$C$11*'Supuestos'!$C$12*'Supuestos'!$C$15=0,0,'Supuestos'!$C$10/1000/('Supuestos'!$C$11*'Supuestos'!$C$12*'Supuestos'!$C$15)))))*'Supuestos'!$C$37)-'Supuestos'!$C$38-'Supuestos'!$C$8)</f>
        <v/>
      </c>
    </row>
    <row r="13">
      <c r="B13" s="30" t="n">
        <v>497</v>
      </c>
      <c r="C13" s="26">
        <f>((((((((((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C$9)*$B13)+(((((((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C$9)*'Supuestos'!$C$29)*'Supuestos'!$C$28)+(((((((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C$9)*'Supuestos'!$C$31)*'Supuestos'!$C$30))*('Supuestos'!$C$41+'Supuestos'!$C$42+'Supuestos'!$C$43))*(1-'Supuestos'!$C$34-'Supuestos'!$C$35-'Supuestos'!$C$36))-((IF((IF('Supuestos'!$C$11*'Supuestos'!$C$12*'Supuestos'!$C$15=0,0,'Supuestos'!$C$10/1000/('Supuestos'!$C$11*'Supuestos'!$C$12*'Supuestos'!$C$15)))=0,0,'Supuestos'!$C$8/(IF('Supuestos'!$C$11*'Supuestos'!$C$12*'Supuestos'!$C$15=0,0,'Supuestos'!$C$10/1000/('Supuestos'!$C$11*'Supuestos'!$C$12*'Supuestos'!$C$15)))))*'Supuestos'!$C$37)-'Supuestos'!$C$38-'Supuestos'!$C$8)</f>
        <v/>
      </c>
      <c r="D13" s="26">
        <f>((((((((((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D$9)*$B13)+(((((((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D$9)*'Supuestos'!$C$29)*'Supuestos'!$C$28)+(((((((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D$9)*'Supuestos'!$C$31)*'Supuestos'!$C$30))*('Supuestos'!$C$41+'Supuestos'!$C$42+'Supuestos'!$C$43))*(1-'Supuestos'!$C$34-'Supuestos'!$C$35-'Supuestos'!$C$36))-((IF((IF('Supuestos'!$C$11*'Supuestos'!$C$12*'Supuestos'!$C$15=0,0,'Supuestos'!$C$10/1000/('Supuestos'!$C$11*'Supuestos'!$C$12*'Supuestos'!$C$15)))=0,0,'Supuestos'!$C$8/(IF('Supuestos'!$C$11*'Supuestos'!$C$12*'Supuestos'!$C$15=0,0,'Supuestos'!$C$10/1000/('Supuestos'!$C$11*'Supuestos'!$C$12*'Supuestos'!$C$15)))))*'Supuestos'!$C$37)-'Supuestos'!$C$38-'Supuestos'!$C$8)</f>
        <v/>
      </c>
      <c r="E13" s="26">
        <f>((((((((((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E$9)*$B13)+(((((((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E$9)*'Supuestos'!$C$29)*'Supuestos'!$C$28)+(((((((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E$9)*'Supuestos'!$C$31)*'Supuestos'!$C$30))*('Supuestos'!$C$41+'Supuestos'!$C$42+'Supuestos'!$C$43))*(1-'Supuestos'!$C$34-'Supuestos'!$C$35-'Supuestos'!$C$36))-((IF((IF('Supuestos'!$C$11*'Supuestos'!$C$12*'Supuestos'!$C$15=0,0,'Supuestos'!$C$10/1000/('Supuestos'!$C$11*'Supuestos'!$C$12*'Supuestos'!$C$15)))=0,0,'Supuestos'!$C$8/(IF('Supuestos'!$C$11*'Supuestos'!$C$12*'Supuestos'!$C$15=0,0,'Supuestos'!$C$10/1000/('Supuestos'!$C$11*'Supuestos'!$C$12*'Supuestos'!$C$15)))))*'Supuestos'!$C$37)-'Supuestos'!$C$38-'Supuestos'!$C$8)</f>
        <v/>
      </c>
      <c r="F13" s="26">
        <f>((((((((((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F$9)*$B13)+(((((((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F$9)*'Supuestos'!$C$29)*'Supuestos'!$C$28)+(((((((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F$9)*'Supuestos'!$C$31)*'Supuestos'!$C$30))*('Supuestos'!$C$41+'Supuestos'!$C$42+'Supuestos'!$C$43))*(1-'Supuestos'!$C$34-'Supuestos'!$C$35-'Supuestos'!$C$36))-((IF((IF('Supuestos'!$C$11*'Supuestos'!$C$12*'Supuestos'!$C$15=0,0,'Supuestos'!$C$10/1000/('Supuestos'!$C$11*'Supuestos'!$C$12*'Supuestos'!$C$15)))=0,0,'Supuestos'!$C$8/(IF('Supuestos'!$C$11*'Supuestos'!$C$12*'Supuestos'!$C$15=0,0,'Supuestos'!$C$10/1000/('Supuestos'!$C$11*'Supuestos'!$C$12*'Supuestos'!$C$15)))))*'Supuestos'!$C$37)-'Supuestos'!$C$38-'Supuestos'!$C$8)</f>
        <v/>
      </c>
      <c r="G13" s="26">
        <f>((((((((((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G$9)*$B13)+(((((((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G$9)*'Supuestos'!$C$29)*'Supuestos'!$C$28)+(((((((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G$9)*'Supuestos'!$C$31)*'Supuestos'!$C$30))*('Supuestos'!$C$41+'Supuestos'!$C$42+'Supuestos'!$C$43))*(1-'Supuestos'!$C$34-'Supuestos'!$C$35-'Supuestos'!$C$36))-((IF((IF('Supuestos'!$C$11*'Supuestos'!$C$12*'Supuestos'!$C$15=0,0,'Supuestos'!$C$10/1000/('Supuestos'!$C$11*'Supuestos'!$C$12*'Supuestos'!$C$15)))=0,0,'Supuestos'!$C$8/(IF('Supuestos'!$C$11*'Supuestos'!$C$12*'Supuestos'!$C$15=0,0,'Supuestos'!$C$10/1000/('Supuestos'!$C$11*'Supuestos'!$C$12*'Supuestos'!$C$15)))))*'Supuestos'!$C$37)-'Supuestos'!$C$38-'Supuestos'!$C$8)</f>
        <v/>
      </c>
    </row>
    <row r="14">
      <c r="B14" s="30" t="n">
        <v>997</v>
      </c>
      <c r="C14" s="26">
        <f>((((((((((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C$9)*$B14)+(((((((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C$9)*'Supuestos'!$C$29)*'Supuestos'!$C$28)+(((((((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C$9)*'Supuestos'!$C$31)*'Supuestos'!$C$30))*('Supuestos'!$C$41+'Supuestos'!$C$42+'Supuestos'!$C$43))*(1-'Supuestos'!$C$34-'Supuestos'!$C$35-'Supuestos'!$C$36))-((IF((IF('Supuestos'!$C$11*'Supuestos'!$C$12*'Supuestos'!$C$15=0,0,'Supuestos'!$C$10/1000/('Supuestos'!$C$11*'Supuestos'!$C$12*'Supuestos'!$C$15)))=0,0,'Supuestos'!$C$8/(IF('Supuestos'!$C$11*'Supuestos'!$C$12*'Supuestos'!$C$15=0,0,'Supuestos'!$C$10/1000/('Supuestos'!$C$11*'Supuestos'!$C$12*'Supuestos'!$C$15)))))*'Supuestos'!$C$37)-'Supuestos'!$C$38-'Supuestos'!$C$8)</f>
        <v/>
      </c>
      <c r="D14" s="26">
        <f>((((((((((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D$9)*$B14)+(((((((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D$9)*'Supuestos'!$C$29)*'Supuestos'!$C$28)+(((((((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D$9)*'Supuestos'!$C$31)*'Supuestos'!$C$30))*('Supuestos'!$C$41+'Supuestos'!$C$42+'Supuestos'!$C$43))*(1-'Supuestos'!$C$34-'Supuestos'!$C$35-'Supuestos'!$C$36))-((IF((IF('Supuestos'!$C$11*'Supuestos'!$C$12*'Supuestos'!$C$15=0,0,'Supuestos'!$C$10/1000/('Supuestos'!$C$11*'Supuestos'!$C$12*'Supuestos'!$C$15)))=0,0,'Supuestos'!$C$8/(IF('Supuestos'!$C$11*'Supuestos'!$C$12*'Supuestos'!$C$15=0,0,'Supuestos'!$C$10/1000/('Supuestos'!$C$11*'Supuestos'!$C$12*'Supuestos'!$C$15)))))*'Supuestos'!$C$37)-'Supuestos'!$C$38-'Supuestos'!$C$8)</f>
        <v/>
      </c>
      <c r="E14" s="26">
        <f>((((((((((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E$9)*$B14)+(((((((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E$9)*'Supuestos'!$C$29)*'Supuestos'!$C$28)+(((((((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E$9)*'Supuestos'!$C$31)*'Supuestos'!$C$30))*('Supuestos'!$C$41+'Supuestos'!$C$42+'Supuestos'!$C$43))*(1-'Supuestos'!$C$34-'Supuestos'!$C$35-'Supuestos'!$C$36))-((IF((IF('Supuestos'!$C$11*'Supuestos'!$C$12*'Supuestos'!$C$15=0,0,'Supuestos'!$C$10/1000/('Supuestos'!$C$11*'Supuestos'!$C$12*'Supuestos'!$C$15)))=0,0,'Supuestos'!$C$8/(IF('Supuestos'!$C$11*'Supuestos'!$C$12*'Supuestos'!$C$15=0,0,'Supuestos'!$C$10/1000/('Supuestos'!$C$11*'Supuestos'!$C$12*'Supuestos'!$C$15)))))*'Supuestos'!$C$37)-'Supuestos'!$C$38-'Supuestos'!$C$8)</f>
        <v/>
      </c>
      <c r="F14" s="26">
        <f>((((((((((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F$9)*$B14)+(((((((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F$9)*'Supuestos'!$C$29)*'Supuestos'!$C$28)+(((((((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F$9)*'Supuestos'!$C$31)*'Supuestos'!$C$30))*('Supuestos'!$C$41+'Supuestos'!$C$42+'Supuestos'!$C$43))*(1-'Supuestos'!$C$34-'Supuestos'!$C$35-'Supuestos'!$C$36))-((IF((IF('Supuestos'!$C$11*'Supuestos'!$C$12*'Supuestos'!$C$15=0,0,'Supuestos'!$C$10/1000/('Supuestos'!$C$11*'Supuestos'!$C$12*'Supuestos'!$C$15)))=0,0,'Supuestos'!$C$8/(IF('Supuestos'!$C$11*'Supuestos'!$C$12*'Supuestos'!$C$15=0,0,'Supuestos'!$C$10/1000/('Supuestos'!$C$11*'Supuestos'!$C$12*'Supuestos'!$C$15)))))*'Supuestos'!$C$37)-'Supuestos'!$C$38-'Supuestos'!$C$8)</f>
        <v/>
      </c>
      <c r="G14" s="26">
        <f>((((((((((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G$9)*$B14)+(((((((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G$9)*'Supuestos'!$C$29)*'Supuestos'!$C$28)+(((((((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G$9)*'Supuestos'!$C$31)*'Supuestos'!$C$30))*('Supuestos'!$C$41+'Supuestos'!$C$42+'Supuestos'!$C$43))*(1-'Supuestos'!$C$34-'Supuestos'!$C$35-'Supuestos'!$C$36))-((IF((IF('Supuestos'!$C$11*'Supuestos'!$C$12*'Supuestos'!$C$15=0,0,'Supuestos'!$C$10/1000/('Supuestos'!$C$11*'Supuestos'!$C$12*'Supuestos'!$C$15)))=0,0,'Supuestos'!$C$8/(IF('Supuestos'!$C$11*'Supuestos'!$C$12*'Supuestos'!$C$15=0,0,'Supuestos'!$C$10/1000/('Supuestos'!$C$11*'Supuestos'!$C$12*'Supuestos'!$C$15)))))*'Supuestos'!$C$37)-'Supuestos'!$C$38-'Supuestos'!$C$8)</f>
        <v/>
      </c>
    </row>
    <row r="17">
      <c r="B17" s="3" t="inlineStr">
        <is>
          <t>CPL × % de asistentes en vivo que solicitan → ganancia del lanzamiento</t>
        </is>
      </c>
    </row>
    <row r="18">
      <c r="B18" s="2" t="inlineStr">
        <is>
          <t>La tabla del tráfico: hasta qué CPL seguís ganando según lo que mueve el webinar.</t>
        </is>
      </c>
    </row>
    <row r="19">
      <c r="B19" s="3" t="inlineStr">
        <is>
          <t>CPL ↓  /  % en vivo que solicita →</t>
        </is>
      </c>
      <c r="C19" s="29" t="n">
        <v>0.05</v>
      </c>
      <c r="D19" s="29" t="n">
        <v>0.08</v>
      </c>
      <c r="E19" s="29" t="n">
        <v>0.1</v>
      </c>
      <c r="F19" s="29" t="n">
        <v>0.12</v>
      </c>
      <c r="G19" s="29" t="n">
        <v>0.15</v>
      </c>
      <c r="H19" s="29" t="n">
        <v>0.2</v>
      </c>
    </row>
    <row r="20">
      <c r="B20" s="31" t="n">
        <v>0.5</v>
      </c>
      <c r="C20" s="26">
        <f>((((((((((IF($B20=0,0,'Supuestos'!$C$8/$B20))*'Supuestos'!$C$20)*C$19)+(((IF($B20=0,0,'Supuestos'!$C$8/$B20))*'Supuestos'!$C$21)*'Supuestos'!$C$26))*'Supuestos'!$C$27)*'Supuestos'!$C$24)+(((((((IF($B20=0,0,'Supuestos'!$C$8/$B20))*'Supuestos'!$C$20)*C$19)+(((IF($B20=0,0,'Supuestos'!$C$8/$B20))*'Supuestos'!$C$21)*'Supuestos'!$C$26))*'Supuestos'!$C$27)*'Supuestos'!$C$29)*'Supuestos'!$C$28)+(((((((IF($B20=0,0,'Supuestos'!$C$8/$B20))*'Supuestos'!$C$20)*C$19)+(((IF($B20=0,0,'Supuestos'!$C$8/$B20))*'Supuestos'!$C$21)*'Supuestos'!$C$26))*'Supuestos'!$C$27)*'Supuestos'!$C$31)*'Supuestos'!$C$30))*('Supuestos'!$C$41+'Supuestos'!$C$42+'Supuestos'!$C$43))*(1-'Supuestos'!$C$34-'Supuestos'!$C$35-'Supuestos'!$C$36))-((IF($B20=0,0,'Supuestos'!$C$8/$B20))*'Supuestos'!$C$37)-'Supuestos'!$C$38-'Supuestos'!$C$8)</f>
        <v/>
      </c>
      <c r="D20" s="26">
        <f>((((((((((IF($B20=0,0,'Supuestos'!$C$8/$B20))*'Supuestos'!$C$20)*D$19)+(((IF($B20=0,0,'Supuestos'!$C$8/$B20))*'Supuestos'!$C$21)*'Supuestos'!$C$26))*'Supuestos'!$C$27)*'Supuestos'!$C$24)+(((((((IF($B20=0,0,'Supuestos'!$C$8/$B20))*'Supuestos'!$C$20)*D$19)+(((IF($B20=0,0,'Supuestos'!$C$8/$B20))*'Supuestos'!$C$21)*'Supuestos'!$C$26))*'Supuestos'!$C$27)*'Supuestos'!$C$29)*'Supuestos'!$C$28)+(((((((IF($B20=0,0,'Supuestos'!$C$8/$B20))*'Supuestos'!$C$20)*D$19)+(((IF($B20=0,0,'Supuestos'!$C$8/$B20))*'Supuestos'!$C$21)*'Supuestos'!$C$26))*'Supuestos'!$C$27)*'Supuestos'!$C$31)*'Supuestos'!$C$30))*('Supuestos'!$C$41+'Supuestos'!$C$42+'Supuestos'!$C$43))*(1-'Supuestos'!$C$34-'Supuestos'!$C$35-'Supuestos'!$C$36))-((IF($B20=0,0,'Supuestos'!$C$8/$B20))*'Supuestos'!$C$37)-'Supuestos'!$C$38-'Supuestos'!$C$8)</f>
        <v/>
      </c>
      <c r="E20" s="26">
        <f>((((((((((IF($B20=0,0,'Supuestos'!$C$8/$B20))*'Supuestos'!$C$20)*E$19)+(((IF($B20=0,0,'Supuestos'!$C$8/$B20))*'Supuestos'!$C$21)*'Supuestos'!$C$26))*'Supuestos'!$C$27)*'Supuestos'!$C$24)+(((((((IF($B20=0,0,'Supuestos'!$C$8/$B20))*'Supuestos'!$C$20)*E$19)+(((IF($B20=0,0,'Supuestos'!$C$8/$B20))*'Supuestos'!$C$21)*'Supuestos'!$C$26))*'Supuestos'!$C$27)*'Supuestos'!$C$29)*'Supuestos'!$C$28)+(((((((IF($B20=0,0,'Supuestos'!$C$8/$B20))*'Supuestos'!$C$20)*E$19)+(((IF($B20=0,0,'Supuestos'!$C$8/$B20))*'Supuestos'!$C$21)*'Supuestos'!$C$26))*'Supuestos'!$C$27)*'Supuestos'!$C$31)*'Supuestos'!$C$30))*('Supuestos'!$C$41+'Supuestos'!$C$42+'Supuestos'!$C$43))*(1-'Supuestos'!$C$34-'Supuestos'!$C$35-'Supuestos'!$C$36))-((IF($B20=0,0,'Supuestos'!$C$8/$B20))*'Supuestos'!$C$37)-'Supuestos'!$C$38-'Supuestos'!$C$8)</f>
        <v/>
      </c>
      <c r="F20" s="26">
        <f>((((((((((IF($B20=0,0,'Supuestos'!$C$8/$B20))*'Supuestos'!$C$20)*F$19)+(((IF($B20=0,0,'Supuestos'!$C$8/$B20))*'Supuestos'!$C$21)*'Supuestos'!$C$26))*'Supuestos'!$C$27)*'Supuestos'!$C$24)+(((((((IF($B20=0,0,'Supuestos'!$C$8/$B20))*'Supuestos'!$C$20)*F$19)+(((IF($B20=0,0,'Supuestos'!$C$8/$B20))*'Supuestos'!$C$21)*'Supuestos'!$C$26))*'Supuestos'!$C$27)*'Supuestos'!$C$29)*'Supuestos'!$C$28)+(((((((IF($B20=0,0,'Supuestos'!$C$8/$B20))*'Supuestos'!$C$20)*F$19)+(((IF($B20=0,0,'Supuestos'!$C$8/$B20))*'Supuestos'!$C$21)*'Supuestos'!$C$26))*'Supuestos'!$C$27)*'Supuestos'!$C$31)*'Supuestos'!$C$30))*('Supuestos'!$C$41+'Supuestos'!$C$42+'Supuestos'!$C$43))*(1-'Supuestos'!$C$34-'Supuestos'!$C$35-'Supuestos'!$C$36))-((IF($B20=0,0,'Supuestos'!$C$8/$B20))*'Supuestos'!$C$37)-'Supuestos'!$C$38-'Supuestos'!$C$8)</f>
        <v/>
      </c>
      <c r="G20" s="26">
        <f>((((((((((IF($B20=0,0,'Supuestos'!$C$8/$B20))*'Supuestos'!$C$20)*G$19)+(((IF($B20=0,0,'Supuestos'!$C$8/$B20))*'Supuestos'!$C$21)*'Supuestos'!$C$26))*'Supuestos'!$C$27)*'Supuestos'!$C$24)+(((((((IF($B20=0,0,'Supuestos'!$C$8/$B20))*'Supuestos'!$C$20)*G$19)+(((IF($B20=0,0,'Supuestos'!$C$8/$B20))*'Supuestos'!$C$21)*'Supuestos'!$C$26))*'Supuestos'!$C$27)*'Supuestos'!$C$29)*'Supuestos'!$C$28)+(((((((IF($B20=0,0,'Supuestos'!$C$8/$B20))*'Supuestos'!$C$20)*G$19)+(((IF($B20=0,0,'Supuestos'!$C$8/$B20))*'Supuestos'!$C$21)*'Supuestos'!$C$26))*'Supuestos'!$C$27)*'Supuestos'!$C$31)*'Supuestos'!$C$30))*('Supuestos'!$C$41+'Supuestos'!$C$42+'Supuestos'!$C$43))*(1-'Supuestos'!$C$34-'Supuestos'!$C$35-'Supuestos'!$C$36))-((IF($B20=0,0,'Supuestos'!$C$8/$B20))*'Supuestos'!$C$37)-'Supuestos'!$C$38-'Supuestos'!$C$8)</f>
        <v/>
      </c>
      <c r="H20" s="26">
        <f>((((((((((IF($B20=0,0,'Supuestos'!$C$8/$B20))*'Supuestos'!$C$20)*H$19)+(((IF($B20=0,0,'Supuestos'!$C$8/$B20))*'Supuestos'!$C$21)*'Supuestos'!$C$26))*'Supuestos'!$C$27)*'Supuestos'!$C$24)+(((((((IF($B20=0,0,'Supuestos'!$C$8/$B20))*'Supuestos'!$C$20)*H$19)+(((IF($B20=0,0,'Supuestos'!$C$8/$B20))*'Supuestos'!$C$21)*'Supuestos'!$C$26))*'Supuestos'!$C$27)*'Supuestos'!$C$29)*'Supuestos'!$C$28)+(((((((IF($B20=0,0,'Supuestos'!$C$8/$B20))*'Supuestos'!$C$20)*H$19)+(((IF($B20=0,0,'Supuestos'!$C$8/$B20))*'Supuestos'!$C$21)*'Supuestos'!$C$26))*'Supuestos'!$C$27)*'Supuestos'!$C$31)*'Supuestos'!$C$30))*('Supuestos'!$C$41+'Supuestos'!$C$42+'Supuestos'!$C$43))*(1-'Supuestos'!$C$34-'Supuestos'!$C$35-'Supuestos'!$C$36))-((IF($B20=0,0,'Supuestos'!$C$8/$B20))*'Supuestos'!$C$37)-'Supuestos'!$C$38-'Supuestos'!$C$8)</f>
        <v/>
      </c>
    </row>
    <row r="21">
      <c r="B21" s="31" t="n">
        <v>1</v>
      </c>
      <c r="C21" s="26">
        <f>((((((((((IF($B21=0,0,'Supuestos'!$C$8/$B21))*'Supuestos'!$C$20)*C$19)+(((IF($B21=0,0,'Supuestos'!$C$8/$B21))*'Supuestos'!$C$21)*'Supuestos'!$C$26))*'Supuestos'!$C$27)*'Supuestos'!$C$24)+(((((((IF($B21=0,0,'Supuestos'!$C$8/$B21))*'Supuestos'!$C$20)*C$19)+(((IF($B21=0,0,'Supuestos'!$C$8/$B21))*'Supuestos'!$C$21)*'Supuestos'!$C$26))*'Supuestos'!$C$27)*'Supuestos'!$C$29)*'Supuestos'!$C$28)+(((((((IF($B21=0,0,'Supuestos'!$C$8/$B21))*'Supuestos'!$C$20)*C$19)+(((IF($B21=0,0,'Supuestos'!$C$8/$B21))*'Supuestos'!$C$21)*'Supuestos'!$C$26))*'Supuestos'!$C$27)*'Supuestos'!$C$31)*'Supuestos'!$C$30))*('Supuestos'!$C$41+'Supuestos'!$C$42+'Supuestos'!$C$43))*(1-'Supuestos'!$C$34-'Supuestos'!$C$35-'Supuestos'!$C$36))-((IF($B21=0,0,'Supuestos'!$C$8/$B21))*'Supuestos'!$C$37)-'Supuestos'!$C$38-'Supuestos'!$C$8)</f>
        <v/>
      </c>
      <c r="D21" s="26">
        <f>((((((((((IF($B21=0,0,'Supuestos'!$C$8/$B21))*'Supuestos'!$C$20)*D$19)+(((IF($B21=0,0,'Supuestos'!$C$8/$B21))*'Supuestos'!$C$21)*'Supuestos'!$C$26))*'Supuestos'!$C$27)*'Supuestos'!$C$24)+(((((((IF($B21=0,0,'Supuestos'!$C$8/$B21))*'Supuestos'!$C$20)*D$19)+(((IF($B21=0,0,'Supuestos'!$C$8/$B21))*'Supuestos'!$C$21)*'Supuestos'!$C$26))*'Supuestos'!$C$27)*'Supuestos'!$C$29)*'Supuestos'!$C$28)+(((((((IF($B21=0,0,'Supuestos'!$C$8/$B21))*'Supuestos'!$C$20)*D$19)+(((IF($B21=0,0,'Supuestos'!$C$8/$B21))*'Supuestos'!$C$21)*'Supuestos'!$C$26))*'Supuestos'!$C$27)*'Supuestos'!$C$31)*'Supuestos'!$C$30))*('Supuestos'!$C$41+'Supuestos'!$C$42+'Supuestos'!$C$43))*(1-'Supuestos'!$C$34-'Supuestos'!$C$35-'Supuestos'!$C$36))-((IF($B21=0,0,'Supuestos'!$C$8/$B21))*'Supuestos'!$C$37)-'Supuestos'!$C$38-'Supuestos'!$C$8)</f>
        <v/>
      </c>
      <c r="E21" s="26">
        <f>((((((((((IF($B21=0,0,'Supuestos'!$C$8/$B21))*'Supuestos'!$C$20)*E$19)+(((IF($B21=0,0,'Supuestos'!$C$8/$B21))*'Supuestos'!$C$21)*'Supuestos'!$C$26))*'Supuestos'!$C$27)*'Supuestos'!$C$24)+(((((((IF($B21=0,0,'Supuestos'!$C$8/$B21))*'Supuestos'!$C$20)*E$19)+(((IF($B21=0,0,'Supuestos'!$C$8/$B21))*'Supuestos'!$C$21)*'Supuestos'!$C$26))*'Supuestos'!$C$27)*'Supuestos'!$C$29)*'Supuestos'!$C$28)+(((((((IF($B21=0,0,'Supuestos'!$C$8/$B21))*'Supuestos'!$C$20)*E$19)+(((IF($B21=0,0,'Supuestos'!$C$8/$B21))*'Supuestos'!$C$21)*'Supuestos'!$C$26))*'Supuestos'!$C$27)*'Supuestos'!$C$31)*'Supuestos'!$C$30))*('Supuestos'!$C$41+'Supuestos'!$C$42+'Supuestos'!$C$43))*(1-'Supuestos'!$C$34-'Supuestos'!$C$35-'Supuestos'!$C$36))-((IF($B21=0,0,'Supuestos'!$C$8/$B21))*'Supuestos'!$C$37)-'Supuestos'!$C$38-'Supuestos'!$C$8)</f>
        <v/>
      </c>
      <c r="F21" s="26">
        <f>((((((((((IF($B21=0,0,'Supuestos'!$C$8/$B21))*'Supuestos'!$C$20)*F$19)+(((IF($B21=0,0,'Supuestos'!$C$8/$B21))*'Supuestos'!$C$21)*'Supuestos'!$C$26))*'Supuestos'!$C$27)*'Supuestos'!$C$24)+(((((((IF($B21=0,0,'Supuestos'!$C$8/$B21))*'Supuestos'!$C$20)*F$19)+(((IF($B21=0,0,'Supuestos'!$C$8/$B21))*'Supuestos'!$C$21)*'Supuestos'!$C$26))*'Supuestos'!$C$27)*'Supuestos'!$C$29)*'Supuestos'!$C$28)+(((((((IF($B21=0,0,'Supuestos'!$C$8/$B21))*'Supuestos'!$C$20)*F$19)+(((IF($B21=0,0,'Supuestos'!$C$8/$B21))*'Supuestos'!$C$21)*'Supuestos'!$C$26))*'Supuestos'!$C$27)*'Supuestos'!$C$31)*'Supuestos'!$C$30))*('Supuestos'!$C$41+'Supuestos'!$C$42+'Supuestos'!$C$43))*(1-'Supuestos'!$C$34-'Supuestos'!$C$35-'Supuestos'!$C$36))-((IF($B21=0,0,'Supuestos'!$C$8/$B21))*'Supuestos'!$C$37)-'Supuestos'!$C$38-'Supuestos'!$C$8)</f>
        <v/>
      </c>
      <c r="G21" s="26">
        <f>((((((((((IF($B21=0,0,'Supuestos'!$C$8/$B21))*'Supuestos'!$C$20)*G$19)+(((IF($B21=0,0,'Supuestos'!$C$8/$B21))*'Supuestos'!$C$21)*'Supuestos'!$C$26))*'Supuestos'!$C$27)*'Supuestos'!$C$24)+(((((((IF($B21=0,0,'Supuestos'!$C$8/$B21))*'Supuestos'!$C$20)*G$19)+(((IF($B21=0,0,'Supuestos'!$C$8/$B21))*'Supuestos'!$C$21)*'Supuestos'!$C$26))*'Supuestos'!$C$27)*'Supuestos'!$C$29)*'Supuestos'!$C$28)+(((((((IF($B21=0,0,'Supuestos'!$C$8/$B21))*'Supuestos'!$C$20)*G$19)+(((IF($B21=0,0,'Supuestos'!$C$8/$B21))*'Supuestos'!$C$21)*'Supuestos'!$C$26))*'Supuestos'!$C$27)*'Supuestos'!$C$31)*'Supuestos'!$C$30))*('Supuestos'!$C$41+'Supuestos'!$C$42+'Supuestos'!$C$43))*(1-'Supuestos'!$C$34-'Supuestos'!$C$35-'Supuestos'!$C$36))-((IF($B21=0,0,'Supuestos'!$C$8/$B21))*'Supuestos'!$C$37)-'Supuestos'!$C$38-'Supuestos'!$C$8)</f>
        <v/>
      </c>
      <c r="H21" s="26">
        <f>((((((((((IF($B21=0,0,'Supuestos'!$C$8/$B21))*'Supuestos'!$C$20)*H$19)+(((IF($B21=0,0,'Supuestos'!$C$8/$B21))*'Supuestos'!$C$21)*'Supuestos'!$C$26))*'Supuestos'!$C$27)*'Supuestos'!$C$24)+(((((((IF($B21=0,0,'Supuestos'!$C$8/$B21))*'Supuestos'!$C$20)*H$19)+(((IF($B21=0,0,'Supuestos'!$C$8/$B21))*'Supuestos'!$C$21)*'Supuestos'!$C$26))*'Supuestos'!$C$27)*'Supuestos'!$C$29)*'Supuestos'!$C$28)+(((((((IF($B21=0,0,'Supuestos'!$C$8/$B21))*'Supuestos'!$C$20)*H$19)+(((IF($B21=0,0,'Supuestos'!$C$8/$B21))*'Supuestos'!$C$21)*'Supuestos'!$C$26))*'Supuestos'!$C$27)*'Supuestos'!$C$31)*'Supuestos'!$C$30))*('Supuestos'!$C$41+'Supuestos'!$C$42+'Supuestos'!$C$43))*(1-'Supuestos'!$C$34-'Supuestos'!$C$35-'Supuestos'!$C$36))-((IF($B21=0,0,'Supuestos'!$C$8/$B21))*'Supuestos'!$C$37)-'Supuestos'!$C$38-'Supuestos'!$C$8)</f>
        <v/>
      </c>
    </row>
    <row r="22">
      <c r="B22" s="31" t="n">
        <v>1.5</v>
      </c>
      <c r="C22" s="26">
        <f>((((((((((IF($B22=0,0,'Supuestos'!$C$8/$B22))*'Supuestos'!$C$20)*C$19)+(((IF($B22=0,0,'Supuestos'!$C$8/$B22))*'Supuestos'!$C$21)*'Supuestos'!$C$26))*'Supuestos'!$C$27)*'Supuestos'!$C$24)+(((((((IF($B22=0,0,'Supuestos'!$C$8/$B22))*'Supuestos'!$C$20)*C$19)+(((IF($B22=0,0,'Supuestos'!$C$8/$B22))*'Supuestos'!$C$21)*'Supuestos'!$C$26))*'Supuestos'!$C$27)*'Supuestos'!$C$29)*'Supuestos'!$C$28)+(((((((IF($B22=0,0,'Supuestos'!$C$8/$B22))*'Supuestos'!$C$20)*C$19)+(((IF($B22=0,0,'Supuestos'!$C$8/$B22))*'Supuestos'!$C$21)*'Supuestos'!$C$26))*'Supuestos'!$C$27)*'Supuestos'!$C$31)*'Supuestos'!$C$30))*('Supuestos'!$C$41+'Supuestos'!$C$42+'Supuestos'!$C$43))*(1-'Supuestos'!$C$34-'Supuestos'!$C$35-'Supuestos'!$C$36))-((IF($B22=0,0,'Supuestos'!$C$8/$B22))*'Supuestos'!$C$37)-'Supuestos'!$C$38-'Supuestos'!$C$8)</f>
        <v/>
      </c>
      <c r="D22" s="26">
        <f>((((((((((IF($B22=0,0,'Supuestos'!$C$8/$B22))*'Supuestos'!$C$20)*D$19)+(((IF($B22=0,0,'Supuestos'!$C$8/$B22))*'Supuestos'!$C$21)*'Supuestos'!$C$26))*'Supuestos'!$C$27)*'Supuestos'!$C$24)+(((((((IF($B22=0,0,'Supuestos'!$C$8/$B22))*'Supuestos'!$C$20)*D$19)+(((IF($B22=0,0,'Supuestos'!$C$8/$B22))*'Supuestos'!$C$21)*'Supuestos'!$C$26))*'Supuestos'!$C$27)*'Supuestos'!$C$29)*'Supuestos'!$C$28)+(((((((IF($B22=0,0,'Supuestos'!$C$8/$B22))*'Supuestos'!$C$20)*D$19)+(((IF($B22=0,0,'Supuestos'!$C$8/$B22))*'Supuestos'!$C$21)*'Supuestos'!$C$26))*'Supuestos'!$C$27)*'Supuestos'!$C$31)*'Supuestos'!$C$30))*('Supuestos'!$C$41+'Supuestos'!$C$42+'Supuestos'!$C$43))*(1-'Supuestos'!$C$34-'Supuestos'!$C$35-'Supuestos'!$C$36))-((IF($B22=0,0,'Supuestos'!$C$8/$B22))*'Supuestos'!$C$37)-'Supuestos'!$C$38-'Supuestos'!$C$8)</f>
        <v/>
      </c>
      <c r="E22" s="26">
        <f>((((((((((IF($B22=0,0,'Supuestos'!$C$8/$B22))*'Supuestos'!$C$20)*E$19)+(((IF($B22=0,0,'Supuestos'!$C$8/$B22))*'Supuestos'!$C$21)*'Supuestos'!$C$26))*'Supuestos'!$C$27)*'Supuestos'!$C$24)+(((((((IF($B22=0,0,'Supuestos'!$C$8/$B22))*'Supuestos'!$C$20)*E$19)+(((IF($B22=0,0,'Supuestos'!$C$8/$B22))*'Supuestos'!$C$21)*'Supuestos'!$C$26))*'Supuestos'!$C$27)*'Supuestos'!$C$29)*'Supuestos'!$C$28)+(((((((IF($B22=0,0,'Supuestos'!$C$8/$B22))*'Supuestos'!$C$20)*E$19)+(((IF($B22=0,0,'Supuestos'!$C$8/$B22))*'Supuestos'!$C$21)*'Supuestos'!$C$26))*'Supuestos'!$C$27)*'Supuestos'!$C$31)*'Supuestos'!$C$30))*('Supuestos'!$C$41+'Supuestos'!$C$42+'Supuestos'!$C$43))*(1-'Supuestos'!$C$34-'Supuestos'!$C$35-'Supuestos'!$C$36))-((IF($B22=0,0,'Supuestos'!$C$8/$B22))*'Supuestos'!$C$37)-'Supuestos'!$C$38-'Supuestos'!$C$8)</f>
        <v/>
      </c>
      <c r="F22" s="26">
        <f>((((((((((IF($B22=0,0,'Supuestos'!$C$8/$B22))*'Supuestos'!$C$20)*F$19)+(((IF($B22=0,0,'Supuestos'!$C$8/$B22))*'Supuestos'!$C$21)*'Supuestos'!$C$26))*'Supuestos'!$C$27)*'Supuestos'!$C$24)+(((((((IF($B22=0,0,'Supuestos'!$C$8/$B22))*'Supuestos'!$C$20)*F$19)+(((IF($B22=0,0,'Supuestos'!$C$8/$B22))*'Supuestos'!$C$21)*'Supuestos'!$C$26))*'Supuestos'!$C$27)*'Supuestos'!$C$29)*'Supuestos'!$C$28)+(((((((IF($B22=0,0,'Supuestos'!$C$8/$B22))*'Supuestos'!$C$20)*F$19)+(((IF($B22=0,0,'Supuestos'!$C$8/$B22))*'Supuestos'!$C$21)*'Supuestos'!$C$26))*'Supuestos'!$C$27)*'Supuestos'!$C$31)*'Supuestos'!$C$30))*('Supuestos'!$C$41+'Supuestos'!$C$42+'Supuestos'!$C$43))*(1-'Supuestos'!$C$34-'Supuestos'!$C$35-'Supuestos'!$C$36))-((IF($B22=0,0,'Supuestos'!$C$8/$B22))*'Supuestos'!$C$37)-'Supuestos'!$C$38-'Supuestos'!$C$8)</f>
        <v/>
      </c>
      <c r="G22" s="26">
        <f>((((((((((IF($B22=0,0,'Supuestos'!$C$8/$B22))*'Supuestos'!$C$20)*G$19)+(((IF($B22=0,0,'Supuestos'!$C$8/$B22))*'Supuestos'!$C$21)*'Supuestos'!$C$26))*'Supuestos'!$C$27)*'Supuestos'!$C$24)+(((((((IF($B22=0,0,'Supuestos'!$C$8/$B22))*'Supuestos'!$C$20)*G$19)+(((IF($B22=0,0,'Supuestos'!$C$8/$B22))*'Supuestos'!$C$21)*'Supuestos'!$C$26))*'Supuestos'!$C$27)*'Supuestos'!$C$29)*'Supuestos'!$C$28)+(((((((IF($B22=0,0,'Supuestos'!$C$8/$B22))*'Supuestos'!$C$20)*G$19)+(((IF($B22=0,0,'Supuestos'!$C$8/$B22))*'Supuestos'!$C$21)*'Supuestos'!$C$26))*'Supuestos'!$C$27)*'Supuestos'!$C$31)*'Supuestos'!$C$30))*('Supuestos'!$C$41+'Supuestos'!$C$42+'Supuestos'!$C$43))*(1-'Supuestos'!$C$34-'Supuestos'!$C$35-'Supuestos'!$C$36))-((IF($B22=0,0,'Supuestos'!$C$8/$B22))*'Supuestos'!$C$37)-'Supuestos'!$C$38-'Supuestos'!$C$8)</f>
        <v/>
      </c>
      <c r="H22" s="26">
        <f>((((((((((IF($B22=0,0,'Supuestos'!$C$8/$B22))*'Supuestos'!$C$20)*H$19)+(((IF($B22=0,0,'Supuestos'!$C$8/$B22))*'Supuestos'!$C$21)*'Supuestos'!$C$26))*'Supuestos'!$C$27)*'Supuestos'!$C$24)+(((((((IF($B22=0,0,'Supuestos'!$C$8/$B22))*'Supuestos'!$C$20)*H$19)+(((IF($B22=0,0,'Supuestos'!$C$8/$B22))*'Supuestos'!$C$21)*'Supuestos'!$C$26))*'Supuestos'!$C$27)*'Supuestos'!$C$29)*'Supuestos'!$C$28)+(((((((IF($B22=0,0,'Supuestos'!$C$8/$B22))*'Supuestos'!$C$20)*H$19)+(((IF($B22=0,0,'Supuestos'!$C$8/$B22))*'Supuestos'!$C$21)*'Supuestos'!$C$26))*'Supuestos'!$C$27)*'Supuestos'!$C$31)*'Supuestos'!$C$30))*('Supuestos'!$C$41+'Supuestos'!$C$42+'Supuestos'!$C$43))*(1-'Supuestos'!$C$34-'Supuestos'!$C$35-'Supuestos'!$C$36))-((IF($B22=0,0,'Supuestos'!$C$8/$B22))*'Supuestos'!$C$37)-'Supuestos'!$C$38-'Supuestos'!$C$8)</f>
        <v/>
      </c>
    </row>
    <row r="23">
      <c r="B23" s="31" t="n">
        <v>2</v>
      </c>
      <c r="C23" s="26">
        <f>((((((((((IF($B23=0,0,'Supuestos'!$C$8/$B23))*'Supuestos'!$C$20)*C$19)+(((IF($B23=0,0,'Supuestos'!$C$8/$B23))*'Supuestos'!$C$21)*'Supuestos'!$C$26))*'Supuestos'!$C$27)*'Supuestos'!$C$24)+(((((((IF($B23=0,0,'Supuestos'!$C$8/$B23))*'Supuestos'!$C$20)*C$19)+(((IF($B23=0,0,'Supuestos'!$C$8/$B23))*'Supuestos'!$C$21)*'Supuestos'!$C$26))*'Supuestos'!$C$27)*'Supuestos'!$C$29)*'Supuestos'!$C$28)+(((((((IF($B23=0,0,'Supuestos'!$C$8/$B23))*'Supuestos'!$C$20)*C$19)+(((IF($B23=0,0,'Supuestos'!$C$8/$B23))*'Supuestos'!$C$21)*'Supuestos'!$C$26))*'Supuestos'!$C$27)*'Supuestos'!$C$31)*'Supuestos'!$C$30))*('Supuestos'!$C$41+'Supuestos'!$C$42+'Supuestos'!$C$43))*(1-'Supuestos'!$C$34-'Supuestos'!$C$35-'Supuestos'!$C$36))-((IF($B23=0,0,'Supuestos'!$C$8/$B23))*'Supuestos'!$C$37)-'Supuestos'!$C$38-'Supuestos'!$C$8)</f>
        <v/>
      </c>
      <c r="D23" s="26">
        <f>((((((((((IF($B23=0,0,'Supuestos'!$C$8/$B23))*'Supuestos'!$C$20)*D$19)+(((IF($B23=0,0,'Supuestos'!$C$8/$B23))*'Supuestos'!$C$21)*'Supuestos'!$C$26))*'Supuestos'!$C$27)*'Supuestos'!$C$24)+(((((((IF($B23=0,0,'Supuestos'!$C$8/$B23))*'Supuestos'!$C$20)*D$19)+(((IF($B23=0,0,'Supuestos'!$C$8/$B23))*'Supuestos'!$C$21)*'Supuestos'!$C$26))*'Supuestos'!$C$27)*'Supuestos'!$C$29)*'Supuestos'!$C$28)+(((((((IF($B23=0,0,'Supuestos'!$C$8/$B23))*'Supuestos'!$C$20)*D$19)+(((IF($B23=0,0,'Supuestos'!$C$8/$B23))*'Supuestos'!$C$21)*'Supuestos'!$C$26))*'Supuestos'!$C$27)*'Supuestos'!$C$31)*'Supuestos'!$C$30))*('Supuestos'!$C$41+'Supuestos'!$C$42+'Supuestos'!$C$43))*(1-'Supuestos'!$C$34-'Supuestos'!$C$35-'Supuestos'!$C$36))-((IF($B23=0,0,'Supuestos'!$C$8/$B23))*'Supuestos'!$C$37)-'Supuestos'!$C$38-'Supuestos'!$C$8)</f>
        <v/>
      </c>
      <c r="E23" s="26">
        <f>((((((((((IF($B23=0,0,'Supuestos'!$C$8/$B23))*'Supuestos'!$C$20)*E$19)+(((IF($B23=0,0,'Supuestos'!$C$8/$B23))*'Supuestos'!$C$21)*'Supuestos'!$C$26))*'Supuestos'!$C$27)*'Supuestos'!$C$24)+(((((((IF($B23=0,0,'Supuestos'!$C$8/$B23))*'Supuestos'!$C$20)*E$19)+(((IF($B23=0,0,'Supuestos'!$C$8/$B23))*'Supuestos'!$C$21)*'Supuestos'!$C$26))*'Supuestos'!$C$27)*'Supuestos'!$C$29)*'Supuestos'!$C$28)+(((((((IF($B23=0,0,'Supuestos'!$C$8/$B23))*'Supuestos'!$C$20)*E$19)+(((IF($B23=0,0,'Supuestos'!$C$8/$B23))*'Supuestos'!$C$21)*'Supuestos'!$C$26))*'Supuestos'!$C$27)*'Supuestos'!$C$31)*'Supuestos'!$C$30))*('Supuestos'!$C$41+'Supuestos'!$C$42+'Supuestos'!$C$43))*(1-'Supuestos'!$C$34-'Supuestos'!$C$35-'Supuestos'!$C$36))-((IF($B23=0,0,'Supuestos'!$C$8/$B23))*'Supuestos'!$C$37)-'Supuestos'!$C$38-'Supuestos'!$C$8)</f>
        <v/>
      </c>
      <c r="F23" s="26">
        <f>((((((((((IF($B23=0,0,'Supuestos'!$C$8/$B23))*'Supuestos'!$C$20)*F$19)+(((IF($B23=0,0,'Supuestos'!$C$8/$B23))*'Supuestos'!$C$21)*'Supuestos'!$C$26))*'Supuestos'!$C$27)*'Supuestos'!$C$24)+(((((((IF($B23=0,0,'Supuestos'!$C$8/$B23))*'Supuestos'!$C$20)*F$19)+(((IF($B23=0,0,'Supuestos'!$C$8/$B23))*'Supuestos'!$C$21)*'Supuestos'!$C$26))*'Supuestos'!$C$27)*'Supuestos'!$C$29)*'Supuestos'!$C$28)+(((((((IF($B23=0,0,'Supuestos'!$C$8/$B23))*'Supuestos'!$C$20)*F$19)+(((IF($B23=0,0,'Supuestos'!$C$8/$B23))*'Supuestos'!$C$21)*'Supuestos'!$C$26))*'Supuestos'!$C$27)*'Supuestos'!$C$31)*'Supuestos'!$C$30))*('Supuestos'!$C$41+'Supuestos'!$C$42+'Supuestos'!$C$43))*(1-'Supuestos'!$C$34-'Supuestos'!$C$35-'Supuestos'!$C$36))-((IF($B23=0,0,'Supuestos'!$C$8/$B23))*'Supuestos'!$C$37)-'Supuestos'!$C$38-'Supuestos'!$C$8)</f>
        <v/>
      </c>
      <c r="G23" s="26">
        <f>((((((((((IF($B23=0,0,'Supuestos'!$C$8/$B23))*'Supuestos'!$C$20)*G$19)+(((IF($B23=0,0,'Supuestos'!$C$8/$B23))*'Supuestos'!$C$21)*'Supuestos'!$C$26))*'Supuestos'!$C$27)*'Supuestos'!$C$24)+(((((((IF($B23=0,0,'Supuestos'!$C$8/$B23))*'Supuestos'!$C$20)*G$19)+(((IF($B23=0,0,'Supuestos'!$C$8/$B23))*'Supuestos'!$C$21)*'Supuestos'!$C$26))*'Supuestos'!$C$27)*'Supuestos'!$C$29)*'Supuestos'!$C$28)+(((((((IF($B23=0,0,'Supuestos'!$C$8/$B23))*'Supuestos'!$C$20)*G$19)+(((IF($B23=0,0,'Supuestos'!$C$8/$B23))*'Supuestos'!$C$21)*'Supuestos'!$C$26))*'Supuestos'!$C$27)*'Supuestos'!$C$31)*'Supuestos'!$C$30))*('Supuestos'!$C$41+'Supuestos'!$C$42+'Supuestos'!$C$43))*(1-'Supuestos'!$C$34-'Supuestos'!$C$35-'Supuestos'!$C$36))-((IF($B23=0,0,'Supuestos'!$C$8/$B23))*'Supuestos'!$C$37)-'Supuestos'!$C$38-'Supuestos'!$C$8)</f>
        <v/>
      </c>
      <c r="H23" s="26">
        <f>((((((((((IF($B23=0,0,'Supuestos'!$C$8/$B23))*'Supuestos'!$C$20)*H$19)+(((IF($B23=0,0,'Supuestos'!$C$8/$B23))*'Supuestos'!$C$21)*'Supuestos'!$C$26))*'Supuestos'!$C$27)*'Supuestos'!$C$24)+(((((((IF($B23=0,0,'Supuestos'!$C$8/$B23))*'Supuestos'!$C$20)*H$19)+(((IF($B23=0,0,'Supuestos'!$C$8/$B23))*'Supuestos'!$C$21)*'Supuestos'!$C$26))*'Supuestos'!$C$27)*'Supuestos'!$C$29)*'Supuestos'!$C$28)+(((((((IF($B23=0,0,'Supuestos'!$C$8/$B23))*'Supuestos'!$C$20)*H$19)+(((IF($B23=0,0,'Supuestos'!$C$8/$B23))*'Supuestos'!$C$21)*'Supuestos'!$C$26))*'Supuestos'!$C$27)*'Supuestos'!$C$31)*'Supuestos'!$C$30))*('Supuestos'!$C$41+'Supuestos'!$C$42+'Supuestos'!$C$43))*(1-'Supuestos'!$C$34-'Supuestos'!$C$35-'Supuestos'!$C$36))-((IF($B23=0,0,'Supuestos'!$C$8/$B23))*'Supuestos'!$C$37)-'Supuestos'!$C$38-'Supuestos'!$C$8)</f>
        <v/>
      </c>
    </row>
    <row r="24">
      <c r="B24" s="31" t="n">
        <v>3</v>
      </c>
      <c r="C24" s="26">
        <f>((((((((((IF($B24=0,0,'Supuestos'!$C$8/$B24))*'Supuestos'!$C$20)*C$19)+(((IF($B24=0,0,'Supuestos'!$C$8/$B24))*'Supuestos'!$C$21)*'Supuestos'!$C$26))*'Supuestos'!$C$27)*'Supuestos'!$C$24)+(((((((IF($B24=0,0,'Supuestos'!$C$8/$B24))*'Supuestos'!$C$20)*C$19)+(((IF($B24=0,0,'Supuestos'!$C$8/$B24))*'Supuestos'!$C$21)*'Supuestos'!$C$26))*'Supuestos'!$C$27)*'Supuestos'!$C$29)*'Supuestos'!$C$28)+(((((((IF($B24=0,0,'Supuestos'!$C$8/$B24))*'Supuestos'!$C$20)*C$19)+(((IF($B24=0,0,'Supuestos'!$C$8/$B24))*'Supuestos'!$C$21)*'Supuestos'!$C$26))*'Supuestos'!$C$27)*'Supuestos'!$C$31)*'Supuestos'!$C$30))*('Supuestos'!$C$41+'Supuestos'!$C$42+'Supuestos'!$C$43))*(1-'Supuestos'!$C$34-'Supuestos'!$C$35-'Supuestos'!$C$36))-((IF($B24=0,0,'Supuestos'!$C$8/$B24))*'Supuestos'!$C$37)-'Supuestos'!$C$38-'Supuestos'!$C$8)</f>
        <v/>
      </c>
      <c r="D24" s="26">
        <f>((((((((((IF($B24=0,0,'Supuestos'!$C$8/$B24))*'Supuestos'!$C$20)*D$19)+(((IF($B24=0,0,'Supuestos'!$C$8/$B24))*'Supuestos'!$C$21)*'Supuestos'!$C$26))*'Supuestos'!$C$27)*'Supuestos'!$C$24)+(((((((IF($B24=0,0,'Supuestos'!$C$8/$B24))*'Supuestos'!$C$20)*D$19)+(((IF($B24=0,0,'Supuestos'!$C$8/$B24))*'Supuestos'!$C$21)*'Supuestos'!$C$26))*'Supuestos'!$C$27)*'Supuestos'!$C$29)*'Supuestos'!$C$28)+(((((((IF($B24=0,0,'Supuestos'!$C$8/$B24))*'Supuestos'!$C$20)*D$19)+(((IF($B24=0,0,'Supuestos'!$C$8/$B24))*'Supuestos'!$C$21)*'Supuestos'!$C$26))*'Supuestos'!$C$27)*'Supuestos'!$C$31)*'Supuestos'!$C$30))*('Supuestos'!$C$41+'Supuestos'!$C$42+'Supuestos'!$C$43))*(1-'Supuestos'!$C$34-'Supuestos'!$C$35-'Supuestos'!$C$36))-((IF($B24=0,0,'Supuestos'!$C$8/$B24))*'Supuestos'!$C$37)-'Supuestos'!$C$38-'Supuestos'!$C$8)</f>
        <v/>
      </c>
      <c r="E24" s="26">
        <f>((((((((((IF($B24=0,0,'Supuestos'!$C$8/$B24))*'Supuestos'!$C$20)*E$19)+(((IF($B24=0,0,'Supuestos'!$C$8/$B24))*'Supuestos'!$C$21)*'Supuestos'!$C$26))*'Supuestos'!$C$27)*'Supuestos'!$C$24)+(((((((IF($B24=0,0,'Supuestos'!$C$8/$B24))*'Supuestos'!$C$20)*E$19)+(((IF($B24=0,0,'Supuestos'!$C$8/$B24))*'Supuestos'!$C$21)*'Supuestos'!$C$26))*'Supuestos'!$C$27)*'Supuestos'!$C$29)*'Supuestos'!$C$28)+(((((((IF($B24=0,0,'Supuestos'!$C$8/$B24))*'Supuestos'!$C$20)*E$19)+(((IF($B24=0,0,'Supuestos'!$C$8/$B24))*'Supuestos'!$C$21)*'Supuestos'!$C$26))*'Supuestos'!$C$27)*'Supuestos'!$C$31)*'Supuestos'!$C$30))*('Supuestos'!$C$41+'Supuestos'!$C$42+'Supuestos'!$C$43))*(1-'Supuestos'!$C$34-'Supuestos'!$C$35-'Supuestos'!$C$36))-((IF($B24=0,0,'Supuestos'!$C$8/$B24))*'Supuestos'!$C$37)-'Supuestos'!$C$38-'Supuestos'!$C$8)</f>
        <v/>
      </c>
      <c r="F24" s="26">
        <f>((((((((((IF($B24=0,0,'Supuestos'!$C$8/$B24))*'Supuestos'!$C$20)*F$19)+(((IF($B24=0,0,'Supuestos'!$C$8/$B24))*'Supuestos'!$C$21)*'Supuestos'!$C$26))*'Supuestos'!$C$27)*'Supuestos'!$C$24)+(((((((IF($B24=0,0,'Supuestos'!$C$8/$B24))*'Supuestos'!$C$20)*F$19)+(((IF($B24=0,0,'Supuestos'!$C$8/$B24))*'Supuestos'!$C$21)*'Supuestos'!$C$26))*'Supuestos'!$C$27)*'Supuestos'!$C$29)*'Supuestos'!$C$28)+(((((((IF($B24=0,0,'Supuestos'!$C$8/$B24))*'Supuestos'!$C$20)*F$19)+(((IF($B24=0,0,'Supuestos'!$C$8/$B24))*'Supuestos'!$C$21)*'Supuestos'!$C$26))*'Supuestos'!$C$27)*'Supuestos'!$C$31)*'Supuestos'!$C$30))*('Supuestos'!$C$41+'Supuestos'!$C$42+'Supuestos'!$C$43))*(1-'Supuestos'!$C$34-'Supuestos'!$C$35-'Supuestos'!$C$36))-((IF($B24=0,0,'Supuestos'!$C$8/$B24))*'Supuestos'!$C$37)-'Supuestos'!$C$38-'Supuestos'!$C$8)</f>
        <v/>
      </c>
      <c r="G24" s="26">
        <f>((((((((((IF($B24=0,0,'Supuestos'!$C$8/$B24))*'Supuestos'!$C$20)*G$19)+(((IF($B24=0,0,'Supuestos'!$C$8/$B24))*'Supuestos'!$C$21)*'Supuestos'!$C$26))*'Supuestos'!$C$27)*'Supuestos'!$C$24)+(((((((IF($B24=0,0,'Supuestos'!$C$8/$B24))*'Supuestos'!$C$20)*G$19)+(((IF($B24=0,0,'Supuestos'!$C$8/$B24))*'Supuestos'!$C$21)*'Supuestos'!$C$26))*'Supuestos'!$C$27)*'Supuestos'!$C$29)*'Supuestos'!$C$28)+(((((((IF($B24=0,0,'Supuestos'!$C$8/$B24))*'Supuestos'!$C$20)*G$19)+(((IF($B24=0,0,'Supuestos'!$C$8/$B24))*'Supuestos'!$C$21)*'Supuestos'!$C$26))*'Supuestos'!$C$27)*'Supuestos'!$C$31)*'Supuestos'!$C$30))*('Supuestos'!$C$41+'Supuestos'!$C$42+'Supuestos'!$C$43))*(1-'Supuestos'!$C$34-'Supuestos'!$C$35-'Supuestos'!$C$36))-((IF($B24=0,0,'Supuestos'!$C$8/$B24))*'Supuestos'!$C$37)-'Supuestos'!$C$38-'Supuestos'!$C$8)</f>
        <v/>
      </c>
      <c r="H24" s="26">
        <f>((((((((((IF($B24=0,0,'Supuestos'!$C$8/$B24))*'Supuestos'!$C$20)*H$19)+(((IF($B24=0,0,'Supuestos'!$C$8/$B24))*'Supuestos'!$C$21)*'Supuestos'!$C$26))*'Supuestos'!$C$27)*'Supuestos'!$C$24)+(((((((IF($B24=0,0,'Supuestos'!$C$8/$B24))*'Supuestos'!$C$20)*H$19)+(((IF($B24=0,0,'Supuestos'!$C$8/$B24))*'Supuestos'!$C$21)*'Supuestos'!$C$26))*'Supuestos'!$C$27)*'Supuestos'!$C$29)*'Supuestos'!$C$28)+(((((((IF($B24=0,0,'Supuestos'!$C$8/$B24))*'Supuestos'!$C$20)*H$19)+(((IF($B24=0,0,'Supuestos'!$C$8/$B24))*'Supuestos'!$C$21)*'Supuestos'!$C$26))*'Supuestos'!$C$27)*'Supuestos'!$C$31)*'Supuestos'!$C$30))*('Supuestos'!$C$41+'Supuestos'!$C$42+'Supuestos'!$C$43))*(1-'Supuestos'!$C$34-'Supuestos'!$C$35-'Supuestos'!$C$36))-((IF($B24=0,0,'Supuestos'!$C$8/$B24))*'Supuestos'!$C$37)-'Supuestos'!$C$38-'Supuestos'!$C$8)</f>
        <v/>
      </c>
    </row>
    <row r="25">
      <c r="B25" s="31" t="n">
        <v>4</v>
      </c>
      <c r="C25" s="26">
        <f>((((((((((IF($B25=0,0,'Supuestos'!$C$8/$B25))*'Supuestos'!$C$20)*C$19)+(((IF($B25=0,0,'Supuestos'!$C$8/$B25))*'Supuestos'!$C$21)*'Supuestos'!$C$26))*'Supuestos'!$C$27)*'Supuestos'!$C$24)+(((((((IF($B25=0,0,'Supuestos'!$C$8/$B25))*'Supuestos'!$C$20)*C$19)+(((IF($B25=0,0,'Supuestos'!$C$8/$B25))*'Supuestos'!$C$21)*'Supuestos'!$C$26))*'Supuestos'!$C$27)*'Supuestos'!$C$29)*'Supuestos'!$C$28)+(((((((IF($B25=0,0,'Supuestos'!$C$8/$B25))*'Supuestos'!$C$20)*C$19)+(((IF($B25=0,0,'Supuestos'!$C$8/$B25))*'Supuestos'!$C$21)*'Supuestos'!$C$26))*'Supuestos'!$C$27)*'Supuestos'!$C$31)*'Supuestos'!$C$30))*('Supuestos'!$C$41+'Supuestos'!$C$42+'Supuestos'!$C$43))*(1-'Supuestos'!$C$34-'Supuestos'!$C$35-'Supuestos'!$C$36))-((IF($B25=0,0,'Supuestos'!$C$8/$B25))*'Supuestos'!$C$37)-'Supuestos'!$C$38-'Supuestos'!$C$8)</f>
        <v/>
      </c>
      <c r="D25" s="26">
        <f>((((((((((IF($B25=0,0,'Supuestos'!$C$8/$B25))*'Supuestos'!$C$20)*D$19)+(((IF($B25=0,0,'Supuestos'!$C$8/$B25))*'Supuestos'!$C$21)*'Supuestos'!$C$26))*'Supuestos'!$C$27)*'Supuestos'!$C$24)+(((((((IF($B25=0,0,'Supuestos'!$C$8/$B25))*'Supuestos'!$C$20)*D$19)+(((IF($B25=0,0,'Supuestos'!$C$8/$B25))*'Supuestos'!$C$21)*'Supuestos'!$C$26))*'Supuestos'!$C$27)*'Supuestos'!$C$29)*'Supuestos'!$C$28)+(((((((IF($B25=0,0,'Supuestos'!$C$8/$B25))*'Supuestos'!$C$20)*D$19)+(((IF($B25=0,0,'Supuestos'!$C$8/$B25))*'Supuestos'!$C$21)*'Supuestos'!$C$26))*'Supuestos'!$C$27)*'Supuestos'!$C$31)*'Supuestos'!$C$30))*('Supuestos'!$C$41+'Supuestos'!$C$42+'Supuestos'!$C$43))*(1-'Supuestos'!$C$34-'Supuestos'!$C$35-'Supuestos'!$C$36))-((IF($B25=0,0,'Supuestos'!$C$8/$B25))*'Supuestos'!$C$37)-'Supuestos'!$C$38-'Supuestos'!$C$8)</f>
        <v/>
      </c>
      <c r="E25" s="26">
        <f>((((((((((IF($B25=0,0,'Supuestos'!$C$8/$B25))*'Supuestos'!$C$20)*E$19)+(((IF($B25=0,0,'Supuestos'!$C$8/$B25))*'Supuestos'!$C$21)*'Supuestos'!$C$26))*'Supuestos'!$C$27)*'Supuestos'!$C$24)+(((((((IF($B25=0,0,'Supuestos'!$C$8/$B25))*'Supuestos'!$C$20)*E$19)+(((IF($B25=0,0,'Supuestos'!$C$8/$B25))*'Supuestos'!$C$21)*'Supuestos'!$C$26))*'Supuestos'!$C$27)*'Supuestos'!$C$29)*'Supuestos'!$C$28)+(((((((IF($B25=0,0,'Supuestos'!$C$8/$B25))*'Supuestos'!$C$20)*E$19)+(((IF($B25=0,0,'Supuestos'!$C$8/$B25))*'Supuestos'!$C$21)*'Supuestos'!$C$26))*'Supuestos'!$C$27)*'Supuestos'!$C$31)*'Supuestos'!$C$30))*('Supuestos'!$C$41+'Supuestos'!$C$42+'Supuestos'!$C$43))*(1-'Supuestos'!$C$34-'Supuestos'!$C$35-'Supuestos'!$C$36))-((IF($B25=0,0,'Supuestos'!$C$8/$B25))*'Supuestos'!$C$37)-'Supuestos'!$C$38-'Supuestos'!$C$8)</f>
        <v/>
      </c>
      <c r="F25" s="26">
        <f>((((((((((IF($B25=0,0,'Supuestos'!$C$8/$B25))*'Supuestos'!$C$20)*F$19)+(((IF($B25=0,0,'Supuestos'!$C$8/$B25))*'Supuestos'!$C$21)*'Supuestos'!$C$26))*'Supuestos'!$C$27)*'Supuestos'!$C$24)+(((((((IF($B25=0,0,'Supuestos'!$C$8/$B25))*'Supuestos'!$C$20)*F$19)+(((IF($B25=0,0,'Supuestos'!$C$8/$B25))*'Supuestos'!$C$21)*'Supuestos'!$C$26))*'Supuestos'!$C$27)*'Supuestos'!$C$29)*'Supuestos'!$C$28)+(((((((IF($B25=0,0,'Supuestos'!$C$8/$B25))*'Supuestos'!$C$20)*F$19)+(((IF($B25=0,0,'Supuestos'!$C$8/$B25))*'Supuestos'!$C$21)*'Supuestos'!$C$26))*'Supuestos'!$C$27)*'Supuestos'!$C$31)*'Supuestos'!$C$30))*('Supuestos'!$C$41+'Supuestos'!$C$42+'Supuestos'!$C$43))*(1-'Supuestos'!$C$34-'Supuestos'!$C$35-'Supuestos'!$C$36))-((IF($B25=0,0,'Supuestos'!$C$8/$B25))*'Supuestos'!$C$37)-'Supuestos'!$C$38-'Supuestos'!$C$8)</f>
        <v/>
      </c>
      <c r="G25" s="26">
        <f>((((((((((IF($B25=0,0,'Supuestos'!$C$8/$B25))*'Supuestos'!$C$20)*G$19)+(((IF($B25=0,0,'Supuestos'!$C$8/$B25))*'Supuestos'!$C$21)*'Supuestos'!$C$26))*'Supuestos'!$C$27)*'Supuestos'!$C$24)+(((((((IF($B25=0,0,'Supuestos'!$C$8/$B25))*'Supuestos'!$C$20)*G$19)+(((IF($B25=0,0,'Supuestos'!$C$8/$B25))*'Supuestos'!$C$21)*'Supuestos'!$C$26))*'Supuestos'!$C$27)*'Supuestos'!$C$29)*'Supuestos'!$C$28)+(((((((IF($B25=0,0,'Supuestos'!$C$8/$B25))*'Supuestos'!$C$20)*G$19)+(((IF($B25=0,0,'Supuestos'!$C$8/$B25))*'Supuestos'!$C$21)*'Supuestos'!$C$26))*'Supuestos'!$C$27)*'Supuestos'!$C$31)*'Supuestos'!$C$30))*('Supuestos'!$C$41+'Supuestos'!$C$42+'Supuestos'!$C$43))*(1-'Supuestos'!$C$34-'Supuestos'!$C$35-'Supuestos'!$C$36))-((IF($B25=0,0,'Supuestos'!$C$8/$B25))*'Supuestos'!$C$37)-'Supuestos'!$C$38-'Supuestos'!$C$8)</f>
        <v/>
      </c>
      <c r="H25" s="26">
        <f>((((((((((IF($B25=0,0,'Supuestos'!$C$8/$B25))*'Supuestos'!$C$20)*H$19)+(((IF($B25=0,0,'Supuestos'!$C$8/$B25))*'Supuestos'!$C$21)*'Supuestos'!$C$26))*'Supuestos'!$C$27)*'Supuestos'!$C$24)+(((((((IF($B25=0,0,'Supuestos'!$C$8/$B25))*'Supuestos'!$C$20)*H$19)+(((IF($B25=0,0,'Supuestos'!$C$8/$B25))*'Supuestos'!$C$21)*'Supuestos'!$C$26))*'Supuestos'!$C$27)*'Supuestos'!$C$29)*'Supuestos'!$C$28)+(((((((IF($B25=0,0,'Supuestos'!$C$8/$B25))*'Supuestos'!$C$20)*H$19)+(((IF($B25=0,0,'Supuestos'!$C$8/$B25))*'Supuestos'!$C$21)*'Supuestos'!$C$26))*'Supuestos'!$C$27)*'Supuestos'!$C$31)*'Supuestos'!$C$30))*('Supuestos'!$C$41+'Supuestos'!$C$42+'Supuestos'!$C$43))*(1-'Supuestos'!$C$34-'Supuestos'!$C$35-'Supuestos'!$C$36))-((IF($B25=0,0,'Supuestos'!$C$8/$B25))*'Supuestos'!$C$37)-'Supuestos'!$C$38-'Supuestos'!$C$8)</f>
        <v/>
      </c>
    </row>
    <row r="26">
      <c r="B26" s="31" t="n">
        <v>6</v>
      </c>
      <c r="C26" s="26">
        <f>((((((((((IF($B26=0,0,'Supuestos'!$C$8/$B26))*'Supuestos'!$C$20)*C$19)+(((IF($B26=0,0,'Supuestos'!$C$8/$B26))*'Supuestos'!$C$21)*'Supuestos'!$C$26))*'Supuestos'!$C$27)*'Supuestos'!$C$24)+(((((((IF($B26=0,0,'Supuestos'!$C$8/$B26))*'Supuestos'!$C$20)*C$19)+(((IF($B26=0,0,'Supuestos'!$C$8/$B26))*'Supuestos'!$C$21)*'Supuestos'!$C$26))*'Supuestos'!$C$27)*'Supuestos'!$C$29)*'Supuestos'!$C$28)+(((((((IF($B26=0,0,'Supuestos'!$C$8/$B26))*'Supuestos'!$C$20)*C$19)+(((IF($B26=0,0,'Supuestos'!$C$8/$B26))*'Supuestos'!$C$21)*'Supuestos'!$C$26))*'Supuestos'!$C$27)*'Supuestos'!$C$31)*'Supuestos'!$C$30))*('Supuestos'!$C$41+'Supuestos'!$C$42+'Supuestos'!$C$43))*(1-'Supuestos'!$C$34-'Supuestos'!$C$35-'Supuestos'!$C$36))-((IF($B26=0,0,'Supuestos'!$C$8/$B26))*'Supuestos'!$C$37)-'Supuestos'!$C$38-'Supuestos'!$C$8)</f>
        <v/>
      </c>
      <c r="D26" s="26">
        <f>((((((((((IF($B26=0,0,'Supuestos'!$C$8/$B26))*'Supuestos'!$C$20)*D$19)+(((IF($B26=0,0,'Supuestos'!$C$8/$B26))*'Supuestos'!$C$21)*'Supuestos'!$C$26))*'Supuestos'!$C$27)*'Supuestos'!$C$24)+(((((((IF($B26=0,0,'Supuestos'!$C$8/$B26))*'Supuestos'!$C$20)*D$19)+(((IF($B26=0,0,'Supuestos'!$C$8/$B26))*'Supuestos'!$C$21)*'Supuestos'!$C$26))*'Supuestos'!$C$27)*'Supuestos'!$C$29)*'Supuestos'!$C$28)+(((((((IF($B26=0,0,'Supuestos'!$C$8/$B26))*'Supuestos'!$C$20)*D$19)+(((IF($B26=0,0,'Supuestos'!$C$8/$B26))*'Supuestos'!$C$21)*'Supuestos'!$C$26))*'Supuestos'!$C$27)*'Supuestos'!$C$31)*'Supuestos'!$C$30))*('Supuestos'!$C$41+'Supuestos'!$C$42+'Supuestos'!$C$43))*(1-'Supuestos'!$C$34-'Supuestos'!$C$35-'Supuestos'!$C$36))-((IF($B26=0,0,'Supuestos'!$C$8/$B26))*'Supuestos'!$C$37)-'Supuestos'!$C$38-'Supuestos'!$C$8)</f>
        <v/>
      </c>
      <c r="E26" s="26">
        <f>((((((((((IF($B26=0,0,'Supuestos'!$C$8/$B26))*'Supuestos'!$C$20)*E$19)+(((IF($B26=0,0,'Supuestos'!$C$8/$B26))*'Supuestos'!$C$21)*'Supuestos'!$C$26))*'Supuestos'!$C$27)*'Supuestos'!$C$24)+(((((((IF($B26=0,0,'Supuestos'!$C$8/$B26))*'Supuestos'!$C$20)*E$19)+(((IF($B26=0,0,'Supuestos'!$C$8/$B26))*'Supuestos'!$C$21)*'Supuestos'!$C$26))*'Supuestos'!$C$27)*'Supuestos'!$C$29)*'Supuestos'!$C$28)+(((((((IF($B26=0,0,'Supuestos'!$C$8/$B26))*'Supuestos'!$C$20)*E$19)+(((IF($B26=0,0,'Supuestos'!$C$8/$B26))*'Supuestos'!$C$21)*'Supuestos'!$C$26))*'Supuestos'!$C$27)*'Supuestos'!$C$31)*'Supuestos'!$C$30))*('Supuestos'!$C$41+'Supuestos'!$C$42+'Supuestos'!$C$43))*(1-'Supuestos'!$C$34-'Supuestos'!$C$35-'Supuestos'!$C$36))-((IF($B26=0,0,'Supuestos'!$C$8/$B26))*'Supuestos'!$C$37)-'Supuestos'!$C$38-'Supuestos'!$C$8)</f>
        <v/>
      </c>
      <c r="F26" s="26">
        <f>((((((((((IF($B26=0,0,'Supuestos'!$C$8/$B26))*'Supuestos'!$C$20)*F$19)+(((IF($B26=0,0,'Supuestos'!$C$8/$B26))*'Supuestos'!$C$21)*'Supuestos'!$C$26))*'Supuestos'!$C$27)*'Supuestos'!$C$24)+(((((((IF($B26=0,0,'Supuestos'!$C$8/$B26))*'Supuestos'!$C$20)*F$19)+(((IF($B26=0,0,'Supuestos'!$C$8/$B26))*'Supuestos'!$C$21)*'Supuestos'!$C$26))*'Supuestos'!$C$27)*'Supuestos'!$C$29)*'Supuestos'!$C$28)+(((((((IF($B26=0,0,'Supuestos'!$C$8/$B26))*'Supuestos'!$C$20)*F$19)+(((IF($B26=0,0,'Supuestos'!$C$8/$B26))*'Supuestos'!$C$21)*'Supuestos'!$C$26))*'Supuestos'!$C$27)*'Supuestos'!$C$31)*'Supuestos'!$C$30))*('Supuestos'!$C$41+'Supuestos'!$C$42+'Supuestos'!$C$43))*(1-'Supuestos'!$C$34-'Supuestos'!$C$35-'Supuestos'!$C$36))-((IF($B26=0,0,'Supuestos'!$C$8/$B26))*'Supuestos'!$C$37)-'Supuestos'!$C$38-'Supuestos'!$C$8)</f>
        <v/>
      </c>
      <c r="G26" s="26">
        <f>((((((((((IF($B26=0,0,'Supuestos'!$C$8/$B26))*'Supuestos'!$C$20)*G$19)+(((IF($B26=0,0,'Supuestos'!$C$8/$B26))*'Supuestos'!$C$21)*'Supuestos'!$C$26))*'Supuestos'!$C$27)*'Supuestos'!$C$24)+(((((((IF($B26=0,0,'Supuestos'!$C$8/$B26))*'Supuestos'!$C$20)*G$19)+(((IF($B26=0,0,'Supuestos'!$C$8/$B26))*'Supuestos'!$C$21)*'Supuestos'!$C$26))*'Supuestos'!$C$27)*'Supuestos'!$C$29)*'Supuestos'!$C$28)+(((((((IF($B26=0,0,'Supuestos'!$C$8/$B26))*'Supuestos'!$C$20)*G$19)+(((IF($B26=0,0,'Supuestos'!$C$8/$B26))*'Supuestos'!$C$21)*'Supuestos'!$C$26))*'Supuestos'!$C$27)*'Supuestos'!$C$31)*'Supuestos'!$C$30))*('Supuestos'!$C$41+'Supuestos'!$C$42+'Supuestos'!$C$43))*(1-'Supuestos'!$C$34-'Supuestos'!$C$35-'Supuestos'!$C$36))-((IF($B26=0,0,'Supuestos'!$C$8/$B26))*'Supuestos'!$C$37)-'Supuestos'!$C$38-'Supuestos'!$C$8)</f>
        <v/>
      </c>
      <c r="H26" s="26">
        <f>((((((((((IF($B26=0,0,'Supuestos'!$C$8/$B26))*'Supuestos'!$C$20)*H$19)+(((IF($B26=0,0,'Supuestos'!$C$8/$B26))*'Supuestos'!$C$21)*'Supuestos'!$C$26))*'Supuestos'!$C$27)*'Supuestos'!$C$24)+(((((((IF($B26=0,0,'Supuestos'!$C$8/$B26))*'Supuestos'!$C$20)*H$19)+(((IF($B26=0,0,'Supuestos'!$C$8/$B26))*'Supuestos'!$C$21)*'Supuestos'!$C$26))*'Supuestos'!$C$27)*'Supuestos'!$C$29)*'Supuestos'!$C$28)+(((((((IF($B26=0,0,'Supuestos'!$C$8/$B26))*'Supuestos'!$C$20)*H$19)+(((IF($B26=0,0,'Supuestos'!$C$8/$B26))*'Supuestos'!$C$21)*'Supuestos'!$C$26))*'Supuestos'!$C$27)*'Supuestos'!$C$31)*'Supuestos'!$C$30))*('Supuestos'!$C$41+'Supuestos'!$C$42+'Supuestos'!$C$43))*(1-'Supuestos'!$C$34-'Supuestos'!$C$35-'Supuestos'!$C$36))-((IF($B26=0,0,'Supuestos'!$C$8/$B26))*'Supuestos'!$C$37)-'Supuestos'!$C$38-'Supuestos'!$C$8)</f>
        <v/>
      </c>
    </row>
    <row r="29">
      <c r="B29" s="3" t="inlineStr">
        <is>
          <t>Cuánto invertir para una facturación objetivo por lanzamiento, según el ROAS que querés</t>
        </is>
      </c>
    </row>
    <row r="30">
      <c r="B30" s="2" t="inlineStr">
        <is>
          <t>Inversión = facturación ÷ ROAS. Debajo: cuántos registros hacen falta y cuánto podés pagar por cada uno.</t>
        </is>
      </c>
    </row>
    <row r="31">
      <c r="B31" s="3" t="inlineStr">
        <is>
          <t>Facturación objetivo ↓ / ROAS objetivo →</t>
        </is>
      </c>
      <c r="C31" s="32" t="n">
        <v>1.5</v>
      </c>
      <c r="D31" s="32" t="n">
        <v>2</v>
      </c>
      <c r="E31" s="32" t="n">
        <v>2.5</v>
      </c>
      <c r="F31" s="32" t="n">
        <v>3</v>
      </c>
      <c r="G31" s="32" t="n">
        <v>4</v>
      </c>
    </row>
    <row r="32">
      <c r="B32" s="30" t="n">
        <v>5000</v>
      </c>
      <c r="C32" s="26">
        <f>$B32/C$31</f>
        <v/>
      </c>
      <c r="D32" s="26">
        <f>$B32/D$31</f>
        <v/>
      </c>
      <c r="E32" s="26">
        <f>$B32/E$31</f>
        <v/>
      </c>
      <c r="F32" s="26">
        <f>$B32/F$31</f>
        <v/>
      </c>
      <c r="G32" s="26">
        <f>$B32/G$31</f>
        <v/>
      </c>
    </row>
    <row r="33">
      <c r="B33" s="30" t="n">
        <v>10000</v>
      </c>
      <c r="C33" s="26">
        <f>$B33/C$31</f>
        <v/>
      </c>
      <c r="D33" s="26">
        <f>$B33/D$31</f>
        <v/>
      </c>
      <c r="E33" s="26">
        <f>$B33/E$31</f>
        <v/>
      </c>
      <c r="F33" s="26">
        <f>$B33/F$31</f>
        <v/>
      </c>
      <c r="G33" s="26">
        <f>$B33/G$31</f>
        <v/>
      </c>
    </row>
    <row r="34">
      <c r="B34" s="30" t="n">
        <v>20000</v>
      </c>
      <c r="C34" s="26">
        <f>$B34/C$31</f>
        <v/>
      </c>
      <c r="D34" s="26">
        <f>$B34/D$31</f>
        <v/>
      </c>
      <c r="E34" s="26">
        <f>$B34/E$31</f>
        <v/>
      </c>
      <c r="F34" s="26">
        <f>$B34/F$31</f>
        <v/>
      </c>
      <c r="G34" s="26">
        <f>$B34/G$31</f>
        <v/>
      </c>
    </row>
    <row r="35">
      <c r="B35" s="30" t="n">
        <v>30000</v>
      </c>
      <c r="C35" s="26">
        <f>$B35/C$31</f>
        <v/>
      </c>
      <c r="D35" s="26">
        <f>$B35/D$31</f>
        <v/>
      </c>
      <c r="E35" s="26">
        <f>$B35/E$31</f>
        <v/>
      </c>
      <c r="F35" s="26">
        <f>$B35/F$31</f>
        <v/>
      </c>
      <c r="G35" s="26">
        <f>$B35/G$31</f>
        <v/>
      </c>
    </row>
    <row r="36">
      <c r="B36" s="30" t="n">
        <v>50000</v>
      </c>
      <c r="C36" s="26">
        <f>$B36/C$31</f>
        <v/>
      </c>
      <c r="D36" s="26">
        <f>$B36/D$31</f>
        <v/>
      </c>
      <c r="E36" s="26">
        <f>$B36/E$31</f>
        <v/>
      </c>
      <c r="F36" s="26">
        <f>$B36/F$31</f>
        <v/>
      </c>
      <c r="G36" s="26">
        <f>$B36/G$31</f>
        <v/>
      </c>
    </row>
    <row r="37">
      <c r="B37" s="3" t="inlineStr">
        <is>
          <t>Cantidad de registros necesaria para esa facturación</t>
        </is>
      </c>
    </row>
    <row r="38">
      <c r="B38" s="33">
        <f>$B32</f>
        <v/>
      </c>
      <c r="C38" s="16">
        <f>IF('Modelo'!$C$37=0,"inalcanzable",$B32/'Modelo'!$C$37)</f>
        <v/>
      </c>
    </row>
    <row r="39">
      <c r="B39" s="33">
        <f>$B33</f>
        <v/>
      </c>
      <c r="C39" s="16">
        <f>IF('Modelo'!$C$37=0,"inalcanzable",$B33/'Modelo'!$C$37)</f>
        <v/>
      </c>
    </row>
    <row r="40">
      <c r="B40" s="33">
        <f>$B34</f>
        <v/>
      </c>
      <c r="C40" s="16">
        <f>IF('Modelo'!$C$37=0,"inalcanzable",$B34/'Modelo'!$C$37)</f>
        <v/>
      </c>
    </row>
    <row r="41">
      <c r="B41" s="33">
        <f>$B35</f>
        <v/>
      </c>
      <c r="C41" s="16">
        <f>IF('Modelo'!$C$37=0,"inalcanzable",$B35/'Modelo'!$C$37)</f>
        <v/>
      </c>
    </row>
    <row r="42">
      <c r="B42" s="33">
        <f>$B36</f>
        <v/>
      </c>
      <c r="C42" s="16">
        <f>IF('Modelo'!$C$37=0,"inalcanzable",$B36/'Modelo'!$C$37)</f>
        <v/>
      </c>
    </row>
    <row r="44">
      <c r="B44" s="3" t="inlineStr">
        <is>
          <t>Costo máximo por registro para cumplir cada ROAS (sobre facturado)</t>
        </is>
      </c>
    </row>
    <row r="45">
      <c r="C45" s="34" t="n">
        <v>1.5</v>
      </c>
      <c r="D45" s="34" t="n">
        <v>2</v>
      </c>
      <c r="E45" s="34" t="n">
        <v>2.5</v>
      </c>
      <c r="F45" s="34" t="n">
        <v>3</v>
      </c>
      <c r="G45" s="34" t="n">
        <v>4</v>
      </c>
    </row>
    <row r="46">
      <c r="B46" t="inlineStr">
        <is>
          <t>Costo máximo (facturado por unidad ÷ ROAS)</t>
        </is>
      </c>
      <c r="C46" s="19">
        <f>IF(C45=0,0,'Modelo'!$C$37/C45)</f>
        <v/>
      </c>
      <c r="D46" s="19">
        <f>IF(D45=0,0,'Modelo'!$C$37/D45)</f>
        <v/>
      </c>
      <c r="E46" s="19">
        <f>IF(E45=0,0,'Modelo'!$C$37/E45)</f>
        <v/>
      </c>
      <c r="F46" s="19">
        <f>IF(F45=0,0,'Modelo'!$C$37/F45)</f>
        <v/>
      </c>
      <c r="G46" s="19">
        <f>IF(G45=0,0,'Modelo'!$C$37/G45)</f>
        <v/>
      </c>
    </row>
    <row r="47">
      <c r="B47" s="2" t="inlineStr">
        <is>
          <t>Sobre cash neto, el techo real está en Modelo (ya descuenta comisiones y reembolsos).</t>
        </is>
      </c>
    </row>
    <row r="50">
      <c r="B50" s="3" t="inlineStr">
        <is>
          <t>Guardarraíl: el ROAS mínimo que tiene que dar cada nivel de inversión para que subir valga la pena</t>
        </is>
      </c>
    </row>
    <row r="51">
      <c r="B51" s="2" t="inlineStr">
        <is>
          <t>Parte de tu inversión y tu ROAS actuales. Cada dólar extra tiene que devolver al menos 1,3 neto. Si al subir un escalón el ROAS real queda por debajo del mínimo de esa fila, volvé al escalón anterior.</t>
        </is>
      </c>
    </row>
    <row r="52">
      <c r="B52" s="5" t="inlineStr">
        <is>
          <t>Nivel de inversión</t>
        </is>
      </c>
      <c r="C52" s="5" t="inlineStr">
        <is>
          <t>Inversión del período</t>
        </is>
      </c>
      <c r="D52" s="5" t="inlineStr">
        <is>
          <t>ROAS mínimo (cash neto)</t>
        </is>
      </c>
      <c r="E52" s="5" t="inlineStr">
        <is>
          <t>Ganancia mínima</t>
        </is>
      </c>
    </row>
    <row r="53">
      <c r="B53" t="inlineStr">
        <is>
          <t>actual</t>
        </is>
      </c>
      <c r="C53" s="26">
        <f>'Supuestos'!$C$8*1.0</f>
        <v/>
      </c>
      <c r="D53" s="27">
        <f>IF(C53=0,0,('Supuestos'!$C$8*'Modelo'!$C$47+1.3*(C53-'Supuestos'!$C$8))/C53)</f>
        <v/>
      </c>
      <c r="E53" s="26">
        <f>C53*(D53-1)</f>
        <v/>
      </c>
    </row>
    <row r="54">
      <c r="B54" t="inlineStr">
        <is>
          <t>× 1.25</t>
        </is>
      </c>
      <c r="C54" s="26">
        <f>'Supuestos'!$C$8*1.25</f>
        <v/>
      </c>
      <c r="D54" s="27">
        <f>IF(C54=0,0,('Supuestos'!$C$8*'Modelo'!$C$47+1.3*(C54-'Supuestos'!$C$8))/C54)</f>
        <v/>
      </c>
      <c r="E54" s="26">
        <f>C54*(D54-1)</f>
        <v/>
      </c>
    </row>
    <row r="55">
      <c r="B55" t="inlineStr">
        <is>
          <t>× 1.5</t>
        </is>
      </c>
      <c r="C55" s="26">
        <f>'Supuestos'!$C$8*1.5</f>
        <v/>
      </c>
      <c r="D55" s="27">
        <f>IF(C55=0,0,('Supuestos'!$C$8*'Modelo'!$C$47+1.3*(C55-'Supuestos'!$C$8))/C55)</f>
        <v/>
      </c>
      <c r="E55" s="26">
        <f>C55*(D55-1)</f>
        <v/>
      </c>
    </row>
    <row r="56">
      <c r="B56" t="inlineStr">
        <is>
          <t>× 2</t>
        </is>
      </c>
      <c r="C56" s="26">
        <f>'Supuestos'!$C$8*2.0</f>
        <v/>
      </c>
      <c r="D56" s="27">
        <f>IF(C56=0,0,('Supuestos'!$C$8*'Modelo'!$C$47+1.3*(C56-'Supuestos'!$C$8))/C56)</f>
        <v/>
      </c>
      <c r="E56" s="26">
        <f>C56*(D56-1)</f>
        <v/>
      </c>
    </row>
    <row r="57">
      <c r="B57" t="inlineStr">
        <is>
          <t>× 3</t>
        </is>
      </c>
      <c r="C57" s="26">
        <f>'Supuestos'!$C$8*3.0</f>
        <v/>
      </c>
      <c r="D57" s="27">
        <f>IF(C57=0,0,('Supuestos'!$C$8*'Modelo'!$C$47+1.3*(C57-'Supuestos'!$C$8))/C57)</f>
        <v/>
      </c>
      <c r="E57" s="26">
        <f>C57*(D57-1)</f>
        <v/>
      </c>
    </row>
  </sheetData>
  <conditionalFormatting sqref="C10:G14">
    <cfRule type="cellIs" priority="1" operator="lessThan" dxfId="2">
      <formula>0</formula>
    </cfRule>
    <cfRule type="cellIs" priority="2" operator="between" dxfId="1">
      <formula>0</formula>
      <formula>$C$5</formula>
    </cfRule>
    <cfRule type="cellIs" priority="3" operator="greaterThanOrEqual" dxfId="0">
      <formula>$C$5</formula>
    </cfRule>
  </conditionalFormatting>
  <conditionalFormatting sqref="C20:H26">
    <cfRule type="cellIs" priority="4" operator="lessThan" dxfId="2">
      <formula>0</formula>
    </cfRule>
    <cfRule type="cellIs" priority="5" operator="between" dxfId="1">
      <formula>0</formula>
      <formula>$C$5</formula>
    </cfRule>
    <cfRule type="cellIs" priority="6" operator="greaterThanOrEqual" dxfId="0">
      <formula>$C$5</formula>
    </cfRule>
  </conditionalFormatting>
  <pageMargins left="0.75" right="0.75" top="1" bottom="1" header="0.5" footer="0.5"/>
  <headerFooter>
    <oddHeader/>
    <oddFooter>&amp;C&amp;7 Modelo financiero de embudos · creado por Jesús Tassarolo · TooAudience · youtube.com/@JesusTassaroloSinFiltro</oddFooter>
    <evenHeader/>
    <evenFooter>&amp;C&amp;7 Modelo financiero de embudos · creado por Jesús Tassarolo · TooAudience · youtube.com/@JesusTassaroloSinFiltro</evenFooter>
    <firstHeader/>
    <firstFooter/>
  </headerFooter>
</worksheet>
</file>

<file path=xl/worksheets/sheet7.xml><?xml version="1.0" encoding="utf-8"?>
<worksheet xmlns="http://schemas.openxmlformats.org/spreadsheetml/2006/main">
  <sheetPr>
    <outlinePr summaryBelow="1" summaryRight="1"/>
    <pageSetUpPr/>
  </sheetPr>
  <dimension ref="B2:G15"/>
  <sheetViews>
    <sheetView showGridLines="0" workbookViewId="0">
      <selection activeCell="A1" sqref="A1"/>
    </sheetView>
  </sheetViews>
  <sheetFormatPr baseColWidth="8" defaultRowHeight="15"/>
  <cols>
    <col width="2" customWidth="1" min="1" max="1"/>
    <col width="54" customWidth="1" min="2" max="2"/>
    <col width="14" customWidth="1" min="3" max="3"/>
    <col width="18" customWidth="1" min="4" max="4"/>
    <col width="18" customWidth="1" min="5" max="5"/>
    <col width="12" customWidth="1" min="6" max="6"/>
    <col width="10" customWidth="1" min="7" max="7"/>
  </cols>
  <sheetData>
    <row r="2">
      <c r="B2" s="1" t="inlineStr">
        <is>
          <t>Sensibilidad: qué palanca mueve más la ganancia</t>
        </is>
      </c>
    </row>
    <row r="3">
      <c r="B3" s="2" t="inlineStr">
        <is>
          <t>Cada fila mejora una sola variable un 10 % (o baja un costo un 10 %) y recalcula la ganancia del período. El ranking dice qué conviene trabajar primero.</t>
        </is>
      </c>
    </row>
    <row r="5">
      <c r="B5" s="5" t="inlineStr">
        <is>
          <t>Palanca</t>
        </is>
      </c>
      <c r="C5" s="5" t="inlineStr">
        <is>
          <t>Cambio</t>
        </is>
      </c>
      <c r="D5" s="5" t="inlineStr">
        <is>
          <t>Ganancia nueva</t>
        </is>
      </c>
      <c r="E5" s="5" t="inlineStr">
        <is>
          <t>Diferencia</t>
        </is>
      </c>
      <c r="F5" s="5" t="inlineStr">
        <is>
          <t>Dif. %</t>
        </is>
      </c>
      <c r="G5" s="5" t="inlineStr">
        <is>
          <t>Ranking</t>
        </is>
      </c>
    </row>
    <row r="6">
      <c r="B6" s="3" t="inlineStr">
        <is>
          <t>Ganancia del período con los supuestos actuales</t>
        </is>
      </c>
      <c r="D6" s="8">
        <f>'Modelo'!$C$45</f>
        <v/>
      </c>
    </row>
    <row r="7">
      <c r="B7" t="inlineStr">
        <is>
          <t>CPM 10 % más barato (público, frecuencia, horario)</t>
        </is>
      </c>
      <c r="C7" t="inlineStr">
        <is>
          <t>−10 %</t>
        </is>
      </c>
      <c r="D7" s="26">
        <f>((((((((((IF((IF('Supuestos'!$C$11*'Supuestos'!$C$12*'Supuestos'!$C$15=0,0,('Supuestos'!$C$10*0.9)/1000/('Supuestos'!$C$11*'Supuestos'!$C$12*'Supuestos'!$C$15)))=0,0,'Supuestos'!$C$8/(IF('Supuestos'!$C$11*'Supuestos'!$C$12*'Supuestos'!$C$15=0,0,('Supuestos'!$C$10*0.9)/1000/('Supuestos'!$C$11*'Supuestos'!$C$12*'Supuestos'!$C$15)))))*'Supuestos'!$C$20)*'Supuestos'!$C$25)+(((IF((IF('Supuestos'!$C$11*'Supuestos'!$C$12*'Supuestos'!$C$15=0,0,('Supuestos'!$C$10*0.9)/1000/('Supuestos'!$C$11*'Supuestos'!$C$12*'Supuestos'!$C$15)))=0,0,'Supuestos'!$C$8/(IF('Supuestos'!$C$11*'Supuestos'!$C$12*'Supuestos'!$C$15=0,0,('Supuestos'!$C$10*0.9)/1000/('Supuestos'!$C$11*'Supuestos'!$C$12*'Supuestos'!$C$15)))))*'Supuestos'!$C$21)*'Supuestos'!$C$26))*'Supuestos'!$C$27)*'Supuestos'!$C$24)+(((((((IF((IF('Supuestos'!$C$11*'Supuestos'!$C$12*'Supuestos'!$C$15=0,0,('Supuestos'!$C$10*0.9)/1000/('Supuestos'!$C$11*'Supuestos'!$C$12*'Supuestos'!$C$15)))=0,0,'Supuestos'!$C$8/(IF('Supuestos'!$C$11*'Supuestos'!$C$12*'Supuestos'!$C$15=0,0,('Supuestos'!$C$10*0.9)/1000/('Supuestos'!$C$11*'Supuestos'!$C$12*'Supuestos'!$C$15)))))*'Supuestos'!$C$20)*'Supuestos'!$C$25)+(((IF((IF('Supuestos'!$C$11*'Supuestos'!$C$12*'Supuestos'!$C$15=0,0,('Supuestos'!$C$10*0.9)/1000/('Supuestos'!$C$11*'Supuestos'!$C$12*'Supuestos'!$C$15)))=0,0,'Supuestos'!$C$8/(IF('Supuestos'!$C$11*'Supuestos'!$C$12*'Supuestos'!$C$15=0,0,('Supuestos'!$C$10*0.9)/1000/('Supuestos'!$C$11*'Supuestos'!$C$12*'Supuestos'!$C$15)))))*'Supuestos'!$C$21)*'Supuestos'!$C$26))*'Supuestos'!$C$27)*'Supuestos'!$C$29)*'Supuestos'!$C$28)+(((((((IF((IF('Supuestos'!$C$11*'Supuestos'!$C$12*'Supuestos'!$C$15=0,0,('Supuestos'!$C$10*0.9)/1000/('Supuestos'!$C$11*'Supuestos'!$C$12*'Supuestos'!$C$15)))=0,0,'Supuestos'!$C$8/(IF('Supuestos'!$C$11*'Supuestos'!$C$12*'Supuestos'!$C$15=0,0,('Supuestos'!$C$10*0.9)/1000/('Supuestos'!$C$11*'Supuestos'!$C$12*'Supuestos'!$C$15)))))*'Supuestos'!$C$20)*'Supuestos'!$C$25)+(((IF((IF('Supuestos'!$C$11*'Supuestos'!$C$12*'Supuestos'!$C$15=0,0,('Supuestos'!$C$10*0.9)/1000/('Supuestos'!$C$11*'Supuestos'!$C$12*'Supuestos'!$C$15)))=0,0,'Supuestos'!$C$8/(IF('Supuestos'!$C$11*'Supuestos'!$C$12*'Supuestos'!$C$15=0,0,('Supuestos'!$C$10*0.9)/1000/('Supuestos'!$C$11*'Supuestos'!$C$12*'Supuestos'!$C$15)))))*'Supuestos'!$C$21)*'Supuestos'!$C$26))*'Supuestos'!$C$27)*'Supuestos'!$C$31)*'Supuestos'!$C$30))*('Supuestos'!$C$41+'Supuestos'!$C$42+'Supuestos'!$C$43))*(1-'Supuestos'!$C$34-'Supuestos'!$C$35-'Supuestos'!$C$36))-((IF((IF('Supuestos'!$C$11*'Supuestos'!$C$12*'Supuestos'!$C$15=0,0,('Supuestos'!$C$10*0.9)/1000/('Supuestos'!$C$11*'Supuestos'!$C$12*'Supuestos'!$C$15)))=0,0,'Supuestos'!$C$8/(IF('Supuestos'!$C$11*'Supuestos'!$C$12*'Supuestos'!$C$15=0,0,('Supuestos'!$C$10*0.9)/1000/('Supuestos'!$C$11*'Supuestos'!$C$12*'Supuestos'!$C$15)))))*'Supuestos'!$C$37)-'Supuestos'!$C$38-'Supuestos'!$C$8)</f>
        <v/>
      </c>
      <c r="E7" s="26">
        <f>D7-$D$6</f>
        <v/>
      </c>
      <c r="F7" s="17">
        <f>IF($D$6=0,0,E7/ABS($D$6))</f>
        <v/>
      </c>
      <c r="G7" s="16">
        <f>RANK(E7,$E$7:$E$15)</f>
        <v/>
      </c>
    </row>
    <row r="8">
      <c r="B8" t="inlineStr">
        <is>
          <t>CTR 10 % más alto (mejor creativo)</t>
        </is>
      </c>
      <c r="C8" t="inlineStr">
        <is>
          <t>+10 %</t>
        </is>
      </c>
      <c r="D8" s="26">
        <f>((((((((((IF((IF(('Supuestos'!$C$11*1.1)*'Supuestos'!$C$12*'Supuestos'!$C$15=0,0,'Supuestos'!$C$10/1000/(('Supuestos'!$C$11*1.1)*'Supuestos'!$C$12*'Supuestos'!$C$15)))=0,0,'Supuestos'!$C$8/(IF(('Supuestos'!$C$11*1.1)*'Supuestos'!$C$12*'Supuestos'!$C$15=0,0,'Supuestos'!$C$10/1000/(('Supuestos'!$C$11*1.1)*'Supuestos'!$C$12*'Supuestos'!$C$15)))))*'Supuestos'!$C$20)*'Supuestos'!$C$25)+(((IF((IF(('Supuestos'!$C$11*1.1)*'Supuestos'!$C$12*'Supuestos'!$C$15=0,0,'Supuestos'!$C$10/1000/(('Supuestos'!$C$11*1.1)*'Supuestos'!$C$12*'Supuestos'!$C$15)))=0,0,'Supuestos'!$C$8/(IF(('Supuestos'!$C$11*1.1)*'Supuestos'!$C$12*'Supuestos'!$C$15=0,0,'Supuestos'!$C$10/1000/(('Supuestos'!$C$11*1.1)*'Supuestos'!$C$12*'Supuestos'!$C$15)))))*'Supuestos'!$C$21)*'Supuestos'!$C$26))*'Supuestos'!$C$27)*'Supuestos'!$C$24)+(((((((IF((IF(('Supuestos'!$C$11*1.1)*'Supuestos'!$C$12*'Supuestos'!$C$15=0,0,'Supuestos'!$C$10/1000/(('Supuestos'!$C$11*1.1)*'Supuestos'!$C$12*'Supuestos'!$C$15)))=0,0,'Supuestos'!$C$8/(IF(('Supuestos'!$C$11*1.1)*'Supuestos'!$C$12*'Supuestos'!$C$15=0,0,'Supuestos'!$C$10/1000/(('Supuestos'!$C$11*1.1)*'Supuestos'!$C$12*'Supuestos'!$C$15)))))*'Supuestos'!$C$20)*'Supuestos'!$C$25)+(((IF((IF(('Supuestos'!$C$11*1.1)*'Supuestos'!$C$12*'Supuestos'!$C$15=0,0,'Supuestos'!$C$10/1000/(('Supuestos'!$C$11*1.1)*'Supuestos'!$C$12*'Supuestos'!$C$15)))=0,0,'Supuestos'!$C$8/(IF(('Supuestos'!$C$11*1.1)*'Supuestos'!$C$12*'Supuestos'!$C$15=0,0,'Supuestos'!$C$10/1000/(('Supuestos'!$C$11*1.1)*'Supuestos'!$C$12*'Supuestos'!$C$15)))))*'Supuestos'!$C$21)*'Supuestos'!$C$26))*'Supuestos'!$C$27)*'Supuestos'!$C$29)*'Supuestos'!$C$28)+(((((((IF((IF(('Supuestos'!$C$11*1.1)*'Supuestos'!$C$12*'Supuestos'!$C$15=0,0,'Supuestos'!$C$10/1000/(('Supuestos'!$C$11*1.1)*'Supuestos'!$C$12*'Supuestos'!$C$15)))=0,0,'Supuestos'!$C$8/(IF(('Supuestos'!$C$11*1.1)*'Supuestos'!$C$12*'Supuestos'!$C$15=0,0,'Supuestos'!$C$10/1000/(('Supuestos'!$C$11*1.1)*'Supuestos'!$C$12*'Supuestos'!$C$15)))))*'Supuestos'!$C$20)*'Supuestos'!$C$25)+(((IF((IF(('Supuestos'!$C$11*1.1)*'Supuestos'!$C$12*'Supuestos'!$C$15=0,0,'Supuestos'!$C$10/1000/(('Supuestos'!$C$11*1.1)*'Supuestos'!$C$12*'Supuestos'!$C$15)))=0,0,'Supuestos'!$C$8/(IF(('Supuestos'!$C$11*1.1)*'Supuestos'!$C$12*'Supuestos'!$C$15=0,0,'Supuestos'!$C$10/1000/(('Supuestos'!$C$11*1.1)*'Supuestos'!$C$12*'Supuestos'!$C$15)))))*'Supuestos'!$C$21)*'Supuestos'!$C$26))*'Supuestos'!$C$27)*'Supuestos'!$C$31)*'Supuestos'!$C$30))*('Supuestos'!$C$41+'Supuestos'!$C$42+'Supuestos'!$C$43))*(1-'Supuestos'!$C$34-'Supuestos'!$C$35-'Supuestos'!$C$36))-((IF((IF(('Supuestos'!$C$11*1.1)*'Supuestos'!$C$12*'Supuestos'!$C$15=0,0,'Supuestos'!$C$10/1000/(('Supuestos'!$C$11*1.1)*'Supuestos'!$C$12*'Supuestos'!$C$15)))=0,0,'Supuestos'!$C$8/(IF(('Supuestos'!$C$11*1.1)*'Supuestos'!$C$12*'Supuestos'!$C$15=0,0,'Supuestos'!$C$10/1000/(('Supuestos'!$C$11*1.1)*'Supuestos'!$C$12*'Supuestos'!$C$15)))))*'Supuestos'!$C$37)-'Supuestos'!$C$38-'Supuestos'!$C$8)</f>
        <v/>
      </c>
      <c r="E8" s="26">
        <f>D8-$D$6</f>
        <v/>
      </c>
      <c r="F8" s="17">
        <f>IF($D$6=0,0,E8/ABS($D$6))</f>
        <v/>
      </c>
      <c r="G8" s="16">
        <f>RANK(E8,$E$7:$E$15)</f>
        <v/>
      </c>
    </row>
    <row r="9">
      <c r="B9" t="inlineStr">
        <is>
          <t>Landing 10 % más conversión</t>
        </is>
      </c>
      <c r="C9" t="inlineStr">
        <is>
          <t>+10 %</t>
        </is>
      </c>
      <c r="D9" s="26">
        <f>((((((((((IF((IF('Supuestos'!$C$11*'Supuestos'!$C$12*('Supuestos'!$C$15*1.1)=0,0,'Supuestos'!$C$10/1000/('Supuestos'!$C$11*'Supuestos'!$C$12*('Supuestos'!$C$15*1.1))))=0,0,'Supuestos'!$C$8/(IF('Supuestos'!$C$11*'Supuestos'!$C$12*('Supuestos'!$C$15*1.1)=0,0,'Supuestos'!$C$10/1000/('Supuestos'!$C$11*'Supuestos'!$C$12*('Supuestos'!$C$15*1.1))))))*'Supuestos'!$C$20)*'Supuestos'!$C$25)+(((IF((IF('Supuestos'!$C$11*'Supuestos'!$C$12*('Supuestos'!$C$15*1.1)=0,0,'Supuestos'!$C$10/1000/('Supuestos'!$C$11*'Supuestos'!$C$12*('Supuestos'!$C$15*1.1))))=0,0,'Supuestos'!$C$8/(IF('Supuestos'!$C$11*'Supuestos'!$C$12*('Supuestos'!$C$15*1.1)=0,0,'Supuestos'!$C$10/1000/('Supuestos'!$C$11*'Supuestos'!$C$12*('Supuestos'!$C$15*1.1))))))*'Supuestos'!$C$21)*'Supuestos'!$C$26))*'Supuestos'!$C$27)*'Supuestos'!$C$24)+(((((((IF((IF('Supuestos'!$C$11*'Supuestos'!$C$12*('Supuestos'!$C$15*1.1)=0,0,'Supuestos'!$C$10/1000/('Supuestos'!$C$11*'Supuestos'!$C$12*('Supuestos'!$C$15*1.1))))=0,0,'Supuestos'!$C$8/(IF('Supuestos'!$C$11*'Supuestos'!$C$12*('Supuestos'!$C$15*1.1)=0,0,'Supuestos'!$C$10/1000/('Supuestos'!$C$11*'Supuestos'!$C$12*('Supuestos'!$C$15*1.1))))))*'Supuestos'!$C$20)*'Supuestos'!$C$25)+(((IF((IF('Supuestos'!$C$11*'Supuestos'!$C$12*('Supuestos'!$C$15*1.1)=0,0,'Supuestos'!$C$10/1000/('Supuestos'!$C$11*'Supuestos'!$C$12*('Supuestos'!$C$15*1.1))))=0,0,'Supuestos'!$C$8/(IF('Supuestos'!$C$11*'Supuestos'!$C$12*('Supuestos'!$C$15*1.1)=0,0,'Supuestos'!$C$10/1000/('Supuestos'!$C$11*'Supuestos'!$C$12*('Supuestos'!$C$15*1.1))))))*'Supuestos'!$C$21)*'Supuestos'!$C$26))*'Supuestos'!$C$27)*'Supuestos'!$C$29)*'Supuestos'!$C$28)+(((((((IF((IF('Supuestos'!$C$11*'Supuestos'!$C$12*('Supuestos'!$C$15*1.1)=0,0,'Supuestos'!$C$10/1000/('Supuestos'!$C$11*'Supuestos'!$C$12*('Supuestos'!$C$15*1.1))))=0,0,'Supuestos'!$C$8/(IF('Supuestos'!$C$11*'Supuestos'!$C$12*('Supuestos'!$C$15*1.1)=0,0,'Supuestos'!$C$10/1000/('Supuestos'!$C$11*'Supuestos'!$C$12*('Supuestos'!$C$15*1.1))))))*'Supuestos'!$C$20)*'Supuestos'!$C$25)+(((IF((IF('Supuestos'!$C$11*'Supuestos'!$C$12*('Supuestos'!$C$15*1.1)=0,0,'Supuestos'!$C$10/1000/('Supuestos'!$C$11*'Supuestos'!$C$12*('Supuestos'!$C$15*1.1))))=0,0,'Supuestos'!$C$8/(IF('Supuestos'!$C$11*'Supuestos'!$C$12*('Supuestos'!$C$15*1.1)=0,0,'Supuestos'!$C$10/1000/('Supuestos'!$C$11*'Supuestos'!$C$12*('Supuestos'!$C$15*1.1))))))*'Supuestos'!$C$21)*'Supuestos'!$C$26))*'Supuestos'!$C$27)*'Supuestos'!$C$31)*'Supuestos'!$C$30))*('Supuestos'!$C$41+'Supuestos'!$C$42+'Supuestos'!$C$43))*(1-'Supuestos'!$C$34-'Supuestos'!$C$35-'Supuestos'!$C$36))-((IF((IF('Supuestos'!$C$11*'Supuestos'!$C$12*('Supuestos'!$C$15*1.1)=0,0,'Supuestos'!$C$10/1000/('Supuestos'!$C$11*'Supuestos'!$C$12*('Supuestos'!$C$15*1.1))))=0,0,'Supuestos'!$C$8/(IF('Supuestos'!$C$11*'Supuestos'!$C$12*('Supuestos'!$C$15*1.1)=0,0,'Supuestos'!$C$10/1000/('Supuestos'!$C$11*'Supuestos'!$C$12*('Supuestos'!$C$15*1.1))))))*'Supuestos'!$C$37)-'Supuestos'!$C$38-'Supuestos'!$C$8)</f>
        <v/>
      </c>
      <c r="E9" s="26">
        <f>D9-$D$6</f>
        <v/>
      </c>
      <c r="F9" s="17">
        <f>IF($D$6=0,0,E9/ABS($D$6))</f>
        <v/>
      </c>
      <c r="G9" s="16">
        <f>RANK(E9,$E$7:$E$15)</f>
        <v/>
      </c>
    </row>
    <row r="10">
      <c r="B10" t="inlineStr">
        <is>
          <t>Show rate en vivo 10 % más alto (recordatorios, grupo, horario)</t>
        </is>
      </c>
      <c r="C10" t="inlineStr">
        <is>
          <t>+10 %</t>
        </is>
      </c>
      <c r="D10" s="26">
        <f>((((((((((IF((IF('Supuestos'!$C$11*'Supuestos'!$C$12*'Supuestos'!$C$15=0,0,'Supuestos'!$C$10/1000/('Supuestos'!$C$11*'Supuestos'!$C$12*'Supuestos'!$C$15)))=0,0,'Supuestos'!$C$8/(IF('Supuestos'!$C$11*'Supuestos'!$C$12*'Supuestos'!$C$15=0,0,'Supuestos'!$C$10/1000/('Supuestos'!$C$11*'Supuestos'!$C$12*'Supuestos'!$C$15)))))*('Supuestos'!$C$20*1.1))*'Supuestos'!$C$25)+(((IF((IF('Supuestos'!$C$11*'Supuestos'!$C$12*'Supuestos'!$C$15=0,0,'Supuestos'!$C$10/1000/('Supuestos'!$C$11*'Supuestos'!$C$12*'Supuestos'!$C$15)))=0,0,'Supuestos'!$C$8/(IF('Supuestos'!$C$11*'Supuestos'!$C$12*'Supuestos'!$C$15=0,0,'Supuestos'!$C$10/1000/('Supuestos'!$C$11*'Supuestos'!$C$12*'Supuestos'!$C$15)))))*'Supuestos'!$C$21)*'Supuestos'!$C$26))*'Supuestos'!$C$27)*'Supuestos'!$C$24)+(((((((IF((IF('Supuestos'!$C$11*'Supuestos'!$C$12*'Supuestos'!$C$15=0,0,'Supuestos'!$C$10/1000/('Supuestos'!$C$11*'Supuestos'!$C$12*'Supuestos'!$C$15)))=0,0,'Supuestos'!$C$8/(IF('Supuestos'!$C$11*'Supuestos'!$C$12*'Supuestos'!$C$15=0,0,'Supuestos'!$C$10/1000/('Supuestos'!$C$11*'Supuestos'!$C$12*'Supuestos'!$C$15)))))*('Supuestos'!$C$20*1.1))*'Supuestos'!$C$25)+(((IF((IF('Supuestos'!$C$11*'Supuestos'!$C$12*'Supuestos'!$C$15=0,0,'Supuestos'!$C$10/1000/('Supuestos'!$C$11*'Supuestos'!$C$12*'Supuestos'!$C$15)))=0,0,'Supuestos'!$C$8/(IF('Supuestos'!$C$11*'Supuestos'!$C$12*'Supuestos'!$C$15=0,0,'Supuestos'!$C$10/1000/('Supuestos'!$C$11*'Supuestos'!$C$12*'Supuestos'!$C$15)))))*'Supuestos'!$C$21)*'Supuestos'!$C$26))*'Supuestos'!$C$27)*'Supuestos'!$C$29)*'Supuestos'!$C$28)+(((((((IF((IF('Supuestos'!$C$11*'Supuestos'!$C$12*'Supuestos'!$C$15=0,0,'Supuestos'!$C$10/1000/('Supuestos'!$C$11*'Supuestos'!$C$12*'Supuestos'!$C$15)))=0,0,'Supuestos'!$C$8/(IF('Supuestos'!$C$11*'Supuestos'!$C$12*'Supuestos'!$C$15=0,0,'Supuestos'!$C$10/1000/('Supuestos'!$C$11*'Supuestos'!$C$12*'Supuestos'!$C$15)))))*('Supuestos'!$C$20*1.1))*'Supuestos'!$C$25)+(((IF((IF('Supuestos'!$C$11*'Supuestos'!$C$12*'Supuestos'!$C$15=0,0,'Supuestos'!$C$10/1000/('Supuestos'!$C$11*'Supuestos'!$C$12*'Supuestos'!$C$15)))=0,0,'Supuestos'!$C$8/(IF('Supuestos'!$C$11*'Supuestos'!$C$12*'Supuestos'!$C$15=0,0,'Supuestos'!$C$10/1000/('Supuestos'!$C$11*'Supuestos'!$C$12*'Supuestos'!$C$15)))))*'Supuestos'!$C$21)*'Supuestos'!$C$26))*'Supuestos'!$C$27)*'Supuestos'!$C$31)*'Supuestos'!$C$30))*('Supuestos'!$C$41+'Supuestos'!$C$42+'Supuestos'!$C$43))*(1-'Supuestos'!$C$34-'Supuestos'!$C$35-'Supuestos'!$C$36))-((IF((IF('Supuestos'!$C$11*'Supuestos'!$C$12*'Supuestos'!$C$15=0,0,'Supuestos'!$C$10/1000/('Supuestos'!$C$11*'Supuestos'!$C$12*'Supuestos'!$C$15)))=0,0,'Supuestos'!$C$8/(IF('Supuestos'!$C$11*'Supuestos'!$C$12*'Supuestos'!$C$15=0,0,'Supuestos'!$C$10/1000/('Supuestos'!$C$11*'Supuestos'!$C$12*'Supuestos'!$C$15)))))*'Supuestos'!$C$37)-'Supuestos'!$C$38-'Supuestos'!$C$8)</f>
        <v/>
      </c>
      <c r="E10" s="26">
        <f>D10-$D$6</f>
        <v/>
      </c>
      <c r="F10" s="17">
        <f>IF($D$6=0,0,E10/ABS($D$6))</f>
        <v/>
      </c>
      <c r="G10" s="16">
        <f>RANK(E10,$E$7:$E$15)</f>
        <v/>
      </c>
    </row>
    <row r="11">
      <c r="B11" t="inlineStr">
        <is>
          <t>10 % más asistentes en vivo que solicitan (oferta, pitch)</t>
        </is>
      </c>
      <c r="C11" t="inlineStr">
        <is>
          <t>+10 %</t>
        </is>
      </c>
      <c r="D11" s="26">
        <f>((((((((((IF((IF('Supuestos'!$C$11*'Supuestos'!$C$12*'Supuestos'!$C$15=0,0,'Supuestos'!$C$10/1000/('Supuestos'!$C$11*'Supuestos'!$C$12*'Supuestos'!$C$15)))=0,0,'Supuestos'!$C$8/(IF('Supuestos'!$C$11*'Supuestos'!$C$12*'Supuestos'!$C$15=0,0,'Supuestos'!$C$10/1000/('Supuestos'!$C$11*'Supuestos'!$C$12*'Supuestos'!$C$15)))))*'Supuestos'!$C$20)*('Supuestos'!$C$25*1.1))+(((IF((IF('Supuestos'!$C$11*'Supuestos'!$C$12*'Supuestos'!$C$15=0,0,'Supuestos'!$C$10/1000/('Supuestos'!$C$11*'Supuestos'!$C$12*'Supuestos'!$C$15)))=0,0,'Supuestos'!$C$8/(IF('Supuestos'!$C$11*'Supuestos'!$C$12*'Supuestos'!$C$15=0,0,'Supuestos'!$C$10/1000/('Supuestos'!$C$11*'Supuestos'!$C$12*'Supuestos'!$C$15)))))*'Supuestos'!$C$21)*'Supuestos'!$C$26))*'Supuestos'!$C$27)*'Supuestos'!$C$24)+(((((((IF((IF('Supuestos'!$C$11*'Supuestos'!$C$12*'Supuestos'!$C$15=0,0,'Supuestos'!$C$10/1000/('Supuestos'!$C$11*'Supuestos'!$C$12*'Supuestos'!$C$15)))=0,0,'Supuestos'!$C$8/(IF('Supuestos'!$C$11*'Supuestos'!$C$12*'Supuestos'!$C$15=0,0,'Supuestos'!$C$10/1000/('Supuestos'!$C$11*'Supuestos'!$C$12*'Supuestos'!$C$15)))))*'Supuestos'!$C$20)*('Supuestos'!$C$25*1.1))+(((IF((IF('Supuestos'!$C$11*'Supuestos'!$C$12*'Supuestos'!$C$15=0,0,'Supuestos'!$C$10/1000/('Supuestos'!$C$11*'Supuestos'!$C$12*'Supuestos'!$C$15)))=0,0,'Supuestos'!$C$8/(IF('Supuestos'!$C$11*'Supuestos'!$C$12*'Supuestos'!$C$15=0,0,'Supuestos'!$C$10/1000/('Supuestos'!$C$11*'Supuestos'!$C$12*'Supuestos'!$C$15)))))*'Supuestos'!$C$21)*'Supuestos'!$C$26))*'Supuestos'!$C$27)*'Supuestos'!$C$29)*'Supuestos'!$C$28)+(((((((IF((IF('Supuestos'!$C$11*'Supuestos'!$C$12*'Supuestos'!$C$15=0,0,'Supuestos'!$C$10/1000/('Supuestos'!$C$11*'Supuestos'!$C$12*'Supuestos'!$C$15)))=0,0,'Supuestos'!$C$8/(IF('Supuestos'!$C$11*'Supuestos'!$C$12*'Supuestos'!$C$15=0,0,'Supuestos'!$C$10/1000/('Supuestos'!$C$11*'Supuestos'!$C$12*'Supuestos'!$C$15)))))*'Supuestos'!$C$20)*('Supuestos'!$C$25*1.1))+(((IF((IF('Supuestos'!$C$11*'Supuestos'!$C$12*'Supuestos'!$C$15=0,0,'Supuestos'!$C$10/1000/('Supuestos'!$C$11*'Supuestos'!$C$12*'Supuestos'!$C$15)))=0,0,'Supuestos'!$C$8/(IF('Supuestos'!$C$11*'Supuestos'!$C$12*'Supuestos'!$C$15=0,0,'Supuestos'!$C$10/1000/('Supuestos'!$C$11*'Supuestos'!$C$12*'Supuestos'!$C$15)))))*'Supuestos'!$C$21)*'Supuestos'!$C$26))*'Supuestos'!$C$27)*'Supuestos'!$C$31)*'Supuestos'!$C$30))*('Supuestos'!$C$41+'Supuestos'!$C$42+'Supuestos'!$C$43))*(1-'Supuestos'!$C$34-'Supuestos'!$C$35-'Supuestos'!$C$36))-((IF((IF('Supuestos'!$C$11*'Supuestos'!$C$12*'Supuestos'!$C$15=0,0,'Supuestos'!$C$10/1000/('Supuestos'!$C$11*'Supuestos'!$C$12*'Supuestos'!$C$15)))=0,0,'Supuestos'!$C$8/(IF('Supuestos'!$C$11*'Supuestos'!$C$12*'Supuestos'!$C$15=0,0,'Supuestos'!$C$10/1000/('Supuestos'!$C$11*'Supuestos'!$C$12*'Supuestos'!$C$15)))))*'Supuestos'!$C$37)-'Supuestos'!$C$38-'Supuestos'!$C$8)</f>
        <v/>
      </c>
      <c r="E11" s="26">
        <f>D11-$D$6</f>
        <v/>
      </c>
      <c r="F11" s="17">
        <f>IF($D$6=0,0,E11/ABS($D$6))</f>
        <v/>
      </c>
      <c r="G11" s="16">
        <f>RANK(E11,$E$7:$E$15)</f>
        <v/>
      </c>
    </row>
    <row r="12">
      <c r="B12" t="inlineStr">
        <is>
          <t>10 % más solicitudes que terminan en compra (seguimiento, vendedor)</t>
        </is>
      </c>
      <c r="C12" t="inlineStr">
        <is>
          <t>+10 %</t>
        </is>
      </c>
      <c r="D12" s="26">
        <f>((((((((((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Supuestos'!$C$27*1.1))*'Supuestos'!$C$24)+(((((((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Supuestos'!$C$27*1.1))*'Supuestos'!$C$29)*'Supuestos'!$C$28)+(((((((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Supuestos'!$C$27*1.1))*'Supuestos'!$C$31)*'Supuestos'!$C$30))*('Supuestos'!$C$41+'Supuestos'!$C$42+'Supuestos'!$C$43))*(1-'Supuestos'!$C$34-'Supuestos'!$C$35-'Supuestos'!$C$36))-((IF((IF('Supuestos'!$C$11*'Supuestos'!$C$12*'Supuestos'!$C$15=0,0,'Supuestos'!$C$10/1000/('Supuestos'!$C$11*'Supuestos'!$C$12*'Supuestos'!$C$15)))=0,0,'Supuestos'!$C$8/(IF('Supuestos'!$C$11*'Supuestos'!$C$12*'Supuestos'!$C$15=0,0,'Supuestos'!$C$10/1000/('Supuestos'!$C$11*'Supuestos'!$C$12*'Supuestos'!$C$15)))))*'Supuestos'!$C$37)-'Supuestos'!$C$38-'Supuestos'!$C$8)</f>
        <v/>
      </c>
      <c r="E12" s="26">
        <f>D12-$D$6</f>
        <v/>
      </c>
      <c r="F12" s="17">
        <f>IF($D$6=0,0,E12/ABS($D$6))</f>
        <v/>
      </c>
      <c r="G12" s="16">
        <f>RANK(E12,$E$7:$E$15)</f>
        <v/>
      </c>
    </row>
    <row r="13">
      <c r="B13" t="inlineStr">
        <is>
          <t>Precio de la oferta 10 % más alto (misma conversión)</t>
        </is>
      </c>
      <c r="C13" t="inlineStr">
        <is>
          <t>+10 %</t>
        </is>
      </c>
      <c r="D13" s="26">
        <f>((((((((((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Supuestos'!$C$27)*('Supuestos'!$C$24*1.1))+(((((((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Supuestos'!$C$27)*'Supuestos'!$C$29)*'Supuestos'!$C$28)+(((((((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Supuestos'!$C$27)*'Supuestos'!$C$31)*'Supuestos'!$C$30))*('Supuestos'!$C$41+'Supuestos'!$C$42+'Supuestos'!$C$43))*(1-'Supuestos'!$C$34-'Supuestos'!$C$35-'Supuestos'!$C$36))-((IF((IF('Supuestos'!$C$11*'Supuestos'!$C$12*'Supuestos'!$C$15=0,0,'Supuestos'!$C$10/1000/('Supuestos'!$C$11*'Supuestos'!$C$12*'Supuestos'!$C$15)))=0,0,'Supuestos'!$C$8/(IF('Supuestos'!$C$11*'Supuestos'!$C$12*'Supuestos'!$C$15=0,0,'Supuestos'!$C$10/1000/('Supuestos'!$C$11*'Supuestos'!$C$12*'Supuestos'!$C$15)))))*'Supuestos'!$C$37)-'Supuestos'!$C$38-'Supuestos'!$C$8)</f>
        <v/>
      </c>
      <c r="E13" s="26">
        <f>D13-$D$6</f>
        <v/>
      </c>
      <c r="F13" s="17">
        <f>IF($D$6=0,0,E13/ABS($D$6))</f>
        <v/>
      </c>
      <c r="G13" s="16">
        <f>RANK(E13,$E$7:$E$15)</f>
        <v/>
      </c>
    </row>
    <row r="14">
      <c r="B14" t="inlineStr">
        <is>
          <t>Bump tomado 10 % más</t>
        </is>
      </c>
      <c r="C14" t="inlineStr">
        <is>
          <t>+10 %</t>
        </is>
      </c>
      <c r="D14" s="26">
        <f>((((((((((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Supuestos'!$C$27)*'Supuestos'!$C$24)+(((((((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Supuestos'!$C$27)*('Supuestos'!$C$29*1.1))*'Supuestos'!$C$28)+(((((((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Supuestos'!$C$27)*'Supuestos'!$C$31)*'Supuestos'!$C$30))*('Supuestos'!$C$41+'Supuestos'!$C$42+'Supuestos'!$C$43))*(1-'Supuestos'!$C$34-'Supuestos'!$C$35-'Supuestos'!$C$36))-((IF((IF('Supuestos'!$C$11*'Supuestos'!$C$12*'Supuestos'!$C$15=0,0,'Supuestos'!$C$10/1000/('Supuestos'!$C$11*'Supuestos'!$C$12*'Supuestos'!$C$15)))=0,0,'Supuestos'!$C$8/(IF('Supuestos'!$C$11*'Supuestos'!$C$12*'Supuestos'!$C$15=0,0,'Supuestos'!$C$10/1000/('Supuestos'!$C$11*'Supuestos'!$C$12*'Supuestos'!$C$15)))))*'Supuestos'!$C$37)-'Supuestos'!$C$38-'Supuestos'!$C$8)</f>
        <v/>
      </c>
      <c r="E14" s="26">
        <f>D14-$D$6</f>
        <v/>
      </c>
      <c r="F14" s="17">
        <f>IF($D$6=0,0,E14/ABS($D$6))</f>
        <v/>
      </c>
      <c r="G14" s="16">
        <f>RANK(E14,$E$7:$E$15)</f>
        <v/>
      </c>
    </row>
    <row r="15">
      <c r="B15" t="inlineStr">
        <is>
          <t>Programa superior 10 % más tomado</t>
        </is>
      </c>
      <c r="C15" t="inlineStr">
        <is>
          <t>+10 %</t>
        </is>
      </c>
      <c r="D15" s="26">
        <f>((((((((((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Supuestos'!$C$27)*'Supuestos'!$C$24)+(((((((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Supuestos'!$C$27)*'Supuestos'!$C$29)*'Supuestos'!$C$28)+(((((((IF((IF('Supuestos'!$C$11*'Supuestos'!$C$12*'Supuestos'!$C$15=0,0,'Supuestos'!$C$10/1000/('Supuestos'!$C$11*'Supuestos'!$C$12*'Supuestos'!$C$15)))=0,0,'Supuestos'!$C$8/(IF('Supuestos'!$C$11*'Supuestos'!$C$12*'Supuestos'!$C$15=0,0,'Supuestos'!$C$10/1000/('Supuestos'!$C$11*'Supuestos'!$C$12*'Supuestos'!$C$15)))))*'Supuestos'!$C$20)*'Supuestos'!$C$25)+(((IF((IF('Supuestos'!$C$11*'Supuestos'!$C$12*'Supuestos'!$C$15=0,0,'Supuestos'!$C$10/1000/('Supuestos'!$C$11*'Supuestos'!$C$12*'Supuestos'!$C$15)))=0,0,'Supuestos'!$C$8/(IF('Supuestos'!$C$11*'Supuestos'!$C$12*'Supuestos'!$C$15=0,0,'Supuestos'!$C$10/1000/('Supuestos'!$C$11*'Supuestos'!$C$12*'Supuestos'!$C$15)))))*'Supuestos'!$C$21)*'Supuestos'!$C$26))*'Supuestos'!$C$27)*('Supuestos'!$C$31*1.1))*'Supuestos'!$C$30))*('Supuestos'!$C$41+'Supuestos'!$C$42+'Supuestos'!$C$43))*(1-'Supuestos'!$C$34-'Supuestos'!$C$35-'Supuestos'!$C$36))-((IF((IF('Supuestos'!$C$11*'Supuestos'!$C$12*'Supuestos'!$C$15=0,0,'Supuestos'!$C$10/1000/('Supuestos'!$C$11*'Supuestos'!$C$12*'Supuestos'!$C$15)))=0,0,'Supuestos'!$C$8/(IF('Supuestos'!$C$11*'Supuestos'!$C$12*'Supuestos'!$C$15=0,0,'Supuestos'!$C$10/1000/('Supuestos'!$C$11*'Supuestos'!$C$12*'Supuestos'!$C$15)))))*'Supuestos'!$C$37)-'Supuestos'!$C$38-'Supuestos'!$C$8)</f>
        <v/>
      </c>
      <c r="E15" s="26">
        <f>D15-$D$6</f>
        <v/>
      </c>
      <c r="F15" s="17">
        <f>IF($D$6=0,0,E15/ABS($D$6))</f>
        <v/>
      </c>
      <c r="G15" s="16">
        <f>RANK(E15,$E$7:$E$15)</f>
        <v/>
      </c>
    </row>
  </sheetData>
  <pageMargins left="0.75" right="0.75" top="1" bottom="1" header="0.5" footer="0.5"/>
  <headerFooter>
    <oddHeader/>
    <oddFooter>&amp;C&amp;7 Modelo financiero de embudos · creado por Jesús Tassarolo · TooAudience · youtube.com/@JesusTassaroloSinFiltro</oddFooter>
    <evenHeader/>
    <evenFooter>&amp;C&amp;7 Modelo financiero de embudos · creado por Jesús Tassarolo · TooAudience · youtube.com/@JesusTassaroloSinFiltro</evenFooter>
    <firstHeader/>
    <firstFooter/>
  </headerFooter>
</worksheet>
</file>

<file path=xl/worksheets/sheet8.xml><?xml version="1.0" encoding="utf-8"?>
<worksheet xmlns="http://schemas.openxmlformats.org/spreadsheetml/2006/main">
  <sheetPr>
    <outlinePr summaryBelow="1" summaryRight="1"/>
    <pageSetUpPr/>
  </sheetPr>
  <dimension ref="B2:O2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5" customWidth="1" min="15" max="15"/>
  </cols>
  <sheetData>
    <row r="2">
      <c r="B2" s="1" t="inlineStr">
        <is>
          <t>Proyección a 12 meses y caja</t>
        </is>
      </c>
    </row>
    <row r="3">
      <c r="B3" s="2" t="inlineStr">
        <is>
          <t>La inversión crece cada mes según el supuesto de crecimiento. El cash entra según la curva de cobranza (mes 1 / 2 / 3). La ganancia acumulada muestra cuánto dinero hace falta para sostener la pauta. Cada mes multiplica inversión, costos fijos y ventas por los lanzamientos por mes de Supuestos.</t>
        </is>
      </c>
    </row>
    <row r="5">
      <c r="B5" s="5" t="inlineStr">
        <is>
          <t>Concepto</t>
        </is>
      </c>
      <c r="C5" s="5" t="inlineStr">
        <is>
          <t>Mes 1</t>
        </is>
      </c>
      <c r="D5" s="5" t="inlineStr">
        <is>
          <t>Mes 2</t>
        </is>
      </c>
      <c r="E5" s="5" t="inlineStr">
        <is>
          <t>Mes 3</t>
        </is>
      </c>
      <c r="F5" s="5" t="inlineStr">
        <is>
          <t>Mes 4</t>
        </is>
      </c>
      <c r="G5" s="5" t="inlineStr">
        <is>
          <t>Mes 5</t>
        </is>
      </c>
      <c r="H5" s="5" t="inlineStr">
        <is>
          <t>Mes 6</t>
        </is>
      </c>
      <c r="I5" s="5" t="inlineStr">
        <is>
          <t>Mes 7</t>
        </is>
      </c>
      <c r="J5" s="5" t="inlineStr">
        <is>
          <t>Mes 8</t>
        </is>
      </c>
      <c r="K5" s="5" t="inlineStr">
        <is>
          <t>Mes 9</t>
        </is>
      </c>
      <c r="L5" s="5" t="inlineStr">
        <is>
          <t>Mes 10</t>
        </is>
      </c>
      <c r="M5" s="5" t="inlineStr">
        <is>
          <t>Mes 11</t>
        </is>
      </c>
      <c r="N5" s="5" t="inlineStr">
        <is>
          <t>Mes 12</t>
        </is>
      </c>
      <c r="O5" s="5" t="inlineStr">
        <is>
          <t>Total</t>
        </is>
      </c>
    </row>
    <row r="6">
      <c r="B6" t="inlineStr">
        <is>
          <t>Inversión en publicidad del mes</t>
        </is>
      </c>
      <c r="C6" s="26">
        <f>'Supuestos'!$C$8*'Supuestos'!$C$9</f>
        <v/>
      </c>
      <c r="D6" s="26">
        <f>C6*(1+'Supuestos'!$C$49)</f>
        <v/>
      </c>
      <c r="E6" s="26">
        <f>D6*(1+'Supuestos'!$C$49)</f>
        <v/>
      </c>
      <c r="F6" s="26">
        <f>E6*(1+'Supuestos'!$C$49)</f>
        <v/>
      </c>
      <c r="G6" s="26">
        <f>F6*(1+'Supuestos'!$C$49)</f>
        <v/>
      </c>
      <c r="H6" s="26">
        <f>G6*(1+'Supuestos'!$C$49)</f>
        <v/>
      </c>
      <c r="I6" s="26">
        <f>H6*(1+'Supuestos'!$C$49)</f>
        <v/>
      </c>
      <c r="J6" s="26">
        <f>I6*(1+'Supuestos'!$C$49)</f>
        <v/>
      </c>
      <c r="K6" s="26">
        <f>J6*(1+'Supuestos'!$C$49)</f>
        <v/>
      </c>
      <c r="L6" s="26">
        <f>K6*(1+'Supuestos'!$C$49)</f>
        <v/>
      </c>
      <c r="M6" s="26">
        <f>L6*(1+'Supuestos'!$C$49)</f>
        <v/>
      </c>
      <c r="N6" s="26">
        <f>M6*(1+'Supuestos'!$C$49)</f>
        <v/>
      </c>
      <c r="O6" s="8">
        <f>SUM(C6:N6)</f>
        <v/>
      </c>
    </row>
    <row r="7">
      <c r="B7" t="inlineStr">
        <is>
          <t>Registros compradas</t>
        </is>
      </c>
      <c r="C7" s="16">
        <f>IF('Modelo'!$C$10=0,0,C6/'Modelo'!$C$10)</f>
        <v/>
      </c>
      <c r="D7" s="16">
        <f>IF('Modelo'!$C$10=0,0,D6/'Modelo'!$C$10)</f>
        <v/>
      </c>
      <c r="E7" s="16">
        <f>IF('Modelo'!$C$10=0,0,E6/'Modelo'!$C$10)</f>
        <v/>
      </c>
      <c r="F7" s="16">
        <f>IF('Modelo'!$C$10=0,0,F6/'Modelo'!$C$10)</f>
        <v/>
      </c>
      <c r="G7" s="16">
        <f>IF('Modelo'!$C$10=0,0,G6/'Modelo'!$C$10)</f>
        <v/>
      </c>
      <c r="H7" s="16">
        <f>IF('Modelo'!$C$10=0,0,H6/'Modelo'!$C$10)</f>
        <v/>
      </c>
      <c r="I7" s="16">
        <f>IF('Modelo'!$C$10=0,0,I6/'Modelo'!$C$10)</f>
        <v/>
      </c>
      <c r="J7" s="16">
        <f>IF('Modelo'!$C$10=0,0,J6/'Modelo'!$C$10)</f>
        <v/>
      </c>
      <c r="K7" s="16">
        <f>IF('Modelo'!$C$10=0,0,K6/'Modelo'!$C$10)</f>
        <v/>
      </c>
      <c r="L7" s="16">
        <f>IF('Modelo'!$C$10=0,0,L6/'Modelo'!$C$10)</f>
        <v/>
      </c>
      <c r="M7" s="16">
        <f>IF('Modelo'!$C$10=0,0,M6/'Modelo'!$C$10)</f>
        <v/>
      </c>
      <c r="N7" s="16">
        <f>IF('Modelo'!$C$10=0,0,N6/'Modelo'!$C$10)</f>
        <v/>
      </c>
      <c r="O7" s="10">
        <f>SUM(C7:N7)</f>
        <v/>
      </c>
    </row>
    <row r="8">
      <c r="B8" t="inlineStr">
        <is>
          <t>Ventas del producto principal</t>
        </is>
      </c>
      <c r="C8" s="25">
        <f>C7*'Modelo'!$C$36</f>
        <v/>
      </c>
      <c r="D8" s="25">
        <f>D7*'Modelo'!$C$36</f>
        <v/>
      </c>
      <c r="E8" s="25">
        <f>E7*'Modelo'!$C$36</f>
        <v/>
      </c>
      <c r="F8" s="25">
        <f>F7*'Modelo'!$C$36</f>
        <v/>
      </c>
      <c r="G8" s="25">
        <f>G7*'Modelo'!$C$36</f>
        <v/>
      </c>
      <c r="H8" s="25">
        <f>H7*'Modelo'!$C$36</f>
        <v/>
      </c>
      <c r="I8" s="25">
        <f>I7*'Modelo'!$C$36</f>
        <v/>
      </c>
      <c r="J8" s="25">
        <f>J7*'Modelo'!$C$36</f>
        <v/>
      </c>
      <c r="K8" s="25">
        <f>K7*'Modelo'!$C$36</f>
        <v/>
      </c>
      <c r="L8" s="25">
        <f>L7*'Modelo'!$C$36</f>
        <v/>
      </c>
      <c r="M8" s="25">
        <f>M7*'Modelo'!$C$36</f>
        <v/>
      </c>
      <c r="N8" s="25">
        <f>N7*'Modelo'!$C$36</f>
        <v/>
      </c>
      <c r="O8" s="11">
        <f>SUM(C8:N8)</f>
        <v/>
      </c>
    </row>
    <row r="9">
      <c r="B9" t="inlineStr">
        <is>
          <t>Facturado (todos los productos)</t>
        </is>
      </c>
      <c r="C9" s="26">
        <f>C7*'Modelo'!$C$37</f>
        <v/>
      </c>
      <c r="D9" s="26">
        <f>D7*'Modelo'!$C$37</f>
        <v/>
      </c>
      <c r="E9" s="26">
        <f>E7*'Modelo'!$C$37</f>
        <v/>
      </c>
      <c r="F9" s="26">
        <f>F7*'Modelo'!$C$37</f>
        <v/>
      </c>
      <c r="G9" s="26">
        <f>G7*'Modelo'!$C$37</f>
        <v/>
      </c>
      <c r="H9" s="26">
        <f>H7*'Modelo'!$C$37</f>
        <v/>
      </c>
      <c r="I9" s="26">
        <f>I7*'Modelo'!$C$37</f>
        <v/>
      </c>
      <c r="J9" s="26">
        <f>J7*'Modelo'!$C$37</f>
        <v/>
      </c>
      <c r="K9" s="26">
        <f>K7*'Modelo'!$C$37</f>
        <v/>
      </c>
      <c r="L9" s="26">
        <f>L7*'Modelo'!$C$37</f>
        <v/>
      </c>
      <c r="M9" s="26">
        <f>M7*'Modelo'!$C$37</f>
        <v/>
      </c>
      <c r="N9" s="26">
        <f>N7*'Modelo'!$C$37</f>
        <v/>
      </c>
      <c r="O9" s="8">
        <f>SUM(C9:N9)</f>
        <v/>
      </c>
    </row>
    <row r="10">
      <c r="B10" t="inlineStr">
        <is>
          <t>Cash cobrado en el mes</t>
        </is>
      </c>
      <c r="C10" s="26">
        <f>C9*'Supuestos'!$C$41</f>
        <v/>
      </c>
      <c r="D10" s="26">
        <f>D9*'Supuestos'!$C$41+C9*'Supuestos'!$C$42</f>
        <v/>
      </c>
      <c r="E10" s="26">
        <f>E9*'Supuestos'!$C$41+D9*'Supuestos'!$C$42+C9*'Supuestos'!$C$43</f>
        <v/>
      </c>
      <c r="F10" s="26">
        <f>F9*'Supuestos'!$C$41+E9*'Supuestos'!$C$42+D9*'Supuestos'!$C$43</f>
        <v/>
      </c>
      <c r="G10" s="26">
        <f>G9*'Supuestos'!$C$41+F9*'Supuestos'!$C$42+E9*'Supuestos'!$C$43</f>
        <v/>
      </c>
      <c r="H10" s="26">
        <f>H9*'Supuestos'!$C$41+G9*'Supuestos'!$C$42+F9*'Supuestos'!$C$43</f>
        <v/>
      </c>
      <c r="I10" s="26">
        <f>I9*'Supuestos'!$C$41+H9*'Supuestos'!$C$42+G9*'Supuestos'!$C$43</f>
        <v/>
      </c>
      <c r="J10" s="26">
        <f>J9*'Supuestos'!$C$41+I9*'Supuestos'!$C$42+H9*'Supuestos'!$C$43</f>
        <v/>
      </c>
      <c r="K10" s="26">
        <f>K9*'Supuestos'!$C$41+J9*'Supuestos'!$C$42+I9*'Supuestos'!$C$43</f>
        <v/>
      </c>
      <c r="L10" s="26">
        <f>L9*'Supuestos'!$C$41+K9*'Supuestos'!$C$42+J9*'Supuestos'!$C$43</f>
        <v/>
      </c>
      <c r="M10" s="26">
        <f>M9*'Supuestos'!$C$41+L9*'Supuestos'!$C$42+K9*'Supuestos'!$C$43</f>
        <v/>
      </c>
      <c r="N10" s="26">
        <f>N9*'Supuestos'!$C$41+M9*'Supuestos'!$C$42+L9*'Supuestos'!$C$43</f>
        <v/>
      </c>
      <c r="O10" s="8">
        <f>SUM(C10:N10)</f>
        <v/>
      </c>
    </row>
    <row r="11">
      <c r="B11" t="inlineStr">
        <is>
          <t>Comisiones y reembolsos</t>
        </is>
      </c>
      <c r="C11" s="26">
        <f>C10*('Supuestos'!$C$34+'Supuestos'!$C$35+'Supuestos'!$C$36)</f>
        <v/>
      </c>
      <c r="D11" s="26">
        <f>D10*('Supuestos'!$C$34+'Supuestos'!$C$35+'Supuestos'!$C$36)</f>
        <v/>
      </c>
      <c r="E11" s="26">
        <f>E10*('Supuestos'!$C$34+'Supuestos'!$C$35+'Supuestos'!$C$36)</f>
        <v/>
      </c>
      <c r="F11" s="26">
        <f>F10*('Supuestos'!$C$34+'Supuestos'!$C$35+'Supuestos'!$C$36)</f>
        <v/>
      </c>
      <c r="G11" s="26">
        <f>G10*('Supuestos'!$C$34+'Supuestos'!$C$35+'Supuestos'!$C$36)</f>
        <v/>
      </c>
      <c r="H11" s="26">
        <f>H10*('Supuestos'!$C$34+'Supuestos'!$C$35+'Supuestos'!$C$36)</f>
        <v/>
      </c>
      <c r="I11" s="26">
        <f>I10*('Supuestos'!$C$34+'Supuestos'!$C$35+'Supuestos'!$C$36)</f>
        <v/>
      </c>
      <c r="J11" s="26">
        <f>J10*('Supuestos'!$C$34+'Supuestos'!$C$35+'Supuestos'!$C$36)</f>
        <v/>
      </c>
      <c r="K11" s="26">
        <f>K10*('Supuestos'!$C$34+'Supuestos'!$C$35+'Supuestos'!$C$36)</f>
        <v/>
      </c>
      <c r="L11" s="26">
        <f>L10*('Supuestos'!$C$34+'Supuestos'!$C$35+'Supuestos'!$C$36)</f>
        <v/>
      </c>
      <c r="M11" s="26">
        <f>M10*('Supuestos'!$C$34+'Supuestos'!$C$35+'Supuestos'!$C$36)</f>
        <v/>
      </c>
      <c r="N11" s="26">
        <f>N10*('Supuestos'!$C$34+'Supuestos'!$C$35+'Supuestos'!$C$36)</f>
        <v/>
      </c>
      <c r="O11" s="8">
        <f>SUM(C11:N11)</f>
        <v/>
      </c>
    </row>
    <row r="12">
      <c r="B12" t="inlineStr">
        <is>
          <t>Costos por unidad (herramientas, WhatsApp, IA)</t>
        </is>
      </c>
      <c r="C12" s="26">
        <f>C7*'Supuestos'!$C$37</f>
        <v/>
      </c>
      <c r="D12" s="26">
        <f>D7*'Supuestos'!$C$37</f>
        <v/>
      </c>
      <c r="E12" s="26">
        <f>E7*'Supuestos'!$C$37</f>
        <v/>
      </c>
      <c r="F12" s="26">
        <f>F7*'Supuestos'!$C$37</f>
        <v/>
      </c>
      <c r="G12" s="26">
        <f>G7*'Supuestos'!$C$37</f>
        <v/>
      </c>
      <c r="H12" s="26">
        <f>H7*'Supuestos'!$C$37</f>
        <v/>
      </c>
      <c r="I12" s="26">
        <f>I7*'Supuestos'!$C$37</f>
        <v/>
      </c>
      <c r="J12" s="26">
        <f>J7*'Supuestos'!$C$37</f>
        <v/>
      </c>
      <c r="K12" s="26">
        <f>K7*'Supuestos'!$C$37</f>
        <v/>
      </c>
      <c r="L12" s="26">
        <f>L7*'Supuestos'!$C$37</f>
        <v/>
      </c>
      <c r="M12" s="26">
        <f>M7*'Supuestos'!$C$37</f>
        <v/>
      </c>
      <c r="N12" s="26">
        <f>N7*'Supuestos'!$C$37</f>
        <v/>
      </c>
      <c r="O12" s="8">
        <f>SUM(C12:N12)</f>
        <v/>
      </c>
    </row>
    <row r="13">
      <c r="B13" t="inlineStr">
        <is>
          <t>Costos fijos del mes</t>
        </is>
      </c>
      <c r="C13" s="26">
        <f>'Supuestos'!$C$38*'Supuestos'!$C$9</f>
        <v/>
      </c>
      <c r="D13" s="26">
        <f>'Supuestos'!$C$38*'Supuestos'!$C$9</f>
        <v/>
      </c>
      <c r="E13" s="26">
        <f>'Supuestos'!$C$38*'Supuestos'!$C$9</f>
        <v/>
      </c>
      <c r="F13" s="26">
        <f>'Supuestos'!$C$38*'Supuestos'!$C$9</f>
        <v/>
      </c>
      <c r="G13" s="26">
        <f>'Supuestos'!$C$38*'Supuestos'!$C$9</f>
        <v/>
      </c>
      <c r="H13" s="26">
        <f>'Supuestos'!$C$38*'Supuestos'!$C$9</f>
        <v/>
      </c>
      <c r="I13" s="26">
        <f>'Supuestos'!$C$38*'Supuestos'!$C$9</f>
        <v/>
      </c>
      <c r="J13" s="26">
        <f>'Supuestos'!$C$38*'Supuestos'!$C$9</f>
        <v/>
      </c>
      <c r="K13" s="26">
        <f>'Supuestos'!$C$38*'Supuestos'!$C$9</f>
        <v/>
      </c>
      <c r="L13" s="26">
        <f>'Supuestos'!$C$38*'Supuestos'!$C$9</f>
        <v/>
      </c>
      <c r="M13" s="26">
        <f>'Supuestos'!$C$38*'Supuestos'!$C$9</f>
        <v/>
      </c>
      <c r="N13" s="26">
        <f>'Supuestos'!$C$38*'Supuestos'!$C$9</f>
        <v/>
      </c>
      <c r="O13" s="8">
        <f>SUM(C13:N13)</f>
        <v/>
      </c>
    </row>
    <row r="14">
      <c r="B14" s="3" t="inlineStr">
        <is>
          <t>Ganancia de caja del mes</t>
        </is>
      </c>
      <c r="C14" s="8">
        <f>C10-C11-C12-C13-C6</f>
        <v/>
      </c>
      <c r="D14" s="8">
        <f>D10-D11-D12-D13-D6</f>
        <v/>
      </c>
      <c r="E14" s="8">
        <f>E10-E11-E12-E13-E6</f>
        <v/>
      </c>
      <c r="F14" s="8">
        <f>F10-F11-F12-F13-F6</f>
        <v/>
      </c>
      <c r="G14" s="8">
        <f>G10-G11-G12-G13-G6</f>
        <v/>
      </c>
      <c r="H14" s="8">
        <f>H10-H11-H12-H13-H6</f>
        <v/>
      </c>
      <c r="I14" s="8">
        <f>I10-I11-I12-I13-I6</f>
        <v/>
      </c>
      <c r="J14" s="8">
        <f>J10-J11-J12-J13-J6</f>
        <v/>
      </c>
      <c r="K14" s="8">
        <f>K10-K11-K12-K13-K6</f>
        <v/>
      </c>
      <c r="L14" s="8">
        <f>L10-L11-L12-L13-L6</f>
        <v/>
      </c>
      <c r="M14" s="8">
        <f>M10-M11-M12-M13-M6</f>
        <v/>
      </c>
      <c r="N14" s="8">
        <f>N10-N11-N12-N13-N6</f>
        <v/>
      </c>
      <c r="O14" s="8">
        <f>SUM(C14:N14)</f>
        <v/>
      </c>
    </row>
    <row r="15">
      <c r="B15" s="3" t="inlineStr">
        <is>
          <t>Ganancia de caja acumulada (desde cero)</t>
        </is>
      </c>
      <c r="C15" s="8">
        <f>C14</f>
        <v/>
      </c>
      <c r="D15" s="8">
        <f>C15+D14</f>
        <v/>
      </c>
      <c r="E15" s="8">
        <f>D15+E14</f>
        <v/>
      </c>
      <c r="F15" s="8">
        <f>E15+F14</f>
        <v/>
      </c>
      <c r="G15" s="8">
        <f>F15+G14</f>
        <v/>
      </c>
      <c r="H15" s="8">
        <f>G15+H14</f>
        <v/>
      </c>
      <c r="I15" s="8">
        <f>H15+I14</f>
        <v/>
      </c>
      <c r="J15" s="8">
        <f>I15+J14</f>
        <v/>
      </c>
      <c r="K15" s="8">
        <f>J15+K14</f>
        <v/>
      </c>
      <c r="L15" s="8">
        <f>K15+L14</f>
        <v/>
      </c>
      <c r="M15" s="8">
        <f>L15+M14</f>
        <v/>
      </c>
      <c r="N15" s="8">
        <f>M15+N14</f>
        <v/>
      </c>
    </row>
    <row r="16">
      <c r="B16" t="inlineStr">
        <is>
          <t>Saldo de caja (caja inicial + ganancia acumulada)</t>
        </is>
      </c>
      <c r="C16" s="26">
        <f>'Supuestos'!$C$50+C15</f>
        <v/>
      </c>
      <c r="D16" s="26">
        <f>'Supuestos'!$C$50+D15</f>
        <v/>
      </c>
      <c r="E16" s="26">
        <f>'Supuestos'!$C$50+E15</f>
        <v/>
      </c>
      <c r="F16" s="26">
        <f>'Supuestos'!$C$50+F15</f>
        <v/>
      </c>
      <c r="G16" s="26">
        <f>'Supuestos'!$C$50+G15</f>
        <v/>
      </c>
      <c r="H16" s="26">
        <f>'Supuestos'!$C$50+H15</f>
        <v/>
      </c>
      <c r="I16" s="26">
        <f>'Supuestos'!$C$50+I15</f>
        <v/>
      </c>
      <c r="J16" s="26">
        <f>'Supuestos'!$C$50+J15</f>
        <v/>
      </c>
      <c r="K16" s="26">
        <f>'Supuestos'!$C$50+K15</f>
        <v/>
      </c>
      <c r="L16" s="26">
        <f>'Supuestos'!$C$50+L15</f>
        <v/>
      </c>
      <c r="M16" s="26">
        <f>'Supuestos'!$C$50+M15</f>
        <v/>
      </c>
      <c r="N16" s="26">
        <f>'Supuestos'!$C$50+N15</f>
        <v/>
      </c>
    </row>
    <row r="18">
      <c r="B18" s="3" t="inlineStr">
        <is>
          <t>Caja necesaria para no frenar la pauta (el peor momento de la ganancia acumulada)</t>
        </is>
      </c>
      <c r="C18" s="8">
        <f>MAX(0,-MIN(C15:N15))</f>
        <v/>
      </c>
    </row>
    <row r="19">
      <c r="B19" s="3" t="inlineStr">
        <is>
          <t>Saldo mínimo de caja con tu caja inicial</t>
        </is>
      </c>
      <c r="C19" s="8">
        <f>MIN(C16:N16)</f>
        <v/>
      </c>
    </row>
    <row r="20">
      <c r="B20" s="3" t="inlineStr">
        <is>
          <t>Ganancia de caja acumulada en 12 meses</t>
        </is>
      </c>
      <c r="C20" s="8">
        <f>O14</f>
        <v/>
      </c>
    </row>
  </sheetData>
  <conditionalFormatting sqref="C14:N14">
    <cfRule type="cellIs" priority="1" operator="lessThan" dxfId="2">
      <formula>0</formula>
    </cfRule>
    <cfRule type="cellIs" priority="2" operator="between" dxfId="1">
      <formula>0</formula>
      <formula>0.0001</formula>
    </cfRule>
    <cfRule type="cellIs" priority="3" operator="greaterThanOrEqual" dxfId="0">
      <formula>0.0001</formula>
    </cfRule>
  </conditionalFormatting>
  <pageMargins left="0.75" right="0.75" top="1" bottom="1" header="0.5" footer="0.5"/>
  <headerFooter>
    <oddHeader/>
    <oddFooter>&amp;C&amp;7 Modelo financiero de embudos · creado por Jesús Tassarolo · TooAudience · youtube.com/@JesusTassaroloSinFiltro</oddFooter>
    <evenHeader/>
    <evenFooter>&amp;C&amp;7 Modelo financiero de embudos · creado por Jesús Tassarolo · TooAudience · youtube.com/@JesusTassaroloSinFiltro</evenFooter>
    <firstHeader/>
    <firstFooter/>
  </headerFooter>
</worksheet>
</file>

<file path=xl/worksheets/sheet9.xml><?xml version="1.0" encoding="utf-8"?>
<worksheet xmlns="http://schemas.openxmlformats.org/spreadsheetml/2006/main">
  <sheetPr>
    <outlinePr summaryBelow="1" summaryRight="1"/>
    <pageSetUpPr/>
  </sheetPr>
  <dimension ref="B2:Q3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 customWidth="1" min="1" max="1"/>
    <col width="5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2">
      <c r="B2" s="1" t="inlineStr">
        <is>
          <t>Seguimiento: una columna por lanzamiento</t>
        </is>
      </c>
    </row>
    <row r="3">
      <c r="B3" s="2" t="inlineStr">
        <is>
          <t>Cargá los datos reales en las celdas amarillas. El semáforo compara tu costo real por registro con el techo móvil (lo que rindieron tus últimas 4 columnas) y con el techo del modelo.</t>
        </is>
      </c>
    </row>
    <row r="5">
      <c r="B5" s="5" t="inlineStr">
        <is>
          <t>Dato</t>
        </is>
      </c>
      <c r="C5" s="5" t="inlineStr">
        <is>
          <t>Lanzamiento 1</t>
        </is>
      </c>
      <c r="D5" s="5" t="inlineStr">
        <is>
          <t>Lanzamiento 2</t>
        </is>
      </c>
      <c r="E5" s="5" t="inlineStr">
        <is>
          <t>Lanzamiento 3</t>
        </is>
      </c>
      <c r="F5" s="5" t="inlineStr">
        <is>
          <t>Lanzamiento 4</t>
        </is>
      </c>
      <c r="G5" s="5" t="inlineStr">
        <is>
          <t>Lanzamiento 5</t>
        </is>
      </c>
      <c r="H5" s="5" t="inlineStr">
        <is>
          <t>Lanzamiento 6</t>
        </is>
      </c>
      <c r="I5" s="5" t="inlineStr">
        <is>
          <t>Lanzamiento 7</t>
        </is>
      </c>
      <c r="J5" s="5" t="inlineStr">
        <is>
          <t>Lanzamiento 8</t>
        </is>
      </c>
      <c r="K5" s="5" t="inlineStr">
        <is>
          <t>Lanzamiento 9</t>
        </is>
      </c>
      <c r="L5" s="5" t="inlineStr">
        <is>
          <t>Lanzamiento 10</t>
        </is>
      </c>
      <c r="M5" s="5" t="inlineStr">
        <is>
          <t>Lanzamiento 11</t>
        </is>
      </c>
      <c r="N5" s="5" t="inlineStr">
        <is>
          <t>Lanzamiento 12</t>
        </is>
      </c>
      <c r="O5" s="5" t="inlineStr">
        <is>
          <t>Promedio</t>
        </is>
      </c>
      <c r="P5" s="5" t="inlineStr">
        <is>
          <t>Máximo</t>
        </is>
      </c>
      <c r="Q5" s="5" t="inlineStr">
        <is>
          <t>Mínimo</t>
        </is>
      </c>
    </row>
    <row r="6">
      <c r="B6" s="6" t="inlineStr">
        <is>
          <t>Datos que cargás</t>
        </is>
      </c>
      <c r="C6" s="7" t="n"/>
      <c r="D6" s="7" t="n"/>
      <c r="E6" s="7" t="n"/>
      <c r="F6" s="7" t="n"/>
      <c r="G6" s="7" t="n"/>
      <c r="H6" s="7" t="n"/>
      <c r="I6" s="7" t="n"/>
      <c r="J6" s="7" t="n"/>
      <c r="K6" s="7" t="n"/>
      <c r="L6" s="7" t="n"/>
      <c r="M6" s="7" t="n"/>
      <c r="N6" s="7" t="n"/>
    </row>
    <row r="7">
      <c r="B7" t="inlineStr">
        <is>
          <t>Inversión en publicidad</t>
        </is>
      </c>
      <c r="C7" s="21" t="n">
        <v>6000</v>
      </c>
      <c r="D7" s="21" t="n">
        <v>6500</v>
      </c>
      <c r="E7" s="21" t="n">
        <v>7200</v>
      </c>
      <c r="F7" s="21" t="n"/>
      <c r="G7" s="21" t="n"/>
      <c r="H7" s="21" t="n"/>
      <c r="I7" s="21" t="n"/>
      <c r="J7" s="21" t="n"/>
      <c r="K7" s="21" t="n"/>
      <c r="L7" s="21" t="n"/>
      <c r="M7" s="21" t="n"/>
      <c r="N7" s="21" t="n"/>
      <c r="O7" s="26">
        <f>IF(COUNT(C7:N7)=0,"",AVERAGE(C7:N7))</f>
        <v/>
      </c>
      <c r="P7" s="26">
        <f>IF(COUNT(C7:N7)=0,"",MAX(C7:N7))</f>
        <v/>
      </c>
      <c r="Q7" s="26">
        <f>IF(COUNT(C7:N7)=0,"",MIN(C7:N7))</f>
        <v/>
      </c>
    </row>
    <row r="8">
      <c r="B8" t="inlineStr">
        <is>
          <t>Registros</t>
        </is>
      </c>
      <c r="C8" s="20" t="n">
        <v>5900</v>
      </c>
      <c r="D8" s="20" t="n">
        <v>6100</v>
      </c>
      <c r="E8" s="20" t="n">
        <v>6300</v>
      </c>
      <c r="F8" s="20" t="n"/>
      <c r="G8" s="20" t="n"/>
      <c r="H8" s="20" t="n"/>
      <c r="I8" s="20" t="n"/>
      <c r="J8" s="20" t="n"/>
      <c r="K8" s="20" t="n"/>
      <c r="L8" s="20" t="n"/>
      <c r="M8" s="20" t="n"/>
      <c r="N8" s="20" t="n"/>
      <c r="O8" s="16">
        <f>IF(COUNT(C8:N8)=0,"",AVERAGE(C8:N8))</f>
        <v/>
      </c>
      <c r="P8" s="16">
        <f>IF(COUNT(C8:N8)=0,"",MAX(C8:N8))</f>
        <v/>
      </c>
      <c r="Q8" s="16">
        <f>IF(COUNT(C8:N8)=0,"",MIN(C8:N8))</f>
        <v/>
      </c>
    </row>
    <row r="9">
      <c r="B9" t="inlineStr">
        <is>
          <t>Registros calificados</t>
        </is>
      </c>
      <c r="C9" s="20" t="n">
        <v>3540</v>
      </c>
      <c r="D9" s="20" t="n">
        <v>3660</v>
      </c>
      <c r="E9" s="20" t="n">
        <v>3780</v>
      </c>
      <c r="F9" s="20" t="n"/>
      <c r="G9" s="20" t="n"/>
      <c r="H9" s="20" t="n"/>
      <c r="I9" s="20" t="n"/>
      <c r="J9" s="20" t="n"/>
      <c r="K9" s="20" t="n"/>
      <c r="L9" s="20" t="n"/>
      <c r="M9" s="20" t="n"/>
      <c r="N9" s="20" t="n"/>
      <c r="O9" s="16">
        <f>IF(COUNT(C9:N9)=0,"",AVERAGE(C9:N9))</f>
        <v/>
      </c>
      <c r="P9" s="16">
        <f>IF(COUNT(C9:N9)=0,"",MAX(C9:N9))</f>
        <v/>
      </c>
      <c r="Q9" s="16">
        <f>IF(COUNT(C9:N9)=0,"",MIN(C9:N9))</f>
        <v/>
      </c>
    </row>
    <row r="10">
      <c r="B10" t="inlineStr">
        <is>
          <t>Entraron al grupo</t>
        </is>
      </c>
      <c r="C10" s="20" t="n">
        <v>3950</v>
      </c>
      <c r="D10" s="20" t="n">
        <v>4100</v>
      </c>
      <c r="E10" s="20" t="n">
        <v>4150</v>
      </c>
      <c r="F10" s="20" t="n"/>
      <c r="G10" s="20" t="n"/>
      <c r="H10" s="20" t="n"/>
      <c r="I10" s="20" t="n"/>
      <c r="J10" s="20" t="n"/>
      <c r="K10" s="20" t="n"/>
      <c r="L10" s="20" t="n"/>
      <c r="M10" s="20" t="n"/>
      <c r="N10" s="20" t="n"/>
      <c r="O10" s="16">
        <f>IF(COUNT(C10:N10)=0,"",AVERAGE(C10:N10))</f>
        <v/>
      </c>
      <c r="P10" s="16">
        <f>IF(COUNT(C10:N10)=0,"",MAX(C10:N10))</f>
        <v/>
      </c>
      <c r="Q10" s="16">
        <f>IF(COUNT(C10:N10)=0,"",MIN(C10:N10))</f>
        <v/>
      </c>
    </row>
    <row r="11">
      <c r="B11" t="inlineStr">
        <is>
          <t>Asistentes en vivo</t>
        </is>
      </c>
      <c r="C11" s="20" t="n">
        <v>890</v>
      </c>
      <c r="D11" s="20" t="n">
        <v>900</v>
      </c>
      <c r="E11" s="20" t="n">
        <v>960</v>
      </c>
      <c r="F11" s="20" t="n"/>
      <c r="G11" s="20" t="n"/>
      <c r="H11" s="20" t="n"/>
      <c r="I11" s="20" t="n"/>
      <c r="J11" s="20" t="n"/>
      <c r="K11" s="20" t="n"/>
      <c r="L11" s="20" t="n"/>
      <c r="M11" s="20" t="n"/>
      <c r="N11" s="20" t="n"/>
      <c r="O11" s="16">
        <f>IF(COUNT(C11:N11)=0,"",AVERAGE(C11:N11))</f>
        <v/>
      </c>
      <c r="P11" s="16">
        <f>IF(COUNT(C11:N11)=0,"",MAX(C11:N11))</f>
        <v/>
      </c>
      <c r="Q11" s="16">
        <f>IF(COUNT(C11:N11)=0,"",MIN(C11:N11))</f>
        <v/>
      </c>
    </row>
    <row r="12">
      <c r="B12" t="inlineStr">
        <is>
          <t>Vieron el replay</t>
        </is>
      </c>
      <c r="C12" s="20" t="n">
        <v>3250</v>
      </c>
      <c r="D12" s="20" t="n">
        <v>3400</v>
      </c>
      <c r="E12" s="20" t="n">
        <v>3500</v>
      </c>
      <c r="F12" s="20" t="n"/>
      <c r="G12" s="20" t="n"/>
      <c r="H12" s="20" t="n"/>
      <c r="I12" s="20" t="n"/>
      <c r="J12" s="20" t="n"/>
      <c r="K12" s="20" t="n"/>
      <c r="L12" s="20" t="n"/>
      <c r="M12" s="20" t="n"/>
      <c r="N12" s="20" t="n"/>
      <c r="O12" s="16">
        <f>IF(COUNT(C12:N12)=0,"",AVERAGE(C12:N12))</f>
        <v/>
      </c>
      <c r="P12" s="16">
        <f>IF(COUNT(C12:N12)=0,"",MAX(C12:N12))</f>
        <v/>
      </c>
      <c r="Q12" s="16">
        <f>IF(COUNT(C12:N12)=0,"",MIN(C12:N12))</f>
        <v/>
      </c>
    </row>
    <row r="13">
      <c r="B13" t="inlineStr">
        <is>
          <t>Solicitudes (formulario de compra, aplicación o vendedor)</t>
        </is>
      </c>
      <c r="C13" s="20" t="n">
        <v>170</v>
      </c>
      <c r="D13" s="20" t="n">
        <v>165</v>
      </c>
      <c r="E13" s="20" t="n">
        <v>180</v>
      </c>
      <c r="F13" s="20" t="n"/>
      <c r="G13" s="20" t="n"/>
      <c r="H13" s="20" t="n"/>
      <c r="I13" s="20" t="n"/>
      <c r="J13" s="20" t="n"/>
      <c r="K13" s="20" t="n"/>
      <c r="L13" s="20" t="n"/>
      <c r="M13" s="20" t="n"/>
      <c r="N13" s="20" t="n"/>
      <c r="O13" s="16">
        <f>IF(COUNT(C13:N13)=0,"",AVERAGE(C13:N13))</f>
        <v/>
      </c>
      <c r="P13" s="16">
        <f>IF(COUNT(C13:N13)=0,"",MAX(C13:N13))</f>
        <v/>
      </c>
      <c r="Q13" s="16">
        <f>IF(COUNT(C13:N13)=0,"",MIN(C13:N13))</f>
        <v/>
      </c>
    </row>
    <row r="14">
      <c r="B14" t="inlineStr">
        <is>
          <t>Ventas de la oferta</t>
        </is>
      </c>
      <c r="C14" s="20" t="n">
        <v>68</v>
      </c>
      <c r="D14" s="20" t="n">
        <v>66</v>
      </c>
      <c r="E14" s="20" t="n">
        <v>72</v>
      </c>
      <c r="F14" s="20" t="n"/>
      <c r="G14" s="20" t="n"/>
      <c r="H14" s="20" t="n"/>
      <c r="I14" s="20" t="n"/>
      <c r="J14" s="20" t="n"/>
      <c r="K14" s="20" t="n"/>
      <c r="L14" s="20" t="n"/>
      <c r="M14" s="20" t="n"/>
      <c r="N14" s="20" t="n"/>
      <c r="O14" s="16">
        <f>IF(COUNT(C14:N14)=0,"",AVERAGE(C14:N14))</f>
        <v/>
      </c>
      <c r="P14" s="16">
        <f>IF(COUNT(C14:N14)=0,"",MAX(C14:N14))</f>
        <v/>
      </c>
      <c r="Q14" s="16">
        <f>IF(COUNT(C14:N14)=0,"",MIN(C14:N14))</f>
        <v/>
      </c>
    </row>
    <row r="15">
      <c r="B15" t="inlineStr">
        <is>
          <t>Ventas del bump</t>
        </is>
      </c>
      <c r="C15" s="20" t="n">
        <v>14</v>
      </c>
      <c r="D15" s="20" t="n">
        <v>13</v>
      </c>
      <c r="E15" s="20" t="n">
        <v>15</v>
      </c>
      <c r="F15" s="20" t="n"/>
      <c r="G15" s="20" t="n"/>
      <c r="H15" s="20" t="n"/>
      <c r="I15" s="20" t="n"/>
      <c r="J15" s="20" t="n"/>
      <c r="K15" s="20" t="n"/>
      <c r="L15" s="20" t="n"/>
      <c r="M15" s="20" t="n"/>
      <c r="N15" s="20" t="n"/>
      <c r="O15" s="16">
        <f>IF(COUNT(C15:N15)=0,"",AVERAGE(C15:N15))</f>
        <v/>
      </c>
      <c r="P15" s="16">
        <f>IF(COUNT(C15:N15)=0,"",MAX(C15:N15))</f>
        <v/>
      </c>
      <c r="Q15" s="16">
        <f>IF(COUNT(C15:N15)=0,"",MIN(C15:N15))</f>
        <v/>
      </c>
    </row>
    <row r="16">
      <c r="B16" t="inlineStr">
        <is>
          <t>Ventas del programa superior</t>
        </is>
      </c>
      <c r="C16" s="20" t="n">
        <v>3</v>
      </c>
      <c r="D16" s="20" t="n">
        <v>4</v>
      </c>
      <c r="E16" s="20" t="n">
        <v>3</v>
      </c>
      <c r="F16" s="20" t="n"/>
      <c r="G16" s="20" t="n"/>
      <c r="H16" s="20" t="n"/>
      <c r="I16" s="20" t="n"/>
      <c r="J16" s="20" t="n"/>
      <c r="K16" s="20" t="n"/>
      <c r="L16" s="20" t="n"/>
      <c r="M16" s="20" t="n"/>
      <c r="N16" s="20" t="n"/>
      <c r="O16" s="16">
        <f>IF(COUNT(C16:N16)=0,"",AVERAGE(C16:N16))</f>
        <v/>
      </c>
      <c r="P16" s="16">
        <f>IF(COUNT(C16:N16)=0,"",MAX(C16:N16))</f>
        <v/>
      </c>
      <c r="Q16" s="16">
        <f>IF(COUNT(C16:N16)=0,"",MIN(C16:N16))</f>
        <v/>
      </c>
    </row>
    <row r="17">
      <c r="B17" t="inlineStr">
        <is>
          <t>Facturado del lanzamiento (a precio de lista, con cuotas por cobrar)</t>
        </is>
      </c>
      <c r="C17" s="21" t="n">
        <v>23800</v>
      </c>
      <c r="D17" s="21" t="n">
        <v>23400</v>
      </c>
      <c r="E17" s="21" t="n">
        <v>25500</v>
      </c>
      <c r="F17" s="21" t="n"/>
      <c r="G17" s="21" t="n"/>
      <c r="H17" s="21" t="n"/>
      <c r="I17" s="21" t="n"/>
      <c r="J17" s="21" t="n"/>
      <c r="K17" s="21" t="n"/>
      <c r="L17" s="21" t="n"/>
      <c r="M17" s="21" t="n"/>
      <c r="N17" s="21" t="n"/>
      <c r="O17" s="26">
        <f>IF(COUNT(C17:N17)=0,"",AVERAGE(C17:N17))</f>
        <v/>
      </c>
      <c r="P17" s="26">
        <f>IF(COUNT(C17:N17)=0,"",MAX(C17:N17))</f>
        <v/>
      </c>
      <c r="Q17" s="26">
        <f>IF(COUNT(C17:N17)=0,"",MIN(C17:N17))</f>
        <v/>
      </c>
    </row>
    <row r="18">
      <c r="B18" t="inlineStr">
        <is>
          <t>Cash cobrado hasta ahora de ese lanzamiento</t>
        </is>
      </c>
      <c r="C18" s="21" t="n">
        <v>16700</v>
      </c>
      <c r="D18" s="21" t="n">
        <v>16400</v>
      </c>
      <c r="E18" s="21" t="n">
        <v>17900</v>
      </c>
      <c r="F18" s="21" t="n"/>
      <c r="G18" s="21" t="n"/>
      <c r="H18" s="21" t="n"/>
      <c r="I18" s="21" t="n"/>
      <c r="J18" s="21" t="n"/>
      <c r="K18" s="21" t="n"/>
      <c r="L18" s="21" t="n"/>
      <c r="M18" s="21" t="n"/>
      <c r="N18" s="21" t="n"/>
      <c r="O18" s="26">
        <f>IF(COUNT(C18:N18)=0,"",AVERAGE(C18:N18))</f>
        <v/>
      </c>
      <c r="P18" s="26">
        <f>IF(COUNT(C18:N18)=0,"",MAX(C18:N18))</f>
        <v/>
      </c>
      <c r="Q18" s="26">
        <f>IF(COUNT(C18:N18)=0,"",MIN(C18:N18))</f>
        <v/>
      </c>
    </row>
    <row r="19">
      <c r="B19" s="6" t="inlineStr">
        <is>
          <t>Lo que calcula el modelo</t>
        </is>
      </c>
      <c r="C19" s="7" t="n"/>
      <c r="D19" s="7" t="n"/>
      <c r="E19" s="7" t="n"/>
      <c r="F19" s="7" t="n"/>
      <c r="G19" s="7" t="n"/>
      <c r="H19" s="7" t="n"/>
      <c r="I19" s="7" t="n"/>
      <c r="J19" s="7" t="n"/>
      <c r="K19" s="7" t="n"/>
      <c r="L19" s="7" t="n"/>
      <c r="M19" s="7" t="n"/>
      <c r="N19" s="7" t="n"/>
    </row>
    <row r="20">
      <c r="B20" s="3" t="inlineStr">
        <is>
          <t>CPL real</t>
        </is>
      </c>
      <c r="C20" s="12">
        <f>IF(COUNT(C7:C18)&lt;12,"",IF(C8=0,0,C7/C8))</f>
        <v/>
      </c>
      <c r="D20" s="12">
        <f>IF(COUNT(D7:D18)&lt;12,"",IF(D8=0,0,D7/D8))</f>
        <v/>
      </c>
      <c r="E20" s="12">
        <f>IF(COUNT(E7:E18)&lt;12,"",IF(E8=0,0,E7/E8))</f>
        <v/>
      </c>
      <c r="F20" s="12">
        <f>IF(COUNT(F7:F18)&lt;12,"",IF(F8=0,0,F7/F8))</f>
        <v/>
      </c>
      <c r="G20" s="12">
        <f>IF(COUNT(G7:G18)&lt;12,"",IF(G8=0,0,G7/G8))</f>
        <v/>
      </c>
      <c r="H20" s="12">
        <f>IF(COUNT(H7:H18)&lt;12,"",IF(H8=0,0,H7/H8))</f>
        <v/>
      </c>
      <c r="I20" s="12">
        <f>IF(COUNT(I7:I18)&lt;12,"",IF(I8=0,0,I7/I8))</f>
        <v/>
      </c>
      <c r="J20" s="12">
        <f>IF(COUNT(J7:J18)&lt;12,"",IF(J8=0,0,J7/J8))</f>
        <v/>
      </c>
      <c r="K20" s="12">
        <f>IF(COUNT(K7:K18)&lt;12,"",IF(K8=0,0,K7/K8))</f>
        <v/>
      </c>
      <c r="L20" s="12">
        <f>IF(COUNT(L7:L18)&lt;12,"",IF(L8=0,0,L7/L8))</f>
        <v/>
      </c>
      <c r="M20" s="12">
        <f>IF(COUNT(M7:M18)&lt;12,"",IF(M8=0,0,M7/M8))</f>
        <v/>
      </c>
      <c r="N20" s="12">
        <f>IF(COUNT(N7:N18)&lt;12,"",IF(N8=0,0,N7/N8))</f>
        <v/>
      </c>
      <c r="O20" s="19">
        <f>IF(COUNT(C20:N20)=0,"",AVERAGE(C20:N20))</f>
        <v/>
      </c>
      <c r="P20" s="19">
        <f>IF(COUNT(C20:N20)=0,"",MAX(C20:N20))</f>
        <v/>
      </c>
      <c r="Q20" s="19">
        <f>IF(COUNT(C20:N20)=0,"",MIN(C20:N20))</f>
        <v/>
      </c>
    </row>
    <row r="21">
      <c r="B21" t="inlineStr">
        <is>
          <t>% registro → grupo</t>
        </is>
      </c>
      <c r="C21" s="17">
        <f>IF(COUNT(C7:C18)&lt;12,"",IF(C8=0,0,C10/C8))</f>
        <v/>
      </c>
      <c r="D21" s="17">
        <f>IF(COUNT(D7:D18)&lt;12,"",IF(D8=0,0,D10/D8))</f>
        <v/>
      </c>
      <c r="E21" s="17">
        <f>IF(COUNT(E7:E18)&lt;12,"",IF(E8=0,0,E10/E8))</f>
        <v/>
      </c>
      <c r="F21" s="17">
        <f>IF(COUNT(F7:F18)&lt;12,"",IF(F8=0,0,F10/F8))</f>
        <v/>
      </c>
      <c r="G21" s="17">
        <f>IF(COUNT(G7:G18)&lt;12,"",IF(G8=0,0,G10/G8))</f>
        <v/>
      </c>
      <c r="H21" s="17">
        <f>IF(COUNT(H7:H18)&lt;12,"",IF(H8=0,0,H10/H8))</f>
        <v/>
      </c>
      <c r="I21" s="17">
        <f>IF(COUNT(I7:I18)&lt;12,"",IF(I8=0,0,I10/I8))</f>
        <v/>
      </c>
      <c r="J21" s="17">
        <f>IF(COUNT(J7:J18)&lt;12,"",IF(J8=0,0,J10/J8))</f>
        <v/>
      </c>
      <c r="K21" s="17">
        <f>IF(COUNT(K7:K18)&lt;12,"",IF(K8=0,0,K10/K8))</f>
        <v/>
      </c>
      <c r="L21" s="17">
        <f>IF(COUNT(L7:L18)&lt;12,"",IF(L8=0,0,L10/L8))</f>
        <v/>
      </c>
      <c r="M21" s="17">
        <f>IF(COUNT(M7:M18)&lt;12,"",IF(M8=0,0,M10/M8))</f>
        <v/>
      </c>
      <c r="N21" s="17">
        <f>IF(COUNT(N7:N18)&lt;12,"",IF(N8=0,0,N10/N8))</f>
        <v/>
      </c>
      <c r="O21" s="17">
        <f>IF(COUNT(C21:N21)=0,"",AVERAGE(C21:N21))</f>
        <v/>
      </c>
      <c r="P21" s="17">
        <f>IF(COUNT(C21:N21)=0,"",MAX(C21:N21))</f>
        <v/>
      </c>
      <c r="Q21" s="17">
        <f>IF(COUNT(C21:N21)=0,"",MIN(C21:N21))</f>
        <v/>
      </c>
    </row>
    <row r="22">
      <c r="B22" t="inlineStr">
        <is>
          <t>% registro → en vivo</t>
        </is>
      </c>
      <c r="C22" s="17">
        <f>IF(COUNT(C7:C18)&lt;12,"",IF(C8=0,0,C11/C8))</f>
        <v/>
      </c>
      <c r="D22" s="17">
        <f>IF(COUNT(D7:D18)&lt;12,"",IF(D8=0,0,D11/D8))</f>
        <v/>
      </c>
      <c r="E22" s="17">
        <f>IF(COUNT(E7:E18)&lt;12,"",IF(E8=0,0,E11/E8))</f>
        <v/>
      </c>
      <c r="F22" s="17">
        <f>IF(COUNT(F7:F18)&lt;12,"",IF(F8=0,0,F11/F8))</f>
        <v/>
      </c>
      <c r="G22" s="17">
        <f>IF(COUNT(G7:G18)&lt;12,"",IF(G8=0,0,G11/G8))</f>
        <v/>
      </c>
      <c r="H22" s="17">
        <f>IF(COUNT(H7:H18)&lt;12,"",IF(H8=0,0,H11/H8))</f>
        <v/>
      </c>
      <c r="I22" s="17">
        <f>IF(COUNT(I7:I18)&lt;12,"",IF(I8=0,0,I11/I8))</f>
        <v/>
      </c>
      <c r="J22" s="17">
        <f>IF(COUNT(J7:J18)&lt;12,"",IF(J8=0,0,J11/J8))</f>
        <v/>
      </c>
      <c r="K22" s="17">
        <f>IF(COUNT(K7:K18)&lt;12,"",IF(K8=0,0,K11/K8))</f>
        <v/>
      </c>
      <c r="L22" s="17">
        <f>IF(COUNT(L7:L18)&lt;12,"",IF(L8=0,0,L11/L8))</f>
        <v/>
      </c>
      <c r="M22" s="17">
        <f>IF(COUNT(M7:M18)&lt;12,"",IF(M8=0,0,M11/M8))</f>
        <v/>
      </c>
      <c r="N22" s="17">
        <f>IF(COUNT(N7:N18)&lt;12,"",IF(N8=0,0,N11/N8))</f>
        <v/>
      </c>
      <c r="O22" s="17">
        <f>IF(COUNT(C22:N22)=0,"",AVERAGE(C22:N22))</f>
        <v/>
      </c>
      <c r="P22" s="17">
        <f>IF(COUNT(C22:N22)=0,"",MAX(C22:N22))</f>
        <v/>
      </c>
      <c r="Q22" s="17">
        <f>IF(COUNT(C22:N22)=0,"",MIN(C22:N22))</f>
        <v/>
      </c>
    </row>
    <row r="23">
      <c r="B23" t="inlineStr">
        <is>
          <t>Ventas ÷ asistentes en vivo</t>
        </is>
      </c>
      <c r="C23" s="17">
        <f>IF(COUNT(C7:C18)&lt;12,"",IF(C11=0,0,C14/C11))</f>
        <v/>
      </c>
      <c r="D23" s="17">
        <f>IF(COUNT(D7:D18)&lt;12,"",IF(D11=0,0,D14/D11))</f>
        <v/>
      </c>
      <c r="E23" s="17">
        <f>IF(COUNT(E7:E18)&lt;12,"",IF(E11=0,0,E14/E11))</f>
        <v/>
      </c>
      <c r="F23" s="17">
        <f>IF(COUNT(F7:F18)&lt;12,"",IF(F11=0,0,F14/F11))</f>
        <v/>
      </c>
      <c r="G23" s="17">
        <f>IF(COUNT(G7:G18)&lt;12,"",IF(G11=0,0,G14/G11))</f>
        <v/>
      </c>
      <c r="H23" s="17">
        <f>IF(COUNT(H7:H18)&lt;12,"",IF(H11=0,0,H14/H11))</f>
        <v/>
      </c>
      <c r="I23" s="17">
        <f>IF(COUNT(I7:I18)&lt;12,"",IF(I11=0,0,I14/I11))</f>
        <v/>
      </c>
      <c r="J23" s="17">
        <f>IF(COUNT(J7:J18)&lt;12,"",IF(J11=0,0,J14/J11))</f>
        <v/>
      </c>
      <c r="K23" s="17">
        <f>IF(COUNT(K7:K18)&lt;12,"",IF(K11=0,0,K14/K11))</f>
        <v/>
      </c>
      <c r="L23" s="17">
        <f>IF(COUNT(L7:L18)&lt;12,"",IF(L11=0,0,L14/L11))</f>
        <v/>
      </c>
      <c r="M23" s="17">
        <f>IF(COUNT(M7:M18)&lt;12,"",IF(M11=0,0,M14/M11))</f>
        <v/>
      </c>
      <c r="N23" s="17">
        <f>IF(COUNT(N7:N18)&lt;12,"",IF(N11=0,0,N14/N11))</f>
        <v/>
      </c>
      <c r="O23" s="17">
        <f>IF(COUNT(C23:N23)=0,"",AVERAGE(C23:N23))</f>
        <v/>
      </c>
      <c r="P23" s="17">
        <f>IF(COUNT(C23:N23)=0,"",MAX(C23:N23))</f>
        <v/>
      </c>
      <c r="Q23" s="17">
        <f>IF(COUNT(C23:N23)=0,"",MIN(C23:N23))</f>
        <v/>
      </c>
    </row>
    <row r="24">
      <c r="B24" t="inlineStr">
        <is>
          <t>% registro → compra</t>
        </is>
      </c>
      <c r="C24" s="18">
        <f>IF(COUNT(C7:C18)&lt;12,"",IF(C8=0,0,C14/C8))</f>
        <v/>
      </c>
      <c r="D24" s="18">
        <f>IF(COUNT(D7:D18)&lt;12,"",IF(D8=0,0,D14/D8))</f>
        <v/>
      </c>
      <c r="E24" s="18">
        <f>IF(COUNT(E7:E18)&lt;12,"",IF(E8=0,0,E14/E8))</f>
        <v/>
      </c>
      <c r="F24" s="18">
        <f>IF(COUNT(F7:F18)&lt;12,"",IF(F8=0,0,F14/F8))</f>
        <v/>
      </c>
      <c r="G24" s="18">
        <f>IF(COUNT(G7:G18)&lt;12,"",IF(G8=0,0,G14/G8))</f>
        <v/>
      </c>
      <c r="H24" s="18">
        <f>IF(COUNT(H7:H18)&lt;12,"",IF(H8=0,0,H14/H8))</f>
        <v/>
      </c>
      <c r="I24" s="18">
        <f>IF(COUNT(I7:I18)&lt;12,"",IF(I8=0,0,I14/I8))</f>
        <v/>
      </c>
      <c r="J24" s="18">
        <f>IF(COUNT(J7:J18)&lt;12,"",IF(J8=0,0,J14/J8))</f>
        <v/>
      </c>
      <c r="K24" s="18">
        <f>IF(COUNT(K7:K18)&lt;12,"",IF(K8=0,0,K14/K8))</f>
        <v/>
      </c>
      <c r="L24" s="18">
        <f>IF(COUNT(L7:L18)&lt;12,"",IF(L8=0,0,L14/L8))</f>
        <v/>
      </c>
      <c r="M24" s="18">
        <f>IF(COUNT(M7:M18)&lt;12,"",IF(M8=0,0,M14/M8))</f>
        <v/>
      </c>
      <c r="N24" s="18">
        <f>IF(COUNT(N7:N18)&lt;12,"",IF(N8=0,0,N14/N8))</f>
        <v/>
      </c>
      <c r="O24" s="18">
        <f>IF(COUNT(C24:N24)=0,"",AVERAGE(C24:N24))</f>
        <v/>
      </c>
      <c r="P24" s="18">
        <f>IF(COUNT(C24:N24)=0,"",MAX(C24:N24))</f>
        <v/>
      </c>
      <c r="Q24" s="18">
        <f>IF(COUNT(C24:N24)=0,"",MIN(C24:N24))</f>
        <v/>
      </c>
    </row>
    <row r="25">
      <c r="B25" t="inlineStr">
        <is>
          <t>CPA real</t>
        </is>
      </c>
      <c r="C25" s="19">
        <f>IF(COUNT(C7:C18)&lt;12,"",IF(C14=0,0,C7/C14))</f>
        <v/>
      </c>
      <c r="D25" s="19">
        <f>IF(COUNT(D7:D18)&lt;12,"",IF(D14=0,0,D7/D14))</f>
        <v/>
      </c>
      <c r="E25" s="19">
        <f>IF(COUNT(E7:E18)&lt;12,"",IF(E14=0,0,E7/E14))</f>
        <v/>
      </c>
      <c r="F25" s="19">
        <f>IF(COUNT(F7:F18)&lt;12,"",IF(F14=0,0,F7/F14))</f>
        <v/>
      </c>
      <c r="G25" s="19">
        <f>IF(COUNT(G7:G18)&lt;12,"",IF(G14=0,0,G7/G14))</f>
        <v/>
      </c>
      <c r="H25" s="19">
        <f>IF(COUNT(H7:H18)&lt;12,"",IF(H14=0,0,H7/H14))</f>
        <v/>
      </c>
      <c r="I25" s="19">
        <f>IF(COUNT(I7:I18)&lt;12,"",IF(I14=0,0,I7/I14))</f>
        <v/>
      </c>
      <c r="J25" s="19">
        <f>IF(COUNT(J7:J18)&lt;12,"",IF(J14=0,0,J7/J14))</f>
        <v/>
      </c>
      <c r="K25" s="19">
        <f>IF(COUNT(K7:K18)&lt;12,"",IF(K14=0,0,K7/K14))</f>
        <v/>
      </c>
      <c r="L25" s="19">
        <f>IF(COUNT(L7:L18)&lt;12,"",IF(L14=0,0,L7/L14))</f>
        <v/>
      </c>
      <c r="M25" s="19">
        <f>IF(COUNT(M7:M18)&lt;12,"",IF(M14=0,0,M7/M14))</f>
        <v/>
      </c>
      <c r="N25" s="19">
        <f>IF(COUNT(N7:N18)&lt;12,"",IF(N14=0,0,N7/N14))</f>
        <v/>
      </c>
      <c r="O25" s="19">
        <f>IF(COUNT(C25:N25)=0,"",AVERAGE(C25:N25))</f>
        <v/>
      </c>
      <c r="P25" s="19">
        <f>IF(COUNT(C25:N25)=0,"",MAX(C25:N25))</f>
        <v/>
      </c>
      <c r="Q25" s="19">
        <f>IF(COUNT(C25:N25)=0,"",MIN(C25:N25))</f>
        <v/>
      </c>
    </row>
    <row r="26">
      <c r="B26" t="inlineStr">
        <is>
          <t>Costo por asistente en vivo</t>
        </is>
      </c>
      <c r="C26" s="19">
        <f>IF(COUNT(C7:C18)&lt;12,"",IF(C11=0,0,C7/C11))</f>
        <v/>
      </c>
      <c r="D26" s="19">
        <f>IF(COUNT(D7:D18)&lt;12,"",IF(D11=0,0,D7/D11))</f>
        <v/>
      </c>
      <c r="E26" s="19">
        <f>IF(COUNT(E7:E18)&lt;12,"",IF(E11=0,0,E7/E11))</f>
        <v/>
      </c>
      <c r="F26" s="19">
        <f>IF(COUNT(F7:F18)&lt;12,"",IF(F11=0,0,F7/F11))</f>
        <v/>
      </c>
      <c r="G26" s="19">
        <f>IF(COUNT(G7:G18)&lt;12,"",IF(G11=0,0,G7/G11))</f>
        <v/>
      </c>
      <c r="H26" s="19">
        <f>IF(COUNT(H7:H18)&lt;12,"",IF(H11=0,0,H7/H11))</f>
        <v/>
      </c>
      <c r="I26" s="19">
        <f>IF(COUNT(I7:I18)&lt;12,"",IF(I11=0,0,I7/I11))</f>
        <v/>
      </c>
      <c r="J26" s="19">
        <f>IF(COUNT(J7:J18)&lt;12,"",IF(J11=0,0,J7/J11))</f>
        <v/>
      </c>
      <c r="K26" s="19">
        <f>IF(COUNT(K7:K18)&lt;12,"",IF(K11=0,0,K7/K11))</f>
        <v/>
      </c>
      <c r="L26" s="19">
        <f>IF(COUNT(L7:L18)&lt;12,"",IF(L11=0,0,L7/L11))</f>
        <v/>
      </c>
      <c r="M26" s="19">
        <f>IF(COUNT(M7:M18)&lt;12,"",IF(M11=0,0,M7/M11))</f>
        <v/>
      </c>
      <c r="N26" s="19">
        <f>IF(COUNT(N7:N18)&lt;12,"",IF(N11=0,0,N7/N11))</f>
        <v/>
      </c>
      <c r="O26" s="19">
        <f>IF(COUNT(C26:N26)=0,"",AVERAGE(C26:N26))</f>
        <v/>
      </c>
      <c r="P26" s="19">
        <f>IF(COUNT(C26:N26)=0,"",MAX(C26:N26))</f>
        <v/>
      </c>
      <c r="Q26" s="19">
        <f>IF(COUNT(C26:N26)=0,"",MIN(C26:N26))</f>
        <v/>
      </c>
    </row>
    <row r="27">
      <c r="B27" t="inlineStr">
        <is>
          <t>CPL calificado</t>
        </is>
      </c>
      <c r="C27" s="19">
        <f>IF(COUNT(C7:C18)&lt;12,"",IF(C9=0,0,C7/C9))</f>
        <v/>
      </c>
      <c r="D27" s="19">
        <f>IF(COUNT(D7:D18)&lt;12,"",IF(D9=0,0,D7/D9))</f>
        <v/>
      </c>
      <c r="E27" s="19">
        <f>IF(COUNT(E7:E18)&lt;12,"",IF(E9=0,0,E7/E9))</f>
        <v/>
      </c>
      <c r="F27" s="19">
        <f>IF(COUNT(F7:F18)&lt;12,"",IF(F9=0,0,F7/F9))</f>
        <v/>
      </c>
      <c r="G27" s="19">
        <f>IF(COUNT(G7:G18)&lt;12,"",IF(G9=0,0,G7/G9))</f>
        <v/>
      </c>
      <c r="H27" s="19">
        <f>IF(COUNT(H7:H18)&lt;12,"",IF(H9=0,0,H7/H9))</f>
        <v/>
      </c>
      <c r="I27" s="19">
        <f>IF(COUNT(I7:I18)&lt;12,"",IF(I9=0,0,I7/I9))</f>
        <v/>
      </c>
      <c r="J27" s="19">
        <f>IF(COUNT(J7:J18)&lt;12,"",IF(J9=0,0,J7/J9))</f>
        <v/>
      </c>
      <c r="K27" s="19">
        <f>IF(COUNT(K7:K18)&lt;12,"",IF(K9=0,0,K7/K9))</f>
        <v/>
      </c>
      <c r="L27" s="19">
        <f>IF(COUNT(L7:L18)&lt;12,"",IF(L9=0,0,L7/L9))</f>
        <v/>
      </c>
      <c r="M27" s="19">
        <f>IF(COUNT(M7:M18)&lt;12,"",IF(M9=0,0,M7/M9))</f>
        <v/>
      </c>
      <c r="N27" s="19">
        <f>IF(COUNT(N7:N18)&lt;12,"",IF(N9=0,0,N7/N9))</f>
        <v/>
      </c>
      <c r="O27" s="19">
        <f>IF(COUNT(C27:N27)=0,"",AVERAGE(C27:N27))</f>
        <v/>
      </c>
      <c r="P27" s="19">
        <f>IF(COUNT(C27:N27)=0,"",MAX(C27:N27))</f>
        <v/>
      </c>
      <c r="Q27" s="19">
        <f>IF(COUNT(C27:N27)=0,"",MIN(C27:N27))</f>
        <v/>
      </c>
    </row>
    <row r="28">
      <c r="B28" t="inlineStr">
        <is>
          <t>Costo por persona en el grupo</t>
        </is>
      </c>
      <c r="C28" s="19">
        <f>IF(COUNT(C7:C18)&lt;12,"",IF(C10=0,0,C7/C10))</f>
        <v/>
      </c>
      <c r="D28" s="19">
        <f>IF(COUNT(D7:D18)&lt;12,"",IF(D10=0,0,D7/D10))</f>
        <v/>
      </c>
      <c r="E28" s="19">
        <f>IF(COUNT(E7:E18)&lt;12,"",IF(E10=0,0,E7/E10))</f>
        <v/>
      </c>
      <c r="F28" s="19">
        <f>IF(COUNT(F7:F18)&lt;12,"",IF(F10=0,0,F7/F10))</f>
        <v/>
      </c>
      <c r="G28" s="19">
        <f>IF(COUNT(G7:G18)&lt;12,"",IF(G10=0,0,G7/G10))</f>
        <v/>
      </c>
      <c r="H28" s="19">
        <f>IF(COUNT(H7:H18)&lt;12,"",IF(H10=0,0,H7/H10))</f>
        <v/>
      </c>
      <c r="I28" s="19">
        <f>IF(COUNT(I7:I18)&lt;12,"",IF(I10=0,0,I7/I10))</f>
        <v/>
      </c>
      <c r="J28" s="19">
        <f>IF(COUNT(J7:J18)&lt;12,"",IF(J10=0,0,J7/J10))</f>
        <v/>
      </c>
      <c r="K28" s="19">
        <f>IF(COUNT(K7:K18)&lt;12,"",IF(K10=0,0,K7/K10))</f>
        <v/>
      </c>
      <c r="L28" s="19">
        <f>IF(COUNT(L7:L18)&lt;12,"",IF(L10=0,0,L7/L10))</f>
        <v/>
      </c>
      <c r="M28" s="19">
        <f>IF(COUNT(M7:M18)&lt;12,"",IF(M10=0,0,M7/M10))</f>
        <v/>
      </c>
      <c r="N28" s="19">
        <f>IF(COUNT(N7:N18)&lt;12,"",IF(N10=0,0,N7/N10))</f>
        <v/>
      </c>
      <c r="O28" s="19">
        <f>IF(COUNT(C28:N28)=0,"",AVERAGE(C28:N28))</f>
        <v/>
      </c>
      <c r="P28" s="19">
        <f>IF(COUNT(C28:N28)=0,"",MAX(C28:N28))</f>
        <v/>
      </c>
      <c r="Q28" s="19">
        <f>IF(COUNT(C28:N28)=0,"",MIN(C28:N28))</f>
        <v/>
      </c>
    </row>
    <row r="29">
      <c r="B29" t="inlineStr">
        <is>
          <t>% en vivo → solicitud</t>
        </is>
      </c>
      <c r="C29" s="17">
        <f>IF(COUNT(C7:C18)&lt;12,"",IF(C11=0,0,C13/C11))</f>
        <v/>
      </c>
      <c r="D29" s="17">
        <f>IF(COUNT(D7:D18)&lt;12,"",IF(D11=0,0,D13/D11))</f>
        <v/>
      </c>
      <c r="E29" s="17">
        <f>IF(COUNT(E7:E18)&lt;12,"",IF(E11=0,0,E13/E11))</f>
        <v/>
      </c>
      <c r="F29" s="17">
        <f>IF(COUNT(F7:F18)&lt;12,"",IF(F11=0,0,F13/F11))</f>
        <v/>
      </c>
      <c r="G29" s="17">
        <f>IF(COUNT(G7:G18)&lt;12,"",IF(G11=0,0,G13/G11))</f>
        <v/>
      </c>
      <c r="H29" s="17">
        <f>IF(COUNT(H7:H18)&lt;12,"",IF(H11=0,0,H13/H11))</f>
        <v/>
      </c>
      <c r="I29" s="17">
        <f>IF(COUNT(I7:I18)&lt;12,"",IF(I11=0,0,I13/I11))</f>
        <v/>
      </c>
      <c r="J29" s="17">
        <f>IF(COUNT(J7:J18)&lt;12,"",IF(J11=0,0,J13/J11))</f>
        <v/>
      </c>
      <c r="K29" s="17">
        <f>IF(COUNT(K7:K18)&lt;12,"",IF(K11=0,0,K13/K11))</f>
        <v/>
      </c>
      <c r="L29" s="17">
        <f>IF(COUNT(L7:L18)&lt;12,"",IF(L11=0,0,L13/L11))</f>
        <v/>
      </c>
      <c r="M29" s="17">
        <f>IF(COUNT(M7:M18)&lt;12,"",IF(M11=0,0,M13/M11))</f>
        <v/>
      </c>
      <c r="N29" s="17">
        <f>IF(COUNT(N7:N18)&lt;12,"",IF(N11=0,0,N13/N11))</f>
        <v/>
      </c>
      <c r="O29" s="17">
        <f>IF(COUNT(C29:N29)=0,"",AVERAGE(C29:N29))</f>
        <v/>
      </c>
      <c r="P29" s="17">
        <f>IF(COUNT(C29:N29)=0,"",MAX(C29:N29))</f>
        <v/>
      </c>
      <c r="Q29" s="17">
        <f>IF(COUNT(C29:N29)=0,"",MIN(C29:N29))</f>
        <v/>
      </c>
    </row>
    <row r="30">
      <c r="B30" s="3" t="inlineStr">
        <is>
          <t>Costo por solicitud</t>
        </is>
      </c>
      <c r="C30" s="12">
        <f>IF(COUNT(C7:C18)&lt;12,"",IF(C13=0,0,C7/C13))</f>
        <v/>
      </c>
      <c r="D30" s="12">
        <f>IF(COUNT(D7:D18)&lt;12,"",IF(D13=0,0,D7/D13))</f>
        <v/>
      </c>
      <c r="E30" s="12">
        <f>IF(COUNT(E7:E18)&lt;12,"",IF(E13=0,0,E7/E13))</f>
        <v/>
      </c>
      <c r="F30" s="12">
        <f>IF(COUNT(F7:F18)&lt;12,"",IF(F13=0,0,F7/F13))</f>
        <v/>
      </c>
      <c r="G30" s="12">
        <f>IF(COUNT(G7:G18)&lt;12,"",IF(G13=0,0,G7/G13))</f>
        <v/>
      </c>
      <c r="H30" s="12">
        <f>IF(COUNT(H7:H18)&lt;12,"",IF(H13=0,0,H7/H13))</f>
        <v/>
      </c>
      <c r="I30" s="12">
        <f>IF(COUNT(I7:I18)&lt;12,"",IF(I13=0,0,I7/I13))</f>
        <v/>
      </c>
      <c r="J30" s="12">
        <f>IF(COUNT(J7:J18)&lt;12,"",IF(J13=0,0,J7/J13))</f>
        <v/>
      </c>
      <c r="K30" s="12">
        <f>IF(COUNT(K7:K18)&lt;12,"",IF(K13=0,0,K7/K13))</f>
        <v/>
      </c>
      <c r="L30" s="12">
        <f>IF(COUNT(L7:L18)&lt;12,"",IF(L13=0,0,L7/L13))</f>
        <v/>
      </c>
      <c r="M30" s="12">
        <f>IF(COUNT(M7:M18)&lt;12,"",IF(M13=0,0,M7/M13))</f>
        <v/>
      </c>
      <c r="N30" s="12">
        <f>IF(COUNT(N7:N18)&lt;12,"",IF(N13=0,0,N7/N13))</f>
        <v/>
      </c>
      <c r="O30" s="19">
        <f>IF(COUNT(C30:N30)=0,"",AVERAGE(C30:N30))</f>
        <v/>
      </c>
      <c r="P30" s="19">
        <f>IF(COUNT(C30:N30)=0,"",MAX(C30:N30))</f>
        <v/>
      </c>
      <c r="Q30" s="19">
        <f>IF(COUNT(C30:N30)=0,"",MIN(C30:N30))</f>
        <v/>
      </c>
    </row>
    <row r="31">
      <c r="B31" t="inlineStr">
        <is>
          <t>% solicitud → compra</t>
        </is>
      </c>
      <c r="C31" s="17">
        <f>IF(COUNT(C7:C18)&lt;12,"",IF(C13=0,0,C14/C13))</f>
        <v/>
      </c>
      <c r="D31" s="17">
        <f>IF(COUNT(D7:D18)&lt;12,"",IF(D13=0,0,D14/D13))</f>
        <v/>
      </c>
      <c r="E31" s="17">
        <f>IF(COUNT(E7:E18)&lt;12,"",IF(E13=0,0,E14/E13))</f>
        <v/>
      </c>
      <c r="F31" s="17">
        <f>IF(COUNT(F7:F18)&lt;12,"",IF(F13=0,0,F14/F13))</f>
        <v/>
      </c>
      <c r="G31" s="17">
        <f>IF(COUNT(G7:G18)&lt;12,"",IF(G13=0,0,G14/G13))</f>
        <v/>
      </c>
      <c r="H31" s="17">
        <f>IF(COUNT(H7:H18)&lt;12,"",IF(H13=0,0,H14/H13))</f>
        <v/>
      </c>
      <c r="I31" s="17">
        <f>IF(COUNT(I7:I18)&lt;12,"",IF(I13=0,0,I14/I13))</f>
        <v/>
      </c>
      <c r="J31" s="17">
        <f>IF(COUNT(J7:J18)&lt;12,"",IF(J13=0,0,J14/J13))</f>
        <v/>
      </c>
      <c r="K31" s="17">
        <f>IF(COUNT(K7:K18)&lt;12,"",IF(K13=0,0,K14/K13))</f>
        <v/>
      </c>
      <c r="L31" s="17">
        <f>IF(COUNT(L7:L18)&lt;12,"",IF(L13=0,0,L14/L13))</f>
        <v/>
      </c>
      <c r="M31" s="17">
        <f>IF(COUNT(M7:M18)&lt;12,"",IF(M13=0,0,M14/M13))</f>
        <v/>
      </c>
      <c r="N31" s="17">
        <f>IF(COUNT(N7:N18)&lt;12,"",IF(N13=0,0,N14/N13))</f>
        <v/>
      </c>
      <c r="O31" s="17">
        <f>IF(COUNT(C31:N31)=0,"",AVERAGE(C31:N31))</f>
        <v/>
      </c>
      <c r="P31" s="17">
        <f>IF(COUNT(C31:N31)=0,"",MAX(C31:N31))</f>
        <v/>
      </c>
      <c r="Q31" s="17">
        <f>IF(COUNT(C31:N31)=0,"",MIN(C31:N31))</f>
        <v/>
      </c>
    </row>
    <row r="32">
      <c r="B32" s="3" t="inlineStr">
        <is>
          <t>Valor neto por unidad real (sobre facturado, cobranza completa)</t>
        </is>
      </c>
      <c r="C32" s="12">
        <f>IF(COUNT(C7:C18)&lt;12,"",IF(C8=0,0,(C17*(1-'Supuestos'!$C$34-'Supuestos'!$C$35-'Supuestos'!$C$36)-C8*'Supuestos'!$C$37)/C8))</f>
        <v/>
      </c>
      <c r="D32" s="12">
        <f>IF(COUNT(D7:D18)&lt;12,"",IF(D8=0,0,(D17*(1-'Supuestos'!$C$34-'Supuestos'!$C$35-'Supuestos'!$C$36)-D8*'Supuestos'!$C$37)/D8))</f>
        <v/>
      </c>
      <c r="E32" s="12">
        <f>IF(COUNT(E7:E18)&lt;12,"",IF(E8=0,0,(E17*(1-'Supuestos'!$C$34-'Supuestos'!$C$35-'Supuestos'!$C$36)-E8*'Supuestos'!$C$37)/E8))</f>
        <v/>
      </c>
      <c r="F32" s="12">
        <f>IF(COUNT(F7:F18)&lt;12,"",IF(F8=0,0,(F17*(1-'Supuestos'!$C$34-'Supuestos'!$C$35-'Supuestos'!$C$36)-F8*'Supuestos'!$C$37)/F8))</f>
        <v/>
      </c>
      <c r="G32" s="12">
        <f>IF(COUNT(G7:G18)&lt;12,"",IF(G8=0,0,(G17*(1-'Supuestos'!$C$34-'Supuestos'!$C$35-'Supuestos'!$C$36)-G8*'Supuestos'!$C$37)/G8))</f>
        <v/>
      </c>
      <c r="H32" s="12">
        <f>IF(COUNT(H7:H18)&lt;12,"",IF(H8=0,0,(H17*(1-'Supuestos'!$C$34-'Supuestos'!$C$35-'Supuestos'!$C$36)-H8*'Supuestos'!$C$37)/H8))</f>
        <v/>
      </c>
      <c r="I32" s="12">
        <f>IF(COUNT(I7:I18)&lt;12,"",IF(I8=0,0,(I17*(1-'Supuestos'!$C$34-'Supuestos'!$C$35-'Supuestos'!$C$36)-I8*'Supuestos'!$C$37)/I8))</f>
        <v/>
      </c>
      <c r="J32" s="12">
        <f>IF(COUNT(J7:J18)&lt;12,"",IF(J8=0,0,(J17*(1-'Supuestos'!$C$34-'Supuestos'!$C$35-'Supuestos'!$C$36)-J8*'Supuestos'!$C$37)/J8))</f>
        <v/>
      </c>
      <c r="K32" s="12">
        <f>IF(COUNT(K7:K18)&lt;12,"",IF(K8=0,0,(K17*(1-'Supuestos'!$C$34-'Supuestos'!$C$35-'Supuestos'!$C$36)-K8*'Supuestos'!$C$37)/K8))</f>
        <v/>
      </c>
      <c r="L32" s="12">
        <f>IF(COUNT(L7:L18)&lt;12,"",IF(L8=0,0,(L17*(1-'Supuestos'!$C$34-'Supuestos'!$C$35-'Supuestos'!$C$36)-L8*'Supuestos'!$C$37)/L8))</f>
        <v/>
      </c>
      <c r="M32" s="12">
        <f>IF(COUNT(M7:M18)&lt;12,"",IF(M8=0,0,(M17*(1-'Supuestos'!$C$34-'Supuestos'!$C$35-'Supuestos'!$C$36)-M8*'Supuestos'!$C$37)/M8))</f>
        <v/>
      </c>
      <c r="N32" s="12">
        <f>IF(COUNT(N7:N18)&lt;12,"",IF(N8=0,0,(N17*(1-'Supuestos'!$C$34-'Supuestos'!$C$35-'Supuestos'!$C$36)-N8*'Supuestos'!$C$37)/N8))</f>
        <v/>
      </c>
      <c r="O32" s="19">
        <f>IF(COUNT(C32:N32)=0,"",AVERAGE(C32:N32))</f>
        <v/>
      </c>
      <c r="P32" s="19">
        <f>IF(COUNT(C32:N32)=0,"",MAX(C32:N32))</f>
        <v/>
      </c>
      <c r="Q32" s="19">
        <f>IF(COUNT(C32:N32)=0,"",MIN(C32:N32))</f>
        <v/>
      </c>
    </row>
    <row r="33">
      <c r="B33" s="3" t="inlineStr">
        <is>
          <t>Ganancia del período al completar la cobranza</t>
        </is>
      </c>
      <c r="C33" s="8">
        <f>IF(COUNT(C7:C18)&lt;12,"",C17*(1-'Supuestos'!$C$34-'Supuestos'!$C$35-'Supuestos'!$C$36)-C8*'Supuestos'!$C$37-'Supuestos'!$C$38-C7)</f>
        <v/>
      </c>
      <c r="D33" s="8">
        <f>IF(COUNT(D7:D18)&lt;12,"",D17*(1-'Supuestos'!$C$34-'Supuestos'!$C$35-'Supuestos'!$C$36)-D8*'Supuestos'!$C$37-'Supuestos'!$C$38-D7)</f>
        <v/>
      </c>
      <c r="E33" s="8">
        <f>IF(COUNT(E7:E18)&lt;12,"",E17*(1-'Supuestos'!$C$34-'Supuestos'!$C$35-'Supuestos'!$C$36)-E8*'Supuestos'!$C$37-'Supuestos'!$C$38-E7)</f>
        <v/>
      </c>
      <c r="F33" s="8">
        <f>IF(COUNT(F7:F18)&lt;12,"",F17*(1-'Supuestos'!$C$34-'Supuestos'!$C$35-'Supuestos'!$C$36)-F8*'Supuestos'!$C$37-'Supuestos'!$C$38-F7)</f>
        <v/>
      </c>
      <c r="G33" s="8">
        <f>IF(COUNT(G7:G18)&lt;12,"",G17*(1-'Supuestos'!$C$34-'Supuestos'!$C$35-'Supuestos'!$C$36)-G8*'Supuestos'!$C$37-'Supuestos'!$C$38-G7)</f>
        <v/>
      </c>
      <c r="H33" s="8">
        <f>IF(COUNT(H7:H18)&lt;12,"",H17*(1-'Supuestos'!$C$34-'Supuestos'!$C$35-'Supuestos'!$C$36)-H8*'Supuestos'!$C$37-'Supuestos'!$C$38-H7)</f>
        <v/>
      </c>
      <c r="I33" s="8">
        <f>IF(COUNT(I7:I18)&lt;12,"",I17*(1-'Supuestos'!$C$34-'Supuestos'!$C$35-'Supuestos'!$C$36)-I8*'Supuestos'!$C$37-'Supuestos'!$C$38-I7)</f>
        <v/>
      </c>
      <c r="J33" s="8">
        <f>IF(COUNT(J7:J18)&lt;12,"",J17*(1-'Supuestos'!$C$34-'Supuestos'!$C$35-'Supuestos'!$C$36)-J8*'Supuestos'!$C$37-'Supuestos'!$C$38-J7)</f>
        <v/>
      </c>
      <c r="K33" s="8">
        <f>IF(COUNT(K7:K18)&lt;12,"",K17*(1-'Supuestos'!$C$34-'Supuestos'!$C$35-'Supuestos'!$C$36)-K8*'Supuestos'!$C$37-'Supuestos'!$C$38-K7)</f>
        <v/>
      </c>
      <c r="L33" s="8">
        <f>IF(COUNT(L7:L18)&lt;12,"",L17*(1-'Supuestos'!$C$34-'Supuestos'!$C$35-'Supuestos'!$C$36)-L8*'Supuestos'!$C$37-'Supuestos'!$C$38-L7)</f>
        <v/>
      </c>
      <c r="M33" s="8">
        <f>IF(COUNT(M7:M18)&lt;12,"",M17*(1-'Supuestos'!$C$34-'Supuestos'!$C$35-'Supuestos'!$C$36)-M8*'Supuestos'!$C$37-'Supuestos'!$C$38-M7)</f>
        <v/>
      </c>
      <c r="N33" s="8">
        <f>IF(COUNT(N7:N18)&lt;12,"",N17*(1-'Supuestos'!$C$34-'Supuestos'!$C$35-'Supuestos'!$C$36)-N8*'Supuestos'!$C$37-'Supuestos'!$C$38-N7)</f>
        <v/>
      </c>
      <c r="O33" s="26">
        <f>IF(COUNT(C33:N33)=0,"",AVERAGE(C33:N33))</f>
        <v/>
      </c>
      <c r="P33" s="26">
        <f>IF(COUNT(C33:N33)=0,"",MAX(C33:N33))</f>
        <v/>
      </c>
      <c r="Q33" s="26">
        <f>IF(COUNT(C33:N33)=0,"",MIN(C33:N33))</f>
        <v/>
      </c>
    </row>
    <row r="34">
      <c r="B34" t="inlineStr">
        <is>
          <t>Ganancia de caja del período (con lo cobrado hasta ahora)</t>
        </is>
      </c>
      <c r="C34" s="26">
        <f>IF(COUNT(C7:C18)&lt;12,"",C18*(1-'Supuestos'!$C$34-'Supuestos'!$C$35-'Supuestos'!$C$36)-C8*'Supuestos'!$C$37-'Supuestos'!$C$38-C7)</f>
        <v/>
      </c>
      <c r="D34" s="26">
        <f>IF(COUNT(D7:D18)&lt;12,"",D18*(1-'Supuestos'!$C$34-'Supuestos'!$C$35-'Supuestos'!$C$36)-D8*'Supuestos'!$C$37-'Supuestos'!$C$38-D7)</f>
        <v/>
      </c>
      <c r="E34" s="26">
        <f>IF(COUNT(E7:E18)&lt;12,"",E18*(1-'Supuestos'!$C$34-'Supuestos'!$C$35-'Supuestos'!$C$36)-E8*'Supuestos'!$C$37-'Supuestos'!$C$38-E7)</f>
        <v/>
      </c>
      <c r="F34" s="26">
        <f>IF(COUNT(F7:F18)&lt;12,"",F18*(1-'Supuestos'!$C$34-'Supuestos'!$C$35-'Supuestos'!$C$36)-F8*'Supuestos'!$C$37-'Supuestos'!$C$38-F7)</f>
        <v/>
      </c>
      <c r="G34" s="26">
        <f>IF(COUNT(G7:G18)&lt;12,"",G18*(1-'Supuestos'!$C$34-'Supuestos'!$C$35-'Supuestos'!$C$36)-G8*'Supuestos'!$C$37-'Supuestos'!$C$38-G7)</f>
        <v/>
      </c>
      <c r="H34" s="26">
        <f>IF(COUNT(H7:H18)&lt;12,"",H18*(1-'Supuestos'!$C$34-'Supuestos'!$C$35-'Supuestos'!$C$36)-H8*'Supuestos'!$C$37-'Supuestos'!$C$38-H7)</f>
        <v/>
      </c>
      <c r="I34" s="26">
        <f>IF(COUNT(I7:I18)&lt;12,"",I18*(1-'Supuestos'!$C$34-'Supuestos'!$C$35-'Supuestos'!$C$36)-I8*'Supuestos'!$C$37-'Supuestos'!$C$38-I7)</f>
        <v/>
      </c>
      <c r="J34" s="26">
        <f>IF(COUNT(J7:J18)&lt;12,"",J18*(1-'Supuestos'!$C$34-'Supuestos'!$C$35-'Supuestos'!$C$36)-J8*'Supuestos'!$C$37-'Supuestos'!$C$38-J7)</f>
        <v/>
      </c>
      <c r="K34" s="26">
        <f>IF(COUNT(K7:K18)&lt;12,"",K18*(1-'Supuestos'!$C$34-'Supuestos'!$C$35-'Supuestos'!$C$36)-K8*'Supuestos'!$C$37-'Supuestos'!$C$38-K7)</f>
        <v/>
      </c>
      <c r="L34" s="26">
        <f>IF(COUNT(L7:L18)&lt;12,"",L18*(1-'Supuestos'!$C$34-'Supuestos'!$C$35-'Supuestos'!$C$36)-L8*'Supuestos'!$C$37-'Supuestos'!$C$38-L7)</f>
        <v/>
      </c>
      <c r="M34" s="26">
        <f>IF(COUNT(M7:M18)&lt;12,"",M18*(1-'Supuestos'!$C$34-'Supuestos'!$C$35-'Supuestos'!$C$36)-M8*'Supuestos'!$C$37-'Supuestos'!$C$38-M7)</f>
        <v/>
      </c>
      <c r="N34" s="26">
        <f>IF(COUNT(N7:N18)&lt;12,"",N18*(1-'Supuestos'!$C$34-'Supuestos'!$C$35-'Supuestos'!$C$36)-N8*'Supuestos'!$C$37-'Supuestos'!$C$38-N7)</f>
        <v/>
      </c>
      <c r="O34" s="26">
        <f>IF(COUNT(C34:N34)=0,"",AVERAGE(C34:N34))</f>
        <v/>
      </c>
      <c r="P34" s="26">
        <f>IF(COUNT(C34:N34)=0,"",MAX(C34:N34))</f>
        <v/>
      </c>
      <c r="Q34" s="26">
        <f>IF(COUNT(C34:N34)=0,"",MIN(C34:N34))</f>
        <v/>
      </c>
    </row>
    <row r="35">
      <c r="B35" s="3" t="inlineStr">
        <is>
          <t>Ganancia por unidad real (ganancia ÷ unidades)</t>
        </is>
      </c>
      <c r="C35" s="12">
        <f>IF(COUNT(C7:C18)&lt;12,"",IF(C8=0,0,(C17*(1-'Supuestos'!$C$34-'Supuestos'!$C$35-'Supuestos'!$C$36)-C8*'Supuestos'!$C$37-'Supuestos'!$C$38-C7)/C8))</f>
        <v/>
      </c>
      <c r="D35" s="12">
        <f>IF(COUNT(D7:D18)&lt;12,"",IF(D8=0,0,(D17*(1-'Supuestos'!$C$34-'Supuestos'!$C$35-'Supuestos'!$C$36)-D8*'Supuestos'!$C$37-'Supuestos'!$C$38-D7)/D8))</f>
        <v/>
      </c>
      <c r="E35" s="12">
        <f>IF(COUNT(E7:E18)&lt;12,"",IF(E8=0,0,(E17*(1-'Supuestos'!$C$34-'Supuestos'!$C$35-'Supuestos'!$C$36)-E8*'Supuestos'!$C$37-'Supuestos'!$C$38-E7)/E8))</f>
        <v/>
      </c>
      <c r="F35" s="12">
        <f>IF(COUNT(F7:F18)&lt;12,"",IF(F8=0,0,(F17*(1-'Supuestos'!$C$34-'Supuestos'!$C$35-'Supuestos'!$C$36)-F8*'Supuestos'!$C$37-'Supuestos'!$C$38-F7)/F8))</f>
        <v/>
      </c>
      <c r="G35" s="12">
        <f>IF(COUNT(G7:G18)&lt;12,"",IF(G8=0,0,(G17*(1-'Supuestos'!$C$34-'Supuestos'!$C$35-'Supuestos'!$C$36)-G8*'Supuestos'!$C$37-'Supuestos'!$C$38-G7)/G8))</f>
        <v/>
      </c>
      <c r="H35" s="12">
        <f>IF(COUNT(H7:H18)&lt;12,"",IF(H8=0,0,(H17*(1-'Supuestos'!$C$34-'Supuestos'!$C$35-'Supuestos'!$C$36)-H8*'Supuestos'!$C$37-'Supuestos'!$C$38-H7)/H8))</f>
        <v/>
      </c>
      <c r="I35" s="12">
        <f>IF(COUNT(I7:I18)&lt;12,"",IF(I8=0,0,(I17*(1-'Supuestos'!$C$34-'Supuestos'!$C$35-'Supuestos'!$C$36)-I8*'Supuestos'!$C$37-'Supuestos'!$C$38-I7)/I8))</f>
        <v/>
      </c>
      <c r="J35" s="12">
        <f>IF(COUNT(J7:J18)&lt;12,"",IF(J8=0,0,(J17*(1-'Supuestos'!$C$34-'Supuestos'!$C$35-'Supuestos'!$C$36)-J8*'Supuestos'!$C$37-'Supuestos'!$C$38-J7)/J8))</f>
        <v/>
      </c>
      <c r="K35" s="12">
        <f>IF(COUNT(K7:K18)&lt;12,"",IF(K8=0,0,(K17*(1-'Supuestos'!$C$34-'Supuestos'!$C$35-'Supuestos'!$C$36)-K8*'Supuestos'!$C$37-'Supuestos'!$C$38-K7)/K8))</f>
        <v/>
      </c>
      <c r="L35" s="12">
        <f>IF(COUNT(L7:L18)&lt;12,"",IF(L8=0,0,(L17*(1-'Supuestos'!$C$34-'Supuestos'!$C$35-'Supuestos'!$C$36)-L8*'Supuestos'!$C$37-'Supuestos'!$C$38-L7)/L8))</f>
        <v/>
      </c>
      <c r="M35" s="12">
        <f>IF(COUNT(M7:M18)&lt;12,"",IF(M8=0,0,(M17*(1-'Supuestos'!$C$34-'Supuestos'!$C$35-'Supuestos'!$C$36)-M8*'Supuestos'!$C$37-'Supuestos'!$C$38-M7)/M8))</f>
        <v/>
      </c>
      <c r="N35" s="12">
        <f>IF(COUNT(N7:N18)&lt;12,"",IF(N8=0,0,(N17*(1-'Supuestos'!$C$34-'Supuestos'!$C$35-'Supuestos'!$C$36)-N8*'Supuestos'!$C$37-'Supuestos'!$C$38-N7)/N8))</f>
        <v/>
      </c>
      <c r="O35" s="19">
        <f>IF(COUNT(C35:N35)=0,"",AVERAGE(C35:N35))</f>
        <v/>
      </c>
      <c r="P35" s="19">
        <f>IF(COUNT(C35:N35)=0,"",MAX(C35:N35))</f>
        <v/>
      </c>
      <c r="Q35" s="19">
        <f>IF(COUNT(C35:N35)=0,"",MIN(C35:N35))</f>
        <v/>
      </c>
    </row>
    <row r="36">
      <c r="B36" s="3" t="inlineStr">
        <is>
          <t>ROAS sobre cash neto (cobranza completa)</t>
        </is>
      </c>
      <c r="C36" s="9">
        <f>IF(COUNT(C7:C18)&lt;12,"",IF(C7=0,0,C17*(1-'Supuestos'!$C$34-'Supuestos'!$C$35-'Supuestos'!$C$36)/C7))</f>
        <v/>
      </c>
      <c r="D36" s="9">
        <f>IF(COUNT(D7:D18)&lt;12,"",IF(D7=0,0,D17*(1-'Supuestos'!$C$34-'Supuestos'!$C$35-'Supuestos'!$C$36)/D7))</f>
        <v/>
      </c>
      <c r="E36" s="9">
        <f>IF(COUNT(E7:E18)&lt;12,"",IF(E7=0,0,E17*(1-'Supuestos'!$C$34-'Supuestos'!$C$35-'Supuestos'!$C$36)/E7))</f>
        <v/>
      </c>
      <c r="F36" s="9">
        <f>IF(COUNT(F7:F18)&lt;12,"",IF(F7=0,0,F17*(1-'Supuestos'!$C$34-'Supuestos'!$C$35-'Supuestos'!$C$36)/F7))</f>
        <v/>
      </c>
      <c r="G36" s="9">
        <f>IF(COUNT(G7:G18)&lt;12,"",IF(G7=0,0,G17*(1-'Supuestos'!$C$34-'Supuestos'!$C$35-'Supuestos'!$C$36)/G7))</f>
        <v/>
      </c>
      <c r="H36" s="9">
        <f>IF(COUNT(H7:H18)&lt;12,"",IF(H7=0,0,H17*(1-'Supuestos'!$C$34-'Supuestos'!$C$35-'Supuestos'!$C$36)/H7))</f>
        <v/>
      </c>
      <c r="I36" s="9">
        <f>IF(COUNT(I7:I18)&lt;12,"",IF(I7=0,0,I17*(1-'Supuestos'!$C$34-'Supuestos'!$C$35-'Supuestos'!$C$36)/I7))</f>
        <v/>
      </c>
      <c r="J36" s="9">
        <f>IF(COUNT(J7:J18)&lt;12,"",IF(J7=0,0,J17*(1-'Supuestos'!$C$34-'Supuestos'!$C$35-'Supuestos'!$C$36)/J7))</f>
        <v/>
      </c>
      <c r="K36" s="9">
        <f>IF(COUNT(K7:K18)&lt;12,"",IF(K7=0,0,K17*(1-'Supuestos'!$C$34-'Supuestos'!$C$35-'Supuestos'!$C$36)/K7))</f>
        <v/>
      </c>
      <c r="L36" s="9">
        <f>IF(COUNT(L7:L18)&lt;12,"",IF(L7=0,0,L17*(1-'Supuestos'!$C$34-'Supuestos'!$C$35-'Supuestos'!$C$36)/L7))</f>
        <v/>
      </c>
      <c r="M36" s="9">
        <f>IF(COUNT(M7:M18)&lt;12,"",IF(M7=0,0,M17*(1-'Supuestos'!$C$34-'Supuestos'!$C$35-'Supuestos'!$C$36)/M7))</f>
        <v/>
      </c>
      <c r="N36" s="9">
        <f>IF(COUNT(N7:N18)&lt;12,"",IF(N7=0,0,N17*(1-'Supuestos'!$C$34-'Supuestos'!$C$35-'Supuestos'!$C$36)/N7))</f>
        <v/>
      </c>
      <c r="O36" s="27">
        <f>IF(COUNT(C36:N36)=0,"",AVERAGE(C36:N36))</f>
        <v/>
      </c>
      <c r="P36" s="27">
        <f>IF(COUNT(C36:N36)=0,"",MAX(C36:N36))</f>
        <v/>
      </c>
      <c r="Q36" s="27">
        <f>IF(COUNT(C36:N36)=0,"",MIN(C36:N36))</f>
        <v/>
      </c>
    </row>
    <row r="37">
      <c r="B37" t="inlineStr">
        <is>
          <t>ROAS de caja (cobrado hasta ahora)</t>
        </is>
      </c>
      <c r="C37" s="27">
        <f>IF(COUNT(C7:C18)&lt;12,"",IF(C7=0,0,C18*(1-'Supuestos'!$C$34-'Supuestos'!$C$35-'Supuestos'!$C$36)/C7))</f>
        <v/>
      </c>
      <c r="D37" s="27">
        <f>IF(COUNT(D7:D18)&lt;12,"",IF(D7=0,0,D18*(1-'Supuestos'!$C$34-'Supuestos'!$C$35-'Supuestos'!$C$36)/D7))</f>
        <v/>
      </c>
      <c r="E37" s="27">
        <f>IF(COUNT(E7:E18)&lt;12,"",IF(E7=0,0,E18*(1-'Supuestos'!$C$34-'Supuestos'!$C$35-'Supuestos'!$C$36)/E7))</f>
        <v/>
      </c>
      <c r="F37" s="27">
        <f>IF(COUNT(F7:F18)&lt;12,"",IF(F7=0,0,F18*(1-'Supuestos'!$C$34-'Supuestos'!$C$35-'Supuestos'!$C$36)/F7))</f>
        <v/>
      </c>
      <c r="G37" s="27">
        <f>IF(COUNT(G7:G18)&lt;12,"",IF(G7=0,0,G18*(1-'Supuestos'!$C$34-'Supuestos'!$C$35-'Supuestos'!$C$36)/G7))</f>
        <v/>
      </c>
      <c r="H37" s="27">
        <f>IF(COUNT(H7:H18)&lt;12,"",IF(H7=0,0,H18*(1-'Supuestos'!$C$34-'Supuestos'!$C$35-'Supuestos'!$C$36)/H7))</f>
        <v/>
      </c>
      <c r="I37" s="27">
        <f>IF(COUNT(I7:I18)&lt;12,"",IF(I7=0,0,I18*(1-'Supuestos'!$C$34-'Supuestos'!$C$35-'Supuestos'!$C$36)/I7))</f>
        <v/>
      </c>
      <c r="J37" s="27">
        <f>IF(COUNT(J7:J18)&lt;12,"",IF(J7=0,0,J18*(1-'Supuestos'!$C$34-'Supuestos'!$C$35-'Supuestos'!$C$36)/J7))</f>
        <v/>
      </c>
      <c r="K37" s="27">
        <f>IF(COUNT(K7:K18)&lt;12,"",IF(K7=0,0,K18*(1-'Supuestos'!$C$34-'Supuestos'!$C$35-'Supuestos'!$C$36)/K7))</f>
        <v/>
      </c>
      <c r="L37" s="27">
        <f>IF(COUNT(L7:L18)&lt;12,"",IF(L7=0,0,L18*(1-'Supuestos'!$C$34-'Supuestos'!$C$35-'Supuestos'!$C$36)/L7))</f>
        <v/>
      </c>
      <c r="M37" s="27">
        <f>IF(COUNT(M7:M18)&lt;12,"",IF(M7=0,0,M18*(1-'Supuestos'!$C$34-'Supuestos'!$C$35-'Supuestos'!$C$36)/M7))</f>
        <v/>
      </c>
      <c r="N37" s="27">
        <f>IF(COUNT(N7:N18)&lt;12,"",IF(N7=0,0,N18*(1-'Supuestos'!$C$34-'Supuestos'!$C$35-'Supuestos'!$C$36)/N7))</f>
        <v/>
      </c>
      <c r="O37" s="27">
        <f>IF(COUNT(C37:N37)=0,"",AVERAGE(C37:N37))</f>
        <v/>
      </c>
      <c r="P37" s="27">
        <f>IF(COUNT(C37:N37)=0,"",MAX(C37:N37))</f>
        <v/>
      </c>
      <c r="Q37" s="27">
        <f>IF(COUNT(C37:N37)=0,"",MIN(C37:N37))</f>
        <v/>
      </c>
    </row>
    <row r="38">
      <c r="B38" t="inlineStr">
        <is>
          <t>Techo móvil (mediana de tus últimas 4 columnas; al inicio, el del modelo)</t>
        </is>
      </c>
      <c r="C38" s="19">
        <f>IF(COUNT(C7:C18)&lt;12,"",'Modelo'!$C$52)</f>
        <v/>
      </c>
      <c r="D38" s="19">
        <f>IF(COUNT(D7:D18)&lt;12,"",IF(COUNT(C32:C32)&gt;0,MEDIAN(C32:C32),'Modelo'!$C$52))</f>
        <v/>
      </c>
      <c r="E38" s="19">
        <f>IF(COUNT(E7:E18)&lt;12,"",IF(COUNT(C32:D32)&gt;0,MEDIAN(C32:D32),'Modelo'!$C$52))</f>
        <v/>
      </c>
      <c r="F38" s="19">
        <f>IF(COUNT(F7:F18)&lt;12,"",IF(COUNT(C32:E32)&gt;0,MEDIAN(C32:E32),'Modelo'!$C$52))</f>
        <v/>
      </c>
      <c r="G38" s="19">
        <f>IF(COUNT(G7:G18)&lt;12,"",IF(COUNT(C32:F32)&gt;0,MEDIAN(C32:F32),'Modelo'!$C$52))</f>
        <v/>
      </c>
      <c r="H38" s="19">
        <f>IF(COUNT(H7:H18)&lt;12,"",IF(COUNT(D32:G32)&gt;0,MEDIAN(D32:G32),'Modelo'!$C$52))</f>
        <v/>
      </c>
      <c r="I38" s="19">
        <f>IF(COUNT(I7:I18)&lt;12,"",IF(COUNT(E32:H32)&gt;0,MEDIAN(E32:H32),'Modelo'!$C$52))</f>
        <v/>
      </c>
      <c r="J38" s="19">
        <f>IF(COUNT(J7:J18)&lt;12,"",IF(COUNT(F32:I32)&gt;0,MEDIAN(F32:I32),'Modelo'!$C$52))</f>
        <v/>
      </c>
      <c r="K38" s="19">
        <f>IF(COUNT(K7:K18)&lt;12,"",IF(COUNT(G32:J32)&gt;0,MEDIAN(G32:J32),'Modelo'!$C$52))</f>
        <v/>
      </c>
      <c r="L38" s="19">
        <f>IF(COUNT(L7:L18)&lt;12,"",IF(COUNT(H32:K32)&gt;0,MEDIAN(H32:K32),'Modelo'!$C$52))</f>
        <v/>
      </c>
      <c r="M38" s="19">
        <f>IF(COUNT(M7:M18)&lt;12,"",IF(COUNT(I32:L32)&gt;0,MEDIAN(I32:L32),'Modelo'!$C$52))</f>
        <v/>
      </c>
      <c r="N38" s="19">
        <f>IF(COUNT(N7:N18)&lt;12,"",IF(COUNT(J32:M32)&gt;0,MEDIAN(J32:M32),'Modelo'!$C$52))</f>
        <v/>
      </c>
      <c r="O38" s="19">
        <f>IF(COUNT(C38:N38)=0,"",AVERAGE(C38:N38))</f>
        <v/>
      </c>
      <c r="P38" s="19">
        <f>IF(COUNT(C38:N38)=0,"",MAX(C38:N38))</f>
        <v/>
      </c>
      <c r="Q38" s="19">
        <f>IF(COUNT(C38:N38)=0,"",MIN(C38:N38))</f>
        <v/>
      </c>
    </row>
    <row r="39">
      <c r="B39" s="3" t="inlineStr">
        <is>
          <t>Semáforo (costo por unidad contra el techo móvil, y ROAS contra el objetivo)</t>
        </is>
      </c>
      <c r="C39" s="13">
        <f>IF(COUNT(C7:C18)&lt;12,"",IF(C20&gt;C38,"ROJO",IF(AND(C20&lt;=C38/(1+'Supuestos'!$C$47),C36&gt;='Supuestos'!$C$46),"VERDE","AMARILLO")))</f>
        <v/>
      </c>
      <c r="D39" s="13">
        <f>IF(COUNT(D7:D18)&lt;12,"",IF(D20&gt;D38,"ROJO",IF(AND(D20&lt;=D38/(1+'Supuestos'!$C$47),D36&gt;='Supuestos'!$C$46),"VERDE","AMARILLO")))</f>
        <v/>
      </c>
      <c r="E39" s="13">
        <f>IF(COUNT(E7:E18)&lt;12,"",IF(E20&gt;E38,"ROJO",IF(AND(E20&lt;=E38/(1+'Supuestos'!$C$47),E36&gt;='Supuestos'!$C$46),"VERDE","AMARILLO")))</f>
        <v/>
      </c>
      <c r="F39" s="13">
        <f>IF(COUNT(F7:F18)&lt;12,"",IF(F20&gt;F38,"ROJO",IF(AND(F20&lt;=F38/(1+'Supuestos'!$C$47),F36&gt;='Supuestos'!$C$46),"VERDE","AMARILLO")))</f>
        <v/>
      </c>
      <c r="G39" s="13">
        <f>IF(COUNT(G7:G18)&lt;12,"",IF(G20&gt;G38,"ROJO",IF(AND(G20&lt;=G38/(1+'Supuestos'!$C$47),G36&gt;='Supuestos'!$C$46),"VERDE","AMARILLO")))</f>
        <v/>
      </c>
      <c r="H39" s="13">
        <f>IF(COUNT(H7:H18)&lt;12,"",IF(H20&gt;H38,"ROJO",IF(AND(H20&lt;=H38/(1+'Supuestos'!$C$47),H36&gt;='Supuestos'!$C$46),"VERDE","AMARILLO")))</f>
        <v/>
      </c>
      <c r="I39" s="13">
        <f>IF(COUNT(I7:I18)&lt;12,"",IF(I20&gt;I38,"ROJO",IF(AND(I20&lt;=I38/(1+'Supuestos'!$C$47),I36&gt;='Supuestos'!$C$46),"VERDE","AMARILLO")))</f>
        <v/>
      </c>
      <c r="J39" s="13">
        <f>IF(COUNT(J7:J18)&lt;12,"",IF(J20&gt;J38,"ROJO",IF(AND(J20&lt;=J38/(1+'Supuestos'!$C$47),J36&gt;='Supuestos'!$C$46),"VERDE","AMARILLO")))</f>
        <v/>
      </c>
      <c r="K39" s="13">
        <f>IF(COUNT(K7:K18)&lt;12,"",IF(K20&gt;K38,"ROJO",IF(AND(K20&lt;=K38/(1+'Supuestos'!$C$47),K36&gt;='Supuestos'!$C$46),"VERDE","AMARILLO")))</f>
        <v/>
      </c>
      <c r="L39" s="13">
        <f>IF(COUNT(L7:L18)&lt;12,"",IF(L20&gt;L38,"ROJO",IF(AND(L20&lt;=L38/(1+'Supuestos'!$C$47),L36&gt;='Supuestos'!$C$46),"VERDE","AMARILLO")))</f>
        <v/>
      </c>
      <c r="M39" s="13">
        <f>IF(COUNT(M7:M18)&lt;12,"",IF(M20&gt;M38,"ROJO",IF(AND(M20&lt;=M38/(1+'Supuestos'!$C$47),M36&gt;='Supuestos'!$C$46),"VERDE","AMARILLO")))</f>
        <v/>
      </c>
      <c r="N39" s="13">
        <f>IF(COUNT(N7:N18)&lt;12,"",IF(N20&gt;N38,"ROJO",IF(AND(N20&lt;=N38/(1+'Supuestos'!$C$47),N36&gt;='Supuestos'!$C$46),"VERDE","AMARILLO")))</f>
        <v/>
      </c>
    </row>
  </sheetData>
  <conditionalFormatting sqref="C5:N40">
    <cfRule type="expression" priority="1" dxfId="0">
      <formula>LEFT(C5,5)="VERDE"</formula>
    </cfRule>
    <cfRule type="expression" priority="2" dxfId="1">
      <formula>LEFT(C5,8)="AMARILLO"</formula>
    </cfRule>
    <cfRule type="expression" priority="3" dxfId="2">
      <formula>LEFT(C5,4)="ROJO"</formula>
    </cfRule>
  </conditionalFormatting>
  <pageMargins left="0.75" right="0.75" top="1" bottom="1" header="0.5" footer="0.5"/>
  <headerFooter>
    <oddHeader/>
    <oddFooter>&amp;C&amp;7 Modelo financiero de embudos · creado por Jesús Tassarolo · TooAudience · youtube.com/@JesusTassaroloSinFiltro</oddFooter>
    <evenHeader/>
    <evenFooter>&amp;C&amp;7 Modelo financiero de embudos · creado por Jesús Tassarolo · TooAudience · youtube.com/@JesusTassaroloSinFiltro</evenFooter>
    <firstHeader/>
    <firstFooter/>
  </headerFooter>
</worksheet>
</file>

<file path=xl/worksheets/sheet10.xml><?xml version="1.0" encoding="utf-8"?>
<worksheet xmlns="http://schemas.openxmlformats.org/spreadsheetml/2006/main">
  <sheetPr>
    <outlinePr summaryBelow="1" summaryRight="1"/>
    <pageSetUpPr/>
  </sheetPr>
  <dimension ref="B2:H18"/>
  <sheetViews>
    <sheetView showGridLines="0" workbookViewId="0">
      <selection activeCell="A1" sqref="A1"/>
    </sheetView>
  </sheetViews>
  <sheetFormatPr baseColWidth="8" defaultRowHeight="15"/>
  <cols>
    <col width="2" customWidth="1" min="1" max="1"/>
    <col width="40" customWidth="1" min="2" max="2"/>
    <col width="14" customWidth="1" min="3" max="3"/>
    <col width="14" customWidth="1" min="4" max="4"/>
    <col width="14" customWidth="1" min="5" max="5"/>
    <col width="14" customWidth="1" min="6" max="6"/>
    <col width="16" customWidth="1" min="7" max="7"/>
    <col width="60" customWidth="1" min="8" max="8"/>
  </cols>
  <sheetData>
    <row r="2">
      <c r="B2" s="1" t="inlineStr">
        <is>
          <t>Benchmarks: contra qué comparar tus números</t>
        </is>
      </c>
    </row>
    <row r="3">
      <c r="B3" s="2" t="inlineStr">
        <is>
          <t>Valores de referencia para tráfico frío en español. Son orden de magnitud, no objetivo: tus propios datos de Seguimiento mandan.</t>
        </is>
      </c>
    </row>
    <row r="5">
      <c r="B5" s="5" t="inlineStr">
        <is>
          <t>Métrica</t>
        </is>
      </c>
      <c r="C5" s="5" t="inlineStr">
        <is>
          <t>Malo</t>
        </is>
      </c>
      <c r="D5" s="5" t="inlineStr">
        <is>
          <t>Aceptable</t>
        </is>
      </c>
      <c r="E5" s="5" t="inlineStr">
        <is>
          <t>Bueno</t>
        </is>
      </c>
      <c r="F5" s="5" t="inlineStr">
        <is>
          <t>Ganador</t>
        </is>
      </c>
      <c r="G5" s="5" t="inlineStr">
        <is>
          <t>Tu valor (Modelo)</t>
        </is>
      </c>
      <c r="H5" s="5" t="inlineStr">
        <is>
          <t>Fuente / nota</t>
        </is>
      </c>
    </row>
    <row r="6">
      <c r="B6" t="inlineStr">
        <is>
          <t>CPL (USD)</t>
        </is>
      </c>
      <c r="C6" t="inlineStr">
        <is>
          <t>&gt;3,00</t>
        </is>
      </c>
      <c r="D6" t="inlineStr">
        <is>
          <t>1,50 a 3,00</t>
        </is>
      </c>
      <c r="E6" t="inlineStr">
        <is>
          <t>0,80 a 1,50</t>
        </is>
      </c>
      <c r="F6" t="inlineStr">
        <is>
          <t>&lt;0,80</t>
        </is>
      </c>
      <c r="G6" s="19">
        <f>'Modelo'!$C$10</f>
        <v/>
      </c>
      <c r="H6" s="4" t="inlineStr">
        <is>
          <t>Webinars gratuitos hispanos a tráfico frío, 2025 a 2026. Un agregador LATAM cita 0,50 a 3 para webinar (fuente débil).</t>
        </is>
      </c>
    </row>
    <row r="7">
      <c r="B7" t="inlineStr">
        <is>
          <t>% visitas → registro (landing)</t>
        </is>
      </c>
      <c r="C7" t="inlineStr">
        <is>
          <t>&lt;15 %</t>
        </is>
      </c>
      <c r="D7" t="inlineStr">
        <is>
          <t>15 a 22 %</t>
        </is>
      </c>
      <c r="E7" t="inlineStr">
        <is>
          <t>22 a 30 %</t>
        </is>
      </c>
      <c r="F7" t="inlineStr">
        <is>
          <t>&gt;30 %</t>
        </is>
      </c>
      <c r="G7" s="17">
        <f>'Supuestos'!$C$15</f>
        <v/>
      </c>
      <c r="H7" s="4" t="inlineStr">
        <is>
          <t>Con nombre + WhatsApp. Con solo email sube.</t>
        </is>
      </c>
    </row>
    <row r="8">
      <c r="B8" t="inlineStr">
        <is>
          <t>% registro → grupo de WhatsApp</t>
        </is>
      </c>
      <c r="C8" t="inlineStr">
        <is>
          <t>&lt;50 %</t>
        </is>
      </c>
      <c r="D8" t="inlineStr">
        <is>
          <t>50 a 65 %</t>
        </is>
      </c>
      <c r="E8" t="inlineStr">
        <is>
          <t>65 a 80 %</t>
        </is>
      </c>
      <c r="F8" t="inlineStr">
        <is>
          <t>&gt;80 %</t>
        </is>
      </c>
      <c r="G8" s="17">
        <f>'Supuestos'!$C$19</f>
        <v/>
      </c>
      <c r="H8" s="4" t="inlineStr">
        <is>
          <t>Depende de cuán directo sea el botón al grupo.</t>
        </is>
      </c>
    </row>
    <row r="9">
      <c r="B9" t="inlineStr">
        <is>
          <t>% registro → en vivo</t>
        </is>
      </c>
      <c r="C9" t="inlineStr">
        <is>
          <t>&lt;10 %</t>
        </is>
      </c>
      <c r="D9" t="inlineStr">
        <is>
          <t>10 a 15 %</t>
        </is>
      </c>
      <c r="E9" t="inlineStr">
        <is>
          <t>15 a 22 %</t>
        </is>
      </c>
      <c r="F9" t="inlineStr">
        <is>
          <t>&gt;22 %</t>
        </is>
      </c>
      <c r="G9" s="17">
        <f>'Supuestos'!$C$20</f>
        <v/>
      </c>
      <c r="H9" s="4" t="inlineStr">
        <is>
          <t>Hispano tráfico frío. En B2B USA el promedio es 33 % (Goldcast 2025, 19.531 webinars).</t>
        </is>
      </c>
    </row>
    <row r="10">
      <c r="B10" t="inlineStr">
        <is>
          <t>% registro → replay</t>
        </is>
      </c>
      <c r="C10" t="inlineStr">
        <is>
          <t>&lt;40 %</t>
        </is>
      </c>
      <c r="D10" t="inlineStr">
        <is>
          <t>40 a 60 %</t>
        </is>
      </c>
      <c r="E10" t="inlineStr">
        <is>
          <t>60 a 80 %</t>
        </is>
      </c>
      <c r="F10" t="inlineStr">
        <is>
          <t>&gt;80 %</t>
        </is>
      </c>
      <c r="G10" s="17">
        <f>'Supuestos'!$C$21</f>
        <v/>
      </c>
      <c r="H10" s="4" t="inlineStr">
        <is>
          <t>Con bot de WhatsApp que manda el replay.</t>
        </is>
      </c>
    </row>
    <row r="11">
      <c r="B11" t="inlineStr">
        <is>
          <t>% registros que califican</t>
        </is>
      </c>
      <c r="C11" t="inlineStr">
        <is>
          <t>&lt;40 %</t>
        </is>
      </c>
      <c r="D11" t="inlineStr">
        <is>
          <t>40 a 55 %</t>
        </is>
      </c>
      <c r="E11" t="inlineStr">
        <is>
          <t>55 a 70 %</t>
        </is>
      </c>
      <c r="F11" t="inlineStr">
        <is>
          <t>&gt;70 %</t>
        </is>
      </c>
      <c r="G11" s="17">
        <f>'Supuestos'!$C$16</f>
        <v/>
      </c>
      <c r="H11" s="4" t="inlineStr">
        <is>
          <t>Depende de la pregunta que califica.</t>
        </is>
      </c>
    </row>
    <row r="12">
      <c r="B12" t="inlineStr">
        <is>
          <t>Costo por persona en el grupo (USD)</t>
        </is>
      </c>
      <c r="C12" t="inlineStr">
        <is>
          <t>&gt;3,00</t>
        </is>
      </c>
      <c r="D12" t="inlineStr">
        <is>
          <t>1,80 a 3,00</t>
        </is>
      </c>
      <c r="E12" t="inlineStr">
        <is>
          <t>1,00 a 1,80</t>
        </is>
      </c>
      <c r="F12" t="inlineStr">
        <is>
          <t>&lt;1,00</t>
        </is>
      </c>
      <c r="G12" s="19">
        <f>'Modelo'!$C$16</f>
        <v/>
      </c>
      <c r="H12" s="4" t="inlineStr">
        <is>
          <t>Webinars hispanos 2026: mediana cerca de 1,60.</t>
        </is>
      </c>
    </row>
    <row r="13">
      <c r="B13" t="inlineStr">
        <is>
          <t>% asistentes en vivo que solicitan</t>
        </is>
      </c>
      <c r="C13" t="inlineStr">
        <is>
          <t>&lt;5 %</t>
        </is>
      </c>
      <c r="D13" t="inlineStr">
        <is>
          <t>5 a 10 %</t>
        </is>
      </c>
      <c r="E13" t="inlineStr">
        <is>
          <t>10 a 15 %</t>
        </is>
      </c>
      <c r="F13" t="inlineStr">
        <is>
          <t>&gt;15 %</t>
        </is>
      </c>
      <c r="G13" s="17">
        <f>'Supuestos'!$C$25</f>
        <v/>
      </c>
      <c r="H13" s="4" t="inlineStr">
        <is>
          <t>Formulario de compra o aplicación presentado en el webinar. Hispano: 10 a 15 % de los asistentes en vivo.</t>
        </is>
      </c>
    </row>
    <row r="14">
      <c r="B14" t="inlineStr">
        <is>
          <t>Costo por solicitud (USD)</t>
        </is>
      </c>
      <c r="C14" t="inlineStr">
        <is>
          <t>&gt;150</t>
        </is>
      </c>
      <c r="D14" t="inlineStr">
        <is>
          <t>80 a 150</t>
        </is>
      </c>
      <c r="E14" t="inlineStr">
        <is>
          <t>40 a 80</t>
        </is>
      </c>
      <c r="F14" t="inlineStr">
        <is>
          <t>&lt;40</t>
        </is>
      </c>
      <c r="G14" s="19">
        <f>'Modelo'!$C$25</f>
        <v/>
      </c>
      <c r="H14" s="4" t="inlineStr">
        <is>
          <t>Webinars de llamada hispanos: mediana cerca de 80.</t>
        </is>
      </c>
    </row>
    <row r="15">
      <c r="B15" t="inlineStr">
        <is>
          <t>% solicitud → compra</t>
        </is>
      </c>
      <c r="C15" t="inlineStr">
        <is>
          <t>&lt;25 %</t>
        </is>
      </c>
      <c r="D15" t="inlineStr">
        <is>
          <t>25 a 40 %</t>
        </is>
      </c>
      <c r="E15" t="inlineStr">
        <is>
          <t>40 a 55 %</t>
        </is>
      </c>
      <c r="F15" t="inlineStr">
        <is>
          <t>&gt;55 %</t>
        </is>
      </c>
      <c r="G15" s="17">
        <f>'Supuestos'!$C$27</f>
        <v/>
      </c>
      <c r="H15" s="4" t="inlineStr">
        <is>
          <t>Con vendedor: 40 a 60 %. Compra directa en el formulario: más alto.</t>
        </is>
      </c>
    </row>
    <row r="16">
      <c r="B16" t="inlineStr">
        <is>
          <t>% registro → compra</t>
        </is>
      </c>
      <c r="C16" t="inlineStr">
        <is>
          <t>&lt;0,6 %</t>
        </is>
      </c>
      <c r="D16" t="inlineStr">
        <is>
          <t>0,6 a 1 %</t>
        </is>
      </c>
      <c r="E16" t="inlineStr">
        <is>
          <t>1 a 1,5 %</t>
        </is>
      </c>
      <c r="F16" t="inlineStr">
        <is>
          <t>&gt;1,5 %</t>
        </is>
      </c>
      <c r="G16" s="18">
        <f>'Modelo'!$C$27</f>
        <v/>
      </c>
      <c r="H16" s="4" t="inlineStr">
        <is>
          <t>El producto de todas las conversiones.</t>
        </is>
      </c>
    </row>
    <row r="17">
      <c r="B17" t="inlineStr">
        <is>
          <t>Costo por asistente en vivo (USD)</t>
        </is>
      </c>
      <c r="C17" t="inlineStr">
        <is>
          <t>&gt;15</t>
        </is>
      </c>
      <c r="D17" t="inlineStr">
        <is>
          <t>8 a 15</t>
        </is>
      </c>
      <c r="E17" t="inlineStr">
        <is>
          <t>5 a 8</t>
        </is>
      </c>
      <c r="F17" t="inlineStr">
        <is>
          <t>&lt;5</t>
        </is>
      </c>
      <c r="G17" s="19">
        <f>'Modelo'!$C$19</f>
        <v/>
      </c>
      <c r="H17" s="4" t="inlineStr"/>
    </row>
    <row r="18">
      <c r="B18" t="inlineStr">
        <is>
          <t>ROAS sobre cash neto</t>
        </is>
      </c>
      <c r="C18" t="inlineStr">
        <is>
          <t>&lt;1,2</t>
        </is>
      </c>
      <c r="D18" t="inlineStr">
        <is>
          <t>1,2 a 1,8</t>
        </is>
      </c>
      <c r="E18" t="inlineStr">
        <is>
          <t>1,8 a 2,5</t>
        </is>
      </c>
      <c r="F18" t="inlineStr">
        <is>
          <t>&gt;2,5</t>
        </is>
      </c>
      <c r="G18" s="27">
        <f>'Modelo'!$C$47</f>
        <v/>
      </c>
      <c r="H18" s="4" t="inlineStr">
        <is>
          <t>Por lanzamiento, cobranza completa.</t>
        </is>
      </c>
    </row>
  </sheetData>
  <pageMargins left="0.75" right="0.75" top="1" bottom="1" header="0.5" footer="0.5"/>
  <headerFooter>
    <oddHeader/>
    <oddFooter>&amp;C&amp;7 Modelo financiero de embudos · creado por Jesús Tassarolo · TooAudience · youtube.com/@JesusTassaroloSinFiltro</oddFooter>
    <evenHeader/>
    <evenFooter>&amp;C&amp;7 Modelo financiero de embudos · creado por Jesús Tassarolo · TooAudience · youtube.com/@JesusTassaroloSinFiltro</evenFooter>
    <firstHeader/>
    <firstFooter/>
  </headerFooter>
</worksheet>
</file>

<file path=xl/worksheets/sheet11.xml><?xml version="1.0" encoding="utf-8"?>
<worksheet xmlns="http://schemas.openxmlformats.org/spreadsheetml/2006/main">
  <sheetPr>
    <outlinePr summaryBelow="1" summaryRight="1"/>
    <pageSetUpPr/>
  </sheetPr>
  <dimension ref="B2:D43"/>
  <sheetViews>
    <sheetView showGridLines="0" workbookViewId="0">
      <selection activeCell="A1" sqref="A1"/>
    </sheetView>
  </sheetViews>
  <sheetFormatPr baseColWidth="8" defaultRowHeight="15"/>
  <cols>
    <col width="2" customWidth="1" min="1" max="1"/>
    <col width="30" customWidth="1" min="2" max="2"/>
    <col width="90" customWidth="1" min="3" max="3"/>
    <col width="26" customWidth="1" min="4" max="4"/>
  </cols>
  <sheetData>
    <row r="2">
      <c r="B2" s="1" t="inlineStr">
        <is>
          <t>Glosario</t>
        </is>
      </c>
    </row>
    <row r="3">
      <c r="B3" s="2" t="inlineStr">
        <is>
          <t>Los términos que usa este modelo, en el orden del embudo.</t>
        </is>
      </c>
    </row>
    <row r="5">
      <c r="B5" s="5" t="inlineStr">
        <is>
          <t>Término</t>
        </is>
      </c>
      <c r="C5" s="5" t="inlineStr">
        <is>
          <t>Qué es</t>
        </is>
      </c>
      <c r="D5" s="5" t="inlineStr">
        <is>
          <t>Dónde aparece</t>
        </is>
      </c>
    </row>
    <row r="6" ht="30" customHeight="1">
      <c r="B6" s="3" t="inlineStr">
        <is>
          <t>CPM</t>
        </is>
      </c>
      <c r="C6" s="4" t="inlineStr">
        <is>
          <t>Costo por mil impresiones: lo que cobra la plataforma de anuncios por mostrar el aviso mil veces.</t>
        </is>
      </c>
      <c r="D6" t="inlineStr">
        <is>
          <t>Supuestos</t>
        </is>
      </c>
    </row>
    <row r="7" ht="15" customHeight="1">
      <c r="B7" s="3" t="inlineStr">
        <is>
          <t>CTR</t>
        </is>
      </c>
      <c r="C7" s="4" t="inlineStr">
        <is>
          <t>Porcentaje de impresiones que terminan en clic al enlace.</t>
        </is>
      </c>
      <c r="D7" t="inlineStr">
        <is>
          <t>Supuestos</t>
        </is>
      </c>
    </row>
    <row r="8" ht="30" customHeight="1">
      <c r="B8" s="3" t="inlineStr">
        <is>
          <t>Clic → visita</t>
        </is>
      </c>
      <c r="C8" s="4" t="inlineStr">
        <is>
          <t>Porcentaje de clics que llegan a cargar la página. Siempre menor a 100 % (cierran antes de que cargue).</t>
        </is>
      </c>
      <c r="D8" t="inlineStr">
        <is>
          <t>Supuestos</t>
        </is>
      </c>
    </row>
    <row r="9" ht="30" customHeight="1">
      <c r="B9" s="3" t="inlineStr">
        <is>
          <t>Unidad de adquisición</t>
        </is>
      </c>
      <c r="C9" s="4" t="inlineStr">
        <is>
          <t>Lo que compra la publicidad en este embudo (visita, registro o entrada). Todo el modelo se mide por unidad.</t>
        </is>
      </c>
      <c r="D9" t="inlineStr">
        <is>
          <t>Modelo</t>
        </is>
      </c>
    </row>
    <row r="10" ht="30" customHeight="1">
      <c r="B10" s="3" t="inlineStr">
        <is>
          <t>Costo por unidad</t>
        </is>
      </c>
      <c r="C10" s="4" t="inlineStr">
        <is>
          <t>Inversión dividida por unidades compradas: costo por visita, CPL (costo por lead o registro) o costo por entrada.</t>
        </is>
      </c>
      <c r="D10" t="inlineStr">
        <is>
          <t>Modelo, Seguimiento</t>
        </is>
      </c>
    </row>
    <row r="11" ht="30" customHeight="1">
      <c r="B11" s="3" t="inlineStr">
        <is>
          <t>Conversión</t>
        </is>
      </c>
      <c r="C11" s="4" t="inlineStr">
        <is>
          <t>Porcentaje que pasa de una etapa a la siguiente. Las conversiones se multiplican: 15 % × 14 % × 44 % = 0,9 %.</t>
        </is>
      </c>
      <c r="D11" t="inlineStr">
        <is>
          <t>Supuestos, Modelo</t>
        </is>
      </c>
    </row>
    <row r="12" ht="30" customHeight="1">
      <c r="B12" s="3" t="inlineStr">
        <is>
          <t>Show rate</t>
        </is>
      </c>
      <c r="C12" s="4" t="inlineStr">
        <is>
          <t>Porcentaje de registrados (o compradores) que asisten en vivo. El replay se cuenta aparte.</t>
        </is>
      </c>
      <c r="D12" t="inlineStr">
        <is>
          <t>Supuestos</t>
        </is>
      </c>
    </row>
    <row r="13" ht="30" customHeight="1">
      <c r="B13" s="3" t="inlineStr">
        <is>
          <t>Bump</t>
        </is>
      </c>
      <c r="C13" s="4" t="inlineStr">
        <is>
          <t>Oferta extra en el mismo checkout, con una casilla. Se mide como % de los compradores.</t>
        </is>
      </c>
      <c r="D13" t="inlineStr">
        <is>
          <t>Supuestos</t>
        </is>
      </c>
    </row>
    <row r="14" ht="30" customHeight="1">
      <c r="B14" s="3" t="inlineStr">
        <is>
          <t>OTO / upsell</t>
        </is>
      </c>
      <c r="C14" s="4" t="inlineStr">
        <is>
          <t>Oferta que aparece después de pagar (one-time offer). Downsell: la oferta más barata para quien rechaza la OTO.</t>
        </is>
      </c>
      <c r="D14" t="inlineStr">
        <is>
          <t>Supuestos</t>
        </is>
      </c>
    </row>
    <row r="15" ht="15" customHeight="1">
      <c r="B15" s="3" t="inlineStr">
        <is>
          <t>Backend</t>
        </is>
      </c>
      <c r="C15" s="4" t="inlineStr">
        <is>
          <t>Producto de mayor valor que se vende después del primero, por ascenso o por llamada.</t>
        </is>
      </c>
      <c r="D15" t="inlineStr">
        <is>
          <t>Supuestos</t>
        </is>
      </c>
    </row>
    <row r="16" ht="15" customHeight="1">
      <c r="B16" s="3" t="inlineStr">
        <is>
          <t>AOV</t>
        </is>
      </c>
      <c r="C16" s="4" t="inlineStr">
        <is>
          <t>Facturado promedio por comprador del producto principal, sumando toda la escalera.</t>
        </is>
      </c>
      <c r="D16" t="inlineStr">
        <is>
          <t>Modelo</t>
        </is>
      </c>
    </row>
    <row r="17" ht="15" customHeight="1">
      <c r="B17" s="3" t="inlineStr">
        <is>
          <t>CPA / CAC</t>
        </is>
      </c>
      <c r="C17" s="4" t="inlineStr">
        <is>
          <t>Costo por comprador: inversión dividida por ventas del producto principal.</t>
        </is>
      </c>
      <c r="D17" t="inlineStr">
        <is>
          <t>Modelo</t>
        </is>
      </c>
    </row>
    <row r="18" ht="15" customHeight="1">
      <c r="B18" s="3" t="inlineStr">
        <is>
          <t>Facturado</t>
        </is>
      </c>
      <c r="C18" s="4" t="inlineStr">
        <is>
          <t>Lo vendido a precio de lista, aunque todavía no se haya cobrado (cuotas).</t>
        </is>
      </c>
      <c r="D18" t="inlineStr">
        <is>
          <t>Modelo</t>
        </is>
      </c>
    </row>
    <row r="19" ht="30" customHeight="1">
      <c r="B19" s="3" t="inlineStr">
        <is>
          <t>Cash cobrado</t>
        </is>
      </c>
      <c r="C19" s="4" t="inlineStr">
        <is>
          <t>Lo que efectivamente entró. Con cuotas, entra en varios meses según la curva de cobranza.</t>
        </is>
      </c>
      <c r="D19" t="inlineStr">
        <is>
          <t>Modelo, Proyección</t>
        </is>
      </c>
    </row>
    <row r="20" ht="30" customHeight="1">
      <c r="B20" s="3" t="inlineStr">
        <is>
          <t>Cash neto</t>
        </is>
      </c>
      <c r="C20" s="4" t="inlineStr">
        <is>
          <t>Cash cobrado menos comisiones de pasarela, comisiones de ventas y reembolsos. Es la base de verdad del modelo.</t>
        </is>
      </c>
      <c r="D20" t="inlineStr">
        <is>
          <t>Modelo</t>
        </is>
      </c>
    </row>
    <row r="21" ht="30" customHeight="1">
      <c r="B21" s="3" t="inlineStr">
        <is>
          <t>ROAS</t>
        </is>
      </c>
      <c r="C21" s="4" t="inlineStr">
        <is>
          <t>Retorno sobre la inversión en publicidad. Sobre facturado, sobre cash o sobre cash neto: siempre decí cuál.</t>
        </is>
      </c>
      <c r="D21" t="inlineStr">
        <is>
          <t>Modelo</t>
        </is>
      </c>
    </row>
    <row r="22" ht="30" customHeight="1">
      <c r="B22" s="3" t="inlineStr">
        <is>
          <t>Valor neto por unidad (VPU)</t>
        </is>
      </c>
      <c r="C22" s="4" t="inlineStr">
        <is>
          <t>Cash neto que deja cada unidad de adquisición, descontando los costos que crecen con el volumen. Es lo que vale un lead, una visita o una entrada.</t>
        </is>
      </c>
      <c r="D22" t="inlineStr">
        <is>
          <t>Modelo</t>
        </is>
      </c>
    </row>
    <row r="23" ht="30" customHeight="1">
      <c r="B23" s="3" t="inlineStr">
        <is>
          <t>Techo</t>
        </is>
      </c>
      <c r="C23" s="4" t="inlineStr">
        <is>
          <t>Costo por unidad al que no ganás ni perdés (break-even). Es igual al valor neto por unidad.</t>
        </is>
      </c>
      <c r="D23" t="inlineStr">
        <is>
          <t>Modelo, Seguimiento</t>
        </is>
      </c>
    </row>
    <row r="24" ht="15" customHeight="1">
      <c r="B24" s="3" t="inlineStr">
        <is>
          <t>Objetivo</t>
        </is>
      </c>
      <c r="C24" s="4" t="inlineStr">
        <is>
          <t>Techo dividido por (1 + margen de seguridad). Si pagás eso o menos, estás en verde.</t>
        </is>
      </c>
      <c r="D24" t="inlineStr">
        <is>
          <t>Modelo</t>
        </is>
      </c>
    </row>
    <row r="25" ht="30" customHeight="1">
      <c r="B25" s="3" t="inlineStr">
        <is>
          <t>Margen de seguridad</t>
        </is>
      </c>
      <c r="C25" s="4" t="inlineStr">
        <is>
          <t>Colchón entre el techo y el objetivo para absorber varianza, reembolsos y costos que no viste. 30 % es el estándar.</t>
        </is>
      </c>
      <c r="D25" t="inlineStr">
        <is>
          <t>Supuestos</t>
        </is>
      </c>
    </row>
    <row r="26" ht="60" customHeight="1">
      <c r="B26" s="3" t="inlineStr">
        <is>
          <t>Semáforo</t>
        </is>
      </c>
      <c r="C26" s="4" t="inlineStr">
        <is>
          <t>Rojo: el costo por unidad está por encima del techo (perdés con cada unidad). Verde: el costo está en el objetivo o por debajo y el ROAS sobre cash neto llega al objetivo. Amarillo: todo lo demás (el costo está entre objetivo y techo, o el ROAS no llega).</t>
        </is>
      </c>
      <c r="D26" t="inlineStr">
        <is>
          <t>Resumen, Seguimiento</t>
        </is>
      </c>
    </row>
    <row r="27" ht="30" customHeight="1">
      <c r="B27" s="3" t="inlineStr">
        <is>
          <t>Techo móvil</t>
        </is>
      </c>
      <c r="C27" s="4" t="inlineStr">
        <is>
          <t>Mediana del valor neto por unidad de tus últimas 4 columnas de Seguimiento. Es el techo que se usa para decidir, porque refleja tu rendimiento reciente.</t>
        </is>
      </c>
      <c r="D27" t="inlineStr">
        <is>
          <t>Seguimiento</t>
        </is>
      </c>
    </row>
    <row r="28" ht="30" customHeight="1">
      <c r="B28" s="3" t="inlineStr">
        <is>
          <t>Escenario</t>
        </is>
      </c>
      <c r="C28" s="4" t="inlineStr">
        <is>
          <t>Conjunto de supuestos conservador, base u optimista. Se elige con una celda en Supuestos.</t>
        </is>
      </c>
      <c r="D28" t="inlineStr">
        <is>
          <t>Supuestos</t>
        </is>
      </c>
    </row>
    <row r="29" ht="30" customHeight="1">
      <c r="B29" s="3" t="inlineStr">
        <is>
          <t>Sensibilidad</t>
        </is>
      </c>
      <c r="C29" s="4" t="inlineStr">
        <is>
          <t>Cuánto cambia la ganancia si mejorás una sola variable un 10 %. Dice qué palanca trabajar primero.</t>
        </is>
      </c>
      <c r="D29" t="inlineStr">
        <is>
          <t>Sensibilidad</t>
        </is>
      </c>
    </row>
    <row r="30" ht="45" customHeight="1">
      <c r="B30" s="3" t="inlineStr">
        <is>
          <t>Ganancia por visita / por lead / por cliente</t>
        </is>
      </c>
      <c r="C30" s="4" t="inlineStr">
        <is>
          <t>La ganancia del período dividida por la cantidad de ese paso. Es la otra cara del costo por paso. La ganancia por visita es la métrica que más vale: resume todo lo que pasa después de la página.</t>
        </is>
      </c>
      <c r="D30" t="inlineStr">
        <is>
          <t>Modelo, Embudo</t>
        </is>
      </c>
    </row>
    <row r="31" ht="30" customHeight="1">
      <c r="B31" s="3" t="inlineStr">
        <is>
          <t>Order value (AOV)</t>
        </is>
      </c>
      <c r="C31" s="4" t="inlineStr">
        <is>
          <t>Facturado promedio por comprador del principal sumando toda la escalera. El AOV neto es lo mismo después de comisiones y reembolsos, y su par es el CPA.</t>
        </is>
      </c>
      <c r="D31" t="inlineStr">
        <is>
          <t>Modelo</t>
        </is>
      </c>
    </row>
    <row r="32" ht="45" customHeight="1">
      <c r="B32" s="3" t="inlineStr">
        <is>
          <t>Caja necesaria</t>
        </is>
      </c>
      <c r="C32" s="4" t="inlineStr">
        <is>
          <t>El peor momento de la ganancia acumulada en la proyección, en positivo. Es la plata que necesitás tener para no frenar la pauta mientras cobrás. Si da 0, el embudo se autofinancia.</t>
        </is>
      </c>
      <c r="D32" t="inlineStr">
        <is>
          <t>Proyección</t>
        </is>
      </c>
    </row>
    <row r="33" ht="30" customHeight="1">
      <c r="B33" s="3" t="inlineStr">
        <is>
          <t>Unit economics</t>
        </is>
      </c>
      <c r="C33" s="4" t="inlineStr">
        <is>
          <t>Los números por unidad: cuánto cuesta y cuánto deja cada visita, registro, entrada o comprador.</t>
        </is>
      </c>
      <c r="D33" t="inlineStr">
        <is>
          <t>Resumen</t>
        </is>
      </c>
    </row>
    <row r="34" ht="30" customHeight="1">
      <c r="B34" s="3" t="inlineStr">
        <is>
          <t>Tráfico frío</t>
        </is>
      </c>
      <c r="C34" s="4" t="inlineStr">
        <is>
          <t>Gente que no te conoce y llega desde un anuncio. Convierte menos que tu audiencia propia.</t>
        </is>
      </c>
      <c r="D34" t="inlineStr">
        <is>
          <t>Benchmarks</t>
        </is>
      </c>
    </row>
    <row r="35" ht="30" customHeight="1">
      <c r="B35" s="3" t="inlineStr">
        <is>
          <t>Front / producto principal</t>
        </is>
      </c>
      <c r="C35" s="4" t="inlineStr">
        <is>
          <t>El primer producto que se vende en el embudo. Todo lo demás (bumps, OTOs, programa) se mide como % de sus compradores.</t>
        </is>
      </c>
      <c r="D35" t="inlineStr">
        <is>
          <t>Supuestos</t>
        </is>
      </c>
    </row>
    <row r="36" ht="15" customHeight="1">
      <c r="B36" s="3" t="inlineStr">
        <is>
          <t>Pitch</t>
        </is>
      </c>
      <c r="C36" s="4" t="inlineStr">
        <is>
          <t>La parte del webinar o la llamada donde se presenta la oferta.</t>
        </is>
      </c>
      <c r="D36" t="inlineStr">
        <is>
          <t>Inicio</t>
        </is>
      </c>
    </row>
    <row r="37" ht="15" customHeight="1">
      <c r="B37" s="3" t="inlineStr">
        <is>
          <t>VSL</t>
        </is>
      </c>
      <c r="C37" s="4" t="inlineStr">
        <is>
          <t>Video de ventas: la página de ventas es un video largo que vende el producto.</t>
        </is>
      </c>
      <c r="D37" t="inlineStr">
        <is>
          <t>Supuestos</t>
        </is>
      </c>
    </row>
    <row r="38" ht="30" customHeight="1">
      <c r="B38" s="3" t="inlineStr">
        <is>
          <t>B2B</t>
        </is>
      </c>
      <c r="C38" s="4" t="inlineStr">
        <is>
          <t>Negocios que venden a empresas. Sus benchmarks de asistencia son más altos que los de tráfico frío a personas.</t>
        </is>
      </c>
      <c r="D38" t="inlineStr">
        <is>
          <t>Benchmarks</t>
        </is>
      </c>
    </row>
    <row r="39" ht="15" customHeight="1">
      <c r="B39" s="3" t="inlineStr">
        <is>
          <t>Self-serve</t>
        </is>
      </c>
      <c r="C39" s="4" t="inlineStr">
        <is>
          <t>Venta sin llamada: la persona compra sola desde una página de pago.</t>
        </is>
      </c>
      <c r="D39" t="inlineStr">
        <is>
          <t>Supuestos</t>
        </is>
      </c>
    </row>
    <row r="40" ht="15" customHeight="1">
      <c r="B40" s="3" t="inlineStr">
        <is>
          <t>Replay</t>
        </is>
      </c>
      <c r="C40" s="4" t="inlineStr">
        <is>
          <t>La grabación del webinar que ven los que no fueron en vivo. Convierte mucho menos.</t>
        </is>
      </c>
      <c r="D40" t="inlineStr">
        <is>
          <t>Supuestos</t>
        </is>
      </c>
    </row>
    <row r="41" ht="30" customHeight="1">
      <c r="B41" s="3" t="inlineStr">
        <is>
          <t>Ventana de 72 h</t>
        </is>
      </c>
      <c r="C41" s="4" t="inlineStr">
        <is>
          <t>Los tres días después del webinar en que la oferta sigue abierta. Sus solicitudes se cuentan dentro de las de en vivo o replay.</t>
        </is>
      </c>
      <c r="D41" t="inlineStr">
        <is>
          <t>Supuestos</t>
        </is>
      </c>
    </row>
    <row r="42" ht="45" customHeight="1">
      <c r="B42" s="3" t="inlineStr">
        <is>
          <t>Solicitud</t>
        </is>
      </c>
      <c r="C42" s="4" t="inlineStr">
        <is>
          <t>Lo que hace el asistente cuando se presenta la oferta: completa el formulario de compra, la aplicación, o pide hablar con un vendedor. Se mide en cantidad, costo por solicitud y % sobre asistentes en vivo.</t>
        </is>
      </c>
      <c r="D42" t="inlineStr">
        <is>
          <t>Modelo, Seguimiento</t>
        </is>
      </c>
    </row>
    <row r="43" ht="30" customHeight="1">
      <c r="B43" s="3" t="inlineStr">
        <is>
          <t>Registro calificado</t>
        </is>
      </c>
      <c r="C43" s="4" t="inlineStr">
        <is>
          <t>Registro que pasa la pregunta que califica en el formulario. Da el CPL calificado, además del CPL real.</t>
        </is>
      </c>
      <c r="D43" t="inlineStr">
        <is>
          <t>Modelo</t>
        </is>
      </c>
    </row>
  </sheetData>
  <pageMargins left="0.75" right="0.75" top="1" bottom="1" header="0.5" footer="0.5"/>
  <headerFooter>
    <oddHeader/>
    <oddFooter>&amp;C&amp;7 Modelo financiero de embudos · creado por Jesús Tassarolo · TooAudience · youtube.com/@JesusTassaroloSinFiltro</oddFooter>
    <evenHeader/>
    <evenFooter>&amp;C&amp;7 Modelo financiero de embudos · creado por Jesús Tassarolo · TooAudience · youtube.com/@JesusTassaroloSinFiltro</evenFooter>
    <firstHeader/>
    <firstFooter/>
  </headerFooter>
</worksheet>
</file>

<file path=xl/worksheets/sheet12.xml><?xml version="1.0" encoding="utf-8"?>
<worksheet xmlns="http://schemas.openxmlformats.org/spreadsheetml/2006/main">
  <sheetPr>
    <outlinePr summaryBelow="1" summaryRight="1"/>
    <pageSetUpPr/>
  </sheetPr>
  <dimension ref="B2:D24"/>
  <sheetViews>
    <sheetView showGridLines="0" workbookViewId="0">
      <selection activeCell="A1" sqref="A1"/>
    </sheetView>
  </sheetViews>
  <sheetFormatPr baseColWidth="8" defaultRowHeight="15"/>
  <cols>
    <col width="2" customWidth="1" min="1" max="1"/>
    <col width="70" customWidth="1" min="2" max="2"/>
    <col width="14" customWidth="1" min="3" max="3"/>
    <col width="60" customWidth="1" min="4" max="4"/>
  </cols>
  <sheetData>
    <row r="2">
      <c r="B2" s="1" t="inlineStr">
        <is>
          <t>Chequeos: el modelo se revisa solo</t>
        </is>
      </c>
    </row>
    <row r="3">
      <c r="B3" s="2" t="inlineStr">
        <is>
          <t>Si alguna fila dice REVISAR, hay un supuesto fuera de rango o un dato inconsistente.</t>
        </is>
      </c>
    </row>
    <row r="5">
      <c r="B5" s="5" t="inlineStr">
        <is>
          <t>Chequeo</t>
        </is>
      </c>
      <c r="C5" s="5" t="inlineStr">
        <is>
          <t>Estado</t>
        </is>
      </c>
      <c r="D5" s="5" t="inlineStr">
        <is>
          <t>Qué revisar</t>
        </is>
      </c>
    </row>
    <row r="6">
      <c r="B6" t="inlineStr">
        <is>
          <t>Ninguna celda con error en Modelo</t>
        </is>
      </c>
      <c r="C6" s="35">
        <f>IF(ISERROR(SUM('Modelo'!C5:C160)),"REVISAR","OK")</f>
        <v/>
      </c>
      <c r="D6" s="4" t="inlineStr">
        <is>
          <t>Si dice REVISAR, hay un #DIV/0! o #REF!: casi siempre un supuesto en 0 o una fila borrada.</t>
        </is>
      </c>
    </row>
    <row r="7">
      <c r="B7" t="inlineStr">
        <is>
          <t>Ninguna celda con error en Embudo</t>
        </is>
      </c>
      <c r="C7" s="35">
        <f>IF(ISERROR(SUM('Embudo'!C5:H60)),"REVISAR","OK")</f>
        <v/>
      </c>
      <c r="D7" s="4" t="inlineStr">
        <is>
          <t>Si dice REVISAR, hay un #DIV/0! o #REF!: casi siempre un supuesto en 0 o una fila borrada.</t>
        </is>
      </c>
    </row>
    <row r="8">
      <c r="B8" t="inlineStr">
        <is>
          <t>Ninguna celda con error en Resumen</t>
        </is>
      </c>
      <c r="C8" s="35">
        <f>IF(ISERROR(SUM('Resumen'!C5:C60)),"REVISAR","OK")</f>
        <v/>
      </c>
      <c r="D8" s="4" t="inlineStr">
        <is>
          <t>Si dice REVISAR, hay un #DIV/0! o #REF!: casi siempre un supuesto en 0 o una fila borrada.</t>
        </is>
      </c>
    </row>
    <row r="9">
      <c r="B9" t="inlineStr">
        <is>
          <t>Ninguna celda con error en Proyección 12 meses</t>
        </is>
      </c>
      <c r="C9" s="35">
        <f>IF(ISERROR(SUM('Proyección 12 meses'!C5:O40)),"REVISAR","OK")</f>
        <v/>
      </c>
      <c r="D9" s="4" t="inlineStr">
        <is>
          <t>Si dice REVISAR, hay un #DIV/0! o #REF!: casi siempre un supuesto en 0 o una fila borrada.</t>
        </is>
      </c>
    </row>
    <row r="10">
      <c r="B10" t="inlineStr">
        <is>
          <t>Ninguna celda con error en Escenarios</t>
        </is>
      </c>
      <c r="C10" s="35">
        <f>IF(ISERROR(SUM('Escenarios'!C5:L120)),"REVISAR","OK")</f>
        <v/>
      </c>
      <c r="D10" s="4" t="inlineStr">
        <is>
          <t>Si dice REVISAR, hay un #DIV/0! o #REF!: casi siempre un supuesto en 0 o una fila borrada.</t>
        </is>
      </c>
    </row>
    <row r="11">
      <c r="B11" t="inlineStr">
        <is>
          <t>Ninguna celda con error en Seguimiento</t>
        </is>
      </c>
      <c r="C11" s="35">
        <f>IF(ISERROR(SUM('Seguimiento'!C5:Q80)),"REVISAR","OK")</f>
        <v/>
      </c>
      <c r="D11" s="4" t="inlineStr">
        <is>
          <t>Si dice REVISAR, hay un #DIV/0! o #REF!: casi siempre un supuesto en 0 o una fila borrada.</t>
        </is>
      </c>
    </row>
    <row r="12">
      <c r="B12" t="inlineStr">
        <is>
          <t>Los supuestos de tráfico son mayores a cero</t>
        </is>
      </c>
      <c r="C12" s="35">
        <f>IF(AND('Supuestos'!$C$10&gt;0,'Supuestos'!$C$11&gt;0,'Supuestos'!$C$12&gt;0,'Supuestos'!$C$15&gt;0),"OK","REVISAR")</f>
        <v/>
      </c>
      <c r="D12" s="4" t="inlineStr">
        <is>
          <t>Con un 0 en el tráfico o en la conversión de la página no hay unidades y el modelo no dice nada.</t>
        </is>
      </c>
    </row>
    <row r="13">
      <c r="B13" t="inlineStr">
        <is>
          <t>La curva de cobranza suma 100 %</t>
        </is>
      </c>
      <c r="C13" s="35">
        <f>IF(ABS('Supuestos'!$C$41+'Supuestos'!$C$42+'Supuestos'!$C$43-1)&lt;0.001,"OK","REVISAR")</f>
        <v/>
      </c>
      <c r="D13" s="4" t="inlineStr">
        <is>
          <t>Supuestos → cobranza mes 1 + mes 2 + mes 3 = 100 %.</t>
        </is>
      </c>
    </row>
    <row r="14">
      <c r="B14" t="inlineStr">
        <is>
          <t>Comisiones + reembolsos menores al 60 %</t>
        </is>
      </c>
      <c r="C14" s="35">
        <f>IF(('Supuestos'!$C$34+'Supuestos'!$C$35+'Supuestos'!$C$36)&lt;0.6,"OK","REVISAR")</f>
        <v/>
      </c>
      <c r="D14" s="4" t="inlineStr">
        <is>
          <t>Si suman más, revisá los porcentajes.</t>
        </is>
      </c>
    </row>
    <row r="15">
      <c r="B15" t="inlineStr">
        <is>
          <t>El escenario en uso es 1, 2 o 3</t>
        </is>
      </c>
      <c r="C15" s="35">
        <f>IF(OR('Supuestos'!$C$6=1,'Supuestos'!$C$6=2,'Supuestos'!$C$6=3),"OK","REVISAR")</f>
        <v/>
      </c>
      <c r="D15" s="4" t="inlineStr">
        <is>
          <t>Supuestos → celda 'Escenario en uso'.</t>
        </is>
      </c>
    </row>
    <row r="16">
      <c r="B16" t="inlineStr">
        <is>
          <t>La inversión es mayor a cero</t>
        </is>
      </c>
      <c r="C16" s="35">
        <f>IF('Supuestos'!$C$8&gt;0,"OK","REVISAR")</f>
        <v/>
      </c>
      <c r="D16" s="4" t="inlineStr"/>
    </row>
    <row r="17">
      <c r="B17" t="inlineStr">
        <is>
          <t>La meta de ventas es alcanzable (hay conversión a venta)</t>
        </is>
      </c>
      <c r="C17" s="35">
        <f>IF('Modelo'!$C$27&gt;0,"OK","REVISAR")</f>
        <v/>
      </c>
      <c r="D17" s="4" t="inlineStr">
        <is>
          <t>Con conversión a venta en 0, la inversión para la meta dice 'inalcanzable con estos supuestos'.</t>
        </is>
      </c>
    </row>
    <row r="18">
      <c r="B18" t="inlineStr">
        <is>
          <t>Las conversiones están entre 0 y 100 %</t>
        </is>
      </c>
      <c r="C18" s="35">
        <f>IF(AND('Supuestos'!$C$11&gt;=0,'Supuestos'!$C$11&lt;=1,'Supuestos'!$C$12&gt;=0,'Supuestos'!$C$12&lt;=1,'Supuestos'!$C$15&gt;=0,'Supuestos'!$C$15&lt;=1,'Supuestos'!$C$16&gt;=0,'Supuestos'!$C$16&lt;=1,'Supuestos'!$C$19&gt;=0,'Supuestos'!$C$19&lt;=1,'Supuestos'!$C$20&gt;=0,'Supuestos'!$C$20&lt;=1,'Supuestos'!$C$21&gt;=0,'Supuestos'!$C$21&lt;=1,'Supuestos'!$C$25&gt;=0,'Supuestos'!$C$25&lt;=1,'Supuestos'!$C$26&gt;=0,'Supuestos'!$C$26&lt;=1,'Supuestos'!$C$27&gt;=0,'Supuestos'!$C$27&lt;=1,'Supuestos'!$C$29&gt;=0,'Supuestos'!$C$29&lt;=1,'Supuestos'!$C$31&gt;=0,'Supuestos'!$C$31&lt;=1),"OK","REVISAR")</f>
        <v/>
      </c>
      <c r="D18" s="4" t="inlineStr">
        <is>
          <t>Un 25 % se escribe 25 % (o 0,25), no 25.</t>
        </is>
      </c>
    </row>
    <row r="19">
      <c r="B19" t="inlineStr">
        <is>
          <t>El margen de seguridad está entre 0 y 100 %</t>
        </is>
      </c>
      <c r="C19" s="35">
        <f>IF(AND('Supuestos'!$C$47&gt;=0,'Supuestos'!$C$47&lt;=1),"OK","REVISAR")</f>
        <v/>
      </c>
      <c r="D19" s="4" t="inlineStr"/>
    </row>
    <row r="20">
      <c r="B20" t="inlineStr">
        <is>
          <t>El crecimiento mensual está entre −50 % y 100 %</t>
        </is>
      </c>
      <c r="C20" s="35">
        <f>IF(AND('Supuestos'!$C$49&gt;=-0.5,'Supuestos'!$C$49&lt;=1),"OK","REVISAR")</f>
        <v/>
      </c>
      <c r="D20" s="4" t="inlineStr">
        <is>
          <t>Más de 100 % por mes no es realista para una proyección.</t>
        </is>
      </c>
    </row>
    <row r="21">
      <c r="B21" t="inlineStr">
        <is>
          <t>La cadena es decreciente (cada etapa tiene menos gente que la anterior)</t>
        </is>
      </c>
      <c r="C21" s="35">
        <f>IF(AND('Modelo'!$C$15&lt;='Modelo'!$C$11,'Modelo'!$C$17&lt;='Modelo'!$C$11,'Modelo'!$C$21&lt;='Modelo'!$C$17,'Modelo'!$C$22&lt;='Modelo'!$C$18,'Modelo'!$C$26&lt;='Modelo'!$C$23),"OK","REVISAR")</f>
        <v/>
      </c>
      <c r="D21" s="4" t="inlineStr">
        <is>
          <t>Si falla, alguna conversión está por encima de 100 %.</t>
        </is>
      </c>
    </row>
    <row r="22">
      <c r="B22" t="inlineStr">
        <is>
          <t>En vivo + replay no superan el 100 % de los registrados</t>
        </is>
      </c>
      <c r="C22" s="35">
        <f>IF(('Supuestos'!$C$20+'Supuestos'!$C$21)&lt;=1,"OK","REVISAR")</f>
        <v/>
      </c>
      <c r="D22" s="4" t="inlineStr">
        <is>
          <t>El replay se cuenta sin los que fueron en vivo.</t>
        </is>
      </c>
    </row>
    <row r="24">
      <c r="B24" s="3" t="inlineStr">
        <is>
          <t>Estado general del modelo</t>
        </is>
      </c>
      <c r="C24" s="36">
        <f>IF(COUNTIF(C6:C22,"REVISAR")=0,"OK","REVISAR")</f>
        <v/>
      </c>
    </row>
  </sheetData>
  <conditionalFormatting sqref="C6:C24">
    <cfRule type="cellIs" priority="1" operator="equal" dxfId="0">
      <formula>"OK"</formula>
    </cfRule>
    <cfRule type="cellIs" priority="2" operator="equal" dxfId="2">
      <formula>"REVISAR"</formula>
    </cfRule>
  </conditionalFormatting>
  <pageMargins left="0.75" right="0.75" top="1" bottom="1" header="0.5" footer="0.5"/>
  <headerFooter>
    <oddHeader/>
    <oddFooter>&amp;C&amp;7 Modelo financiero de embudos · creado por Jesús Tassarolo · TooAudience · youtube.com/@JesusTassaroloSinFiltro</oddFooter>
    <evenHeader/>
    <evenFooter>&amp;C&amp;7 Modelo financiero de embudos · creado por Jesús Tassarolo · TooAudience · youtube.com/@JesusTassaroloSinFiltro</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Jesús Tassarolo</dc:creator>
  <dc:title xmlns:dc="http://purl.org/dc/elements/1.1/">Modelo financiero · Embudo de webinar gratuito</dc:title>
  <dc:description xmlns:dc="http://purl.org/dc/elements/1.1/">Modelo financiero de embudos · creado por Jesús Tassarolo · TooAudience · youtube.com/@JesusTassaroloSinFiltro · v1.2 · octubre 2026</dc:description>
  <dc:subject xmlns:dc="http://purl.org/dc/elements/1.1/">Modelo financiero de embudos · creado por Jesús Tassarolo · TooAudience · youtube.com/@JesusTassaroloSinFiltro</dc:subject>
  <dcterms:created xmlns:dcterms="http://purl.org/dc/terms/" xmlns:xsi="http://www.w3.org/2001/XMLSchema-instance" xsi:type="dcterms:W3CDTF">2026-10-01T22:49:04Z</dcterms:created>
  <dcterms:modified xmlns:dcterms="http://purl.org/dc/terms/" xmlns:xsi="http://www.w3.org/2001/XMLSchema-instance" xsi:type="dcterms:W3CDTF">2026-10-01T22:49:04Z</dcterms:modified>
  <cp:lastModifiedBy>Jesús Tassarolo</cp:lastModifiedBy>
  <cp:keywords>modelo financiero, embudo, TooAudience, Jesús Tassarolo</cp:keywords>
</cp:coreProperties>
</file>