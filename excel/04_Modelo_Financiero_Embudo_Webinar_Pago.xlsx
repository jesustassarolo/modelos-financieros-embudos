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icio" sheetId="1" state="visible" r:id="rId1"/>
    <sheet xmlns:r="http://schemas.openxmlformats.org/officeDocument/2006/relationships" name="Resumen" sheetId="2" state="visible" r:id="rId2"/>
    <sheet xmlns:r="http://schemas.openxmlformats.org/officeDocument/2006/relationships" name="Simulador" sheetId="3" state="visible" r:id="rId3"/>
    <sheet xmlns:r="http://schemas.openxmlformats.org/officeDocument/2006/relationships" name="Embudo" sheetId="4" state="visible" r:id="rId4"/>
    <sheet xmlns:r="http://schemas.openxmlformats.org/officeDocument/2006/relationships" name="Supuestos" sheetId="5" state="visible" r:id="rId5"/>
    <sheet xmlns:r="http://schemas.openxmlformats.org/officeDocument/2006/relationships" name="Modelo" sheetId="6" state="visible" r:id="rId6"/>
    <sheet xmlns:r="http://schemas.openxmlformats.org/officeDocument/2006/relationships" name="Escenarios" sheetId="7" state="visible" r:id="rId7"/>
    <sheet xmlns:r="http://schemas.openxmlformats.org/officeDocument/2006/relationships" name="Sensibilidad" sheetId="8" state="visible" r:id="rId8"/>
    <sheet xmlns:r="http://schemas.openxmlformats.org/officeDocument/2006/relationships" name="Proyección 12 meses" sheetId="9" state="visible" r:id="rId9"/>
    <sheet xmlns:r="http://schemas.openxmlformats.org/officeDocument/2006/relationships" name="Seguimiento" sheetId="10" state="visible" r:id="rId10"/>
    <sheet xmlns:r="http://schemas.openxmlformats.org/officeDocument/2006/relationships" name="Benchmarks" sheetId="11" state="visible" r:id="rId11"/>
    <sheet xmlns:r="http://schemas.openxmlformats.org/officeDocument/2006/relationships" name="Glosario" sheetId="12" state="visible" r:id="rId12"/>
    <sheet xmlns:r="http://schemas.openxmlformats.org/officeDocument/2006/relationships" name="Chequeos" sheetId="13" state="visible" r:id="rId13"/>
    <sheet xmlns:r="http://schemas.openxmlformats.org/officeDocument/2006/relationships" name="Licencia" sheetId="14" state="visible" r:id="rId14"/>
  </sheets>
  <definedNames>
    <definedName name="Autor_Jesus_Tassarolo">"Modelo financiero de embudos · creado por Jesús Tassarolo · TooAudience · youtube.com/@JesusTassaroloSinFiltro"</definedName>
  </definedNames>
  <calcPr calcId="124519" fullCalcOnLoad="1"/>
</workbook>
</file>

<file path=xl/styles.xml><?xml version="1.0" encoding="utf-8"?>
<styleSheet xmlns="http://schemas.openxmlformats.org/spreadsheetml/2006/main">
  <numFmts count="5">
    <numFmt numFmtId="164" formatCode="&quot;$&quot;#,##0"/>
    <numFmt numFmtId="165" formatCode="&quot;$&quot;#,##0.00"/>
    <numFmt numFmtId="166" formatCode="0.0%"/>
    <numFmt numFmtId="167" formatCode="0.00&quot;x&quot;"/>
    <numFmt numFmtId="168" formatCode="0.0"/>
  </numFmts>
  <fonts count="6">
    <font>
      <name val="Calibri"/>
      <family val="2"/>
      <color theme="1"/>
      <sz val="11"/>
      <scheme val="minor"/>
    </font>
    <font>
      <b val="1"/>
      <sz val="14"/>
    </font>
    <font>
      <i val="1"/>
      <color rgb="00595959"/>
    </font>
    <font>
      <b val="1"/>
    </font>
    <font>
      <b val="1"/>
      <color rgb="00FFFFFF"/>
    </font>
    <font>
      <i val="1"/>
      <color rgb="008C8C8C"/>
      <sz val="8"/>
    </font>
  </fonts>
  <fills count="6">
    <fill>
      <patternFill/>
    </fill>
    <fill>
      <patternFill patternType="gray125"/>
    </fill>
    <fill>
      <patternFill patternType="solid">
        <fgColor rgb="001F3864"/>
      </patternFill>
    </fill>
    <fill>
      <patternFill patternType="solid">
        <fgColor rgb="00FFF2CC"/>
      </patternFill>
    </fill>
    <fill>
      <patternFill patternType="solid">
        <fgColor rgb="00D9E1F2"/>
      </patternFill>
    </fill>
    <fill>
      <patternFill patternType="solid">
        <fgColor rgb="00DDEBF7"/>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38">
    <xf numFmtId="0" fontId="0" fillId="0" borderId="0" pivotButton="0" quotePrefix="0" xfId="0"/>
    <xf numFmtId="0" fontId="5"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horizontal="center" vertical="center"/>
    </xf>
    <xf numFmtId="0" fontId="3" fillId="4" borderId="0" pivotButton="0" quotePrefix="0" xfId="0"/>
    <xf numFmtId="0" fontId="0" fillId="4" borderId="0" pivotButton="0" quotePrefix="0" xfId="0"/>
    <xf numFmtId="164" fontId="3" fillId="5" borderId="1" pivotButton="0" quotePrefix="0" xfId="0"/>
    <xf numFmtId="167" fontId="3" fillId="5" borderId="1" pivotButton="0" quotePrefix="0" xfId="0"/>
    <xf numFmtId="3" fontId="3" fillId="5" borderId="1" pivotButton="0" quotePrefix="0" xfId="0"/>
    <xf numFmtId="168" fontId="3" fillId="5" borderId="1" pivotButton="0" quotePrefix="0" xfId="0"/>
    <xf numFmtId="165" fontId="3" fillId="5" borderId="1" pivotButton="0" quotePrefix="0" xfId="0"/>
    <xf numFmtId="49" fontId="3" fillId="5" borderId="1" pivotButton="0" quotePrefix="0" xfId="0"/>
    <xf numFmtId="0" fontId="0" fillId="5" borderId="1" applyAlignment="1" pivotButton="0" quotePrefix="0" xfId="0">
      <alignment vertical="top" wrapText="1"/>
    </xf>
    <xf numFmtId="0" fontId="0" fillId="0" borderId="4" pivotButton="0" quotePrefix="0" xfId="0"/>
    <xf numFmtId="165" fontId="0" fillId="3" borderId="1" pivotButton="0" quotePrefix="0" xfId="0"/>
    <xf numFmtId="165" fontId="0" fillId="5" borderId="1" pivotButton="0" quotePrefix="0" xfId="0"/>
    <xf numFmtId="164" fontId="0" fillId="3" borderId="1" pivotButton="0" quotePrefix="0" xfId="0"/>
    <xf numFmtId="164" fontId="0" fillId="5" borderId="1" pivotButton="0" quotePrefix="0" xfId="0"/>
    <xf numFmtId="3" fontId="0" fillId="5" borderId="1" pivotButton="0" quotePrefix="0" xfId="0"/>
    <xf numFmtId="166" fontId="0" fillId="3" borderId="1" pivotButton="0" quotePrefix="0" xfId="0"/>
    <xf numFmtId="166" fontId="0" fillId="5" borderId="1" pivotButton="0" quotePrefix="0" xfId="0"/>
    <xf numFmtId="168" fontId="0" fillId="5" borderId="1" pivotButton="0" quotePrefix="0" xfId="0"/>
    <xf numFmtId="167" fontId="0" fillId="5" borderId="1" pivotButton="0" quotePrefix="0" xfId="0"/>
    <xf numFmtId="10" fontId="0" fillId="5" borderId="1" pivotButton="0" quotePrefix="0" xfId="0"/>
    <xf numFmtId="167" fontId="0" fillId="3" borderId="1" pivotButton="0" quotePrefix="0" xfId="0"/>
    <xf numFmtId="49" fontId="0" fillId="5" borderId="1" pivotButton="0" quotePrefix="0" xfId="0"/>
    <xf numFmtId="3" fontId="0" fillId="3" borderId="1" pivotButton="0" quotePrefix="0" xfId="0"/>
    <xf numFmtId="166" fontId="3" fillId="3" borderId="1" pivotButton="0" quotePrefix="0" xfId="0"/>
    <xf numFmtId="164" fontId="3" fillId="3" borderId="1" pivotButton="0" quotePrefix="0" xfId="0"/>
    <xf numFmtId="165" fontId="3" fillId="3" borderId="1" pivotButton="0" quotePrefix="0" xfId="0"/>
    <xf numFmtId="167" fontId="3" fillId="3" borderId="1" pivotButton="0" quotePrefix="0" xfId="0"/>
    <xf numFmtId="164" fontId="0" fillId="0" borderId="0" pivotButton="0" quotePrefix="0" xfId="0"/>
    <xf numFmtId="167" fontId="3" fillId="0" borderId="0" pivotButton="0" quotePrefix="0" xfId="0"/>
    <xf numFmtId="0" fontId="0" fillId="5" borderId="1" pivotButton="0" quotePrefix="0" xfId="0"/>
    <xf numFmtId="0" fontId="3" fillId="5" borderId="1" pivotButton="0" quotePrefix="0" xfId="0"/>
  </cellXfs>
  <cellStyles count="1">
    <cellStyle name="Normal" xfId="0" builtinId="0" hidden="0"/>
  </cellStyles>
  <dxfs count="4">
    <dxf>
      <fill>
        <patternFill patternType="solid">
          <fgColor rgb="00C6EFCE"/>
        </patternFill>
      </fill>
    </dxf>
    <dxf>
      <fill>
        <patternFill patternType="solid">
          <fgColor rgb="00FFEB9C"/>
        </patternFill>
      </fill>
    </dxf>
    <dxf>
      <fill>
        <patternFill patternType="solid">
          <fgColor rgb="00FFC7CE"/>
        </patternFill>
      </fill>
    </dxf>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showGridLines="0" workbookViewId="0">
      <selection activeCell="A1" sqref="A1"/>
    </sheetView>
  </sheetViews>
  <sheetFormatPr baseColWidth="8" defaultRowHeight="15"/>
  <cols>
    <col width="2" customWidth="1" min="1" max="1"/>
    <col width="118" customWidth="1" min="2" max="2"/>
  </cols>
  <sheetData>
    <row r="1">
      <c r="B1" s="1" t="inlineStr">
        <is>
          <t>© Jesús Tassarolo · TooAudience · youtube.com/@JesusTassaroloSinFiltro · uso personal; no redistribuir modificado</t>
        </is>
      </c>
    </row>
    <row r="2">
      <c r="B2" s="2" t="inlineStr">
        <is>
          <t>Modelo financiero · Embudo de webinar pago (evento pago)</t>
        </is>
      </c>
    </row>
    <row r="3">
      <c r="B3" s="3" t="inlineStr">
        <is>
          <t>Anuncios → página de ventas de la entrada → entrada + bump → grupo de WhatsApp → evento en vivo y replay → oferta → programa superior</t>
        </is>
      </c>
    </row>
    <row r="5">
      <c r="B5" s="4" t="inlineStr">
        <is>
          <t>Para qué sirve este modelo</t>
        </is>
      </c>
    </row>
    <row r="6" ht="75" customHeight="1">
      <c r="B6" s="5" t="inlineStr">
        <is>
          <t>Es el modelo financiero de un embudo de webinar pago: anuncios que venden una entrada barata a un evento, un grupo de WhatsApp, el evento en vivo (con replay) donde se presenta la oferta principal, y un programa superior que se vende después. Con tus números (o con el ejemplo cargado) te dice cuánto vale cada entrada que comprás con publicidad, hasta cuánto podés pagar por entrada y por cada etapa siguiente, cuánto invertir para una meta de ventas, cuánta caja necesitás y qué palanca mejora más la ganancia.</t>
        </is>
      </c>
    </row>
    <row r="7" ht="60" customHeight="1">
      <c r="B7" s="5" t="inlineStr">
        <is>
          <t>La unidad que comprás es la entrada vendida: acá los leads ya son compradores de un low ticket, no registros. Lo primero que se mira es qué parte de la pauta recupera la entrada (ROAS del front); después, escalón por escalón: costo por persona en el grupo, costo por asistente en vivo (mucho más alto que en gratuito porque pagaron), costo por solicitud y cierre, cada uno con su cantidad y su porcentaje.</t>
        </is>
      </c>
    </row>
    <row r="9">
      <c r="B9" s="4" t="inlineStr">
        <is>
          <t>Cómo usarlo en 7 pasos</t>
        </is>
      </c>
    </row>
    <row r="10" ht="30" customHeight="1">
      <c r="B10" s="5" t="inlineStr">
        <is>
          <t>1. Andá a Supuestos y reemplazá el ejemplo por tus números. Si todavía no tenés datos, dejá el escenario en 1 (conservador) y usá Benchmarks como referencia.</t>
        </is>
      </c>
    </row>
    <row r="11" ht="45" customHeight="1">
      <c r="B11" s="5" t="inlineStr">
        <is>
          <t>2. Mirá Resumen: ganancia del lanzamiento, ROAS, el techo y el objetivo de costo por entrada, y el semáforo. Después Embudo: todos los pasos en orden con cuántos pasan, lo que pagás, lo que te queda y lo máximo que podrías pagar por cada uno.</t>
        </is>
      </c>
    </row>
    <row r="12" ht="45" customHeight="1">
      <c r="B12" s="5" t="inlineStr">
        <is>
          <t>3. Abrí Simulador para jugar: cada supuesto está en orden de embudo (inversión, CPM, CTR, visitas, conversión de la landing, asistencia, solicitudes, cierre, precios, costos) con tu número en amarillo al lado de la base. Cambiá uno y mirá cómo se mueven todos los demás contra la base; la columna Diferencia te dice cuánto. No toca Supuestos.</t>
        </is>
      </c>
    </row>
    <row r="13" ht="30" customHeight="1">
      <c r="B13" s="5" t="inlineStr">
        <is>
          <t>4. Abrí Escenarios para ver qué pasa si cambia el precio, la conversión o el costo en tablas de dos variables, y Sensibilidad para saber qué variable conviene trabajar primero.</t>
        </is>
      </c>
    </row>
    <row r="14" ht="30" customHeight="1">
      <c r="B14" s="5" t="inlineStr">
        <is>
          <t>5. Antes de invertir, mirá Proyección 12 meses: la caja necesaria es la plata que tenés que tener para no frenar la pauta mientras cobrás. Si da 0, el embudo se autofinancia.</t>
        </is>
      </c>
    </row>
    <row r="15" ht="30" customHeight="1">
      <c r="B15" s="5" t="inlineStr">
        <is>
          <t>6. Cuando el embudo esté andando, completá una columna de Seguimiento por lanzamiento. El semáforo te dice si estás pagando de más por cada entrada.</t>
        </is>
      </c>
    </row>
    <row r="16" ht="15" customHeight="1">
      <c r="B16" s="5" t="inlineStr">
        <is>
          <t>7. Una decisión por semana, anotada. A los 7 días, mirá qué pasó.</t>
        </is>
      </c>
    </row>
    <row r="18">
      <c r="B18" s="4" t="inlineStr">
        <is>
          <t>Colores y hojas</t>
        </is>
      </c>
    </row>
    <row r="19" ht="15" customHeight="1">
      <c r="B19" s="5" t="inlineStr">
        <is>
          <t>Amarillo = celda que editás vos. Azul = resultado calculado: no lo toques, se recalcula solo.</t>
        </is>
      </c>
    </row>
    <row r="20" ht="45" customHeight="1">
      <c r="B20" s="5" t="inlineStr">
        <is>
          <t>Resumen, Embudo y Modelo leen de Supuestos. Simulador es la mesa de pruebas: copia Supuestos en orden de embudo y vos escribís encima. Escenarios y Sensibilidad recalculan el modelo entero cambiando una o dos variables. Proyección usa los mismos supuestos mes a mes. Seguimiento es la única hoja, además de Supuestos, donde cargás datos.</t>
        </is>
      </c>
    </row>
    <row r="21" ht="15" customHeight="1">
      <c r="B21" s="5" t="inlineStr">
        <is>
          <t>Chequeos avisa si un supuesto quedó fuera de rango. Si dice REVISAR, arreglalo antes de leer los resultados.</t>
        </is>
      </c>
    </row>
    <row r="22" ht="30" customHeight="1">
      <c r="B22" s="5" t="inlineStr">
        <is>
          <t>Cómo elegir escenario: en Supuestos, la celda 'Escenario en uso' (1, 2 o 3) elige la columna conservador, base u optimista de cada fila que tiene tres valores. Las filas con un solo valor se usan tal cual.</t>
        </is>
      </c>
    </row>
    <row r="24">
      <c r="B24" s="4" t="inlineStr">
        <is>
          <t>El ejemplo que viene cargado</t>
        </is>
      </c>
    </row>
    <row r="25" ht="45" customHeight="1">
      <c r="B25" s="5" t="inlineStr">
        <is>
          <t>Un taller pago con entradas a 9 USD promedio (si escalonás 5, 10 y 15, poné el promedio cobrado). Se invierten 3.000 USD por lanzamiento a 0,35 por visita: 8.571 visitas, el 2,5 % compra la entrada (214 entradas, costo por entrada 14) y el 20 % suma un bump de 27.</t>
        </is>
      </c>
    </row>
    <row r="26" ht="60" customHeight="1">
      <c r="B26" s="5" t="inlineStr">
        <is>
          <t>El 85 % entra al grupo (costo por persona en el grupo cerca de 16), el 55 % asiste en vivo (costo por asistente cerca de 25) y el 25 % ve el replay. Cuando se presenta la oferta de 497, el 16 % de los asistentes en vivo solicita y el 4 % de los del replay; la mitad de las solicitudes termina en compra: unas 10 ventas, con un costo por solicitud cerca de 140. El 10 % de los compradores pasa a un programa de 1.997.</t>
        </is>
      </c>
    </row>
    <row r="27" ht="30" customHeight="1">
      <c r="B27" s="5" t="inlineStr">
        <is>
          <t>Costos: pasarela 8 %, reembolsos 5 %, 0,30 por entrada en WhatsApp y soporte, fijos 800 por lanzamiento. Cobranza 50 / 25 / 25.</t>
        </is>
      </c>
    </row>
    <row r="28" ht="30" customHeight="1">
      <c r="B28" s="5" t="inlineStr">
        <is>
          <t>Resultado: la entrada y el bump recuperan cerca del 100 % de la pauta en facturado (un 90 % en cash neto) antes del evento; la oferta y el programa son la ganancia. Cambiá los números por los tuyos.</t>
        </is>
      </c>
    </row>
    <row r="30">
      <c r="B30" s="4" t="inlineStr">
        <is>
          <t>Reglas de decisión (el protocolo corto)</t>
        </is>
      </c>
    </row>
    <row r="31" ht="30" customHeight="1">
      <c r="B31" s="5" t="inlineStr">
        <is>
          <t>1. Antes de invertir: cargá tus números en Supuestos (si no tenés datos, escenario 1, conservador) y mirá en Resumen el techo y el objetivo de costo por entrada.</t>
        </is>
      </c>
    </row>
    <row r="32" ht="45" customHeight="1">
      <c r="B32" s="5" t="inlineStr">
        <is>
          <t>2. Primeros días: compará tu costo real por entrada con el objetivo. Verde: seguí. Amarillo: no subas la inversión y revisá en este orden: CPM (público y frecuencia), creativo (CTR) y página (conversión). Rojo: bajá un escalón (−25 %) y arreglá antes de volver a subir.</t>
        </is>
      </c>
    </row>
    <row r="33" ht="30" customHeight="1">
      <c r="B33" s="5" t="inlineStr">
        <is>
          <t>3. Cada lanzamiento: completá una columna de Seguimiento. El semáforo compara tu costo con el techo móvil (lo que rindieron tus últimas 4 columnas), no con un número fijo.</t>
        </is>
      </c>
    </row>
    <row r="34" ht="30" customHeight="1">
      <c r="B34" s="5" t="inlineStr">
        <is>
          <t>4. Subí la inversión de a 25 % y esperá 7 días (o 3 a 4 eventos si vendés por llamada) antes de volver a subir. Un día bueno o malo no decide nada.</t>
        </is>
      </c>
    </row>
    <row r="35" ht="30" customHeight="1">
      <c r="B35" s="5" t="inlineStr">
        <is>
          <t>5. Si el costo está en verde y aun así no hay ganancia, el problema no es el tráfico: mirá asistencia, conversión de la oferta y cobranza, en ese orden.</t>
        </is>
      </c>
    </row>
    <row r="36" ht="15" customHeight="1">
      <c r="B36" s="5" t="inlineStr">
        <is>
          <t>6. Cambiá una sola cosa por vez. Si cambiás precio, creativo y página la misma semana no vas a saber qué funcionó.</t>
        </is>
      </c>
    </row>
    <row r="37" ht="30" customHeight="1">
      <c r="B37" s="5" t="inlineStr">
        <is>
          <t>7. Trabajá siempre con cash neto (lo que entra menos comisiones y reembolsos), nunca con facturado. En Proyección ves cuánta caja necesitás para sostener la pauta mientras cobrás.</t>
        </is>
      </c>
    </row>
    <row r="38" ht="45" customHeight="1">
      <c r="B38" s="5" t="inlineStr">
        <is>
          <t>8. El ROAS del front (entradas + bump ÷ inversión) es el seguro del embudo: si está cerca de 1, el evento se paga solo y todo lo demás es ganancia. Si cae por debajo de 0,5, revisá precio de la entrada y página de ventas antes que nada.</t>
        </is>
      </c>
    </row>
    <row r="40">
      <c r="B40" s="4" t="inlineStr">
        <is>
          <t>Lo que este modelo no hace</t>
        </is>
      </c>
    </row>
    <row r="41" ht="30" customHeight="1">
      <c r="B41" s="5" t="inlineStr">
        <is>
          <t>No adivina tus conversiones: usa las que cargás. Cuando una conversión cambia, el techo cambia; por eso Seguimiento recalcula el techo móvil con tus últimas 4 columnas.</t>
        </is>
      </c>
    </row>
    <row r="42" ht="15" customHeight="1">
      <c r="B42" s="5" t="inlineStr">
        <is>
          <t>No reemplaza la decisión: la informa. Las reglas de arriba dicen qué hacer con cada color.</t>
        </is>
      </c>
    </row>
    <row r="43" ht="15" customHeight="1">
      <c r="B43" s="5" t="inlineStr">
        <is>
          <t>Los benchmarks son orden de magnitud para tráfico frío en español. Tus datos mandan.</t>
        </is>
      </c>
    </row>
    <row r="45">
      <c r="B45" s="4" t="inlineStr">
        <is>
          <t>Autor y versión</t>
        </is>
      </c>
    </row>
    <row r="46" ht="30" customHeight="1">
      <c r="B46" s="5" t="inlineStr">
        <is>
          <t>Modelo financiero de embudos · creado por Jesús Tassarolo · TooAudience · youtube.com/@JesusTassaroloSinFiltro. v1.2 · octubre 2026. Fórmulas compatibles con Excel, Google Sheets y Numbers. Sin macros.</t>
        </is>
      </c>
    </row>
    <row r="47" ht="30" customHeight="1">
      <c r="B47" s="5" t="inlineStr">
        <is>
          <t>Este modelo se comparte para que lo uses con tus números. Si lo compartís, dejá esta línea: es la forma de saber de dónde salió.</t>
        </is>
      </c>
    </row>
  </sheetData>
  <pageMargins left="0.75" right="0.75" top="1" bottom="1" header="0.5" footer="0.5"/>
  <headerFooter>
    <oddHeader>&amp;CJesús Tassarolo · TooAudience&amp;R&amp;D</oddHeader>
    <oddFooter>&amp;LModelo financiero de embudos · creado por Jesús Tassarolo · TooAudience · youtube.com/@JesusTassaroloSinFiltro&amp;C&amp;7 Modelo financiero de embudos · creado por Jesús Tassarolo · TooAudience · youtube.com/@JesusTassaroloSinFiltro&amp;RPágina &amp;P de &amp;N</oddFooter>
    <evenHeader>&amp;CJesús Tassarolo · TooAudience</evenHeader>
    <evenFooter>&amp;LModelo financiero de embudos · creado por Jesús Tassarolo · TooAudience · youtube.com/@JesusTassaroloSinFiltro&amp;C&amp;7 Modelo financiero de embudos · creado por Jesús Tassarolo · TooAudience · youtube.com/@JesusTassaroloSinFiltro&amp;RPágina &amp;P de &amp;N</evenFooter>
    <firstHeader/>
    <firstFooter/>
  </headerFooter>
</worksheet>
</file>

<file path=xl/worksheets/sheet2.xml><?xml version="1.0" encoding="utf-8"?>
<worksheet xmlns="http://schemas.openxmlformats.org/spreadsheetml/2006/main">
  <sheetPr>
    <outlinePr summaryBelow="1" summaryRight="1"/>
    <pageSetUpPr/>
  </sheetPr>
  <dimension ref="A1:D42"/>
  <sheetViews>
    <sheetView showGridLines="0" workbookViewId="0">
      <selection activeCell="A1" sqref="A1"/>
    </sheetView>
  </sheetViews>
  <sheetFormatPr baseColWidth="8" defaultRowHeight="15"/>
  <cols>
    <col width="2" customWidth="1" min="1" max="1"/>
    <col width="52" customWidth="1" min="2" max="2"/>
    <col width="18" customWidth="1" min="3" max="3"/>
    <col width="60" customWidth="1" min="4" max="4"/>
  </cols>
  <sheetData>
    <row r="1">
      <c r="B1" s="1" t="inlineStr">
        <is>
          <t>© Jesús Tassarolo · TooAudience · youtube.com/@JesusTassaroloSinFiltro · uso personal; no redistribuir modificado</t>
        </is>
      </c>
    </row>
    <row r="2">
      <c r="B2" s="2" t="inlineStr">
        <is>
          <t>Resumen: lo que hay que mirar</t>
        </is>
      </c>
    </row>
    <row r="3">
      <c r="B3" s="3" t="inlineStr">
        <is>
          <t>Todo sale de Modelo con los supuestos del escenario en uso. Cambiá Supuestos y esto se actualiza.</t>
        </is>
      </c>
    </row>
    <row r="5">
      <c r="B5" s="6" t="inlineStr">
        <is>
          <t>Indicador</t>
        </is>
      </c>
      <c r="C5" s="6" t="inlineStr">
        <is>
          <t>Valor</t>
        </is>
      </c>
      <c r="D5" s="6" t="inlineStr">
        <is>
          <t>Qué significa</t>
        </is>
      </c>
    </row>
    <row r="6">
      <c r="B6" s="7" t="inlineStr">
        <is>
          <t>Resultado del lanzamiento</t>
        </is>
      </c>
      <c r="C6" s="8" t="n"/>
      <c r="D6" s="8" t="n"/>
    </row>
    <row r="7">
      <c r="B7" t="inlineStr">
        <is>
          <t>Ganancia del período</t>
        </is>
      </c>
      <c r="C7" s="9">
        <f>'Modelo'!$C$44</f>
        <v/>
      </c>
      <c r="D7" s="5" t="inlineStr">
        <is>
          <t>Cash neto menos costos y menos inversión.</t>
        </is>
      </c>
    </row>
    <row r="8">
      <c r="B8" t="inlineStr">
        <is>
          <t>ROAS del front (qué parte de la pauta recupera la entrada)</t>
        </is>
      </c>
      <c r="C8" s="10">
        <f>'Modelo'!$C$14</f>
        <v/>
      </c>
      <c r="D8" s="5" t="inlineStr">
        <is>
          <t>Qué parte de la pauta recupera la entrada antes del evento. Cerca de 1 = el evento se paga solo.</t>
        </is>
      </c>
    </row>
    <row r="9">
      <c r="B9" t="inlineStr">
        <is>
          <t>ROAS sobre cash neto</t>
        </is>
      </c>
      <c r="C9" s="10">
        <f>'Modelo'!$C$46</f>
        <v/>
      </c>
      <c r="D9" s="5" t="inlineStr">
        <is>
          <t>Total, sobre cash neto.</t>
        </is>
      </c>
    </row>
    <row r="10">
      <c r="B10" t="inlineStr">
        <is>
          <t>Entradas vendidas</t>
        </is>
      </c>
      <c r="C10" s="11">
        <f>'Modelo'!$C$9</f>
        <v/>
      </c>
      <c r="D10" s="5" t="inlineStr">
        <is>
          <t>Entradas vendidas.</t>
        </is>
      </c>
    </row>
    <row r="11">
      <c r="B11" t="inlineStr">
        <is>
          <t>Asistentes en vivo</t>
        </is>
      </c>
      <c r="C11" s="11">
        <f>'Modelo'!$C$18</f>
        <v/>
      </c>
      <c r="D11" s="5" t="inlineStr">
        <is>
          <t>Asistentes en vivo.</t>
        </is>
      </c>
    </row>
    <row r="12">
      <c r="B12" t="inlineStr">
        <is>
          <t>Ventas de la oferta</t>
        </is>
      </c>
      <c r="C12" s="12">
        <f>'Modelo'!$C$27</f>
        <v/>
      </c>
      <c r="D12" s="5" t="inlineStr">
        <is>
          <t>Ventas de la oferta (vivo + replay).</t>
        </is>
      </c>
    </row>
    <row r="13">
      <c r="B13" s="7" t="inlineStr">
        <is>
          <t>Unit economics</t>
        </is>
      </c>
      <c r="C13" s="8" t="n"/>
      <c r="D13" s="8" t="n"/>
    </row>
    <row r="14">
      <c r="B14" t="inlineStr">
        <is>
          <t>Costo por entrada vendida</t>
        </is>
      </c>
      <c r="C14" s="13">
        <f>'Modelo'!$C$8</f>
        <v/>
      </c>
      <c r="D14" s="5" t="inlineStr">
        <is>
          <t>Costo por entrada vendida.</t>
        </is>
      </c>
    </row>
    <row r="15">
      <c r="B15" t="inlineStr">
        <is>
          <t>Valor neto por entrada</t>
        </is>
      </c>
      <c r="C15" s="13">
        <f>'Modelo'!$C$50</f>
        <v/>
      </c>
      <c r="D15" s="5" t="inlineStr">
        <is>
          <t>Lo que vale una entrada en cash neto, con todo lo que viene después.</t>
        </is>
      </c>
    </row>
    <row r="16">
      <c r="B16" t="inlineStr">
        <is>
          <t>Costo por persona en el grupo</t>
        </is>
      </c>
      <c r="C16" s="13">
        <f>'Modelo'!$C$17</f>
        <v/>
      </c>
      <c r="D16" s="5" t="inlineStr">
        <is>
          <t>Lo que te cuesta cada persona que entra al grupo.</t>
        </is>
      </c>
    </row>
    <row r="17">
      <c r="B17" t="inlineStr">
        <is>
          <t>Costo por asistente en vivo</t>
        </is>
      </c>
      <c r="C17" s="13">
        <f>'Modelo'!$C$20</f>
        <v/>
      </c>
      <c r="D17" s="5" t="inlineStr">
        <is>
          <t>Lo que te cuesta cada asistente en vivo.</t>
        </is>
      </c>
    </row>
    <row r="18">
      <c r="B18" t="inlineStr">
        <is>
          <t>Solicitudes (total)</t>
        </is>
      </c>
      <c r="C18" s="12">
        <f>'Modelo'!$C$24</f>
        <v/>
      </c>
      <c r="D18" s="5" t="inlineStr">
        <is>
          <t>Formularios de compra, aplicaciones o pedidos de hablar con un vendedor.</t>
        </is>
      </c>
    </row>
    <row r="19">
      <c r="B19" t="inlineStr">
        <is>
          <t>Costo por solicitud</t>
        </is>
      </c>
      <c r="C19" s="13">
        <f>'Modelo'!$C$26</f>
        <v/>
      </c>
      <c r="D19" s="5" t="inlineStr">
        <is>
          <t>Lo que te cuesta cada solicitud.</t>
        </is>
      </c>
    </row>
    <row r="20">
      <c r="B20" t="inlineStr">
        <is>
          <t>Costo por comprador de la oferta</t>
        </is>
      </c>
      <c r="C20" s="13">
        <f>'Modelo'!$C$29</f>
        <v/>
      </c>
      <c r="D20" s="5" t="inlineStr">
        <is>
          <t>Lo que te cuesta cada comprador de la oferta.</t>
        </is>
      </c>
    </row>
    <row r="21">
      <c r="B21" s="7" t="inlineStr">
        <is>
          <t>Las dos caras de cada número</t>
        </is>
      </c>
      <c r="C21" s="8" t="n"/>
      <c r="D21" s="8" t="n"/>
    </row>
    <row r="22">
      <c r="B22" t="inlineStr">
        <is>
          <t>Ganancia por visita</t>
        </is>
      </c>
      <c r="C22" s="13">
        <f>'Modelo'!$C$64</f>
        <v/>
      </c>
      <c r="D22" s="5" t="inlineStr">
        <is>
          <t>Lo que te queda por cada visita a la página de ventas. La métrica más valiosa del embudo.</t>
        </is>
      </c>
    </row>
    <row r="23">
      <c r="B23" t="inlineStr">
        <is>
          <t>Ganancia por entrada</t>
        </is>
      </c>
      <c r="C23" s="13">
        <f>'Modelo'!$C$65</f>
        <v/>
      </c>
      <c r="D23" s="5" t="inlineStr">
        <is>
          <t>Lo que te queda por cada entrada vendida. Su par es el costo por entrada.</t>
        </is>
      </c>
    </row>
    <row r="24">
      <c r="B24" t="inlineStr">
        <is>
          <t>Ganancia por cliente</t>
        </is>
      </c>
      <c r="C24" s="13">
        <f>'Modelo'!$C$68</f>
        <v/>
      </c>
      <c r="D24" s="5" t="inlineStr">
        <is>
          <t>Lo que te queda por cada comprador de la oferta. Su par es el costo por comprador.</t>
        </is>
      </c>
    </row>
    <row r="25">
      <c r="B25" t="inlineStr">
        <is>
          <t>Order value (AOV)</t>
        </is>
      </c>
      <c r="C25" s="13">
        <f>'Modelo'!$C$34</f>
        <v/>
      </c>
      <c r="D25" s="5" t="inlineStr">
        <is>
          <t>Facturado por comprador de la oferta, con todo lo demás.</t>
        </is>
      </c>
    </row>
    <row r="26">
      <c r="B26" t="inlineStr">
        <is>
          <t>Order value neto (AOV neto)</t>
        </is>
      </c>
      <c r="C26" s="13">
        <f>'Modelo'!$C$63</f>
        <v/>
      </c>
      <c r="D26" s="5" t="inlineStr">
        <is>
          <t>Lo mismo después de comisiones, reembolsos y costos por entrada.</t>
        </is>
      </c>
    </row>
    <row r="27">
      <c r="B27" s="7" t="inlineStr">
        <is>
          <t>Hasta cuánto pagar</t>
        </is>
      </c>
      <c r="C27" s="8" t="n"/>
      <c r="D27" s="8" t="n"/>
    </row>
    <row r="28">
      <c r="B28" t="inlineStr">
        <is>
          <t>Techo de costo por entrada (break-even)</t>
        </is>
      </c>
      <c r="C28" s="13">
        <f>'Modelo'!$C$51</f>
        <v/>
      </c>
      <c r="D28" s="5" t="inlineStr">
        <is>
          <t>Costo por entrada donde no ganás ni perdés.</t>
        </is>
      </c>
    </row>
    <row r="29">
      <c r="B29" t="inlineStr">
        <is>
          <t>Objetivo de costo por entrada</t>
        </is>
      </c>
      <c r="C29" s="13">
        <f>'Modelo'!$C$52</f>
        <v/>
      </c>
      <c r="D29" s="5" t="inlineStr">
        <is>
          <t>A este costo o menos estás en verde.</t>
        </is>
      </c>
    </row>
    <row r="30">
      <c r="B30" t="inlineStr">
        <is>
          <t>Techo de costo por visita a la página</t>
        </is>
      </c>
      <c r="C30" s="13">
        <f>'Modelo'!$C$53</f>
        <v/>
      </c>
      <c r="D30" s="5" t="inlineStr">
        <is>
          <t>Costo máximo por visita a la página de ventas.</t>
        </is>
      </c>
    </row>
    <row r="31">
      <c r="B31" t="inlineStr">
        <is>
          <t>Techo de costo por solicitud</t>
        </is>
      </c>
      <c r="C31" s="13">
        <f>'Modelo'!$C$55</f>
        <v/>
      </c>
      <c r="D31" s="5" t="inlineStr">
        <is>
          <t>Costo máximo por solicitud.</t>
        </is>
      </c>
    </row>
    <row r="32">
      <c r="B32" t="inlineStr">
        <is>
          <t>Techo de costo por comprador de la oferta</t>
        </is>
      </c>
      <c r="C32" s="13">
        <f>'Modelo'!$C$56</f>
        <v/>
      </c>
      <c r="D32" s="5" t="inlineStr">
        <is>
          <t>Costo máximo por comprador de la oferta.</t>
        </is>
      </c>
    </row>
    <row r="33">
      <c r="B33" t="inlineStr">
        <is>
          <t>Semáforo del costo por entrada actual</t>
        </is>
      </c>
      <c r="C33" s="14">
        <f>'Modelo'!$C$59</f>
        <v/>
      </c>
      <c r="D33" s="5" t="inlineStr">
        <is>
          <t>Tu costo por entrada actual contra techo y objetivo.</t>
        </is>
      </c>
    </row>
    <row r="34">
      <c r="B34" s="7" t="inlineStr">
        <is>
          <t>Cuánto invertir y cuánta caja</t>
        </is>
      </c>
      <c r="C34" s="8" t="n"/>
      <c r="D34" s="8" t="n"/>
    </row>
    <row r="35">
      <c r="B35" t="inlineStr">
        <is>
          <t>Inversión necesaria para la meta de ventas de la oferta (al costo actual)</t>
        </is>
      </c>
      <c r="C35" s="9">
        <f>'Modelo'!$C$60</f>
        <v/>
      </c>
      <c r="D35" s="5" t="inlineStr">
        <is>
          <t>Para la meta de ventas de Supuestos, al costo actual.</t>
        </is>
      </c>
    </row>
    <row r="36">
      <c r="B36" t="inlineStr">
        <is>
          <t>Caja que hay que tener (peor momento de la proyección)</t>
        </is>
      </c>
      <c r="C36" s="9">
        <f>'Proyección 12 meses'!$C$18</f>
        <v/>
      </c>
      <c r="D36" s="5" t="inlineStr">
        <is>
          <t>Si da 0, el embudo se autofinancia: cada mes cobra más de lo que invierte.</t>
        </is>
      </c>
    </row>
    <row r="37">
      <c r="B37" t="inlineStr">
        <is>
          <t>Saldo mínimo de caja con tu caja inicial</t>
        </is>
      </c>
      <c r="C37" s="9">
        <f>'Proyección 12 meses'!$C$19</f>
        <v/>
      </c>
      <c r="D37" s="5" t="inlineStr">
        <is>
          <t>Si es negativo, la caja inicial no alcanza.</t>
        </is>
      </c>
    </row>
    <row r="38">
      <c r="B38" t="inlineStr">
        <is>
          <t>Ganancia acumulada en 12 meses</t>
        </is>
      </c>
      <c r="C38" s="9">
        <f>'Proyección 12 meses'!$C$20</f>
        <v/>
      </c>
      <c r="D38" s="5" t="inlineStr">
        <is>
          <t>Con la inversión creciendo según el supuesto.</t>
        </is>
      </c>
    </row>
    <row r="40" ht="32" customHeight="1">
      <c r="B40" s="4" t="inlineStr">
        <is>
          <t>Recomendación según el semáforo</t>
        </is>
      </c>
      <c r="C40" s="15">
        <f>IF('Modelo'!$C$59="VERDE","Sostener o subir un escalón (+25 %) y medir 7 días",IF('Modelo'!$C$59="AMARILLO","No subir. Si el costo está bien, el ROAS no llega al objetivo: mirá Sensibilidad. Si no, revisar en orden: CPM, creativo, página",IF('Modelo'!$C$59="ROJO","Bajar un escalón (−25 %) y arreglar antes de volver a subir","")))</f>
        <v/>
      </c>
      <c r="D40" s="16" t="n"/>
    </row>
    <row r="42">
      <c r="B42" s="3" t="inlineStr">
        <is>
          <t>Modelo financiero de embudos · creado por Jesús Tassarolo · TooAudience · youtube.com/@JesusTassaroloSinFiltro · v1.2 · octubre 2026</t>
        </is>
      </c>
    </row>
  </sheetData>
  <mergeCells count="1">
    <mergeCell ref="C40:D40"/>
  </mergeCells>
  <conditionalFormatting sqref="C5:C40">
    <cfRule type="expression" priority="1" dxfId="0">
      <formula>LEFT(C5,5)="VERDE"</formula>
    </cfRule>
    <cfRule type="expression" priority="2" dxfId="1">
      <formula>LEFT(C5,8)="AMARILLO"</formula>
    </cfRule>
    <cfRule type="expression" priority="3" dxfId="2">
      <formula>LEFT(C5,4)="ROJO"</formula>
    </cfRule>
  </conditionalFormatting>
  <pageMargins left="0.75" right="0.75" top="1" bottom="1" header="0.5" footer="0.5"/>
  <headerFooter>
    <oddHeader>&amp;CJesús Tassarolo · TooAudience&amp;R&amp;D</oddHeader>
    <oddFooter>&amp;LModelo financiero de embudos · creado por Jesús Tassarolo · TooAudience · youtube.com/@JesusTassaroloSinFiltro&amp;C&amp;7 Modelo financiero de embudos · creado por Jesús Tassarolo · TooAudience · youtube.com/@JesusTassaroloSinFiltro&amp;RPágina &amp;P de &amp;N</oddFooter>
    <evenHeader>&amp;CJesús Tassarolo · TooAudience</evenHeader>
    <evenFooter>&amp;LModelo financiero de embudos · creado por Jesús Tassarolo · TooAudience · youtube.com/@JesusTassaroloSinFiltro&amp;C&amp;7 Modelo financiero de embudos · creado por Jesús Tassarolo · TooAudience · youtube.com/@JesusTassaroloSinFiltro&amp;RPágina &amp;P de &amp;N</evenFooter>
    <firstHeader/>
    <firstFooter/>
  </headerFooter>
</worksheet>
</file>

<file path=xl/worksheets/sheet3.xml><?xml version="1.0" encoding="utf-8"?>
<worksheet xmlns="http://schemas.openxmlformats.org/spreadsheetml/2006/main">
  <sheetPr>
    <outlinePr summaryBelow="1" summaryRight="1"/>
    <pageSetUpPr/>
  </sheetPr>
  <dimension ref="A1:H9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 customWidth="1" min="1" max="1"/>
    <col width="56" customWidth="1" min="2" max="2"/>
    <col width="17" customWidth="1" min="3" max="3"/>
    <col width="17" customWidth="1" min="4" max="4"/>
    <col width="19" customWidth="1" min="5" max="5"/>
    <col width="19" customWidth="1" min="6" max="6"/>
    <col width="15" customWidth="1" min="7" max="7"/>
    <col width="62" customWidth="1" min="8" max="8"/>
  </cols>
  <sheetData>
    <row r="1">
      <c r="B1" s="1" t="inlineStr">
        <is>
          <t>© Jesús Tassarolo · TooAudience · youtube.com/@JesusTassaroloSinFiltro · uso personal; no redistribuir modificado</t>
        </is>
      </c>
    </row>
    <row r="2">
      <c r="B2" s="2" t="inlineStr">
        <is>
          <t>Simulador: movés un número y ves cómo se mueve todo el embudo</t>
        </is>
      </c>
    </row>
    <row r="3">
      <c r="B3" s="3" t="inlineStr">
        <is>
          <t>Amarillo = tu número: arranca igual a Supuestos; escribí encima para probar (CPM, CTR, conversiones, precios, costos). Al lado, la base. 'Con tus números' se recalcula al instante y se compara con el Modelo. Para volver a la base, borrá la celda amarilla y escribí =D seguido del número de fila (por ejemplo =D9).</t>
        </is>
      </c>
    </row>
    <row r="5">
      <c r="B5" s="6" t="inlineStr">
        <is>
          <t>Paso / métrica</t>
        </is>
      </c>
      <c r="C5" s="6" t="inlineStr">
        <is>
          <t>Tu número (editable)</t>
        </is>
      </c>
      <c r="D5" s="6" t="inlineStr">
        <is>
          <t>Base (Supuestos)</t>
        </is>
      </c>
      <c r="E5" s="6" t="inlineStr">
        <is>
          <t>Con tus números</t>
        </is>
      </c>
      <c r="F5" s="6" t="inlineStr">
        <is>
          <t>Base (Modelo)</t>
        </is>
      </c>
      <c r="G5" s="6" t="inlineStr">
        <is>
          <t>Diferencia</t>
        </is>
      </c>
      <c r="H5" s="6" t="inlineStr">
        <is>
          <t>Cómo se calcula</t>
        </is>
      </c>
    </row>
    <row r="6">
      <c r="B6" s="7" t="inlineStr">
        <is>
          <t>Tráfico y entradas</t>
        </is>
      </c>
      <c r="C6" s="8" t="n"/>
      <c r="D6" s="8" t="n"/>
      <c r="E6" s="8" t="n"/>
      <c r="F6" s="8" t="n"/>
      <c r="G6" s="8" t="n"/>
      <c r="H6" s="8" t="n"/>
    </row>
    <row r="7">
      <c r="B7" t="inlineStr">
        <is>
          <t>Costo por visita a la página de ventas de la entrada</t>
        </is>
      </c>
      <c r="C7" s="17">
        <f>'Supuestos'!$C$10</f>
        <v/>
      </c>
      <c r="D7" s="18">
        <f>'Supuestos'!$C$10</f>
        <v/>
      </c>
      <c r="G7">
        <f>IF(C7&lt;&gt;D7,"← cambiado","")</f>
        <v/>
      </c>
      <c r="H7" s="5" t="inlineStr">
        <is>
          <t>Supuesto. Escribí encima para probar; la base queda al lado.</t>
        </is>
      </c>
    </row>
    <row r="8">
      <c r="B8" t="inlineStr">
        <is>
          <t>Inversión en publicidad por lanzamiento</t>
        </is>
      </c>
      <c r="C8" s="19">
        <f>'Supuestos'!$C$8</f>
        <v/>
      </c>
      <c r="D8" s="20">
        <f>'Supuestos'!$C$8</f>
        <v/>
      </c>
      <c r="G8">
        <f>IF(C8&lt;&gt;D8,"← cambiado","")</f>
        <v/>
      </c>
      <c r="H8" s="5" t="inlineStr">
        <is>
          <t>Supuesto. Escribí encima para probar; la base queda al lado.</t>
        </is>
      </c>
    </row>
    <row r="9">
      <c r="B9" t="inlineStr">
        <is>
          <t>Visitas a la página de ventas</t>
        </is>
      </c>
      <c r="E9" s="21">
        <f>IF($C$7=0,0,$C$8/$C$7)</f>
        <v/>
      </c>
      <c r="F9" s="21">
        <f>'Modelo'!$C$7</f>
        <v/>
      </c>
      <c r="G9" s="21">
        <f>IF(AND(ISNUMBER(E9),ISNUMBER(F9)),E9-F9,"")</f>
        <v/>
      </c>
      <c r="H9" s="5" t="inlineStr">
        <is>
          <t>Inversión ÷ costo por visita.</t>
        </is>
      </c>
    </row>
    <row r="10">
      <c r="B10" t="inlineStr">
        <is>
          <t>% de visitas que compran la entrada</t>
        </is>
      </c>
      <c r="C10" s="22">
        <f>'Supuestos'!$C$13</f>
        <v/>
      </c>
      <c r="D10" s="23">
        <f>'Supuestos'!$C$13</f>
        <v/>
      </c>
      <c r="G10">
        <f>IF(C10&lt;&gt;D10,"← cambiado","")</f>
        <v/>
      </c>
      <c r="H10" s="5" t="inlineStr">
        <is>
          <t>Supuesto. Escribí encima para probar; la base queda al lado.</t>
        </is>
      </c>
    </row>
    <row r="11">
      <c r="B11" s="4" t="inlineStr">
        <is>
          <t>Costo por entrada vendida</t>
        </is>
      </c>
      <c r="E11" s="13">
        <f>IF($C$10=0,0,$C$7/$C$10)</f>
        <v/>
      </c>
      <c r="F11" s="18">
        <f>'Modelo'!$C$8</f>
        <v/>
      </c>
      <c r="G11" s="18">
        <f>IF(AND(ISNUMBER(E11),ISNUMBER(F11)),E11-F11,"")</f>
        <v/>
      </c>
      <c r="H11" s="5" t="inlineStr">
        <is>
          <t>Costo por visita ÷ % que compra la entrada.</t>
        </is>
      </c>
    </row>
    <row r="12">
      <c r="B12" s="4" t="inlineStr">
        <is>
          <t>Entradas vendidas</t>
        </is>
      </c>
      <c r="E12" s="11">
        <f>IF($E$11=0,0,$C$8/$E$11)</f>
        <v/>
      </c>
      <c r="F12" s="21">
        <f>'Modelo'!$C$9</f>
        <v/>
      </c>
      <c r="G12" s="21">
        <f>IF(AND(ISNUMBER(E12),ISNUMBER(F12)),E12-F12,"")</f>
        <v/>
      </c>
      <c r="H12" s="5" t="inlineStr">
        <is>
          <t>Inversión ÷ costo por entrada.</t>
        </is>
      </c>
    </row>
    <row r="13">
      <c r="B13" t="inlineStr">
        <is>
          <t>Precio promedio cobrado por entrada</t>
        </is>
      </c>
      <c r="C13" s="17">
        <f>'Supuestos'!$C$14</f>
        <v/>
      </c>
      <c r="D13" s="18">
        <f>'Supuestos'!$C$14</f>
        <v/>
      </c>
      <c r="G13">
        <f>IF(C13&lt;&gt;D13,"← cambiado","")</f>
        <v/>
      </c>
      <c r="H13" s="5" t="inlineStr">
        <is>
          <t>Supuesto. Escribí encima para probar; la base queda al lado.</t>
        </is>
      </c>
    </row>
    <row r="14">
      <c r="B14" t="inlineStr">
        <is>
          <t>Facturado: entradas</t>
        </is>
      </c>
      <c r="E14" s="20">
        <f>$E$12*$C$13</f>
        <v/>
      </c>
      <c r="F14" s="20">
        <f>'Modelo'!$C$10</f>
        <v/>
      </c>
      <c r="G14" s="20">
        <f>IF(AND(ISNUMBER(E14),ISNUMBER(F14)),E14-F14,"")</f>
        <v/>
      </c>
      <c r="H14" s="5" t="inlineStr">
        <is>
          <t>Entradas × precio promedio.</t>
        </is>
      </c>
    </row>
    <row r="15">
      <c r="B15" t="inlineStr">
        <is>
          <t>Bump: % de compradores de entrada que lo toman</t>
        </is>
      </c>
      <c r="C15" s="22">
        <f>'Supuestos'!$C$16</f>
        <v/>
      </c>
      <c r="D15" s="23">
        <f>'Supuestos'!$C$16</f>
        <v/>
      </c>
      <c r="G15">
        <f>IF(C15&lt;&gt;D15,"← cambiado","")</f>
        <v/>
      </c>
      <c r="H15" s="5" t="inlineStr">
        <is>
          <t>Supuesto. Escribí encima para probar; la base queda al lado.</t>
        </is>
      </c>
    </row>
    <row r="16">
      <c r="B16" t="inlineStr">
        <is>
          <t>Ventas: bump de la entrada</t>
        </is>
      </c>
      <c r="E16" s="24">
        <f>$E$12*$C$15</f>
        <v/>
      </c>
      <c r="F16" s="24">
        <f>'Modelo'!$C$11</f>
        <v/>
      </c>
      <c r="G16" s="24">
        <f>IF(AND(ISNUMBER(E16),ISNUMBER(F16)),E16-F16,"")</f>
        <v/>
      </c>
      <c r="H16" s="5" t="inlineStr">
        <is>
          <t>Entradas × % que lo toma.</t>
        </is>
      </c>
    </row>
    <row r="17">
      <c r="B17" t="inlineStr">
        <is>
          <t>Bump en el checkout de la entrada: precio</t>
        </is>
      </c>
      <c r="C17" s="17">
        <f>'Supuestos'!$C$15</f>
        <v/>
      </c>
      <c r="D17" s="18">
        <f>'Supuestos'!$C$15</f>
        <v/>
      </c>
      <c r="G17">
        <f>IF(C17&lt;&gt;D17,"← cambiado","")</f>
        <v/>
      </c>
      <c r="H17" s="5" t="inlineStr">
        <is>
          <t>Supuesto. Escribí encima para probar; la base queda al lado.</t>
        </is>
      </c>
    </row>
    <row r="18">
      <c r="B18" t="inlineStr">
        <is>
          <t>Facturado: bump de la entrada</t>
        </is>
      </c>
      <c r="E18" s="20">
        <f>$E$16*$C$17</f>
        <v/>
      </c>
      <c r="F18" s="20">
        <f>'Modelo'!$C$12</f>
        <v/>
      </c>
      <c r="G18" s="20">
        <f>IF(AND(ISNUMBER(E18),ISNUMBER(F18)),E18-F18,"")</f>
        <v/>
      </c>
      <c r="H18" s="5" t="inlineStr">
        <is>
          <t>Ventas × precio.</t>
        </is>
      </c>
    </row>
    <row r="19">
      <c r="B19" s="4" t="inlineStr">
        <is>
          <t>Facturado del front (entradas + bump)</t>
        </is>
      </c>
      <c r="E19" s="9">
        <f>$E$14+$E$18</f>
        <v/>
      </c>
      <c r="F19" s="20">
        <f>'Modelo'!$C$13</f>
        <v/>
      </c>
      <c r="G19" s="20">
        <f>IF(AND(ISNUMBER(E19),ISNUMBER(F19)),E19-F19,"")</f>
        <v/>
      </c>
      <c r="H19" s="5" t="inlineStr">
        <is>
          <t>Lo que entra antes del evento.</t>
        </is>
      </c>
    </row>
    <row r="20">
      <c r="B20" s="4" t="inlineStr">
        <is>
          <t>ROAS del front (qué parte de la pauta recupera la entrada)</t>
        </is>
      </c>
      <c r="E20" s="10">
        <f>IF($C$8=0,0,$E$19/$C$8)</f>
        <v/>
      </c>
      <c r="F20" s="25">
        <f>'Modelo'!$C$14</f>
        <v/>
      </c>
      <c r="G20" s="25">
        <f>IF(AND(ISNUMBER(E20),ISNUMBER(F20)),E20-F20,"")</f>
        <v/>
      </c>
      <c r="H20" s="5" t="inlineStr">
        <is>
          <t>Facturado del front ÷ inversión. Cerca de 1 = el evento se paga solo.</t>
        </is>
      </c>
    </row>
    <row r="21">
      <c r="B21" s="7" t="inlineStr">
        <is>
          <t>Grupo y asistencia</t>
        </is>
      </c>
      <c r="C21" s="8" t="n"/>
      <c r="D21" s="8" t="n"/>
      <c r="E21" s="8" t="n"/>
      <c r="F21" s="8" t="n"/>
      <c r="G21" s="8" t="n"/>
      <c r="H21" s="8" t="n"/>
    </row>
    <row r="22">
      <c r="B22" t="inlineStr">
        <is>
          <t>% que entra al grupo de WhatsApp</t>
        </is>
      </c>
      <c r="C22" s="22">
        <f>'Supuestos'!$C$19</f>
        <v/>
      </c>
      <c r="D22" s="23">
        <f>'Supuestos'!$C$19</f>
        <v/>
      </c>
      <c r="G22">
        <f>IF(C22&lt;&gt;D22,"← cambiado","")</f>
        <v/>
      </c>
      <c r="H22" s="5" t="inlineStr">
        <is>
          <t>Supuesto. Escribí encima para probar; la base queda al lado.</t>
        </is>
      </c>
    </row>
    <row r="23">
      <c r="B23" t="inlineStr">
        <is>
          <t>Personas en el grupo</t>
        </is>
      </c>
      <c r="E23" s="21">
        <f>$E$12*$C$22</f>
        <v/>
      </c>
      <c r="F23" s="21">
        <f>'Modelo'!$C$16</f>
        <v/>
      </c>
      <c r="G23" s="21">
        <f>IF(AND(ISNUMBER(E23),ISNUMBER(F23)),E23-F23,"")</f>
        <v/>
      </c>
      <c r="H23" s="5" t="inlineStr">
        <is>
          <t>Entradas × % que entra.</t>
        </is>
      </c>
    </row>
    <row r="24">
      <c r="B24" s="4" t="inlineStr">
        <is>
          <t>Costo por persona en el grupo</t>
        </is>
      </c>
      <c r="E24" s="13">
        <f>IF($E$23=0,0,$C$8/$E$23)</f>
        <v/>
      </c>
      <c r="F24" s="18">
        <f>'Modelo'!$C$17</f>
        <v/>
      </c>
      <c r="G24" s="18">
        <f>IF(AND(ISNUMBER(E24),ISNUMBER(F24)),E24-F24,"")</f>
        <v/>
      </c>
      <c r="H24" s="5" t="inlineStr">
        <is>
          <t>Inversión ÷ personas en el grupo.</t>
        </is>
      </c>
    </row>
    <row r="25">
      <c r="B25" t="inlineStr">
        <is>
          <t>% que asiste en vivo</t>
        </is>
      </c>
      <c r="C25" s="22">
        <f>'Supuestos'!$C$20</f>
        <v/>
      </c>
      <c r="D25" s="23">
        <f>'Supuestos'!$C$20</f>
        <v/>
      </c>
      <c r="G25">
        <f>IF(C25&lt;&gt;D25,"← cambiado","")</f>
        <v/>
      </c>
      <c r="H25" s="5" t="inlineStr">
        <is>
          <t>Supuesto. Escribí encima para probar; la base queda al lado.</t>
        </is>
      </c>
    </row>
    <row r="26">
      <c r="B26" s="4" t="inlineStr">
        <is>
          <t>Asistentes en vivo</t>
        </is>
      </c>
      <c r="E26" s="11">
        <f>$E$12*$C$25</f>
        <v/>
      </c>
      <c r="F26" s="21">
        <f>'Modelo'!$C$18</f>
        <v/>
      </c>
      <c r="G26" s="21">
        <f>IF(AND(ISNUMBER(E26),ISNUMBER(F26)),E26-F26,"")</f>
        <v/>
      </c>
      <c r="H26" s="5" t="inlineStr">
        <is>
          <t>Entradas × asistencia en vivo.</t>
        </is>
      </c>
    </row>
    <row r="27">
      <c r="B27" t="inlineStr">
        <is>
          <t>% que ve el replay (sin contar los que fueron en vivo)</t>
        </is>
      </c>
      <c r="C27" s="22">
        <f>'Supuestos'!$C$21</f>
        <v/>
      </c>
      <c r="D27" s="23">
        <f>'Supuestos'!$C$21</f>
        <v/>
      </c>
      <c r="G27">
        <f>IF(C27&lt;&gt;D27,"← cambiado","")</f>
        <v/>
      </c>
      <c r="H27" s="5" t="inlineStr">
        <is>
          <t>Supuesto. Escribí encima para probar; la base queda al lado.</t>
        </is>
      </c>
    </row>
    <row r="28">
      <c r="B28" t="inlineStr">
        <is>
          <t>Vieron el replay</t>
        </is>
      </c>
      <c r="E28" s="21">
        <f>$E$12*$C$27</f>
        <v/>
      </c>
      <c r="F28" s="21">
        <f>'Modelo'!$C$19</f>
        <v/>
      </c>
      <c r="G28" s="21">
        <f>IF(AND(ISNUMBER(E28),ISNUMBER(F28)),E28-F28,"")</f>
        <v/>
      </c>
      <c r="H28" s="5" t="inlineStr">
        <is>
          <t>Entradas × % que ve el replay.</t>
        </is>
      </c>
    </row>
    <row r="29">
      <c r="B29" t="inlineStr">
        <is>
          <t>Costo por asistente en vivo</t>
        </is>
      </c>
      <c r="E29" s="18">
        <f>IF($E$26=0,0,$C$8/$E$26)</f>
        <v/>
      </c>
      <c r="F29" s="18">
        <f>'Modelo'!$C$20</f>
        <v/>
      </c>
      <c r="G29" s="18">
        <f>IF(AND(ISNUMBER(E29),ISNUMBER(F29)),E29-F29,"")</f>
        <v/>
      </c>
      <c r="H29" s="5" t="inlineStr">
        <is>
          <t>Inversión ÷ asistentes.</t>
        </is>
      </c>
    </row>
    <row r="30">
      <c r="B30" s="7" t="inlineStr">
        <is>
          <t>Solicitudes (formulario de compra, aplicación o vendedor), oferta, programa y facturación</t>
        </is>
      </c>
      <c r="C30" s="8" t="n"/>
      <c r="D30" s="8" t="n"/>
      <c r="E30" s="8" t="n"/>
      <c r="F30" s="8" t="n"/>
      <c r="G30" s="8" t="n"/>
      <c r="H30" s="8" t="n"/>
    </row>
    <row r="31">
      <c r="B31" t="inlineStr">
        <is>
          <t>% de asistentes en vivo que solicitan (formulario de compra, de aplicación o hablar con un vendedor)</t>
        </is>
      </c>
      <c r="C31" s="22">
        <f>'Supuestos'!$C$25</f>
        <v/>
      </c>
      <c r="D31" s="23">
        <f>'Supuestos'!$C$25</f>
        <v/>
      </c>
      <c r="G31">
        <f>IF(C31&lt;&gt;D31,"← cambiado","")</f>
        <v/>
      </c>
      <c r="H31" s="5" t="inlineStr">
        <is>
          <t>Supuesto. Escribí encima para probar; la base queda al lado.</t>
        </is>
      </c>
    </row>
    <row r="32">
      <c r="B32" t="inlineStr">
        <is>
          <t>Solicitudes: en vivo</t>
        </is>
      </c>
      <c r="E32" s="24">
        <f>$E$26*$C$31</f>
        <v/>
      </c>
      <c r="F32" s="24">
        <f>'Modelo'!$C$22</f>
        <v/>
      </c>
      <c r="G32" s="24">
        <f>IF(AND(ISNUMBER(E32),ISNUMBER(F32)),E32-F32,"")</f>
        <v/>
      </c>
      <c r="H32" s="5" t="inlineStr">
        <is>
          <t>Asistentes en vivo × % que solicita.</t>
        </is>
      </c>
    </row>
    <row r="33">
      <c r="B33" t="inlineStr">
        <is>
          <t>% de los que ven el replay que solicitan</t>
        </is>
      </c>
      <c r="C33" s="22">
        <f>'Supuestos'!$C$26</f>
        <v/>
      </c>
      <c r="D33" s="23">
        <f>'Supuestos'!$C$26</f>
        <v/>
      </c>
      <c r="G33">
        <f>IF(C33&lt;&gt;D33,"← cambiado","")</f>
        <v/>
      </c>
      <c r="H33" s="5" t="inlineStr">
        <is>
          <t>Supuesto. Escribí encima para probar; la base queda al lado.</t>
        </is>
      </c>
    </row>
    <row r="34">
      <c r="B34" t="inlineStr">
        <is>
          <t>Solicitudes: replay</t>
        </is>
      </c>
      <c r="E34" s="24">
        <f>$E$28*$C$33</f>
        <v/>
      </c>
      <c r="F34" s="24">
        <f>'Modelo'!$C$23</f>
        <v/>
      </c>
      <c r="G34" s="24">
        <f>IF(AND(ISNUMBER(E34),ISNUMBER(F34)),E34-F34,"")</f>
        <v/>
      </c>
      <c r="H34" s="5" t="inlineStr">
        <is>
          <t>Replay × % que solicita.</t>
        </is>
      </c>
    </row>
    <row r="35">
      <c r="B35" s="4" t="inlineStr">
        <is>
          <t>Solicitudes (total)</t>
        </is>
      </c>
      <c r="E35" s="12">
        <f>$E$32+$E$34</f>
        <v/>
      </c>
      <c r="F35" s="24">
        <f>'Modelo'!$C$24</f>
        <v/>
      </c>
      <c r="G35" s="24">
        <f>IF(AND(ISNUMBER(E35),ISNUMBER(F35)),E35-F35,"")</f>
        <v/>
      </c>
      <c r="H35" s="5" t="inlineStr">
        <is>
          <t>En vivo + replay.</t>
        </is>
      </c>
    </row>
    <row r="36">
      <c r="B36" t="inlineStr">
        <is>
          <t>% de compradores de entrada que solicitan</t>
        </is>
      </c>
      <c r="E36" s="26">
        <f>IF($E$12=0,0,$E$35/$E$12)</f>
        <v/>
      </c>
      <c r="F36" s="26">
        <f>'Modelo'!$C$25</f>
        <v/>
      </c>
      <c r="G36" s="26">
        <f>IF(AND(ISNUMBER(E36),ISNUMBER(F36)),E36-F36,"")</f>
        <v/>
      </c>
      <c r="H36" s="5" t="inlineStr">
        <is>
          <t>Solicitudes ÷ entradas.</t>
        </is>
      </c>
    </row>
    <row r="37">
      <c r="B37" s="4" t="inlineStr">
        <is>
          <t>Costo por solicitud</t>
        </is>
      </c>
      <c r="E37" s="13">
        <f>IF($E$35=0,0,$C$8/$E$35)</f>
        <v/>
      </c>
      <c r="F37" s="18">
        <f>'Modelo'!$C$26</f>
        <v/>
      </c>
      <c r="G37" s="18">
        <f>IF(AND(ISNUMBER(E37),ISNUMBER(F37)),E37-F37,"")</f>
        <v/>
      </c>
      <c r="H37" s="5" t="inlineStr">
        <is>
          <t>Inversión ÷ solicitudes.</t>
        </is>
      </c>
    </row>
    <row r="38">
      <c r="B38" t="inlineStr">
        <is>
          <t>% de solicitudes que terminan en compra</t>
        </is>
      </c>
      <c r="C38" s="22">
        <f>'Supuestos'!$C$27</f>
        <v/>
      </c>
      <c r="D38" s="23">
        <f>'Supuestos'!$C$27</f>
        <v/>
      </c>
      <c r="G38">
        <f>IF(C38&lt;&gt;D38,"← cambiado","")</f>
        <v/>
      </c>
      <c r="H38" s="5" t="inlineStr">
        <is>
          <t>Supuesto. Escribí encima para probar; la base queda al lado.</t>
        </is>
      </c>
    </row>
    <row r="39">
      <c r="B39" s="4" t="inlineStr">
        <is>
          <t>Ventas de la oferta</t>
        </is>
      </c>
      <c r="E39" s="12">
        <f>$E$35*$C$38</f>
        <v/>
      </c>
      <c r="F39" s="24">
        <f>'Modelo'!$C$27</f>
        <v/>
      </c>
      <c r="G39" s="24">
        <f>IF(AND(ISNUMBER(E39),ISNUMBER(F39)),E39-F39,"")</f>
        <v/>
      </c>
      <c r="H39" s="5" t="inlineStr">
        <is>
          <t>Solicitudes × % que termina en compra.</t>
        </is>
      </c>
    </row>
    <row r="40">
      <c r="B40" t="inlineStr">
        <is>
          <t>% de compradores de entrada que compran la oferta</t>
        </is>
      </c>
      <c r="E40" s="26">
        <f>IF($E$12=0,0,$E$39/$E$12)</f>
        <v/>
      </c>
      <c r="F40" s="26">
        <f>'Modelo'!$C$28</f>
        <v/>
      </c>
      <c r="G40" s="26">
        <f>IF(AND(ISNUMBER(E40),ISNUMBER(F40)),E40-F40,"")</f>
        <v/>
      </c>
      <c r="H40" s="5" t="inlineStr">
        <is>
          <t>Ventas ÷ entradas.</t>
        </is>
      </c>
    </row>
    <row r="41">
      <c r="B41" s="4" t="inlineStr">
        <is>
          <t>Costo por comprador de la oferta</t>
        </is>
      </c>
      <c r="E41" s="13">
        <f>IF($E$39=0,0,$C$8/$E$39)</f>
        <v/>
      </c>
      <c r="F41" s="18">
        <f>'Modelo'!$C$29</f>
        <v/>
      </c>
      <c r="G41" s="18">
        <f>IF(AND(ISNUMBER(E41),ISNUMBER(F41)),E41-F41,"")</f>
        <v/>
      </c>
      <c r="H41" s="5" t="inlineStr">
        <is>
          <t>Inversión ÷ ventas de la oferta.</t>
        </is>
      </c>
    </row>
    <row r="42">
      <c r="B42" t="inlineStr">
        <is>
          <t>Oferta principal: precio</t>
        </is>
      </c>
      <c r="C42" s="17">
        <f>'Supuestos'!$C$24</f>
        <v/>
      </c>
      <c r="D42" s="18">
        <f>'Supuestos'!$C$24</f>
        <v/>
      </c>
      <c r="G42">
        <f>IF(C42&lt;&gt;D42,"← cambiado","")</f>
        <v/>
      </c>
      <c r="H42" s="5" t="inlineStr">
        <is>
          <t>Supuesto. Escribí encima para probar; la base queda al lado.</t>
        </is>
      </c>
    </row>
    <row r="43">
      <c r="B43" t="inlineStr">
        <is>
          <t>Facturado: oferta</t>
        </is>
      </c>
      <c r="E43" s="20">
        <f>$E$39*$C$42</f>
        <v/>
      </c>
      <c r="F43" s="20">
        <f>'Modelo'!$C$30</f>
        <v/>
      </c>
      <c r="G43" s="20">
        <f>IF(AND(ISNUMBER(E43),ISNUMBER(F43)),E43-F43,"")</f>
        <v/>
      </c>
      <c r="H43" s="5" t="inlineStr">
        <is>
          <t>Ventas × precio.</t>
        </is>
      </c>
    </row>
    <row r="44">
      <c r="B44" t="inlineStr">
        <is>
          <t>Programa superior: % de compradores de la oferta que lo toman</t>
        </is>
      </c>
      <c r="C44" s="22">
        <f>'Supuestos'!$C$29</f>
        <v/>
      </c>
      <c r="D44" s="23">
        <f>'Supuestos'!$C$29</f>
        <v/>
      </c>
      <c r="G44">
        <f>IF(C44&lt;&gt;D44,"← cambiado","")</f>
        <v/>
      </c>
      <c r="H44" s="5" t="inlineStr">
        <is>
          <t>Supuesto. Escribí encima para probar; la base queda al lado.</t>
        </is>
      </c>
    </row>
    <row r="45">
      <c r="B45" t="inlineStr">
        <is>
          <t>Ventas: programa superior</t>
        </is>
      </c>
      <c r="E45" s="24">
        <f>$E$39*$C$44</f>
        <v/>
      </c>
      <c r="F45" s="24">
        <f>'Modelo'!$C$31</f>
        <v/>
      </c>
      <c r="G45" s="24">
        <f>IF(AND(ISNUMBER(E45),ISNUMBER(F45)),E45-F45,"")</f>
        <v/>
      </c>
      <c r="H45" s="5" t="inlineStr">
        <is>
          <t>Compradores de la oferta × % que asciende.</t>
        </is>
      </c>
    </row>
    <row r="46">
      <c r="B46" t="inlineStr">
        <is>
          <t>Programa superior: precio</t>
        </is>
      </c>
      <c r="C46" s="17">
        <f>'Supuestos'!$C$28</f>
        <v/>
      </c>
      <c r="D46" s="18">
        <f>'Supuestos'!$C$28</f>
        <v/>
      </c>
      <c r="G46">
        <f>IF(C46&lt;&gt;D46,"← cambiado","")</f>
        <v/>
      </c>
      <c r="H46" s="5" t="inlineStr">
        <is>
          <t>Supuesto. Escribí encima para probar; la base queda al lado.</t>
        </is>
      </c>
    </row>
    <row r="47">
      <c r="B47" t="inlineStr">
        <is>
          <t>Facturado: programa superior</t>
        </is>
      </c>
      <c r="E47" s="20">
        <f>$E$45*$C$46</f>
        <v/>
      </c>
      <c r="F47" s="20">
        <f>'Modelo'!$C$32</f>
        <v/>
      </c>
      <c r="G47" s="20">
        <f>IF(AND(ISNUMBER(E47),ISNUMBER(F47)),E47-F47,"")</f>
        <v/>
      </c>
      <c r="H47" s="5" t="inlineStr">
        <is>
          <t>Ventas × precio.</t>
        </is>
      </c>
    </row>
    <row r="48">
      <c r="B48" s="4" t="inlineStr">
        <is>
          <t>Facturado total</t>
        </is>
      </c>
      <c r="E48" s="9">
        <f>$E$19+$E$43+$E$47</f>
        <v/>
      </c>
      <c r="F48" s="20">
        <f>'Modelo'!$C$33</f>
        <v/>
      </c>
      <c r="G48" s="20">
        <f>IF(AND(ISNUMBER(E48),ISNUMBER(F48)),E48-F48,"")</f>
        <v/>
      </c>
      <c r="H48" s="5" t="inlineStr">
        <is>
          <t>Front + oferta + programa.</t>
        </is>
      </c>
    </row>
    <row r="49">
      <c r="B49" t="inlineStr">
        <is>
          <t>Facturado por comprador de la oferta</t>
        </is>
      </c>
      <c r="E49" s="18">
        <f>IF($E$39=0,0,$E$48/$E$39)</f>
        <v/>
      </c>
      <c r="F49" s="18">
        <f>'Modelo'!$C$34</f>
        <v/>
      </c>
      <c r="G49" s="18">
        <f>IF(AND(ISNUMBER(E49),ISNUMBER(F49)),E49-F49,"")</f>
        <v/>
      </c>
      <c r="H49" s="5" t="inlineStr">
        <is>
          <t>Facturado total ÷ ventas de la oferta.</t>
        </is>
      </c>
    </row>
    <row r="50">
      <c r="B50" t="inlineStr">
        <is>
          <t>Ventas de la oferta por entrada (para la proyección)</t>
        </is>
      </c>
      <c r="E50" s="26">
        <f>IF($E$12=0,0,$E$39/$E$12)</f>
        <v/>
      </c>
      <c r="F50" s="26">
        <f>'Modelo'!$C$35</f>
        <v/>
      </c>
      <c r="G50" s="26">
        <f>IF(AND(ISNUMBER(E50),ISNUMBER(F50)),E50-F50,"")</f>
        <v/>
      </c>
      <c r="H50" s="5" t="inlineStr">
        <is>
          <t>Igual a '% que compra la oferta'.</t>
        </is>
      </c>
    </row>
    <row r="51">
      <c r="B51" t="inlineStr">
        <is>
          <t>Facturado por entrada</t>
        </is>
      </c>
      <c r="E51" s="18">
        <f>IF($E$12=0,0,$E$48/$E$12)</f>
        <v/>
      </c>
      <c r="F51" s="18">
        <f>'Modelo'!$C$36</f>
        <v/>
      </c>
      <c r="G51" s="18">
        <f>IF(AND(ISNUMBER(E51),ISNUMBER(F51)),E51-F51,"")</f>
        <v/>
      </c>
      <c r="H51" s="5" t="inlineStr">
        <is>
          <t>Facturado total ÷ entradas.</t>
        </is>
      </c>
    </row>
    <row r="52">
      <c r="B52" s="7" t="inlineStr">
        <is>
          <t>Cash, costos y ganancia del período</t>
        </is>
      </c>
      <c r="C52" s="8" t="n"/>
      <c r="D52" s="8" t="n"/>
      <c r="E52" s="8" t="n"/>
      <c r="F52" s="8" t="n"/>
      <c r="G52" s="8" t="n"/>
      <c r="H52" s="8" t="n"/>
    </row>
    <row r="53">
      <c r="B53" t="inlineStr">
        <is>
          <t>% del facturado que entra en el mes 1</t>
        </is>
      </c>
      <c r="C53" s="22">
        <f>'Supuestos'!$C$39</f>
        <v/>
      </c>
      <c r="D53" s="23">
        <f>'Supuestos'!$C$39</f>
        <v/>
      </c>
      <c r="G53">
        <f>IF(C53&lt;&gt;D53,"← cambiado","")</f>
        <v/>
      </c>
      <c r="H53" s="5" t="inlineStr">
        <is>
          <t>Supuesto. Escribí encima para probar; la base queda al lado.</t>
        </is>
      </c>
    </row>
    <row r="54">
      <c r="B54" t="inlineStr">
        <is>
          <t>% que entra en el mes 2</t>
        </is>
      </c>
      <c r="C54" s="22">
        <f>'Supuestos'!$C$40</f>
        <v/>
      </c>
      <c r="D54" s="23">
        <f>'Supuestos'!$C$40</f>
        <v/>
      </c>
      <c r="G54">
        <f>IF(C54&lt;&gt;D54,"← cambiado","")</f>
        <v/>
      </c>
      <c r="H54" s="5" t="inlineStr">
        <is>
          <t>Supuesto. Escribí encima para probar; la base queda al lado.</t>
        </is>
      </c>
    </row>
    <row r="55">
      <c r="B55" t="inlineStr">
        <is>
          <t>% que entra en el mes 3</t>
        </is>
      </c>
      <c r="C55" s="22">
        <f>'Supuestos'!$C$41</f>
        <v/>
      </c>
      <c r="D55" s="23">
        <f>'Supuestos'!$C$41</f>
        <v/>
      </c>
      <c r="G55">
        <f>IF(C55&lt;&gt;D55,"← cambiado","")</f>
        <v/>
      </c>
      <c r="H55" s="5" t="inlineStr">
        <is>
          <t>Supuesto. Escribí encima para probar; la base queda al lado.</t>
        </is>
      </c>
    </row>
    <row r="56">
      <c r="B56" t="inlineStr">
        <is>
          <t>Cash a cobrar (facturado × cobranza completa)</t>
        </is>
      </c>
      <c r="E56" s="20">
        <f>$E$48*($C$53+$C$54+$C$55)</f>
        <v/>
      </c>
      <c r="F56" s="20">
        <f>'Modelo'!$C$38</f>
        <v/>
      </c>
      <c r="G56" s="20">
        <f>IF(AND(ISNUMBER(E56),ISNUMBER(F56)),E56-F56,"")</f>
        <v/>
      </c>
      <c r="H56" s="5" t="inlineStr">
        <is>
          <t>Facturado × (mes 1 + mes 2 + mes 3). Si la cobranza suma 100 %, es igual al facturado.</t>
        </is>
      </c>
    </row>
    <row r="57">
      <c r="B57" t="inlineStr">
        <is>
          <t>Cash que entra en el primer mes</t>
        </is>
      </c>
      <c r="E57" s="20">
        <f>$E$48*$C$53</f>
        <v/>
      </c>
      <c r="F57" s="20">
        <f>'Modelo'!$C$39</f>
        <v/>
      </c>
      <c r="G57" s="20">
        <f>IF(AND(ISNUMBER(E57),ISNUMBER(F57)),E57-F57,"")</f>
        <v/>
      </c>
      <c r="H57" s="5" t="inlineStr">
        <is>
          <t>Facturado × % del mes 1.</t>
        </is>
      </c>
    </row>
    <row r="58">
      <c r="B58" t="inlineStr">
        <is>
          <t>Comisión de la pasarela o plataforma de pago</t>
        </is>
      </c>
      <c r="C58" s="22">
        <f>'Supuestos'!$C$32</f>
        <v/>
      </c>
      <c r="D58" s="23">
        <f>'Supuestos'!$C$32</f>
        <v/>
      </c>
      <c r="G58">
        <f>IF(C58&lt;&gt;D58,"← cambiado","")</f>
        <v/>
      </c>
      <c r="H58" s="5" t="inlineStr">
        <is>
          <t>Supuesto. Escribí encima para probar; la base queda al lado.</t>
        </is>
      </c>
    </row>
    <row r="59">
      <c r="B59" t="inlineStr">
        <is>
          <t>Comisión del equipo de ventas</t>
        </is>
      </c>
      <c r="C59" s="22">
        <f>'Supuestos'!$C$33</f>
        <v/>
      </c>
      <c r="D59" s="23">
        <f>'Supuestos'!$C$33</f>
        <v/>
      </c>
      <c r="G59">
        <f>IF(C59&lt;&gt;D59,"← cambiado","")</f>
        <v/>
      </c>
      <c r="H59" s="5" t="inlineStr">
        <is>
          <t>Supuesto. Escribí encima para probar; la base queda al lado.</t>
        </is>
      </c>
    </row>
    <row r="60">
      <c r="B60" t="inlineStr">
        <is>
          <t>Comisiones (pasarela + ventas)</t>
        </is>
      </c>
      <c r="E60" s="20">
        <f>$E$56*($C$58+$C$59)</f>
        <v/>
      </c>
      <c r="F60" s="20">
        <f>'Modelo'!$C$40</f>
        <v/>
      </c>
      <c r="G60" s="20">
        <f>IF(AND(ISNUMBER(E60),ISNUMBER(F60)),E60-F60,"")</f>
        <v/>
      </c>
      <c r="H60" s="5" t="inlineStr">
        <is>
          <t>Cash × (pasarela + equipo de ventas).</t>
        </is>
      </c>
    </row>
    <row r="61">
      <c r="B61" t="inlineStr">
        <is>
          <t>Reembolsos y contracargos</t>
        </is>
      </c>
      <c r="C61" s="22">
        <f>'Supuestos'!$C$34</f>
        <v/>
      </c>
      <c r="D61" s="23">
        <f>'Supuestos'!$C$34</f>
        <v/>
      </c>
      <c r="G61">
        <f>IF(C61&lt;&gt;D61,"← cambiado","")</f>
        <v/>
      </c>
      <c r="H61" s="5" t="inlineStr">
        <is>
          <t>Supuesto. Escribí encima para probar; la base queda al lado.</t>
        </is>
      </c>
    </row>
    <row r="62">
      <c r="B62" t="inlineStr">
        <is>
          <t>Reembolsos</t>
        </is>
      </c>
      <c r="E62" s="20">
        <f>$E$56*$C$61</f>
        <v/>
      </c>
      <c r="F62" s="20">
        <f>'Modelo'!$C$41</f>
        <v/>
      </c>
      <c r="G62" s="20">
        <f>IF(AND(ISNUMBER(E62),ISNUMBER(F62)),E62-F62,"")</f>
        <v/>
      </c>
      <c r="H62" s="5" t="inlineStr">
        <is>
          <t>Cash × % de reembolsos.</t>
        </is>
      </c>
    </row>
    <row r="63">
      <c r="B63" s="4" t="inlineStr">
        <is>
          <t>Cash neto</t>
        </is>
      </c>
      <c r="E63" s="9">
        <f>$E$56*(1-$C$58-$C$59-$C$61)</f>
        <v/>
      </c>
      <c r="F63" s="20">
        <f>'Modelo'!$C$42</f>
        <v/>
      </c>
      <c r="G63" s="20">
        <f>IF(AND(ISNUMBER(E63),ISNUMBER(F63)),E63-F63,"")</f>
        <v/>
      </c>
      <c r="H63" s="5" t="inlineStr">
        <is>
          <t>Cash − comisiones − reembolsos. La base de verdad.</t>
        </is>
      </c>
    </row>
    <row r="64">
      <c r="B64" t="inlineStr">
        <is>
          <t>Costos por entrada (herramientas, WhatsApp, IA)</t>
        </is>
      </c>
      <c r="C64" s="17">
        <f>'Supuestos'!$C$35</f>
        <v/>
      </c>
      <c r="D64" s="18">
        <f>'Supuestos'!$C$35</f>
        <v/>
      </c>
      <c r="G64">
        <f>IF(C64&lt;&gt;D64,"← cambiado","")</f>
        <v/>
      </c>
      <c r="H64" s="5" t="inlineStr">
        <is>
          <t>Supuesto. Escribí encima para probar; la base queda al lado.</t>
        </is>
      </c>
    </row>
    <row r="65">
      <c r="B65" t="inlineStr">
        <is>
          <t>Costos por entrada (herramientas, WhatsApp, IA)</t>
        </is>
      </c>
      <c r="E65" s="20">
        <f>$E$12*$C$64</f>
        <v/>
      </c>
      <c r="F65" s="20">
        <f>'Modelo'!$C$43</f>
        <v/>
      </c>
      <c r="G65" s="20">
        <f>IF(AND(ISNUMBER(E65),ISNUMBER(F65)),E65-F65,"")</f>
        <v/>
      </c>
      <c r="H65" s="5" t="inlineStr">
        <is>
          <t>Entradas × costo por entrada.</t>
        </is>
      </c>
    </row>
    <row r="66">
      <c r="B66" t="inlineStr">
        <is>
          <t>Costos fijos por lanzamiento</t>
        </is>
      </c>
      <c r="C66" s="19">
        <f>'Supuestos'!$C$36</f>
        <v/>
      </c>
      <c r="D66" s="20">
        <f>'Supuestos'!$C$36</f>
        <v/>
      </c>
      <c r="G66">
        <f>IF(C66&lt;&gt;D66,"← cambiado","")</f>
        <v/>
      </c>
      <c r="H66" s="5" t="inlineStr">
        <is>
          <t>Supuesto. Escribí encima para probar; la base queda al lado.</t>
        </is>
      </c>
    </row>
    <row r="67">
      <c r="B67" s="4" t="inlineStr">
        <is>
          <t>Ganancia del período</t>
        </is>
      </c>
      <c r="E67" s="9">
        <f>$E$63-$E$65-$C$66-$C$8</f>
        <v/>
      </c>
      <c r="F67" s="20">
        <f>'Modelo'!$C$44</f>
        <v/>
      </c>
      <c r="G67" s="20">
        <f>IF(AND(ISNUMBER(E67),ISNUMBER(F67)),E67-F67,"")</f>
        <v/>
      </c>
      <c r="H67" s="5" t="inlineStr">
        <is>
          <t>Cash neto − costos por unidad − fijos − inversión.</t>
        </is>
      </c>
    </row>
    <row r="68">
      <c r="B68" t="inlineStr">
        <is>
          <t>ROAS sobre facturado</t>
        </is>
      </c>
      <c r="E68" s="25">
        <f>IF($C$8=0,0,$E$48/$C$8)</f>
        <v/>
      </c>
      <c r="F68" s="25">
        <f>'Modelo'!$C$45</f>
        <v/>
      </c>
      <c r="G68" s="25">
        <f>IF(AND(ISNUMBER(E68),ISNUMBER(F68)),E68-F68,"")</f>
        <v/>
      </c>
      <c r="H68" s="5" t="inlineStr">
        <is>
          <t>Facturado ÷ inversión. El número que más se infla: no decidas con este.</t>
        </is>
      </c>
    </row>
    <row r="69">
      <c r="B69" s="4" t="inlineStr">
        <is>
          <t>ROAS sobre cash neto</t>
        </is>
      </c>
      <c r="E69" s="10">
        <f>IF($C$8=0,0,$E$63/$C$8)</f>
        <v/>
      </c>
      <c r="F69" s="25">
        <f>'Modelo'!$C$46</f>
        <v/>
      </c>
      <c r="G69" s="25">
        <f>IF(AND(ISNUMBER(E69),ISNUMBER(F69)),E69-F69,"")</f>
        <v/>
      </c>
      <c r="H69" s="5" t="inlineStr">
        <is>
          <t>Cash neto ÷ inversión. Con este se decide.</t>
        </is>
      </c>
    </row>
    <row r="70">
      <c r="B70" t="inlineStr">
        <is>
          <t>Margen sobre cash</t>
        </is>
      </c>
      <c r="E70" s="23">
        <f>IF($E$56=0,0,$E$67/$E$56)</f>
        <v/>
      </c>
      <c r="F70" s="23">
        <f>'Modelo'!$C$47</f>
        <v/>
      </c>
      <c r="G70" s="23">
        <f>IF(AND(ISNUMBER(E70),ISNUMBER(F70)),E70-F70,"")</f>
        <v/>
      </c>
      <c r="H70" s="5" t="inlineStr">
        <is>
          <t>Ganancia ÷ cash.</t>
        </is>
      </c>
    </row>
    <row r="71">
      <c r="B71" t="inlineStr">
        <is>
          <t>ROAS objetivo sobre cash neto</t>
        </is>
      </c>
      <c r="C71" s="27">
        <f>'Supuestos'!$C$44</f>
        <v/>
      </c>
      <c r="D71" s="25">
        <f>'Supuestos'!$C$44</f>
        <v/>
      </c>
      <c r="G71">
        <f>IF(C71&lt;&gt;D71,"← cambiado","")</f>
        <v/>
      </c>
      <c r="H71" s="5" t="inlineStr">
        <is>
          <t>Supuesto. Escribí encima para probar; la base queda al lado.</t>
        </is>
      </c>
    </row>
    <row r="72">
      <c r="B72" t="inlineStr">
        <is>
          <t>¿Cumple el ROAS objetivo?</t>
        </is>
      </c>
      <c r="E72" s="28">
        <f>IF($E$69&gt;=$C$71,"SÍ","NO")</f>
        <v/>
      </c>
      <c r="F72" s="28">
        <f>'Modelo'!$C$48</f>
        <v/>
      </c>
      <c r="G72">
        <f>IF(E72=F72,"","≠ base")</f>
        <v/>
      </c>
      <c r="H72" s="5" t="inlineStr">
        <is>
          <t>ROAS sobre cash neto contra el objetivo de Supuestos.</t>
        </is>
      </c>
    </row>
    <row r="73">
      <c r="B73" s="7" t="inlineStr">
        <is>
          <t>Cuánto vale cada entrada y hasta cuánto pagar</t>
        </is>
      </c>
      <c r="C73" s="8" t="n"/>
      <c r="D73" s="8" t="n"/>
      <c r="E73" s="8" t="n"/>
      <c r="F73" s="8" t="n"/>
      <c r="G73" s="8" t="n"/>
      <c r="H73" s="8" t="n"/>
    </row>
    <row r="74">
      <c r="B74" s="4" t="inlineStr">
        <is>
          <t>Valor neto por entrada</t>
        </is>
      </c>
      <c r="E74" s="13">
        <f>IF($E$12=0,0,($E$63-$E$65)/$E$12)</f>
        <v/>
      </c>
      <c r="F74" s="18">
        <f>'Modelo'!$C$50</f>
        <v/>
      </c>
      <c r="G74" s="18">
        <f>IF(AND(ISNUMBER(E74),ISNUMBER(F74)),E74-F74,"")</f>
        <v/>
      </c>
      <c r="H74" s="5" t="inlineStr">
        <is>
          <t>(Cash neto − costos por entrada) ÷ entradas.</t>
        </is>
      </c>
    </row>
    <row r="75">
      <c r="B75" s="4" t="inlineStr">
        <is>
          <t>Techo de costo por entrada (break-even)</t>
        </is>
      </c>
      <c r="E75" s="13">
        <f>$E$74</f>
        <v/>
      </c>
      <c r="F75" s="18">
        <f>'Modelo'!$C$51</f>
        <v/>
      </c>
      <c r="G75" s="18">
        <f>IF(AND(ISNUMBER(E75),ISNUMBER(F75)),E75-F75,"")</f>
        <v/>
      </c>
      <c r="H75" s="5" t="inlineStr">
        <is>
          <t>Igual al valor neto por entrada.</t>
        </is>
      </c>
    </row>
    <row r="76">
      <c r="B76" t="inlineStr">
        <is>
          <t>Margen de seguridad</t>
        </is>
      </c>
      <c r="C76" s="22">
        <f>'Supuestos'!$C$45</f>
        <v/>
      </c>
      <c r="D76" s="23">
        <f>'Supuestos'!$C$45</f>
        <v/>
      </c>
      <c r="G76">
        <f>IF(C76&lt;&gt;D76,"← cambiado","")</f>
        <v/>
      </c>
      <c r="H76" s="5" t="inlineStr">
        <is>
          <t>Supuesto. Escribí encima para probar; la base queda al lado.</t>
        </is>
      </c>
    </row>
    <row r="77">
      <c r="B77" s="4" t="inlineStr">
        <is>
          <t>Objetivo de costo por entrada</t>
        </is>
      </c>
      <c r="E77" s="13">
        <f>$E$75/(1+$C$76)</f>
        <v/>
      </c>
      <c r="F77" s="18">
        <f>'Modelo'!$C$52</f>
        <v/>
      </c>
      <c r="G77" s="18">
        <f>IF(AND(ISNUMBER(E77),ISNUMBER(F77)),E77-F77,"")</f>
        <v/>
      </c>
      <c r="H77" s="5" t="inlineStr">
        <is>
          <t>Techo ÷ (1 + margen de seguridad).</t>
        </is>
      </c>
    </row>
    <row r="78">
      <c r="B78" t="inlineStr">
        <is>
          <t>Techo de costo por visita a la página</t>
        </is>
      </c>
      <c r="E78" s="18">
        <f>$E$74*$C$10</f>
        <v/>
      </c>
      <c r="F78" s="18">
        <f>'Modelo'!$C$53</f>
        <v/>
      </c>
      <c r="G78" s="18">
        <f>IF(AND(ISNUMBER(E78),ISNUMBER(F78)),E78-F78,"")</f>
        <v/>
      </c>
      <c r="H78" s="5" t="inlineStr">
        <is>
          <t>Valor por entrada × % que compra la entrada.</t>
        </is>
      </c>
    </row>
    <row r="79">
      <c r="B79" t="inlineStr">
        <is>
          <t>Techo de costo por asistente en vivo</t>
        </is>
      </c>
      <c r="E79" s="18">
        <f>IF($C$25=0,0,$E$74/$C$25)</f>
        <v/>
      </c>
      <c r="F79" s="18">
        <f>'Modelo'!$C$54</f>
        <v/>
      </c>
      <c r="G79" s="18">
        <f>IF(AND(ISNUMBER(E79),ISNUMBER(F79)),E79-F79,"")</f>
        <v/>
      </c>
      <c r="H79" s="5" t="inlineStr">
        <is>
          <t>Valor por entrada ÷ asistencia.</t>
        </is>
      </c>
    </row>
    <row r="80">
      <c r="B80" s="4" t="inlineStr">
        <is>
          <t>Techo de costo por solicitud</t>
        </is>
      </c>
      <c r="E80" s="13">
        <f>IF($E$35=0,0,$E$74*$E$12/$E$35)</f>
        <v/>
      </c>
      <c r="F80" s="18">
        <f>'Modelo'!$C$55</f>
        <v/>
      </c>
      <c r="G80" s="18">
        <f>IF(AND(ISNUMBER(E80),ISNUMBER(F80)),E80-F80,"")</f>
        <v/>
      </c>
      <c r="H80" s="5" t="inlineStr">
        <is>
          <t>Valor total ÷ solicitudes.</t>
        </is>
      </c>
    </row>
    <row r="81">
      <c r="B81" t="inlineStr">
        <is>
          <t>Techo de costo por comprador de la oferta</t>
        </is>
      </c>
      <c r="E81" s="18">
        <f>IF($E$40=0,0,$E$74/$E$40)</f>
        <v/>
      </c>
      <c r="F81" s="18">
        <f>'Modelo'!$C$56</f>
        <v/>
      </c>
      <c r="G81" s="18">
        <f>IF(AND(ISNUMBER(E81),ISNUMBER(F81)),E81-F81,"")</f>
        <v/>
      </c>
      <c r="H81" s="5" t="inlineStr">
        <is>
          <t>Valor por entrada ÷ % que compra la oferta.</t>
        </is>
      </c>
    </row>
    <row r="82">
      <c r="B82" t="inlineStr">
        <is>
          <t>Objetivo de costo por comprador de la oferta</t>
        </is>
      </c>
      <c r="E82" s="18">
        <f>$E$81/(1+$C$76)</f>
        <v/>
      </c>
      <c r="F82" s="18">
        <f>'Modelo'!$C$57</f>
        <v/>
      </c>
      <c r="G82" s="18">
        <f>IF(AND(ISNUMBER(E82),ISNUMBER(F82)),E82-F82,"")</f>
        <v/>
      </c>
      <c r="H82" s="5" t="inlineStr">
        <is>
          <t>Techo ÷ (1 + margen de seguridad).</t>
        </is>
      </c>
    </row>
    <row r="83">
      <c r="B83" s="7" t="inlineStr">
        <is>
          <t>Semáforo y cuánto invertir</t>
        </is>
      </c>
      <c r="C83" s="8" t="n"/>
      <c r="D83" s="8" t="n"/>
      <c r="E83" s="8" t="n"/>
      <c r="F83" s="8" t="n"/>
      <c r="G83" s="8" t="n"/>
      <c r="H83" s="8" t="n"/>
    </row>
    <row r="84">
      <c r="B84" s="4" t="inlineStr">
        <is>
          <t>Semáforo del costo por entrada actual</t>
        </is>
      </c>
      <c r="E84" s="14">
        <f>IF($E$11&gt;$E$75,"ROJO",IF(AND($E$11&lt;=$E$77,$E$69&gt;=$C$71),"VERDE","AMARILLO"))</f>
        <v/>
      </c>
      <c r="F84" s="28">
        <f>'Modelo'!$C$59</f>
        <v/>
      </c>
      <c r="G84">
        <f>IF(E84=F84,"","≠ base")</f>
        <v/>
      </c>
      <c r="H84" s="5" t="inlineStr">
        <is>
          <t>Rojo: costo &gt; techo. Verde: costo ≤ objetivo y ROAS sobre cash neto ≥ objetivo. Amarillo: el resto.</t>
        </is>
      </c>
    </row>
    <row r="85">
      <c r="B85" t="inlineStr">
        <is>
          <t>Meta de ventas del producto principal</t>
        </is>
      </c>
      <c r="C85" s="29">
        <f>'Supuestos'!$C$46</f>
        <v/>
      </c>
      <c r="D85" s="21">
        <f>'Supuestos'!$C$46</f>
        <v/>
      </c>
      <c r="G85">
        <f>IF(C85&lt;&gt;D85,"← cambiado","")</f>
        <v/>
      </c>
      <c r="H85" s="5" t="inlineStr">
        <is>
          <t>Supuesto. Escribí encima para probar; la base queda al lado.</t>
        </is>
      </c>
    </row>
    <row r="86">
      <c r="B86" s="4" t="inlineStr">
        <is>
          <t>Inversión necesaria para la meta de ventas de la oferta (al costo actual)</t>
        </is>
      </c>
      <c r="E86" s="9">
        <f>IF($E$40=0,"inalcanzable con estos supuestos",$C$85/$E$40*$E$11)</f>
        <v/>
      </c>
      <c r="F86" s="20">
        <f>'Modelo'!$C$60</f>
        <v/>
      </c>
      <c r="G86" s="20">
        <f>IF(AND(ISNUMBER(E86),ISNUMBER(F86)),E86-F86,"")</f>
        <v/>
      </c>
      <c r="H86" s="5" t="inlineStr">
        <is>
          <t>Meta ÷ % que compra la oferta × costo por entrada.</t>
        </is>
      </c>
    </row>
    <row r="87">
      <c r="B87" t="inlineStr">
        <is>
          <t>Inversión para la meta al costo objetivo (lo máximo que conviene pagar)</t>
        </is>
      </c>
      <c r="E87" s="20">
        <f>IF($E$40=0,"inalcanzable con estos supuestos",$C$85/$E$40*$E$77)</f>
        <v/>
      </c>
      <c r="F87" s="20">
        <f>'Modelo'!$C$61</f>
        <v/>
      </c>
      <c r="G87" s="20">
        <f>IF(AND(ISNUMBER(E87),ISNUMBER(F87)),E87-F87,"")</f>
        <v/>
      </c>
      <c r="H87" s="5" t="inlineStr">
        <is>
          <t>Lo mismo, al costo objetivo.</t>
        </is>
      </c>
    </row>
    <row r="88">
      <c r="B88" s="7" t="inlineStr">
        <is>
          <t>Ganancia por paso (las dos caras de cada número)</t>
        </is>
      </c>
      <c r="C88" s="8" t="n"/>
      <c r="D88" s="8" t="n"/>
      <c r="E88" s="8" t="n"/>
      <c r="F88" s="8" t="n"/>
      <c r="G88" s="8" t="n"/>
      <c r="H88" s="8" t="n"/>
    </row>
    <row r="89">
      <c r="B89" s="4" t="inlineStr">
        <is>
          <t>Cash neto por comprador (AOV neto)</t>
        </is>
      </c>
      <c r="E89" s="13">
        <f>IF($E$39=0,0,($E$63-$E$65)/$E$39)</f>
        <v/>
      </c>
      <c r="F89" s="18">
        <f>'Modelo'!$C$63</f>
        <v/>
      </c>
      <c r="G89" s="18">
        <f>IF(AND(ISNUMBER(E89),ISNUMBER(F89)),E89-F89,"")</f>
        <v/>
      </c>
      <c r="H89" s="5" t="inlineStr">
        <is>
          <t>Lo que deja cada comprador después de comisiones, reembolsos y costos por unidad. Su par es el CPA.</t>
        </is>
      </c>
    </row>
    <row r="90">
      <c r="B90" s="4" t="inlineStr">
        <is>
          <t>Ganancia por visita</t>
        </is>
      </c>
      <c r="E90" s="13">
        <f>IF($E$9=0,0,$E$67/$E$9)</f>
        <v/>
      </c>
      <c r="F90" s="18">
        <f>'Modelo'!$C$64</f>
        <v/>
      </c>
      <c r="G90" s="18">
        <f>IF(AND(ISNUMBER(E90),ISNUMBER(F90)),E90-F90,"")</f>
        <v/>
      </c>
      <c r="H90" s="5" t="inlineStr">
        <is>
          <t>Ganancia del período ÷ visitas a la página de ventas. La métrica más valiosa: resume todo lo que pasa después. Su par es el costo por visita.</t>
        </is>
      </c>
    </row>
    <row r="91">
      <c r="B91" s="4" t="inlineStr">
        <is>
          <t>Ganancia por entrada</t>
        </is>
      </c>
      <c r="E91" s="13">
        <f>IF($E$12=0,0,$E$67/$E$12)</f>
        <v/>
      </c>
      <c r="F91" s="18">
        <f>'Modelo'!$C$65</f>
        <v/>
      </c>
      <c r="G91" s="18">
        <f>IF(AND(ISNUMBER(E91),ISNUMBER(F91)),E91-F91,"")</f>
        <v/>
      </c>
      <c r="H91" s="5" t="inlineStr">
        <is>
          <t>Ganancia del período ÷ entradas. Su par es el costo por entrada.</t>
        </is>
      </c>
    </row>
    <row r="92">
      <c r="B92" t="inlineStr">
        <is>
          <t>Ganancia por asistente en vivo</t>
        </is>
      </c>
      <c r="E92" s="18">
        <f>IF($E$26=0,0,$E$67/$E$26)</f>
        <v/>
      </c>
      <c r="F92" s="18">
        <f>'Modelo'!$C$66</f>
        <v/>
      </c>
      <c r="G92" s="18">
        <f>IF(AND(ISNUMBER(E92),ISNUMBER(F92)),E92-F92,"")</f>
        <v/>
      </c>
      <c r="H92" s="5" t="inlineStr">
        <is>
          <t>Ganancia del período ÷ asistente en vivos. Su par es el costo por asistente en vivo.</t>
        </is>
      </c>
    </row>
    <row r="93">
      <c r="B93" t="inlineStr">
        <is>
          <t>Ganancia por solicitud</t>
        </is>
      </c>
      <c r="E93" s="18">
        <f>IF($E$35=0,0,$E$67/$E$35)</f>
        <v/>
      </c>
      <c r="F93" s="18">
        <f>'Modelo'!$C$67</f>
        <v/>
      </c>
      <c r="G93" s="18">
        <f>IF(AND(ISNUMBER(E93),ISNUMBER(F93)),E93-F93,"")</f>
        <v/>
      </c>
      <c r="H93" s="5" t="inlineStr">
        <is>
          <t>Ganancia del período ÷ solicituds. Su par es el costo por solicitud.</t>
        </is>
      </c>
    </row>
    <row r="94">
      <c r="B94" s="4" t="inlineStr">
        <is>
          <t>Ganancia por cliente</t>
        </is>
      </c>
      <c r="E94" s="13">
        <f>IF($E$39=0,0,$E$67/$E$39)</f>
        <v/>
      </c>
      <c r="F94" s="18">
        <f>'Modelo'!$C$68</f>
        <v/>
      </c>
      <c r="G94" s="18">
        <f>IF(AND(ISNUMBER(E94),ISNUMBER(F94)),E94-F94,"")</f>
        <v/>
      </c>
      <c r="H94" s="5" t="inlineStr">
        <is>
          <t>Ganancia del período ÷ compradores de la oferta. Su par es el costo por comprador.</t>
        </is>
      </c>
    </row>
    <row r="96" ht="30" customHeight="1">
      <c r="B96" s="5" t="inlineStr">
        <is>
          <t>Cómo se lee: cambiá una celda amarilla (por ejemplo el CPM, el CTR, la conversión de la landing, el show, el cierre o el precio) y mirá cómo se mueven la cantidad de cada paso, el costo por paso, el facturado, el cash neto, la ganancia, el ROAS, el techo y el semáforo.</t>
        </is>
      </c>
    </row>
    <row r="97" ht="30" customHeight="1">
      <c r="B97" s="5" t="inlineStr">
        <is>
          <t>Una variable por vez: si cambiás tres cosas no sabés cuál movió el resultado. La columna Diferencia te muestra exactamente cuánto cambió cada número contra la base.</t>
        </is>
      </c>
    </row>
    <row r="98" ht="30" customHeight="1">
      <c r="B98" s="5" t="inlineStr">
        <is>
          <t>El Simulador no modifica Supuestos ni Modelo: es tu mesa de pruebas. Cuando una prueba te convence, pasá ese número a Supuestos.</t>
        </is>
      </c>
    </row>
  </sheetData>
  <mergeCells count="3">
    <mergeCell ref="B97:H97"/>
    <mergeCell ref="B98:H98"/>
    <mergeCell ref="B96:H96"/>
  </mergeCells>
  <conditionalFormatting sqref="C6:C94">
    <cfRule type="expression" priority="1" dxfId="3">
      <formula>AND(ISNUMBER(C6),C6&lt;&gt;D6)</formula>
    </cfRule>
  </conditionalFormatting>
  <conditionalFormatting sqref="E72:F72">
    <cfRule type="expression" priority="2" dxfId="0">
      <formula>LEFT(E72,5)="VERDE"</formula>
    </cfRule>
    <cfRule type="expression" priority="3" dxfId="1">
      <formula>LEFT(E72,8)="AMARILLO"</formula>
    </cfRule>
    <cfRule type="expression" priority="4" dxfId="2">
      <formula>LEFT(E72,4)="ROJO"</formula>
    </cfRule>
  </conditionalFormatting>
  <conditionalFormatting sqref="E84:F84">
    <cfRule type="expression" priority="5" dxfId="0">
      <formula>LEFT(E84,5)="VERDE"</formula>
    </cfRule>
    <cfRule type="expression" priority="6" dxfId="1">
      <formula>LEFT(E84,8)="AMARILLO"</formula>
    </cfRule>
    <cfRule type="expression" priority="7" dxfId="2">
      <formula>LEFT(E84,4)="ROJO"</formula>
    </cfRule>
  </conditionalFormatting>
  <pageMargins left="0.75" right="0.75" top="1" bottom="1" header="0.5" footer="0.5"/>
  <headerFooter>
    <oddHeader>&amp;CJesús Tassarolo · TooAudience&amp;R&amp;D</oddHeader>
    <oddFooter>&amp;LModelo financiero de embudos · creado por Jesús Tassarolo · TooAudience · youtube.com/@JesusTassaroloSinFiltro&amp;C&amp;7 Modelo financiero de embudos · creado por Jesús Tassarolo · TooAudience · youtube.com/@JesusTassaroloSinFiltro&amp;RPágina &amp;P de &amp;N</oddFooter>
    <evenHeader>&amp;CJesús Tassarolo · TooAudience</evenHeader>
    <evenFooter>&amp;LModelo financiero de embudos · creado por Jesús Tassarolo · TooAudience · youtube.com/@JesusTassaroloSinFiltro&amp;C&amp;7 Modelo financiero de embudos · creado por Jesús Tassarolo · TooAudience · youtube.com/@JesusTassaroloSinFiltro&amp;RPágina &amp;P de &amp;N</evenFooter>
    <firstHeader/>
    <firstFooter/>
  </headerFooter>
</worksheet>
</file>

<file path=xl/worksheets/sheet4.xml><?xml version="1.0" encoding="utf-8"?>
<worksheet xmlns="http://schemas.openxmlformats.org/spreadsheetml/2006/main">
  <sheetPr>
    <outlinePr summaryBelow="1" summaryRight="1"/>
    <pageSetUpPr/>
  </sheetPr>
  <dimension ref="A1:I2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 customWidth="1" min="1" max="1"/>
    <col width="46" customWidth="1" min="2" max="2"/>
    <col width="13" customWidth="1" min="3" max="3"/>
    <col width="13" customWidth="1" min="4" max="4"/>
    <col width="13" customWidth="1" min="5" max="5"/>
    <col width="15" customWidth="1" min="6" max="6"/>
    <col width="15" customWidth="1" min="7" max="7"/>
    <col width="15" customWidth="1" min="8" max="8"/>
    <col width="50" customWidth="1" min="9" max="9"/>
  </cols>
  <sheetData>
    <row r="1">
      <c r="B1" s="1" t="inlineStr">
        <is>
          <t>© Jesús Tassarolo · TooAudience · youtube.com/@JesusTassaroloSinFiltro · uso personal; no redistribuir modificado</t>
        </is>
      </c>
    </row>
    <row r="2">
      <c r="B2" s="2" t="inlineStr">
        <is>
          <t>Embudo: todos los pasos, cuántos pasan y, por cada uno, qué pagás, qué te queda y hasta cuánto podrías pagar</t>
        </is>
      </c>
    </row>
    <row r="3">
      <c r="B3" s="3" t="inlineStr">
        <is>
          <t>Cada fila es un paso del embudo en orden. '% que pasa' compara con el paso anterior (o con el que dice la nota). Tres números por paso: lo que pagás hoy por cada uno (inversión ÷ cantidad), lo que te queda por cada uno (ganancia ÷ cantidad) y lo máximo que podrías pagar (el techo: lo que cada uno genera en cash neto). Techo = costo + ganancia + fijos repartidos.</t>
        </is>
      </c>
    </row>
    <row r="5">
      <c r="B5" s="6" t="inlineStr">
        <is>
          <t>Paso</t>
        </is>
      </c>
      <c r="C5" s="6" t="inlineStr">
        <is>
          <t>Cantidad</t>
        </is>
      </c>
      <c r="D5" s="6" t="inlineStr">
        <is>
          <t>% que pasa</t>
        </is>
      </c>
      <c r="E5" s="6" t="inlineStr">
        <is>
          <t>% acumulado</t>
        </is>
      </c>
      <c r="F5" s="6" t="inlineStr">
        <is>
          <t>Costo por paso (pagás hoy)</t>
        </is>
      </c>
      <c r="G5" s="6" t="inlineStr">
        <is>
          <t>Ganancia por paso (te queda)</t>
        </is>
      </c>
      <c r="H5" s="6" t="inlineStr">
        <is>
          <t>Techo por paso (máximo a pagar)</t>
        </is>
      </c>
      <c r="I5" s="6" t="inlineStr">
        <is>
          <t>Qué se paga acá / cómo se lee</t>
        </is>
      </c>
    </row>
    <row r="6">
      <c r="B6" t="inlineStr">
        <is>
          <t>Visitas a la página de ventas de la entrada</t>
        </is>
      </c>
      <c r="C6" s="21">
        <f>'Modelo'!$C$7</f>
        <v/>
      </c>
      <c r="D6" t="inlineStr">
        <is>
          <t>—</t>
        </is>
      </c>
      <c r="E6" t="inlineStr">
        <is>
          <t>—</t>
        </is>
      </c>
      <c r="F6" s="13">
        <f>IF('Modelo'!$C$7=0,0,'Supuestos'!$C$8*1/'Modelo'!$C$7)</f>
        <v/>
      </c>
      <c r="G6" s="13">
        <f>IF('Modelo'!$C$7=0,0,'Modelo'!$C$44*1/'Modelo'!$C$7)</f>
        <v/>
      </c>
      <c r="H6" s="13">
        <f>IF('Modelo'!$C$7=0,0,'Modelo'!$C$50*'Modelo'!$C$9*1/'Modelo'!$C$7)</f>
        <v/>
      </c>
      <c r="I6" s="5" t="inlineStr">
        <is>
          <t>Costo por visita.</t>
        </is>
      </c>
    </row>
    <row r="7">
      <c r="B7" s="4" t="inlineStr">
        <is>
          <t>Compran la entrada</t>
        </is>
      </c>
      <c r="C7" s="21">
        <f>'Modelo'!$C$9</f>
        <v/>
      </c>
      <c r="D7" s="23">
        <f>IF('Modelo'!$C$7=0,0,'Modelo'!$C$9/'Modelo'!$C$7)</f>
        <v/>
      </c>
      <c r="E7" s="26">
        <f>IF('Modelo'!$C$9=0,0,'Modelo'!$C$9/'Modelo'!$C$9)</f>
        <v/>
      </c>
      <c r="F7" s="13">
        <f>IF('Modelo'!$C$9=0,0,'Supuestos'!$C$8*1/'Modelo'!$C$9)</f>
        <v/>
      </c>
      <c r="G7" s="13">
        <f>IF('Modelo'!$C$9=0,0,'Modelo'!$C$44*1/'Modelo'!$C$9)</f>
        <v/>
      </c>
      <c r="H7" s="13">
        <f>IF('Modelo'!$C$9=0,0,'Modelo'!$C$50*'Modelo'!$C$9*1/'Modelo'!$C$9)</f>
        <v/>
      </c>
      <c r="I7" s="5" t="inlineStr">
        <is>
          <t>Costo por entrada. La unidad de este embudo: acá los leads ya son compradores.</t>
        </is>
      </c>
    </row>
    <row r="8">
      <c r="B8" t="inlineStr">
        <is>
          <t>Toman el bump de la entrada</t>
        </is>
      </c>
      <c r="C8" s="21">
        <f>'Modelo'!$C$11</f>
        <v/>
      </c>
      <c r="D8" s="23">
        <f>IF('Modelo'!$C$9=0,0,'Modelo'!$C$11/'Modelo'!$C$9)</f>
        <v/>
      </c>
      <c r="E8" s="26">
        <f>IF('Modelo'!$C$9=0,0,'Modelo'!$C$11/'Modelo'!$C$9)</f>
        <v/>
      </c>
      <c r="F8" t="inlineStr">
        <is>
          <t>sin costo propio</t>
        </is>
      </c>
      <c r="G8" t="inlineStr">
        <is>
          <t>—</t>
        </is>
      </c>
      <c r="H8" t="inlineStr">
        <is>
          <t>—</t>
        </is>
      </c>
      <c r="I8" s="5" t="inlineStr">
        <is>
          <t>Sobre compradores de entrada. Suma al ROAS del front.</t>
        </is>
      </c>
    </row>
    <row r="9">
      <c r="B9" t="inlineStr">
        <is>
          <t>Entran al grupo de WhatsApp</t>
        </is>
      </c>
      <c r="C9" s="21">
        <f>'Modelo'!$C$16</f>
        <v/>
      </c>
      <c r="D9" s="23">
        <f>IF('Modelo'!$C$9=0,0,'Modelo'!$C$16/'Modelo'!$C$9)</f>
        <v/>
      </c>
      <c r="E9" s="26">
        <f>IF('Modelo'!$C$9=0,0,'Modelo'!$C$16/'Modelo'!$C$9)</f>
        <v/>
      </c>
      <c r="F9" s="13">
        <f>IF('Modelo'!$C$16=0,0,'Supuestos'!$C$8*1/'Modelo'!$C$16)</f>
        <v/>
      </c>
      <c r="G9" s="13">
        <f>IF('Modelo'!$C$16=0,0,'Modelo'!$C$44*1/'Modelo'!$C$16)</f>
        <v/>
      </c>
      <c r="H9" s="13">
        <f>IF('Modelo'!$C$16=0,0,'Modelo'!$C$50*'Modelo'!$C$9*1/'Modelo'!$C$16)</f>
        <v/>
      </c>
      <c r="I9" s="5" t="inlineStr">
        <is>
          <t>Costo por persona en el grupo.</t>
        </is>
      </c>
    </row>
    <row r="10">
      <c r="B10" s="4" t="inlineStr">
        <is>
          <t>Asisten en vivo</t>
        </is>
      </c>
      <c r="C10" s="21">
        <f>'Modelo'!$C$18</f>
        <v/>
      </c>
      <c r="D10" s="23">
        <f>IF('Modelo'!$C$9=0,0,'Modelo'!$C$18/'Modelo'!$C$9)</f>
        <v/>
      </c>
      <c r="E10" s="26">
        <f>IF('Modelo'!$C$9=0,0,'Modelo'!$C$18/'Modelo'!$C$9)</f>
        <v/>
      </c>
      <c r="F10" s="13">
        <f>IF('Modelo'!$C$18=0,0,'Supuestos'!$C$8*1/'Modelo'!$C$18)</f>
        <v/>
      </c>
      <c r="G10" s="13">
        <f>IF('Modelo'!$C$18=0,0,'Modelo'!$C$44*1/'Modelo'!$C$18)</f>
        <v/>
      </c>
      <c r="H10" s="13">
        <f>IF('Modelo'!$C$18=0,0,'Modelo'!$C$50*'Modelo'!$C$9*1/'Modelo'!$C$18)</f>
        <v/>
      </c>
      <c r="I10" s="5" t="inlineStr">
        <is>
          <t>Costo por asistente en vivo. Sobre compradores de entrada.</t>
        </is>
      </c>
    </row>
    <row r="11">
      <c r="B11" t="inlineStr">
        <is>
          <t>Ven el replay</t>
        </is>
      </c>
      <c r="C11" s="21">
        <f>'Modelo'!$C$19</f>
        <v/>
      </c>
      <c r="D11" s="23">
        <f>IF('Modelo'!$C$9=0,0,'Modelo'!$C$19/'Modelo'!$C$9)</f>
        <v/>
      </c>
      <c r="E11" s="26">
        <f>IF('Modelo'!$C$9=0,0,'Modelo'!$C$19/'Modelo'!$C$9)</f>
        <v/>
      </c>
      <c r="F11" s="13">
        <f>IF('Modelo'!$C$19=0,0,'Supuestos'!$C$8*1/'Modelo'!$C$19)</f>
        <v/>
      </c>
      <c r="G11" s="13">
        <f>IF('Modelo'!$C$19=0,0,'Modelo'!$C$44*1/'Modelo'!$C$19)</f>
        <v/>
      </c>
      <c r="H11" s="13">
        <f>IF('Modelo'!$C$19=0,0,'Modelo'!$C$50*'Modelo'!$C$9*1/'Modelo'!$C$19)</f>
        <v/>
      </c>
      <c r="I11" s="5" t="inlineStr">
        <is>
          <t>Sobre compradores de entrada.</t>
        </is>
      </c>
    </row>
    <row r="12">
      <c r="B12" t="inlineStr">
        <is>
          <t>Solicitan, de los que estuvieron en vivo</t>
        </is>
      </c>
      <c r="C12" s="21">
        <f>'Modelo'!$C$22</f>
        <v/>
      </c>
      <c r="D12" s="23">
        <f>IF('Modelo'!$C$18=0,0,'Modelo'!$C$22/'Modelo'!$C$18)</f>
        <v/>
      </c>
      <c r="E12" s="26">
        <f>IF('Modelo'!$C$9=0,0,'Modelo'!$C$22/'Modelo'!$C$9)</f>
        <v/>
      </c>
      <c r="F12" s="13">
        <f>IF('Modelo'!$C$22=0,0,'Supuestos'!$C$8*1/'Modelo'!$C$22)</f>
        <v/>
      </c>
      <c r="G12" s="13">
        <f>IF('Modelo'!$C$22=0,0,'Modelo'!$C$44*1/'Modelo'!$C$22)</f>
        <v/>
      </c>
      <c r="H12" s="13">
        <f>IF('Modelo'!$C$22=0,0,'Modelo'!$C$50*'Modelo'!$C$9*1/'Modelo'!$C$22)</f>
        <v/>
      </c>
      <c r="I12" s="5" t="inlineStr">
        <is>
          <t>Formulario de compra, aplicación o vendedor. Sobre asistentes en vivo.</t>
        </is>
      </c>
    </row>
    <row r="13">
      <c r="B13" t="inlineStr">
        <is>
          <t>Solicitan, de los que vieron el replay</t>
        </is>
      </c>
      <c r="C13" s="21">
        <f>'Modelo'!$C$23</f>
        <v/>
      </c>
      <c r="D13" s="23">
        <f>IF('Modelo'!$C$19=0,0,'Modelo'!$C$23/'Modelo'!$C$19)</f>
        <v/>
      </c>
      <c r="E13" s="26">
        <f>IF('Modelo'!$C$9=0,0,'Modelo'!$C$23/'Modelo'!$C$9)</f>
        <v/>
      </c>
      <c r="F13" s="13">
        <f>IF('Modelo'!$C$23=0,0,'Supuestos'!$C$8*1/'Modelo'!$C$23)</f>
        <v/>
      </c>
      <c r="G13" s="13">
        <f>IF('Modelo'!$C$23=0,0,'Modelo'!$C$44*1/'Modelo'!$C$23)</f>
        <v/>
      </c>
      <c r="H13" s="13">
        <f>IF('Modelo'!$C$23=0,0,'Modelo'!$C$50*'Modelo'!$C$9*1/'Modelo'!$C$23)</f>
        <v/>
      </c>
      <c r="I13" s="5" t="inlineStr">
        <is>
          <t>Sobre los que vieron el replay.</t>
        </is>
      </c>
    </row>
    <row r="14">
      <c r="B14" s="4" t="inlineStr">
        <is>
          <t>Solicitudes (total)</t>
        </is>
      </c>
      <c r="C14" s="21">
        <f>'Modelo'!$C$24</f>
        <v/>
      </c>
      <c r="D14" s="23">
        <f>IF('Modelo'!$C$9=0,0,'Modelo'!$C$24/'Modelo'!$C$9)</f>
        <v/>
      </c>
      <c r="E14" s="26">
        <f>IF('Modelo'!$C$9=0,0,'Modelo'!$C$24/'Modelo'!$C$9)</f>
        <v/>
      </c>
      <c r="F14" s="13">
        <f>IF('Modelo'!$C$24=0,0,'Supuestos'!$C$8*1/'Modelo'!$C$24)</f>
        <v/>
      </c>
      <c r="G14" s="13">
        <f>IF('Modelo'!$C$24=0,0,'Modelo'!$C$44*1/'Modelo'!$C$24)</f>
        <v/>
      </c>
      <c r="H14" s="13">
        <f>IF('Modelo'!$C$24=0,0,'Modelo'!$C$50*'Modelo'!$C$9*1/'Modelo'!$C$24)</f>
        <v/>
      </c>
      <c r="I14" s="5" t="inlineStr">
        <is>
          <t>Costo por solicitud. Sobre compradores de entrada.</t>
        </is>
      </c>
    </row>
    <row r="15">
      <c r="B15" s="4" t="inlineStr">
        <is>
          <t>Compran la oferta</t>
        </is>
      </c>
      <c r="C15" s="21">
        <f>'Modelo'!$C$27</f>
        <v/>
      </c>
      <c r="D15" s="23">
        <f>IF('Modelo'!$C$24=0,0,'Modelo'!$C$27/'Modelo'!$C$24)</f>
        <v/>
      </c>
      <c r="E15" s="26">
        <f>IF('Modelo'!$C$9=0,0,'Modelo'!$C$27/'Modelo'!$C$9)</f>
        <v/>
      </c>
      <c r="F15" s="13">
        <f>IF('Modelo'!$C$27=0,0,'Supuestos'!$C$8*1/'Modelo'!$C$27)</f>
        <v/>
      </c>
      <c r="G15" s="13">
        <f>IF('Modelo'!$C$27=0,0,'Modelo'!$C$44*1/'Modelo'!$C$27)</f>
        <v/>
      </c>
      <c r="H15" s="13">
        <f>IF('Modelo'!$C$27=0,0,'Modelo'!$C$50*'Modelo'!$C$9*1/'Modelo'!$C$27)</f>
        <v/>
      </c>
      <c r="I15" s="5" t="inlineStr">
        <is>
          <t>Costo por comprador de la oferta. Sobre solicitudes (cierre).</t>
        </is>
      </c>
    </row>
    <row r="16">
      <c r="B16" t="inlineStr">
        <is>
          <t>Pasan al programa superior</t>
        </is>
      </c>
      <c r="C16" s="21">
        <f>'Modelo'!$C$31</f>
        <v/>
      </c>
      <c r="D16" s="23">
        <f>IF('Modelo'!$C$27=0,0,'Modelo'!$C$31/'Modelo'!$C$27)</f>
        <v/>
      </c>
      <c r="E16" s="26">
        <f>IF('Modelo'!$C$9=0,0,'Modelo'!$C$31/'Modelo'!$C$9)</f>
        <v/>
      </c>
      <c r="F16" t="inlineStr">
        <is>
          <t>sin costo propio</t>
        </is>
      </c>
      <c r="G16" t="inlineStr">
        <is>
          <t>—</t>
        </is>
      </c>
      <c r="H16" t="inlineStr">
        <is>
          <t>—</t>
        </is>
      </c>
      <c r="I16" s="5" t="inlineStr">
        <is>
          <t>Sobre compradores de la oferta.</t>
        </is>
      </c>
    </row>
    <row r="18">
      <c r="B18" s="4" t="inlineStr">
        <is>
          <t>Comprobalo con la fila de la unidad: costo + ganancia + fijos repartidos = techo</t>
        </is>
      </c>
      <c r="F18" s="18">
        <f>F7</f>
        <v/>
      </c>
      <c r="G18" s="18">
        <f>G7</f>
        <v/>
      </c>
      <c r="H18" s="13">
        <f>F7+G7+'Supuestos'!$C$36/'Modelo'!$C$9</f>
        <v/>
      </c>
      <c r="I18" s="5" t="inlineStr">
        <is>
          <t>Techo = costo + ganancia + fijos ÷ unidades. Lo que falta entre (costo + ganancia) y el techo son los costos fijos repartidos entre las unidades.</t>
        </is>
      </c>
    </row>
    <row r="19">
      <c r="B19" s="4" t="inlineStr">
        <is>
          <t>Cómo se lee</t>
        </is>
      </c>
    </row>
    <row r="20" ht="28" customHeight="1">
      <c r="B20" s="5" t="inlineStr">
        <is>
          <t>Cantidad: cuántas acciones o personas hubo en ese paso con los supuestos del escenario en uso.</t>
        </is>
      </c>
    </row>
    <row r="21" ht="28" customHeight="1">
      <c r="B21" s="5" t="inlineStr">
        <is>
          <t>% que pasa: de los que estaban en el paso anterior (o en el paso que indica la nota), cuántos llegan a este. % acumulado: cuántos llegan a este paso por cada 100 unidades que compra la pauta.</t>
        </is>
      </c>
    </row>
    <row r="22" ht="28" customHeight="1">
      <c r="B22" s="5" t="inlineStr">
        <is>
          <t>Costo por paso: inversión ÷ cantidad. Es lo que te está costando hoy cada persona que llega a ese paso.</t>
        </is>
      </c>
    </row>
    <row r="23" ht="28" customHeight="1">
      <c r="B23" s="5" t="inlineStr">
        <is>
          <t>Ganancia por paso: ganancia del período ÷ cantidad. Lo que te queda por cada persona de ese paso después de pagar la pauta, las comisiones, los reembolsos y los fijos. La ganancia por visita es la métrica más valiosa del embudo: resume todo lo que pasa después.</t>
        </is>
      </c>
    </row>
    <row r="24" ht="28" customHeight="1">
      <c r="B24" s="5" t="inlineStr">
        <is>
          <t>Techo por paso: lo que cada persona de ese paso genera en cash neto (cash neto menos costos por unidad, dividido por la cantidad). Es lo máximo que podrías pagar por ese paso antes de que la ganancia llegue a cero, si lo demás se mantiene. Por eso siempre es mayor que la ganancia: techo = costo + ganancia + fijos repartidos.</t>
        </is>
      </c>
    </row>
    <row r="25" ht="28" customHeight="1">
      <c r="B25" s="5" t="inlineStr">
        <is>
          <t>Los bumps, las OTOs y la ascensión no tienen costo propio: se pagan con el CPA del comprador principal y se miden por lo que suman al AOV.</t>
        </is>
      </c>
    </row>
  </sheetData>
  <mergeCells count="6">
    <mergeCell ref="B21:I21"/>
    <mergeCell ref="B25:I25"/>
    <mergeCell ref="B24:I24"/>
    <mergeCell ref="B20:I20"/>
    <mergeCell ref="B22:I22"/>
    <mergeCell ref="B23:I23"/>
  </mergeCells>
  <pageMargins left="0.75" right="0.75" top="1" bottom="1" header="0.5" footer="0.5"/>
  <headerFooter>
    <oddHeader>&amp;CJesús Tassarolo · TooAudience&amp;R&amp;D</oddHeader>
    <oddFooter>&amp;LModelo financiero de embudos · creado por Jesús Tassarolo · TooAudience · youtube.com/@JesusTassaroloSinFiltro&amp;C&amp;7 Modelo financiero de embudos · creado por Jesús Tassarolo · TooAudience · youtube.com/@JesusTassaroloSinFiltro&amp;RPágina &amp;P de &amp;N</oddFooter>
    <evenHeader>&amp;CJesús Tassarolo · TooAudience</evenHeader>
    <evenFooter>&amp;LModelo financiero de embudos · creado por Jesús Tassarolo · TooAudience · youtube.com/@JesusTassaroloSinFiltro&amp;C&amp;7 Modelo financiero de embudos · creado por Jesús Tassarolo · TooAudience · youtube.com/@JesusTassaroloSinFiltro&amp;RPágina &amp;P de &amp;N</evenFooter>
    <firstHeader/>
    <firstFooter/>
  </headerFooter>
</worksheet>
</file>

<file path=xl/worksheets/sheet5.xml><?xml version="1.0" encoding="utf-8"?>
<worksheet xmlns="http://schemas.openxmlformats.org/spreadsheetml/2006/main">
  <sheetPr>
    <outlinePr summaryBelow="1" summaryRight="1"/>
    <pageSetUpPr/>
  </sheetPr>
  <dimension ref="A1:H4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 customWidth="1" min="1" max="1"/>
    <col width="58" customWidth="1" min="2" max="2"/>
    <col width="16" customWidth="1" min="3" max="3"/>
    <col width="14" customWidth="1" min="4" max="4"/>
    <col width="14" customWidth="1" min="5" max="5"/>
    <col width="14" customWidth="1" min="6" max="6"/>
    <col width="12" customWidth="1" min="7" max="7"/>
    <col width="70" customWidth="1" min="8" max="8"/>
  </cols>
  <sheetData>
    <row r="1">
      <c r="B1" s="1" t="inlineStr">
        <is>
          <t>© Jesús Tassarolo · TooAudience · youtube.com/@JesusTassaroloSinFiltro · uso personal; no redistribuir modificado</t>
        </is>
      </c>
    </row>
    <row r="2">
      <c r="B2" s="2" t="inlineStr">
        <is>
          <t>Supuestos</t>
        </is>
      </c>
    </row>
    <row r="3">
      <c r="B3" s="3" t="inlineStr">
        <is>
          <t>Celdas amarillas = las editás vos. Celdas azules = se calculan solas. Cada fila dice en qué unidad va y de dónde sale el valor del ejemplo.</t>
        </is>
      </c>
    </row>
    <row r="5">
      <c r="B5" s="6" t="inlineStr">
        <is>
          <t>Supuesto</t>
        </is>
      </c>
      <c r="C5" s="6" t="inlineStr">
        <is>
          <t>Valor en uso</t>
        </is>
      </c>
      <c r="D5" s="6" t="inlineStr">
        <is>
          <t>Conservador</t>
        </is>
      </c>
      <c r="E5" s="6" t="inlineStr">
        <is>
          <t>Base</t>
        </is>
      </c>
      <c r="F5" s="6" t="inlineStr">
        <is>
          <t>Optimista</t>
        </is>
      </c>
      <c r="G5" s="6" t="inlineStr">
        <is>
          <t>Unidad</t>
        </is>
      </c>
      <c r="H5" s="6" t="inlineStr">
        <is>
          <t>Nota / fuente del ejemplo</t>
        </is>
      </c>
    </row>
    <row r="6">
      <c r="B6" s="4" t="inlineStr">
        <is>
          <t>Escenario en uso (1 = conservador · 2 = base · 3 = optimista)</t>
        </is>
      </c>
      <c r="C6" s="29" t="n">
        <v>2</v>
      </c>
      <c r="G6" t="inlineStr">
        <is>
          <t>1 / 2 / 3</t>
        </is>
      </c>
      <c r="H6" s="5" t="inlineStr">
        <is>
          <t>Cambia todas las filas que tienen tres valores. Si una fila no tiene tres valores, se usa el de 'Valor en uso'.</t>
        </is>
      </c>
    </row>
    <row r="7">
      <c r="B7" s="7" t="inlineStr">
        <is>
          <t>1. Inversión y tráfico</t>
        </is>
      </c>
      <c r="C7" s="8" t="n"/>
      <c r="D7" s="8" t="n"/>
      <c r="E7" s="8" t="n"/>
      <c r="F7" s="8" t="n"/>
      <c r="G7" s="8" t="n"/>
      <c r="H7" s="8" t="n"/>
    </row>
    <row r="8">
      <c r="B8" t="inlineStr">
        <is>
          <t>Inversión en publicidad por lanzamiento</t>
        </is>
      </c>
      <c r="C8" s="19" t="n">
        <v>3000</v>
      </c>
      <c r="G8" t="inlineStr">
        <is>
          <t>USD / lanzamiento</t>
        </is>
      </c>
      <c r="H8" s="5" t="inlineStr">
        <is>
          <t>Un lanzamiento = una tanda de venta de entradas + evento + oferta.</t>
        </is>
      </c>
    </row>
    <row r="9">
      <c r="B9" t="inlineStr">
        <is>
          <t>Lanzamientos por mes (para la proyección)</t>
        </is>
      </c>
      <c r="C9" s="29" t="n">
        <v>2</v>
      </c>
      <c r="G9" t="inlineStr">
        <is>
          <t>lanzamientos / mes</t>
        </is>
      </c>
      <c r="H9" s="5" t="inlineStr">
        <is>
          <t>Cuántos eventos como este hacés por mes. La proyección multiplica inversión, costos fijos y ventas por este número.</t>
        </is>
      </c>
    </row>
    <row r="10">
      <c r="B10" t="inlineStr">
        <is>
          <t>Costo por visita a la página de ventas de la entrada</t>
        </is>
      </c>
      <c r="C10" s="18">
        <f>IF('Supuestos'!$C$6=1,D10,IF('Supuestos'!$C$6=2,E10,F10))</f>
        <v/>
      </c>
      <c r="D10" s="17" t="n">
        <v>0.5</v>
      </c>
      <c r="E10" s="17" t="n">
        <v>0.35</v>
      </c>
      <c r="F10" s="17" t="n">
        <v>0.25</v>
      </c>
      <c r="G10" t="inlineStr">
        <is>
          <t>USD / visita</t>
        </is>
      </c>
      <c r="H10" s="5" t="inlineStr">
        <is>
          <t>Lo que pagás por cada persona que llega a la página.</t>
        </is>
      </c>
    </row>
    <row r="12">
      <c r="B12" s="7" t="inlineStr">
        <is>
          <t>2. Entrada y bump</t>
        </is>
      </c>
      <c r="C12" s="8" t="n"/>
      <c r="D12" s="8" t="n"/>
      <c r="E12" s="8" t="n"/>
      <c r="F12" s="8" t="n"/>
      <c r="G12" s="8" t="n"/>
      <c r="H12" s="8" t="n"/>
    </row>
    <row r="13">
      <c r="B13" t="inlineStr">
        <is>
          <t>% de visitas que compran la entrada</t>
        </is>
      </c>
      <c r="C13" s="23">
        <f>IF('Supuestos'!$C$6=1,D13,IF('Supuestos'!$C$6=2,E13,F13))</f>
        <v/>
      </c>
      <c r="D13" s="22" t="n">
        <v>0.015</v>
      </c>
      <c r="E13" s="22" t="n">
        <v>0.025</v>
      </c>
      <c r="F13" s="22" t="n">
        <v>0.035</v>
      </c>
      <c r="G13" t="inlineStr">
        <is>
          <t>%</t>
        </is>
      </c>
      <c r="H13" s="5" t="inlineStr">
        <is>
          <t>Página de ventas de un producto de 5 a 15 USD.</t>
        </is>
      </c>
    </row>
    <row r="14">
      <c r="B14" t="inlineStr">
        <is>
          <t>Precio promedio cobrado por entrada</t>
        </is>
      </c>
      <c r="C14" s="17" t="n">
        <v>9</v>
      </c>
      <c r="G14" t="inlineStr">
        <is>
          <t>USD</t>
        </is>
      </c>
      <c r="H14" s="5" t="inlineStr">
        <is>
          <t>Si escalonás el precio (5 → 10 → 15), poné el promedio que cobrás.</t>
        </is>
      </c>
    </row>
    <row r="15">
      <c r="B15" t="inlineStr">
        <is>
          <t>Bump en el checkout de la entrada: precio</t>
        </is>
      </c>
      <c r="C15" s="17" t="n">
        <v>27</v>
      </c>
      <c r="G15" t="inlineStr">
        <is>
          <t>USD</t>
        </is>
      </c>
      <c r="H15" s="5" t="inlineStr">
        <is>
          <t>Grabaciones, plantillas, acceso extendido.</t>
        </is>
      </c>
    </row>
    <row r="16">
      <c r="B16" t="inlineStr">
        <is>
          <t>Bump: % de compradores de entrada que lo toman</t>
        </is>
      </c>
      <c r="C16" s="23">
        <f>IF('Supuestos'!$C$6=1,D16,IF('Supuestos'!$C$6=2,E16,F16))</f>
        <v/>
      </c>
      <c r="D16" s="22" t="n">
        <v>0.12</v>
      </c>
      <c r="E16" s="22" t="n">
        <v>0.2</v>
      </c>
      <c r="F16" s="22" t="n">
        <v>0.3</v>
      </c>
      <c r="G16" t="inlineStr">
        <is>
          <t>%</t>
        </is>
      </c>
      <c r="H16" s="5" t="inlineStr"/>
    </row>
    <row r="18">
      <c r="B18" s="7" t="inlineStr">
        <is>
          <t>3. Grupo y asistencia (sobre compradores de entrada)</t>
        </is>
      </c>
      <c r="C18" s="8" t="n"/>
      <c r="D18" s="8" t="n"/>
      <c r="E18" s="8" t="n"/>
      <c r="F18" s="8" t="n"/>
      <c r="G18" s="8" t="n"/>
      <c r="H18" s="8" t="n"/>
    </row>
    <row r="19">
      <c r="B19" t="inlineStr">
        <is>
          <t>% que entra al grupo de WhatsApp</t>
        </is>
      </c>
      <c r="C19" s="23">
        <f>IF('Supuestos'!$C$6=1,D19,IF('Supuestos'!$C$6=2,E19,F19))</f>
        <v/>
      </c>
      <c r="D19" s="22" t="n">
        <v>0.7</v>
      </c>
      <c r="E19" s="22" t="n">
        <v>0.85</v>
      </c>
      <c r="F19" s="22" t="n">
        <v>0.95</v>
      </c>
      <c r="G19" t="inlineStr">
        <is>
          <t>%</t>
        </is>
      </c>
      <c r="H19" s="5" t="inlineStr">
        <is>
          <t>Pagaron: entran casi todos.</t>
        </is>
      </c>
    </row>
    <row r="20">
      <c r="B20" t="inlineStr">
        <is>
          <t>% que asiste en vivo</t>
        </is>
      </c>
      <c r="C20" s="23">
        <f>IF('Supuestos'!$C$6=1,D20,IF('Supuestos'!$C$6=2,E20,F20))</f>
        <v/>
      </c>
      <c r="D20" s="22" t="n">
        <v>0.4</v>
      </c>
      <c r="E20" s="22" t="n">
        <v>0.55</v>
      </c>
      <c r="F20" s="22" t="n">
        <v>0.65</v>
      </c>
      <c r="G20" t="inlineStr">
        <is>
          <t>%</t>
        </is>
      </c>
      <c r="H20" s="5" t="inlineStr">
        <is>
          <t>Mucho más alto que en gratuito.</t>
        </is>
      </c>
    </row>
    <row r="21">
      <c r="B21" t="inlineStr">
        <is>
          <t>% que ve el replay (sin contar los que fueron en vivo)</t>
        </is>
      </c>
      <c r="C21" s="23">
        <f>IF('Supuestos'!$C$6=1,D21,IF('Supuestos'!$C$6=2,E21,F21))</f>
        <v/>
      </c>
      <c r="D21" s="22" t="n">
        <v>0.15</v>
      </c>
      <c r="E21" s="22" t="n">
        <v>0.25</v>
      </c>
      <c r="F21" s="22" t="n">
        <v>0.3</v>
      </c>
      <c r="G21" t="inlineStr">
        <is>
          <t>%</t>
        </is>
      </c>
      <c r="H21" s="5" t="inlineStr"/>
    </row>
    <row r="23">
      <c r="B23" s="7" t="inlineStr">
        <is>
          <t>4. Oferta del evento y programa superior</t>
        </is>
      </c>
      <c r="C23" s="8" t="n"/>
      <c r="D23" s="8" t="n"/>
      <c r="E23" s="8" t="n"/>
      <c r="F23" s="8" t="n"/>
      <c r="G23" s="8" t="n"/>
      <c r="H23" s="8" t="n"/>
    </row>
    <row r="24">
      <c r="B24" t="inlineStr">
        <is>
          <t>Oferta principal: precio</t>
        </is>
      </c>
      <c r="C24" s="17" t="n">
        <v>497</v>
      </c>
      <c r="G24" t="inlineStr">
        <is>
          <t>USD</t>
        </is>
      </c>
      <c r="H24" s="5" t="inlineStr">
        <is>
          <t>Lo que se presenta al final del evento.</t>
        </is>
      </c>
    </row>
    <row r="25">
      <c r="B25" t="inlineStr">
        <is>
          <t>% de asistentes en vivo que solicitan (formulario de compra, de aplicación o hablar con un vendedor)</t>
        </is>
      </c>
      <c r="C25" s="23">
        <f>IF('Supuestos'!$C$6=1,D25,IF('Supuestos'!$C$6=2,E25,F25))</f>
        <v/>
      </c>
      <c r="D25" s="22" t="n">
        <v>0.1</v>
      </c>
      <c r="E25" s="22" t="n">
        <v>0.16</v>
      </c>
      <c r="F25" s="22" t="n">
        <v>0.22</v>
      </c>
      <c r="G25" t="inlineStr">
        <is>
          <t>%</t>
        </is>
      </c>
      <c r="H25" s="5" t="inlineStr">
        <is>
          <t>Público que pagó por estar: solicita más que en un webinar gratuito.</t>
        </is>
      </c>
    </row>
    <row r="26">
      <c r="B26" t="inlineStr">
        <is>
          <t>% de los que ven el replay que solicitan</t>
        </is>
      </c>
      <c r="C26" s="23">
        <f>IF('Supuestos'!$C$6=1,D26,IF('Supuestos'!$C$6=2,E26,F26))</f>
        <v/>
      </c>
      <c r="D26" s="22" t="n">
        <v>0.02</v>
      </c>
      <c r="E26" s="22" t="n">
        <v>0.04</v>
      </c>
      <c r="F26" s="22" t="n">
        <v>0.06</v>
      </c>
      <c r="G26" t="inlineStr">
        <is>
          <t>%</t>
        </is>
      </c>
      <c r="H26" s="5" t="inlineStr"/>
    </row>
    <row r="27">
      <c r="B27" t="inlineStr">
        <is>
          <t>% de solicitudes que terminan en compra</t>
        </is>
      </c>
      <c r="C27" s="23">
        <f>IF('Supuestos'!$C$6=1,D27,IF('Supuestos'!$C$6=2,E27,F27))</f>
        <v/>
      </c>
      <c r="D27" s="22" t="n">
        <v>0.4</v>
      </c>
      <c r="E27" s="22" t="n">
        <v>0.5</v>
      </c>
      <c r="F27" s="22" t="n">
        <v>0.6</v>
      </c>
      <c r="G27" t="inlineStr">
        <is>
          <t>%</t>
        </is>
      </c>
      <c r="H27" s="5" t="inlineStr">
        <is>
          <t>Con compra directa en el formulario suele ser alto; con vendedor, 40 a 60 %.</t>
        </is>
      </c>
    </row>
    <row r="28">
      <c r="B28" t="inlineStr">
        <is>
          <t>Programa superior: precio</t>
        </is>
      </c>
      <c r="C28" s="17" t="n">
        <v>1997</v>
      </c>
      <c r="G28" t="inlineStr">
        <is>
          <t>USD</t>
        </is>
      </c>
      <c r="H28" s="5" t="inlineStr">
        <is>
          <t>Por llamada o por ascenso.</t>
        </is>
      </c>
    </row>
    <row r="29">
      <c r="B29" t="inlineStr">
        <is>
          <t>Programa superior: % de compradores de la oferta que lo toman</t>
        </is>
      </c>
      <c r="C29" s="23">
        <f>IF('Supuestos'!$C$6=1,D29,IF('Supuestos'!$C$6=2,E29,F29))</f>
        <v/>
      </c>
      <c r="D29" s="22" t="n">
        <v>0.05</v>
      </c>
      <c r="E29" s="22" t="n">
        <v>0.1</v>
      </c>
      <c r="F29" s="22" t="n">
        <v>0.15</v>
      </c>
      <c r="G29" t="inlineStr">
        <is>
          <t>%</t>
        </is>
      </c>
      <c r="H29" s="5" t="inlineStr"/>
    </row>
    <row r="31">
      <c r="B31" s="7" t="inlineStr">
        <is>
          <t>5. Costos</t>
        </is>
      </c>
      <c r="C31" s="8" t="n"/>
      <c r="D31" s="8" t="n"/>
      <c r="E31" s="8" t="n"/>
      <c r="F31" s="8" t="n"/>
      <c r="G31" s="8" t="n"/>
      <c r="H31" s="8" t="n"/>
    </row>
    <row r="32">
      <c r="B32" t="inlineStr">
        <is>
          <t>Comisión de la pasarela o plataforma de pago</t>
        </is>
      </c>
      <c r="C32" s="22" t="n">
        <v>0.08</v>
      </c>
      <c r="G32" t="inlineStr">
        <is>
          <t>% del cash</t>
        </is>
      </c>
      <c r="H32" s="5" t="inlineStr">
        <is>
          <t>Hotmart, Stripe, Mercado Pago: lo que se queda la plataforma.</t>
        </is>
      </c>
    </row>
    <row r="33">
      <c r="B33" t="inlineStr">
        <is>
          <t>Comisión del equipo de ventas</t>
        </is>
      </c>
      <c r="C33" s="22" t="n">
        <v>0</v>
      </c>
      <c r="G33" t="inlineStr">
        <is>
          <t>% del cash</t>
        </is>
      </c>
      <c r="H33" s="5" t="inlineStr">
        <is>
          <t>Sobre el cash cobrado. Si el programa superior se vende por llamada, poné acá la comisión del closer.</t>
        </is>
      </c>
    </row>
    <row r="34">
      <c r="B34" t="inlineStr">
        <is>
          <t>Reembolsos y contracargos</t>
        </is>
      </c>
      <c r="C34" s="22" t="n">
        <v>0.05</v>
      </c>
      <c r="G34" t="inlineStr">
        <is>
          <t>% del cash</t>
        </is>
      </c>
      <c r="H34" s="5" t="inlineStr">
        <is>
          <t>5 % es normal en productos digitales. Más de 10 % es un problema de oferta o de expectativa.</t>
        </is>
      </c>
    </row>
    <row r="35">
      <c r="B35" t="inlineStr">
        <is>
          <t>Costos por entrada (herramientas, WhatsApp, IA)</t>
        </is>
      </c>
      <c r="C35" s="17" t="n">
        <v>0.3</v>
      </c>
      <c r="G35" t="inlineStr">
        <is>
          <t>USD / entrada</t>
        </is>
      </c>
      <c r="H35" s="5" t="inlineStr">
        <is>
          <t>WhatsApp, soporte, plataforma del evento: lo que pagás por cada entrada.</t>
        </is>
      </c>
    </row>
    <row r="36">
      <c r="B36" t="inlineStr">
        <is>
          <t>Costos fijos por lanzamiento</t>
        </is>
      </c>
      <c r="C36" s="19" t="n">
        <v>800</v>
      </c>
      <c r="G36" t="inlineStr">
        <is>
          <t>USD / lanzamiento</t>
        </is>
      </c>
      <c r="H36" s="5" t="inlineStr">
        <is>
          <t>Equipo, herramientas, edición: lo que pagás aunque no vendas.</t>
        </is>
      </c>
    </row>
    <row r="38">
      <c r="B38" s="7" t="inlineStr">
        <is>
          <t>6. Cobranza</t>
        </is>
      </c>
      <c r="C38" s="8" t="n"/>
      <c r="D38" s="8" t="n"/>
      <c r="E38" s="8" t="n"/>
      <c r="F38" s="8" t="n"/>
      <c r="G38" s="8" t="n"/>
      <c r="H38" s="8" t="n"/>
    </row>
    <row r="39">
      <c r="B39" t="inlineStr">
        <is>
          <t>% del facturado que entra en el mes 1</t>
        </is>
      </c>
      <c r="C39" s="22" t="n">
        <v>0.5</v>
      </c>
      <c r="G39" t="inlineStr">
        <is>
          <t>%</t>
        </is>
      </c>
      <c r="H39" s="5" t="inlineStr">
        <is>
          <t>Se aplica a todo el facturado como promedio ponderado: la entrada se cobra al contado, la oferta y el programa en cuotas. El ejemplo usa 50 / 25 / 25.</t>
        </is>
      </c>
    </row>
    <row r="40">
      <c r="B40" t="inlineStr">
        <is>
          <t>% que entra en el mes 2</t>
        </is>
      </c>
      <c r="C40" s="22" t="n">
        <v>0.25</v>
      </c>
      <c r="G40" t="inlineStr">
        <is>
          <t>%</t>
        </is>
      </c>
      <c r="H40" s="5" t="inlineStr">
        <is>
          <t>Cuotas o pagos diferidos.</t>
        </is>
      </c>
    </row>
    <row r="41">
      <c r="B41" t="inlineStr">
        <is>
          <t>% que entra en el mes 3</t>
        </is>
      </c>
      <c r="C41" s="22" t="n">
        <v>0.25</v>
      </c>
      <c r="G41" t="inlineStr">
        <is>
          <t>%</t>
        </is>
      </c>
      <c r="H41" s="5" t="inlineStr">
        <is>
          <t>Los tres deben sumar 100 %.</t>
        </is>
      </c>
    </row>
    <row r="43">
      <c r="B43" s="7" t="inlineStr">
        <is>
          <t>7. Objetivos y proyección</t>
        </is>
      </c>
      <c r="C43" s="8" t="n"/>
      <c r="D43" s="8" t="n"/>
      <c r="E43" s="8" t="n"/>
      <c r="F43" s="8" t="n"/>
      <c r="G43" s="8" t="n"/>
      <c r="H43" s="8" t="n"/>
    </row>
    <row r="44">
      <c r="B44" t="inlineStr">
        <is>
          <t>ROAS objetivo sobre cash neto</t>
        </is>
      </c>
      <c r="C44" s="27" t="n">
        <v>2</v>
      </c>
      <c r="G44" t="inlineStr">
        <is>
          <t>x</t>
        </is>
      </c>
      <c r="H44" s="5" t="inlineStr">
        <is>
          <t>El retorno mínimo que querés por cada dólar invertido, después de comisiones y reembolsos. Entra en el semáforo: sin llegar a este ROAS no hay verde.</t>
        </is>
      </c>
    </row>
    <row r="45">
      <c r="B45" t="inlineStr">
        <is>
          <t>Margen de seguridad</t>
        </is>
      </c>
      <c r="C45" s="22" t="n">
        <v>0.3</v>
      </c>
      <c r="G45" t="inlineStr">
        <is>
          <t>%</t>
        </is>
      </c>
      <c r="H45" s="5" t="inlineStr">
        <is>
          <t>Colchón entre el techo (donde no ganás ni perdés) y el objetivo. 30 % es el estándar que usamos.</t>
        </is>
      </c>
    </row>
    <row r="46">
      <c r="B46" t="inlineStr">
        <is>
          <t>Meta de ventas del producto principal</t>
        </is>
      </c>
      <c r="C46" s="29" t="n">
        <v>25</v>
      </c>
      <c r="G46" t="inlineStr">
        <is>
          <t>ventas de la oferta / lanzamiento</t>
        </is>
      </c>
      <c r="H46" s="5" t="inlineStr">
        <is>
          <t>Para calcular cuánto invertir.</t>
        </is>
      </c>
    </row>
    <row r="47">
      <c r="B47" t="inlineStr">
        <is>
          <t>Crecimiento de la inversión por mes (proyección)</t>
        </is>
      </c>
      <c r="C47" s="22" t="n">
        <v>0.1</v>
      </c>
      <c r="G47" t="inlineStr">
        <is>
          <t>% / mes</t>
        </is>
      </c>
      <c r="H47" s="5" t="inlineStr">
        <is>
          <t>Cuánto sube la inversión cada mes en la proyección. 10 % por mes es un ritmo prudente; más de 25 % suele encarecer el CPM.</t>
        </is>
      </c>
    </row>
    <row r="48">
      <c r="B48" t="inlineStr">
        <is>
          <t>Caja inicial</t>
        </is>
      </c>
      <c r="C48" s="19" t="n">
        <v>4000</v>
      </c>
      <c r="G48" t="inlineStr">
        <is>
          <t>USD</t>
        </is>
      </c>
      <c r="H48" s="5" t="inlineStr">
        <is>
          <t>Con cuánta plata arrancás. La proyección te dice si alcanza.</t>
        </is>
      </c>
    </row>
  </sheetData>
  <pageMargins left="0.75" right="0.75" top="1" bottom="1" header="0.5" footer="0.5"/>
  <headerFooter>
    <oddHeader>&amp;CJesús Tassarolo · TooAudience&amp;R&amp;D</oddHeader>
    <oddFooter>&amp;LModelo financiero de embudos · creado por Jesús Tassarolo · TooAudience · youtube.com/@JesusTassaroloSinFiltro&amp;C&amp;7 Modelo financiero de embudos · creado por Jesús Tassarolo · TooAudience · youtube.com/@JesusTassaroloSinFiltro&amp;RPágina &amp;P de &amp;N</oddFooter>
    <evenHeader>&amp;CJesús Tassarolo · TooAudience</evenHeader>
    <evenFooter>&amp;LModelo financiero de embudos · creado por Jesús Tassarolo · TooAudience · youtube.com/@JesusTassaroloSinFiltro&amp;C&amp;7 Modelo financiero de embudos · creado por Jesús Tassarolo · TooAudience · youtube.com/@JesusTassaroloSinFiltro&amp;RPágina &amp;P de &amp;N</evenFooter>
    <firstHeader/>
    <firstFooter/>
  </headerFooter>
</worksheet>
</file>

<file path=xl/worksheets/sheet6.xml><?xml version="1.0" encoding="utf-8"?>
<worksheet xmlns="http://schemas.openxmlformats.org/spreadsheetml/2006/main">
  <sheetPr>
    <outlinePr summaryBelow="1" summaryRight="1"/>
    <pageSetUpPr/>
  </sheetPr>
  <dimension ref="A1:D6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 customWidth="1" min="1" max="1"/>
    <col width="60" customWidth="1" min="2" max="2"/>
    <col width="18" customWidth="1" min="3" max="3"/>
    <col width="72" customWidth="1" min="4" max="4"/>
  </cols>
  <sheetData>
    <row r="1">
      <c r="B1" s="1" t="inlineStr">
        <is>
          <t>© Jesús Tassarolo · TooAudience · youtube.com/@JesusTassaroloSinFiltro · uso personal; no redistribuir modificado</t>
        </is>
      </c>
    </row>
    <row r="2">
      <c r="B2" s="2" t="inlineStr">
        <is>
          <t>Modelo: la cadena completa del embudo</t>
        </is>
      </c>
    </row>
    <row r="3">
      <c r="B3" s="3" t="inlineStr">
        <is>
          <t>Cada fila es una etapa o un resultado. No se edita: todo sale de Supuestos. La columna de la derecha dice cómo se calcula.</t>
        </is>
      </c>
    </row>
    <row r="5">
      <c r="B5" s="6" t="inlineStr">
        <is>
          <t>Etapa / resultado</t>
        </is>
      </c>
      <c r="C5" s="6" t="inlineStr">
        <is>
          <t>Valor</t>
        </is>
      </c>
      <c r="D5" s="6" t="inlineStr">
        <is>
          <t>Cómo se calcula</t>
        </is>
      </c>
    </row>
    <row r="6">
      <c r="B6" s="7" t="inlineStr">
        <is>
          <t>Tráfico y entradas</t>
        </is>
      </c>
      <c r="C6" s="8" t="n"/>
      <c r="D6" s="8" t="n"/>
    </row>
    <row r="7">
      <c r="B7" t="inlineStr">
        <is>
          <t>Visitas a la página de ventas</t>
        </is>
      </c>
      <c r="C7" s="21">
        <f>IF('Supuestos'!$C$10=0,0,'Supuestos'!$C$8/'Supuestos'!$C$10)</f>
        <v/>
      </c>
      <c r="D7" s="5" t="inlineStr">
        <is>
          <t>Inversión ÷ costo por visita.</t>
        </is>
      </c>
    </row>
    <row r="8">
      <c r="B8" s="4" t="inlineStr">
        <is>
          <t>Costo por entrada vendida</t>
        </is>
      </c>
      <c r="C8" s="13">
        <f>IF('Supuestos'!$C$13=0,0,'Supuestos'!$C$10/'Supuestos'!$C$13)</f>
        <v/>
      </c>
      <c r="D8" s="5" t="inlineStr">
        <is>
          <t>Costo por visita ÷ % que compra la entrada.</t>
        </is>
      </c>
    </row>
    <row r="9">
      <c r="B9" s="4" t="inlineStr">
        <is>
          <t>Entradas vendidas</t>
        </is>
      </c>
      <c r="C9" s="11">
        <f>IF('Modelo'!$C$8=0,0,'Supuestos'!$C$8/'Modelo'!$C$8)</f>
        <v/>
      </c>
      <c r="D9" s="5" t="inlineStr">
        <is>
          <t>Inversión ÷ costo por entrada.</t>
        </is>
      </c>
    </row>
    <row r="10">
      <c r="B10" t="inlineStr">
        <is>
          <t>Facturado: entradas</t>
        </is>
      </c>
      <c r="C10" s="20">
        <f>'Modelo'!$C$9*'Supuestos'!$C$14</f>
        <v/>
      </c>
      <c r="D10" s="5" t="inlineStr">
        <is>
          <t>Entradas × precio promedio.</t>
        </is>
      </c>
    </row>
    <row r="11">
      <c r="B11" t="inlineStr">
        <is>
          <t>Ventas: bump de la entrada</t>
        </is>
      </c>
      <c r="C11" s="24">
        <f>'Modelo'!$C$9*'Supuestos'!$C$16</f>
        <v/>
      </c>
      <c r="D11" s="5" t="inlineStr">
        <is>
          <t>Entradas × % que lo toma.</t>
        </is>
      </c>
    </row>
    <row r="12">
      <c r="B12" t="inlineStr">
        <is>
          <t>Facturado: bump de la entrada</t>
        </is>
      </c>
      <c r="C12" s="20">
        <f>'Modelo'!$C$11*'Supuestos'!$C$15</f>
        <v/>
      </c>
      <c r="D12" s="5" t="inlineStr">
        <is>
          <t>Ventas × precio.</t>
        </is>
      </c>
    </row>
    <row r="13">
      <c r="B13" s="4" t="inlineStr">
        <is>
          <t>Facturado del front (entradas + bump)</t>
        </is>
      </c>
      <c r="C13" s="9">
        <f>'Modelo'!$C$10+'Modelo'!$C$12</f>
        <v/>
      </c>
      <c r="D13" s="5" t="inlineStr">
        <is>
          <t>Lo que entra antes del evento.</t>
        </is>
      </c>
    </row>
    <row r="14">
      <c r="B14" s="4" t="inlineStr">
        <is>
          <t>ROAS del front (qué parte de la pauta recupera la entrada)</t>
        </is>
      </c>
      <c r="C14" s="10">
        <f>IF('Supuestos'!$C$8=0,0,'Modelo'!$C$13/'Supuestos'!$C$8)</f>
        <v/>
      </c>
      <c r="D14" s="5" t="inlineStr">
        <is>
          <t>Facturado del front ÷ inversión. Cerca de 1 = el evento se paga solo.</t>
        </is>
      </c>
    </row>
    <row r="15">
      <c r="B15" s="7" t="inlineStr">
        <is>
          <t>Grupo y asistencia</t>
        </is>
      </c>
      <c r="C15" s="8" t="n"/>
      <c r="D15" s="8" t="n"/>
    </row>
    <row r="16">
      <c r="B16" t="inlineStr">
        <is>
          <t>Personas en el grupo</t>
        </is>
      </c>
      <c r="C16" s="21">
        <f>'Modelo'!$C$9*'Supuestos'!$C$19</f>
        <v/>
      </c>
      <c r="D16" s="5" t="inlineStr">
        <is>
          <t>Entradas × % que entra.</t>
        </is>
      </c>
    </row>
    <row r="17">
      <c r="B17" s="4" t="inlineStr">
        <is>
          <t>Costo por persona en el grupo</t>
        </is>
      </c>
      <c r="C17" s="13">
        <f>IF('Modelo'!$C$16=0,0,'Supuestos'!$C$8/'Modelo'!$C$16)</f>
        <v/>
      </c>
      <c r="D17" s="5" t="inlineStr">
        <is>
          <t>Inversión ÷ personas en el grupo.</t>
        </is>
      </c>
    </row>
    <row r="18">
      <c r="B18" s="4" t="inlineStr">
        <is>
          <t>Asistentes en vivo</t>
        </is>
      </c>
      <c r="C18" s="11">
        <f>'Modelo'!$C$9*'Supuestos'!$C$20</f>
        <v/>
      </c>
      <c r="D18" s="5" t="inlineStr">
        <is>
          <t>Entradas × asistencia en vivo.</t>
        </is>
      </c>
    </row>
    <row r="19">
      <c r="B19" t="inlineStr">
        <is>
          <t>Vieron el replay</t>
        </is>
      </c>
      <c r="C19" s="21">
        <f>'Modelo'!$C$9*'Supuestos'!$C$21</f>
        <v/>
      </c>
      <c r="D19" s="5" t="inlineStr">
        <is>
          <t>Entradas × % que ve el replay.</t>
        </is>
      </c>
    </row>
    <row r="20">
      <c r="B20" t="inlineStr">
        <is>
          <t>Costo por asistente en vivo</t>
        </is>
      </c>
      <c r="C20" s="18">
        <f>IF('Modelo'!$C$18=0,0,'Supuestos'!$C$8/'Modelo'!$C$18)</f>
        <v/>
      </c>
      <c r="D20" s="5" t="inlineStr">
        <is>
          <t>Inversión ÷ asistentes.</t>
        </is>
      </c>
    </row>
    <row r="21">
      <c r="B21" s="7" t="inlineStr">
        <is>
          <t>Solicitudes (formulario de compra, aplicación o vendedor), oferta, programa y facturación</t>
        </is>
      </c>
      <c r="C21" s="8" t="n"/>
      <c r="D21" s="8" t="n"/>
    </row>
    <row r="22">
      <c r="B22" t="inlineStr">
        <is>
          <t>Solicitudes: en vivo</t>
        </is>
      </c>
      <c r="C22" s="24">
        <f>'Modelo'!$C$18*'Supuestos'!$C$25</f>
        <v/>
      </c>
      <c r="D22" s="5" t="inlineStr">
        <is>
          <t>Asistentes en vivo × % que solicita.</t>
        </is>
      </c>
    </row>
    <row r="23">
      <c r="B23" t="inlineStr">
        <is>
          <t>Solicitudes: replay</t>
        </is>
      </c>
      <c r="C23" s="24">
        <f>'Modelo'!$C$19*'Supuestos'!$C$26</f>
        <v/>
      </c>
      <c r="D23" s="5" t="inlineStr">
        <is>
          <t>Replay × % que solicita.</t>
        </is>
      </c>
    </row>
    <row r="24">
      <c r="B24" s="4" t="inlineStr">
        <is>
          <t>Solicitudes (total)</t>
        </is>
      </c>
      <c r="C24" s="12">
        <f>'Modelo'!$C$22+'Modelo'!$C$23</f>
        <v/>
      </c>
      <c r="D24" s="5" t="inlineStr">
        <is>
          <t>En vivo + replay.</t>
        </is>
      </c>
    </row>
    <row r="25">
      <c r="B25" t="inlineStr">
        <is>
          <t>% de compradores de entrada que solicitan</t>
        </is>
      </c>
      <c r="C25" s="26">
        <f>IF('Modelo'!$C$9=0,0,'Modelo'!$C$24/'Modelo'!$C$9)</f>
        <v/>
      </c>
      <c r="D25" s="5" t="inlineStr">
        <is>
          <t>Solicitudes ÷ entradas.</t>
        </is>
      </c>
    </row>
    <row r="26">
      <c r="B26" s="4" t="inlineStr">
        <is>
          <t>Costo por solicitud</t>
        </is>
      </c>
      <c r="C26" s="13">
        <f>IF('Modelo'!$C$24=0,0,'Supuestos'!$C$8/'Modelo'!$C$24)</f>
        <v/>
      </c>
      <c r="D26" s="5" t="inlineStr">
        <is>
          <t>Inversión ÷ solicitudes.</t>
        </is>
      </c>
    </row>
    <row r="27">
      <c r="B27" s="4" t="inlineStr">
        <is>
          <t>Ventas de la oferta</t>
        </is>
      </c>
      <c r="C27" s="12">
        <f>'Modelo'!$C$24*'Supuestos'!$C$27</f>
        <v/>
      </c>
      <c r="D27" s="5" t="inlineStr">
        <is>
          <t>Solicitudes × % que termina en compra.</t>
        </is>
      </c>
    </row>
    <row r="28">
      <c r="B28" t="inlineStr">
        <is>
          <t>% de compradores de entrada que compran la oferta</t>
        </is>
      </c>
      <c r="C28" s="26">
        <f>IF('Modelo'!$C$9=0,0,'Modelo'!$C$27/'Modelo'!$C$9)</f>
        <v/>
      </c>
      <c r="D28" s="5" t="inlineStr">
        <is>
          <t>Ventas ÷ entradas.</t>
        </is>
      </c>
    </row>
    <row r="29">
      <c r="B29" s="4" t="inlineStr">
        <is>
          <t>Costo por comprador de la oferta</t>
        </is>
      </c>
      <c r="C29" s="13">
        <f>IF('Modelo'!$C$27=0,0,'Supuestos'!$C$8/'Modelo'!$C$27)</f>
        <v/>
      </c>
      <c r="D29" s="5" t="inlineStr">
        <is>
          <t>Inversión ÷ ventas de la oferta.</t>
        </is>
      </c>
    </row>
    <row r="30">
      <c r="B30" t="inlineStr">
        <is>
          <t>Facturado: oferta</t>
        </is>
      </c>
      <c r="C30" s="20">
        <f>'Modelo'!$C$27*'Supuestos'!$C$24</f>
        <v/>
      </c>
      <c r="D30" s="5" t="inlineStr">
        <is>
          <t>Ventas × precio.</t>
        </is>
      </c>
    </row>
    <row r="31">
      <c r="B31" t="inlineStr">
        <is>
          <t>Ventas: programa superior</t>
        </is>
      </c>
      <c r="C31" s="24">
        <f>'Modelo'!$C$27*'Supuestos'!$C$29</f>
        <v/>
      </c>
      <c r="D31" s="5" t="inlineStr">
        <is>
          <t>Compradores de la oferta × % que asciende.</t>
        </is>
      </c>
    </row>
    <row r="32">
      <c r="B32" t="inlineStr">
        <is>
          <t>Facturado: programa superior</t>
        </is>
      </c>
      <c r="C32" s="20">
        <f>'Modelo'!$C$31*'Supuestos'!$C$28</f>
        <v/>
      </c>
      <c r="D32" s="5" t="inlineStr">
        <is>
          <t>Ventas × precio.</t>
        </is>
      </c>
    </row>
    <row r="33">
      <c r="B33" s="4" t="inlineStr">
        <is>
          <t>Facturado total</t>
        </is>
      </c>
      <c r="C33" s="9">
        <f>'Modelo'!$C$13+'Modelo'!$C$30+'Modelo'!$C$32</f>
        <v/>
      </c>
      <c r="D33" s="5" t="inlineStr">
        <is>
          <t>Front + oferta + programa.</t>
        </is>
      </c>
    </row>
    <row r="34">
      <c r="B34" t="inlineStr">
        <is>
          <t>Facturado por comprador de la oferta</t>
        </is>
      </c>
      <c r="C34" s="18">
        <f>IF('Modelo'!$C$27=0,0,'Modelo'!$C$33/'Modelo'!$C$27)</f>
        <v/>
      </c>
      <c r="D34" s="5" t="inlineStr">
        <is>
          <t>Facturado total ÷ ventas de la oferta.</t>
        </is>
      </c>
    </row>
    <row r="35">
      <c r="B35" t="inlineStr">
        <is>
          <t>Ventas de la oferta por entrada (para la proyección)</t>
        </is>
      </c>
      <c r="C35" s="26">
        <f>IF('Modelo'!$C$9=0,0,'Modelo'!$C$27/'Modelo'!$C$9)</f>
        <v/>
      </c>
      <c r="D35" s="5" t="inlineStr">
        <is>
          <t>Igual a '% que compra la oferta'.</t>
        </is>
      </c>
    </row>
    <row r="36">
      <c r="B36" t="inlineStr">
        <is>
          <t>Facturado por entrada</t>
        </is>
      </c>
      <c r="C36" s="18">
        <f>IF('Modelo'!$C$9=0,0,'Modelo'!$C$33/'Modelo'!$C$9)</f>
        <v/>
      </c>
      <c r="D36" s="5" t="inlineStr">
        <is>
          <t>Facturado total ÷ entradas.</t>
        </is>
      </c>
    </row>
    <row r="37">
      <c r="B37" s="7" t="inlineStr">
        <is>
          <t>Cash, costos y ganancia del período</t>
        </is>
      </c>
      <c r="C37" s="8" t="n"/>
      <c r="D37" s="8" t="n"/>
    </row>
    <row r="38">
      <c r="B38" t="inlineStr">
        <is>
          <t>Cash a cobrar (facturado × cobranza completa)</t>
        </is>
      </c>
      <c r="C38" s="20">
        <f>'Modelo'!$C$33*('Supuestos'!$C$39+'Supuestos'!$C$40+'Supuestos'!$C$41)</f>
        <v/>
      </c>
      <c r="D38" s="5" t="inlineStr">
        <is>
          <t>Facturado × (mes 1 + mes 2 + mes 3). Si la cobranza suma 100 %, es igual al facturado.</t>
        </is>
      </c>
    </row>
    <row r="39">
      <c r="B39" t="inlineStr">
        <is>
          <t>Cash que entra en el primer mes</t>
        </is>
      </c>
      <c r="C39" s="20">
        <f>'Modelo'!$C$33*'Supuestos'!$C$39</f>
        <v/>
      </c>
      <c r="D39" s="5" t="inlineStr">
        <is>
          <t>Facturado × % del mes 1.</t>
        </is>
      </c>
    </row>
    <row r="40">
      <c r="B40" t="inlineStr">
        <is>
          <t>Comisiones (pasarela + ventas)</t>
        </is>
      </c>
      <c r="C40" s="20">
        <f>'Modelo'!$C$38*('Supuestos'!$C$32+'Supuestos'!$C$33)</f>
        <v/>
      </c>
      <c r="D40" s="5" t="inlineStr">
        <is>
          <t>Cash × (pasarela + equipo de ventas).</t>
        </is>
      </c>
    </row>
    <row r="41">
      <c r="B41" t="inlineStr">
        <is>
          <t>Reembolsos</t>
        </is>
      </c>
      <c r="C41" s="20">
        <f>'Modelo'!$C$38*'Supuestos'!$C$34</f>
        <v/>
      </c>
      <c r="D41" s="5" t="inlineStr">
        <is>
          <t>Cash × % de reembolsos.</t>
        </is>
      </c>
    </row>
    <row r="42">
      <c r="B42" s="4" t="inlineStr">
        <is>
          <t>Cash neto</t>
        </is>
      </c>
      <c r="C42" s="9">
        <f>'Modelo'!$C$38*(1-'Supuestos'!$C$32-'Supuestos'!$C$33-'Supuestos'!$C$34)</f>
        <v/>
      </c>
      <c r="D42" s="5" t="inlineStr">
        <is>
          <t>Cash − comisiones − reembolsos. La base de verdad.</t>
        </is>
      </c>
    </row>
    <row r="43">
      <c r="B43" t="inlineStr">
        <is>
          <t>Costos por entrada (herramientas, WhatsApp, IA)</t>
        </is>
      </c>
      <c r="C43" s="20">
        <f>'Modelo'!$C$9*'Supuestos'!$C$35</f>
        <v/>
      </c>
      <c r="D43" s="5" t="inlineStr">
        <is>
          <t>Entradas × costo por entrada.</t>
        </is>
      </c>
    </row>
    <row r="44">
      <c r="B44" s="4" t="inlineStr">
        <is>
          <t>Ganancia del período</t>
        </is>
      </c>
      <c r="C44" s="9">
        <f>'Modelo'!$C$42-'Modelo'!$C$43-'Supuestos'!$C$36-'Supuestos'!$C$8</f>
        <v/>
      </c>
      <c r="D44" s="5" t="inlineStr">
        <is>
          <t>Cash neto − costos por unidad − fijos − inversión.</t>
        </is>
      </c>
    </row>
    <row r="45">
      <c r="B45" t="inlineStr">
        <is>
          <t>ROAS sobre facturado</t>
        </is>
      </c>
      <c r="C45" s="25">
        <f>IF('Supuestos'!$C$8=0,0,'Modelo'!$C$33/'Supuestos'!$C$8)</f>
        <v/>
      </c>
      <c r="D45" s="5" t="inlineStr">
        <is>
          <t>Facturado ÷ inversión. El número que más se infla: no decidas con este.</t>
        </is>
      </c>
    </row>
    <row r="46">
      <c r="B46" s="4" t="inlineStr">
        <is>
          <t>ROAS sobre cash neto</t>
        </is>
      </c>
      <c r="C46" s="10">
        <f>IF('Supuestos'!$C$8=0,0,'Modelo'!$C$42/'Supuestos'!$C$8)</f>
        <v/>
      </c>
      <c r="D46" s="5" t="inlineStr">
        <is>
          <t>Cash neto ÷ inversión. Con este se decide.</t>
        </is>
      </c>
    </row>
    <row r="47">
      <c r="B47" t="inlineStr">
        <is>
          <t>Margen sobre cash</t>
        </is>
      </c>
      <c r="C47" s="23">
        <f>IF('Modelo'!$C$38=0,0,'Modelo'!$C$44/'Modelo'!$C$38)</f>
        <v/>
      </c>
      <c r="D47" s="5" t="inlineStr">
        <is>
          <t>Ganancia ÷ cash.</t>
        </is>
      </c>
    </row>
    <row r="48">
      <c r="B48" t="inlineStr">
        <is>
          <t>¿Cumple el ROAS objetivo?</t>
        </is>
      </c>
      <c r="C48" s="28">
        <f>IF('Modelo'!$C$46&gt;='Supuestos'!$C$44,"SÍ","NO")</f>
        <v/>
      </c>
      <c r="D48" s="5" t="inlineStr">
        <is>
          <t>ROAS sobre cash neto contra el objetivo de Supuestos.</t>
        </is>
      </c>
    </row>
    <row r="49">
      <c r="B49" s="7" t="inlineStr">
        <is>
          <t>Cuánto vale cada entrada y hasta cuánto pagar</t>
        </is>
      </c>
      <c r="C49" s="8" t="n"/>
      <c r="D49" s="8" t="n"/>
    </row>
    <row r="50">
      <c r="B50" s="4" t="inlineStr">
        <is>
          <t>Valor neto por entrada</t>
        </is>
      </c>
      <c r="C50" s="13">
        <f>IF('Modelo'!$C$9=0,0,('Modelo'!$C$42-'Modelo'!$C$43)/'Modelo'!$C$9)</f>
        <v/>
      </c>
      <c r="D50" s="5" t="inlineStr">
        <is>
          <t>(Cash neto − costos por entrada) ÷ entradas.</t>
        </is>
      </c>
    </row>
    <row r="51">
      <c r="B51" s="4" t="inlineStr">
        <is>
          <t>Techo de costo por entrada (break-even)</t>
        </is>
      </c>
      <c r="C51" s="13">
        <f>'Modelo'!$C$50</f>
        <v/>
      </c>
      <c r="D51" s="5" t="inlineStr">
        <is>
          <t>Igual al valor neto por entrada.</t>
        </is>
      </c>
    </row>
    <row r="52">
      <c r="B52" s="4" t="inlineStr">
        <is>
          <t>Objetivo de costo por entrada</t>
        </is>
      </c>
      <c r="C52" s="13">
        <f>'Modelo'!$C$51/(1+'Supuestos'!$C$45)</f>
        <v/>
      </c>
      <c r="D52" s="5" t="inlineStr">
        <is>
          <t>Techo ÷ (1 + margen de seguridad).</t>
        </is>
      </c>
    </row>
    <row r="53">
      <c r="B53" t="inlineStr">
        <is>
          <t>Techo de costo por visita a la página</t>
        </is>
      </c>
      <c r="C53" s="18">
        <f>'Modelo'!$C$50*'Supuestos'!$C$13</f>
        <v/>
      </c>
      <c r="D53" s="5" t="inlineStr">
        <is>
          <t>Valor por entrada × % que compra la entrada.</t>
        </is>
      </c>
    </row>
    <row r="54">
      <c r="B54" t="inlineStr">
        <is>
          <t>Techo de costo por asistente en vivo</t>
        </is>
      </c>
      <c r="C54" s="18">
        <f>IF('Supuestos'!$C$20=0,0,'Modelo'!$C$50/'Supuestos'!$C$20)</f>
        <v/>
      </c>
      <c r="D54" s="5" t="inlineStr">
        <is>
          <t>Valor por entrada ÷ asistencia.</t>
        </is>
      </c>
    </row>
    <row r="55">
      <c r="B55" s="4" t="inlineStr">
        <is>
          <t>Techo de costo por solicitud</t>
        </is>
      </c>
      <c r="C55" s="13">
        <f>IF('Modelo'!$C$24=0,0,'Modelo'!$C$50*'Modelo'!$C$9/'Modelo'!$C$24)</f>
        <v/>
      </c>
      <c r="D55" s="5" t="inlineStr">
        <is>
          <t>Valor total ÷ solicitudes.</t>
        </is>
      </c>
    </row>
    <row r="56">
      <c r="B56" t="inlineStr">
        <is>
          <t>Techo de costo por comprador de la oferta</t>
        </is>
      </c>
      <c r="C56" s="18">
        <f>IF('Modelo'!$C$28=0,0,'Modelo'!$C$50/'Modelo'!$C$28)</f>
        <v/>
      </c>
      <c r="D56" s="5" t="inlineStr">
        <is>
          <t>Valor por entrada ÷ % que compra la oferta.</t>
        </is>
      </c>
    </row>
    <row r="57">
      <c r="B57" t="inlineStr">
        <is>
          <t>Objetivo de costo por comprador de la oferta</t>
        </is>
      </c>
      <c r="C57" s="18">
        <f>'Modelo'!$C$56/(1+'Supuestos'!$C$45)</f>
        <v/>
      </c>
      <c r="D57" s="5" t="inlineStr">
        <is>
          <t>Techo ÷ (1 + margen de seguridad).</t>
        </is>
      </c>
    </row>
    <row r="58">
      <c r="B58" s="7" t="inlineStr">
        <is>
          <t>Semáforo y cuánto invertir</t>
        </is>
      </c>
      <c r="C58" s="8" t="n"/>
      <c r="D58" s="8" t="n"/>
    </row>
    <row r="59">
      <c r="B59" s="4" t="inlineStr">
        <is>
          <t>Semáforo del costo por entrada actual</t>
        </is>
      </c>
      <c r="C59" s="14">
        <f>IF('Modelo'!$C$8&gt;'Modelo'!$C$51,"ROJO",IF(AND('Modelo'!$C$8&lt;='Modelo'!$C$52,'Modelo'!$C$46&gt;='Supuestos'!$C$44),"VERDE","AMARILLO"))</f>
        <v/>
      </c>
      <c r="D59" s="5" t="inlineStr">
        <is>
          <t>Rojo: costo &gt; techo. Verde: costo ≤ objetivo y ROAS sobre cash neto ≥ objetivo. Amarillo: el resto.</t>
        </is>
      </c>
    </row>
    <row r="60">
      <c r="B60" s="4" t="inlineStr">
        <is>
          <t>Inversión necesaria para la meta de ventas de la oferta (al costo actual)</t>
        </is>
      </c>
      <c r="C60" s="9">
        <f>IF('Modelo'!$C$28=0,"inalcanzable con estos supuestos",'Supuestos'!$C$46/'Modelo'!$C$28*'Modelo'!$C$8)</f>
        <v/>
      </c>
      <c r="D60" s="5" t="inlineStr">
        <is>
          <t>Meta ÷ % que compra la oferta × costo por entrada.</t>
        </is>
      </c>
    </row>
    <row r="61">
      <c r="B61" t="inlineStr">
        <is>
          <t>Inversión para la meta al costo objetivo (lo máximo que conviene pagar)</t>
        </is>
      </c>
      <c r="C61" s="20">
        <f>IF('Modelo'!$C$28=0,"inalcanzable con estos supuestos",'Supuestos'!$C$46/'Modelo'!$C$28*'Modelo'!$C$52)</f>
        <v/>
      </c>
      <c r="D61" s="5" t="inlineStr">
        <is>
          <t>Lo mismo, al costo objetivo.</t>
        </is>
      </c>
    </row>
    <row r="62">
      <c r="B62" s="7" t="inlineStr">
        <is>
          <t>Ganancia por paso (las dos caras de cada número: costo por X y ganancia por X)</t>
        </is>
      </c>
      <c r="C62" s="8" t="n"/>
      <c r="D62" s="8" t="n"/>
    </row>
    <row r="63">
      <c r="B63" s="4" t="inlineStr">
        <is>
          <t>Cash neto por comprador (AOV neto)</t>
        </is>
      </c>
      <c r="C63" s="13">
        <f>IF('Modelo'!$C$27=0,0,('Modelo'!$C$42-'Modelo'!$C$43)/'Modelo'!$C$27)</f>
        <v/>
      </c>
      <c r="D63" s="5" t="inlineStr">
        <is>
          <t>Lo que deja cada comprador del principal después de comisiones, reembolsos y costos por unidad. Su par es el CPA.</t>
        </is>
      </c>
    </row>
    <row r="64">
      <c r="B64" s="4" t="inlineStr">
        <is>
          <t>Ganancia por visita</t>
        </is>
      </c>
      <c r="C64" s="13">
        <f>IF('Modelo'!$C$7=0,0,'Modelo'!$C$44/'Modelo'!$C$7)</f>
        <v/>
      </c>
      <c r="D64" s="5" t="inlineStr">
        <is>
          <t>Ganancia del período ÷ visitas a la página de ventas. La métrica más valiosa: resume todo lo que pasa después. Su par es el costo por visita.</t>
        </is>
      </c>
    </row>
    <row r="65">
      <c r="B65" s="4" t="inlineStr">
        <is>
          <t>Ganancia por entrada</t>
        </is>
      </c>
      <c r="C65" s="13">
        <f>IF('Modelo'!$C$9=0,0,'Modelo'!$C$44/'Modelo'!$C$9)</f>
        <v/>
      </c>
      <c r="D65" s="5" t="inlineStr">
        <is>
          <t>Ganancia del período ÷ entradas. Su par es el costo por entrada.</t>
        </is>
      </c>
    </row>
    <row r="66">
      <c r="B66" t="inlineStr">
        <is>
          <t>Ganancia por asistente en vivo</t>
        </is>
      </c>
      <c r="C66" s="18">
        <f>IF('Modelo'!$C$18=0,0,'Modelo'!$C$44/'Modelo'!$C$18)</f>
        <v/>
      </c>
      <c r="D66" s="5" t="inlineStr">
        <is>
          <t>Ganancia del período ÷ asistente en vivos. Su par es el costo por asistente en vivo.</t>
        </is>
      </c>
    </row>
    <row r="67">
      <c r="B67" t="inlineStr">
        <is>
          <t>Ganancia por solicitud</t>
        </is>
      </c>
      <c r="C67" s="18">
        <f>IF('Modelo'!$C$24=0,0,'Modelo'!$C$44/'Modelo'!$C$24)</f>
        <v/>
      </c>
      <c r="D67" s="5" t="inlineStr">
        <is>
          <t>Ganancia del período ÷ solicituds. Su par es el costo por solicitud.</t>
        </is>
      </c>
    </row>
    <row r="68">
      <c r="B68" s="4" t="inlineStr">
        <is>
          <t>Ganancia por cliente</t>
        </is>
      </c>
      <c r="C68" s="13">
        <f>IF('Modelo'!$C$27=0,0,'Modelo'!$C$44/'Modelo'!$C$27)</f>
        <v/>
      </c>
      <c r="D68" s="5" t="inlineStr">
        <is>
          <t>Ganancia del período ÷ compradores de la oferta. Su par es el costo por comprador.</t>
        </is>
      </c>
    </row>
  </sheetData>
  <conditionalFormatting sqref="C5:C69">
    <cfRule type="expression" priority="1" dxfId="0">
      <formula>LEFT(C5,5)="VERDE"</formula>
    </cfRule>
    <cfRule type="expression" priority="2" dxfId="1">
      <formula>LEFT(C5,8)="AMARILLO"</formula>
    </cfRule>
    <cfRule type="expression" priority="3" dxfId="2">
      <formula>LEFT(C5,4)="ROJO"</formula>
    </cfRule>
  </conditionalFormatting>
  <pageMargins left="0.75" right="0.75" top="1" bottom="1" header="0.5" footer="0.5"/>
  <headerFooter>
    <oddHeader>&amp;CJesús Tassarolo · TooAudience&amp;R&amp;D</oddHeader>
    <oddFooter>&amp;LModelo financiero de embudos · creado por Jesús Tassarolo · TooAudience · youtube.com/@JesusTassaroloSinFiltro&amp;C&amp;7 Modelo financiero de embudos · creado por Jesús Tassarolo · TooAudience · youtube.com/@JesusTassaroloSinFiltro&amp;RPágina &amp;P de &amp;N</oddFooter>
    <evenHeader>&amp;CJesús Tassarolo · TooAudience</evenHeader>
    <evenFooter>&amp;LModelo financiero de embudos · creado por Jesús Tassarolo · TooAudience · youtube.com/@JesusTassaroloSinFiltro&amp;C&amp;7 Modelo financiero de embudos · creado por Jesús Tassarolo · TooAudience · youtube.com/@JesusTassaroloSinFiltro&amp;RPágina &amp;P de &amp;N</evenFooter>
    <firstHeader/>
    <firstFooter/>
  </headerFooter>
</worksheet>
</file>

<file path=xl/worksheets/sheet7.xml><?xml version="1.0" encoding="utf-8"?>
<worksheet xmlns="http://schemas.openxmlformats.org/spreadsheetml/2006/main">
  <sheetPr>
    <outlinePr summaryBelow="1" summaryRight="1"/>
    <pageSetUpPr/>
  </sheetPr>
  <dimension ref="A1:G56"/>
  <sheetViews>
    <sheetView showGridLines="0" workbookViewId="0">
      <selection activeCell="A1" sqref="A1"/>
    </sheetView>
  </sheetViews>
  <sheetFormatPr baseColWidth="8" defaultRowHeight="15"/>
  <cols>
    <col width="2" customWidth="1" min="1" max="1"/>
    <col width="24"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B1" s="1" t="inlineStr">
        <is>
          <t>© Jesús Tassarolo · TooAudience · youtube.com/@JesusTassaroloSinFiltro · uso personal; no redistribuir modificado</t>
        </is>
      </c>
    </row>
    <row r="2">
      <c r="B2" s="2" t="inlineStr">
        <is>
          <t>Escenarios: qué pasa si cambian el precio, la conversión o el costo</t>
        </is>
      </c>
    </row>
    <row r="3">
      <c r="B3" s="3" t="inlineStr">
        <is>
          <t>Las celdas amarillas de cada tabla (fila y columna) se pueden cambiar. Verde = ganancia, amarillo = cerca del cero, rojo = pérdida. Todo lo demás queda como en Supuestos.</t>
        </is>
      </c>
    </row>
    <row r="5">
      <c r="B5" t="inlineStr">
        <is>
          <t>Umbral de 'cerca del cero' (inversión × margen de seguridad)</t>
        </is>
      </c>
      <c r="C5" s="20">
        <f>'Supuestos'!$C$8*'Supuestos'!$C$45</f>
        <v/>
      </c>
    </row>
    <row r="7">
      <c r="B7" s="4" t="inlineStr">
        <is>
          <t>Precio de la oferta × % de solicitudes que terminan en compra → ganancia del lanzamiento</t>
        </is>
      </c>
    </row>
    <row r="8">
      <c r="B8" s="3" t="inlineStr">
        <is>
          <t>A más precio, menos cierre: la tabla muestra qué combinación gana.</t>
        </is>
      </c>
    </row>
    <row r="9">
      <c r="B9" s="4" t="inlineStr">
        <is>
          <t>Precio ↓  /  % solicitud → compra →</t>
        </is>
      </c>
      <c r="C9" s="30" t="n">
        <v>0.3</v>
      </c>
      <c r="D9" s="30" t="n">
        <v>0.4</v>
      </c>
      <c r="E9" s="30" t="n">
        <v>0.5</v>
      </c>
      <c r="F9" s="30" t="n">
        <v>0.6</v>
      </c>
      <c r="G9" s="30" t="n">
        <v>0.7</v>
      </c>
    </row>
    <row r="10">
      <c r="B10" s="31" t="n">
        <v>197</v>
      </c>
      <c r="C10" s="20">
        <f>(((((((IF((IF('Supuestos'!$C$13=0,0,'Supuestos'!$C$10/'Supuestos'!$C$13))=0,0,'Supuestos'!$C$8/(IF('Supuestos'!$C$13=0,0,'Supuestos'!$C$10/'Supuestos'!$C$13))))*'Supuestos'!$C$14)+(((IF((IF('Supuestos'!$C$13=0,0,'Supuestos'!$C$10/'Supuestos'!$C$13))=0,0,'Supuestos'!$C$8/(IF('Supuestos'!$C$13=0,0,'Supuestos'!$C$10/'Supuestos'!$C$13))))*'Supuestos'!$C$16)*'Supuestos'!$C$15))+((((((IF((IF('Supuestos'!$C$13=0,0,'Supuestos'!$C$10/'Supuestos'!$C$13))=0,0,'Supuestos'!$C$8/(IF('Supuestos'!$C$13=0,0,'Supuestos'!$C$10/'Supuestos'!$C$13))))*'Supuestos'!$C$20)*'Supuestos'!$C$25)+(((IF((IF('Supuestos'!$C$13=0,0,'Supuestos'!$C$10/'Supuestos'!$C$13))=0,0,'Supuestos'!$C$8/(IF('Supuestos'!$C$13=0,0,'Supuestos'!$C$10/'Supuestos'!$C$13))))*'Supuestos'!$C$21)*'Supuestos'!$C$26))*C$9)*$B10)+(((((((IF((IF('Supuestos'!$C$13=0,0,'Supuestos'!$C$10/'Supuestos'!$C$13))=0,0,'Supuestos'!$C$8/(IF('Supuestos'!$C$13=0,0,'Supuestos'!$C$10/'Supuestos'!$C$13))))*'Supuestos'!$C$20)*'Supuestos'!$C$25)+(((IF((IF('Supuestos'!$C$13=0,0,'Supuestos'!$C$10/'Supuestos'!$C$13))=0,0,'Supuestos'!$C$8/(IF('Supuestos'!$C$13=0,0,'Supuestos'!$C$10/'Supuestos'!$C$13))))*'Supuestos'!$C$21)*'Supuestos'!$C$26))*C$9)*'Supuestos'!$C$29)*'Supuestos'!$C$28))*('Supuestos'!$C$39+'Supuestos'!$C$40+'Supuestos'!$C$41))*(1-'Supuestos'!$C$32-'Supuestos'!$C$33-'Supuestos'!$C$34))-((IF((IF('Supuestos'!$C$13=0,0,'Supuestos'!$C$10/'Supuestos'!$C$13))=0,0,'Supuestos'!$C$8/(IF('Supuestos'!$C$13=0,0,'Supuestos'!$C$10/'Supuestos'!$C$13))))*'Supuestos'!$C$35)-'Supuestos'!$C$36-'Supuestos'!$C$8)</f>
        <v/>
      </c>
      <c r="D10" s="20">
        <f>(((((((IF((IF('Supuestos'!$C$13=0,0,'Supuestos'!$C$10/'Supuestos'!$C$13))=0,0,'Supuestos'!$C$8/(IF('Supuestos'!$C$13=0,0,'Supuestos'!$C$10/'Supuestos'!$C$13))))*'Supuestos'!$C$14)+(((IF((IF('Supuestos'!$C$13=0,0,'Supuestos'!$C$10/'Supuestos'!$C$13))=0,0,'Supuestos'!$C$8/(IF('Supuestos'!$C$13=0,0,'Supuestos'!$C$10/'Supuestos'!$C$13))))*'Supuestos'!$C$16)*'Supuestos'!$C$15))+((((((IF((IF('Supuestos'!$C$13=0,0,'Supuestos'!$C$10/'Supuestos'!$C$13))=0,0,'Supuestos'!$C$8/(IF('Supuestos'!$C$13=0,0,'Supuestos'!$C$10/'Supuestos'!$C$13))))*'Supuestos'!$C$20)*'Supuestos'!$C$25)+(((IF((IF('Supuestos'!$C$13=0,0,'Supuestos'!$C$10/'Supuestos'!$C$13))=0,0,'Supuestos'!$C$8/(IF('Supuestos'!$C$13=0,0,'Supuestos'!$C$10/'Supuestos'!$C$13))))*'Supuestos'!$C$21)*'Supuestos'!$C$26))*D$9)*$B10)+(((((((IF((IF('Supuestos'!$C$13=0,0,'Supuestos'!$C$10/'Supuestos'!$C$13))=0,0,'Supuestos'!$C$8/(IF('Supuestos'!$C$13=0,0,'Supuestos'!$C$10/'Supuestos'!$C$13))))*'Supuestos'!$C$20)*'Supuestos'!$C$25)+(((IF((IF('Supuestos'!$C$13=0,0,'Supuestos'!$C$10/'Supuestos'!$C$13))=0,0,'Supuestos'!$C$8/(IF('Supuestos'!$C$13=0,0,'Supuestos'!$C$10/'Supuestos'!$C$13))))*'Supuestos'!$C$21)*'Supuestos'!$C$26))*D$9)*'Supuestos'!$C$29)*'Supuestos'!$C$28))*('Supuestos'!$C$39+'Supuestos'!$C$40+'Supuestos'!$C$41))*(1-'Supuestos'!$C$32-'Supuestos'!$C$33-'Supuestos'!$C$34))-((IF((IF('Supuestos'!$C$13=0,0,'Supuestos'!$C$10/'Supuestos'!$C$13))=0,0,'Supuestos'!$C$8/(IF('Supuestos'!$C$13=0,0,'Supuestos'!$C$10/'Supuestos'!$C$13))))*'Supuestos'!$C$35)-'Supuestos'!$C$36-'Supuestos'!$C$8)</f>
        <v/>
      </c>
      <c r="E10" s="20">
        <f>(((((((IF((IF('Supuestos'!$C$13=0,0,'Supuestos'!$C$10/'Supuestos'!$C$13))=0,0,'Supuestos'!$C$8/(IF('Supuestos'!$C$13=0,0,'Supuestos'!$C$10/'Supuestos'!$C$13))))*'Supuestos'!$C$14)+(((IF((IF('Supuestos'!$C$13=0,0,'Supuestos'!$C$10/'Supuestos'!$C$13))=0,0,'Supuestos'!$C$8/(IF('Supuestos'!$C$13=0,0,'Supuestos'!$C$10/'Supuestos'!$C$13))))*'Supuestos'!$C$16)*'Supuestos'!$C$15))+((((((IF((IF('Supuestos'!$C$13=0,0,'Supuestos'!$C$10/'Supuestos'!$C$13))=0,0,'Supuestos'!$C$8/(IF('Supuestos'!$C$13=0,0,'Supuestos'!$C$10/'Supuestos'!$C$13))))*'Supuestos'!$C$20)*'Supuestos'!$C$25)+(((IF((IF('Supuestos'!$C$13=0,0,'Supuestos'!$C$10/'Supuestos'!$C$13))=0,0,'Supuestos'!$C$8/(IF('Supuestos'!$C$13=0,0,'Supuestos'!$C$10/'Supuestos'!$C$13))))*'Supuestos'!$C$21)*'Supuestos'!$C$26))*E$9)*$B10)+(((((((IF((IF('Supuestos'!$C$13=0,0,'Supuestos'!$C$10/'Supuestos'!$C$13))=0,0,'Supuestos'!$C$8/(IF('Supuestos'!$C$13=0,0,'Supuestos'!$C$10/'Supuestos'!$C$13))))*'Supuestos'!$C$20)*'Supuestos'!$C$25)+(((IF((IF('Supuestos'!$C$13=0,0,'Supuestos'!$C$10/'Supuestos'!$C$13))=0,0,'Supuestos'!$C$8/(IF('Supuestos'!$C$13=0,0,'Supuestos'!$C$10/'Supuestos'!$C$13))))*'Supuestos'!$C$21)*'Supuestos'!$C$26))*E$9)*'Supuestos'!$C$29)*'Supuestos'!$C$28))*('Supuestos'!$C$39+'Supuestos'!$C$40+'Supuestos'!$C$41))*(1-'Supuestos'!$C$32-'Supuestos'!$C$33-'Supuestos'!$C$34))-((IF((IF('Supuestos'!$C$13=0,0,'Supuestos'!$C$10/'Supuestos'!$C$13))=0,0,'Supuestos'!$C$8/(IF('Supuestos'!$C$13=0,0,'Supuestos'!$C$10/'Supuestos'!$C$13))))*'Supuestos'!$C$35)-'Supuestos'!$C$36-'Supuestos'!$C$8)</f>
        <v/>
      </c>
      <c r="F10" s="20">
        <f>(((((((IF((IF('Supuestos'!$C$13=0,0,'Supuestos'!$C$10/'Supuestos'!$C$13))=0,0,'Supuestos'!$C$8/(IF('Supuestos'!$C$13=0,0,'Supuestos'!$C$10/'Supuestos'!$C$13))))*'Supuestos'!$C$14)+(((IF((IF('Supuestos'!$C$13=0,0,'Supuestos'!$C$10/'Supuestos'!$C$13))=0,0,'Supuestos'!$C$8/(IF('Supuestos'!$C$13=0,0,'Supuestos'!$C$10/'Supuestos'!$C$13))))*'Supuestos'!$C$16)*'Supuestos'!$C$15))+((((((IF((IF('Supuestos'!$C$13=0,0,'Supuestos'!$C$10/'Supuestos'!$C$13))=0,0,'Supuestos'!$C$8/(IF('Supuestos'!$C$13=0,0,'Supuestos'!$C$10/'Supuestos'!$C$13))))*'Supuestos'!$C$20)*'Supuestos'!$C$25)+(((IF((IF('Supuestos'!$C$13=0,0,'Supuestos'!$C$10/'Supuestos'!$C$13))=0,0,'Supuestos'!$C$8/(IF('Supuestos'!$C$13=0,0,'Supuestos'!$C$10/'Supuestos'!$C$13))))*'Supuestos'!$C$21)*'Supuestos'!$C$26))*F$9)*$B10)+(((((((IF((IF('Supuestos'!$C$13=0,0,'Supuestos'!$C$10/'Supuestos'!$C$13))=0,0,'Supuestos'!$C$8/(IF('Supuestos'!$C$13=0,0,'Supuestos'!$C$10/'Supuestos'!$C$13))))*'Supuestos'!$C$20)*'Supuestos'!$C$25)+(((IF((IF('Supuestos'!$C$13=0,0,'Supuestos'!$C$10/'Supuestos'!$C$13))=0,0,'Supuestos'!$C$8/(IF('Supuestos'!$C$13=0,0,'Supuestos'!$C$10/'Supuestos'!$C$13))))*'Supuestos'!$C$21)*'Supuestos'!$C$26))*F$9)*'Supuestos'!$C$29)*'Supuestos'!$C$28))*('Supuestos'!$C$39+'Supuestos'!$C$40+'Supuestos'!$C$41))*(1-'Supuestos'!$C$32-'Supuestos'!$C$33-'Supuestos'!$C$34))-((IF((IF('Supuestos'!$C$13=0,0,'Supuestos'!$C$10/'Supuestos'!$C$13))=0,0,'Supuestos'!$C$8/(IF('Supuestos'!$C$13=0,0,'Supuestos'!$C$10/'Supuestos'!$C$13))))*'Supuestos'!$C$35)-'Supuestos'!$C$36-'Supuestos'!$C$8)</f>
        <v/>
      </c>
      <c r="G10" s="20">
        <f>(((((((IF((IF('Supuestos'!$C$13=0,0,'Supuestos'!$C$10/'Supuestos'!$C$13))=0,0,'Supuestos'!$C$8/(IF('Supuestos'!$C$13=0,0,'Supuestos'!$C$10/'Supuestos'!$C$13))))*'Supuestos'!$C$14)+(((IF((IF('Supuestos'!$C$13=0,0,'Supuestos'!$C$10/'Supuestos'!$C$13))=0,0,'Supuestos'!$C$8/(IF('Supuestos'!$C$13=0,0,'Supuestos'!$C$10/'Supuestos'!$C$13))))*'Supuestos'!$C$16)*'Supuestos'!$C$15))+((((((IF((IF('Supuestos'!$C$13=0,0,'Supuestos'!$C$10/'Supuestos'!$C$13))=0,0,'Supuestos'!$C$8/(IF('Supuestos'!$C$13=0,0,'Supuestos'!$C$10/'Supuestos'!$C$13))))*'Supuestos'!$C$20)*'Supuestos'!$C$25)+(((IF((IF('Supuestos'!$C$13=0,0,'Supuestos'!$C$10/'Supuestos'!$C$13))=0,0,'Supuestos'!$C$8/(IF('Supuestos'!$C$13=0,0,'Supuestos'!$C$10/'Supuestos'!$C$13))))*'Supuestos'!$C$21)*'Supuestos'!$C$26))*G$9)*$B10)+(((((((IF((IF('Supuestos'!$C$13=0,0,'Supuestos'!$C$10/'Supuestos'!$C$13))=0,0,'Supuestos'!$C$8/(IF('Supuestos'!$C$13=0,0,'Supuestos'!$C$10/'Supuestos'!$C$13))))*'Supuestos'!$C$20)*'Supuestos'!$C$25)+(((IF((IF('Supuestos'!$C$13=0,0,'Supuestos'!$C$10/'Supuestos'!$C$13))=0,0,'Supuestos'!$C$8/(IF('Supuestos'!$C$13=0,0,'Supuestos'!$C$10/'Supuestos'!$C$13))))*'Supuestos'!$C$21)*'Supuestos'!$C$26))*G$9)*'Supuestos'!$C$29)*'Supuestos'!$C$28))*('Supuestos'!$C$39+'Supuestos'!$C$40+'Supuestos'!$C$41))*(1-'Supuestos'!$C$32-'Supuestos'!$C$33-'Supuestos'!$C$34))-((IF((IF('Supuestos'!$C$13=0,0,'Supuestos'!$C$10/'Supuestos'!$C$13))=0,0,'Supuestos'!$C$8/(IF('Supuestos'!$C$13=0,0,'Supuestos'!$C$10/'Supuestos'!$C$13))))*'Supuestos'!$C$35)-'Supuestos'!$C$36-'Supuestos'!$C$8)</f>
        <v/>
      </c>
    </row>
    <row r="11">
      <c r="B11" s="31" t="n">
        <v>297</v>
      </c>
      <c r="C11" s="20">
        <f>(((((((IF((IF('Supuestos'!$C$13=0,0,'Supuestos'!$C$10/'Supuestos'!$C$13))=0,0,'Supuestos'!$C$8/(IF('Supuestos'!$C$13=0,0,'Supuestos'!$C$10/'Supuestos'!$C$13))))*'Supuestos'!$C$14)+(((IF((IF('Supuestos'!$C$13=0,0,'Supuestos'!$C$10/'Supuestos'!$C$13))=0,0,'Supuestos'!$C$8/(IF('Supuestos'!$C$13=0,0,'Supuestos'!$C$10/'Supuestos'!$C$13))))*'Supuestos'!$C$16)*'Supuestos'!$C$15))+((((((IF((IF('Supuestos'!$C$13=0,0,'Supuestos'!$C$10/'Supuestos'!$C$13))=0,0,'Supuestos'!$C$8/(IF('Supuestos'!$C$13=0,0,'Supuestos'!$C$10/'Supuestos'!$C$13))))*'Supuestos'!$C$20)*'Supuestos'!$C$25)+(((IF((IF('Supuestos'!$C$13=0,0,'Supuestos'!$C$10/'Supuestos'!$C$13))=0,0,'Supuestos'!$C$8/(IF('Supuestos'!$C$13=0,0,'Supuestos'!$C$10/'Supuestos'!$C$13))))*'Supuestos'!$C$21)*'Supuestos'!$C$26))*C$9)*$B11)+(((((((IF((IF('Supuestos'!$C$13=0,0,'Supuestos'!$C$10/'Supuestos'!$C$13))=0,0,'Supuestos'!$C$8/(IF('Supuestos'!$C$13=0,0,'Supuestos'!$C$10/'Supuestos'!$C$13))))*'Supuestos'!$C$20)*'Supuestos'!$C$25)+(((IF((IF('Supuestos'!$C$13=0,0,'Supuestos'!$C$10/'Supuestos'!$C$13))=0,0,'Supuestos'!$C$8/(IF('Supuestos'!$C$13=0,0,'Supuestos'!$C$10/'Supuestos'!$C$13))))*'Supuestos'!$C$21)*'Supuestos'!$C$26))*C$9)*'Supuestos'!$C$29)*'Supuestos'!$C$28))*('Supuestos'!$C$39+'Supuestos'!$C$40+'Supuestos'!$C$41))*(1-'Supuestos'!$C$32-'Supuestos'!$C$33-'Supuestos'!$C$34))-((IF((IF('Supuestos'!$C$13=0,0,'Supuestos'!$C$10/'Supuestos'!$C$13))=0,0,'Supuestos'!$C$8/(IF('Supuestos'!$C$13=0,0,'Supuestos'!$C$10/'Supuestos'!$C$13))))*'Supuestos'!$C$35)-'Supuestos'!$C$36-'Supuestos'!$C$8)</f>
        <v/>
      </c>
      <c r="D11" s="20">
        <f>(((((((IF((IF('Supuestos'!$C$13=0,0,'Supuestos'!$C$10/'Supuestos'!$C$13))=0,0,'Supuestos'!$C$8/(IF('Supuestos'!$C$13=0,0,'Supuestos'!$C$10/'Supuestos'!$C$13))))*'Supuestos'!$C$14)+(((IF((IF('Supuestos'!$C$13=0,0,'Supuestos'!$C$10/'Supuestos'!$C$13))=0,0,'Supuestos'!$C$8/(IF('Supuestos'!$C$13=0,0,'Supuestos'!$C$10/'Supuestos'!$C$13))))*'Supuestos'!$C$16)*'Supuestos'!$C$15))+((((((IF((IF('Supuestos'!$C$13=0,0,'Supuestos'!$C$10/'Supuestos'!$C$13))=0,0,'Supuestos'!$C$8/(IF('Supuestos'!$C$13=0,0,'Supuestos'!$C$10/'Supuestos'!$C$13))))*'Supuestos'!$C$20)*'Supuestos'!$C$25)+(((IF((IF('Supuestos'!$C$13=0,0,'Supuestos'!$C$10/'Supuestos'!$C$13))=0,0,'Supuestos'!$C$8/(IF('Supuestos'!$C$13=0,0,'Supuestos'!$C$10/'Supuestos'!$C$13))))*'Supuestos'!$C$21)*'Supuestos'!$C$26))*D$9)*$B11)+(((((((IF((IF('Supuestos'!$C$13=0,0,'Supuestos'!$C$10/'Supuestos'!$C$13))=0,0,'Supuestos'!$C$8/(IF('Supuestos'!$C$13=0,0,'Supuestos'!$C$10/'Supuestos'!$C$13))))*'Supuestos'!$C$20)*'Supuestos'!$C$25)+(((IF((IF('Supuestos'!$C$13=0,0,'Supuestos'!$C$10/'Supuestos'!$C$13))=0,0,'Supuestos'!$C$8/(IF('Supuestos'!$C$13=0,0,'Supuestos'!$C$10/'Supuestos'!$C$13))))*'Supuestos'!$C$21)*'Supuestos'!$C$26))*D$9)*'Supuestos'!$C$29)*'Supuestos'!$C$28))*('Supuestos'!$C$39+'Supuestos'!$C$40+'Supuestos'!$C$41))*(1-'Supuestos'!$C$32-'Supuestos'!$C$33-'Supuestos'!$C$34))-((IF((IF('Supuestos'!$C$13=0,0,'Supuestos'!$C$10/'Supuestos'!$C$13))=0,0,'Supuestos'!$C$8/(IF('Supuestos'!$C$13=0,0,'Supuestos'!$C$10/'Supuestos'!$C$13))))*'Supuestos'!$C$35)-'Supuestos'!$C$36-'Supuestos'!$C$8)</f>
        <v/>
      </c>
      <c r="E11" s="20">
        <f>(((((((IF((IF('Supuestos'!$C$13=0,0,'Supuestos'!$C$10/'Supuestos'!$C$13))=0,0,'Supuestos'!$C$8/(IF('Supuestos'!$C$13=0,0,'Supuestos'!$C$10/'Supuestos'!$C$13))))*'Supuestos'!$C$14)+(((IF((IF('Supuestos'!$C$13=0,0,'Supuestos'!$C$10/'Supuestos'!$C$13))=0,0,'Supuestos'!$C$8/(IF('Supuestos'!$C$13=0,0,'Supuestos'!$C$10/'Supuestos'!$C$13))))*'Supuestos'!$C$16)*'Supuestos'!$C$15))+((((((IF((IF('Supuestos'!$C$13=0,0,'Supuestos'!$C$10/'Supuestos'!$C$13))=0,0,'Supuestos'!$C$8/(IF('Supuestos'!$C$13=0,0,'Supuestos'!$C$10/'Supuestos'!$C$13))))*'Supuestos'!$C$20)*'Supuestos'!$C$25)+(((IF((IF('Supuestos'!$C$13=0,0,'Supuestos'!$C$10/'Supuestos'!$C$13))=0,0,'Supuestos'!$C$8/(IF('Supuestos'!$C$13=0,0,'Supuestos'!$C$10/'Supuestos'!$C$13))))*'Supuestos'!$C$21)*'Supuestos'!$C$26))*E$9)*$B11)+(((((((IF((IF('Supuestos'!$C$13=0,0,'Supuestos'!$C$10/'Supuestos'!$C$13))=0,0,'Supuestos'!$C$8/(IF('Supuestos'!$C$13=0,0,'Supuestos'!$C$10/'Supuestos'!$C$13))))*'Supuestos'!$C$20)*'Supuestos'!$C$25)+(((IF((IF('Supuestos'!$C$13=0,0,'Supuestos'!$C$10/'Supuestos'!$C$13))=0,0,'Supuestos'!$C$8/(IF('Supuestos'!$C$13=0,0,'Supuestos'!$C$10/'Supuestos'!$C$13))))*'Supuestos'!$C$21)*'Supuestos'!$C$26))*E$9)*'Supuestos'!$C$29)*'Supuestos'!$C$28))*('Supuestos'!$C$39+'Supuestos'!$C$40+'Supuestos'!$C$41))*(1-'Supuestos'!$C$32-'Supuestos'!$C$33-'Supuestos'!$C$34))-((IF((IF('Supuestos'!$C$13=0,0,'Supuestos'!$C$10/'Supuestos'!$C$13))=0,0,'Supuestos'!$C$8/(IF('Supuestos'!$C$13=0,0,'Supuestos'!$C$10/'Supuestos'!$C$13))))*'Supuestos'!$C$35)-'Supuestos'!$C$36-'Supuestos'!$C$8)</f>
        <v/>
      </c>
      <c r="F11" s="20">
        <f>(((((((IF((IF('Supuestos'!$C$13=0,0,'Supuestos'!$C$10/'Supuestos'!$C$13))=0,0,'Supuestos'!$C$8/(IF('Supuestos'!$C$13=0,0,'Supuestos'!$C$10/'Supuestos'!$C$13))))*'Supuestos'!$C$14)+(((IF((IF('Supuestos'!$C$13=0,0,'Supuestos'!$C$10/'Supuestos'!$C$13))=0,0,'Supuestos'!$C$8/(IF('Supuestos'!$C$13=0,0,'Supuestos'!$C$10/'Supuestos'!$C$13))))*'Supuestos'!$C$16)*'Supuestos'!$C$15))+((((((IF((IF('Supuestos'!$C$13=0,0,'Supuestos'!$C$10/'Supuestos'!$C$13))=0,0,'Supuestos'!$C$8/(IF('Supuestos'!$C$13=0,0,'Supuestos'!$C$10/'Supuestos'!$C$13))))*'Supuestos'!$C$20)*'Supuestos'!$C$25)+(((IF((IF('Supuestos'!$C$13=0,0,'Supuestos'!$C$10/'Supuestos'!$C$13))=0,0,'Supuestos'!$C$8/(IF('Supuestos'!$C$13=0,0,'Supuestos'!$C$10/'Supuestos'!$C$13))))*'Supuestos'!$C$21)*'Supuestos'!$C$26))*F$9)*$B11)+(((((((IF((IF('Supuestos'!$C$13=0,0,'Supuestos'!$C$10/'Supuestos'!$C$13))=0,0,'Supuestos'!$C$8/(IF('Supuestos'!$C$13=0,0,'Supuestos'!$C$10/'Supuestos'!$C$13))))*'Supuestos'!$C$20)*'Supuestos'!$C$25)+(((IF((IF('Supuestos'!$C$13=0,0,'Supuestos'!$C$10/'Supuestos'!$C$13))=0,0,'Supuestos'!$C$8/(IF('Supuestos'!$C$13=0,0,'Supuestos'!$C$10/'Supuestos'!$C$13))))*'Supuestos'!$C$21)*'Supuestos'!$C$26))*F$9)*'Supuestos'!$C$29)*'Supuestos'!$C$28))*('Supuestos'!$C$39+'Supuestos'!$C$40+'Supuestos'!$C$41))*(1-'Supuestos'!$C$32-'Supuestos'!$C$33-'Supuestos'!$C$34))-((IF((IF('Supuestos'!$C$13=0,0,'Supuestos'!$C$10/'Supuestos'!$C$13))=0,0,'Supuestos'!$C$8/(IF('Supuestos'!$C$13=0,0,'Supuestos'!$C$10/'Supuestos'!$C$13))))*'Supuestos'!$C$35)-'Supuestos'!$C$36-'Supuestos'!$C$8)</f>
        <v/>
      </c>
      <c r="G11" s="20">
        <f>(((((((IF((IF('Supuestos'!$C$13=0,0,'Supuestos'!$C$10/'Supuestos'!$C$13))=0,0,'Supuestos'!$C$8/(IF('Supuestos'!$C$13=0,0,'Supuestos'!$C$10/'Supuestos'!$C$13))))*'Supuestos'!$C$14)+(((IF((IF('Supuestos'!$C$13=0,0,'Supuestos'!$C$10/'Supuestos'!$C$13))=0,0,'Supuestos'!$C$8/(IF('Supuestos'!$C$13=0,0,'Supuestos'!$C$10/'Supuestos'!$C$13))))*'Supuestos'!$C$16)*'Supuestos'!$C$15))+((((((IF((IF('Supuestos'!$C$13=0,0,'Supuestos'!$C$10/'Supuestos'!$C$13))=0,0,'Supuestos'!$C$8/(IF('Supuestos'!$C$13=0,0,'Supuestos'!$C$10/'Supuestos'!$C$13))))*'Supuestos'!$C$20)*'Supuestos'!$C$25)+(((IF((IF('Supuestos'!$C$13=0,0,'Supuestos'!$C$10/'Supuestos'!$C$13))=0,0,'Supuestos'!$C$8/(IF('Supuestos'!$C$13=0,0,'Supuestos'!$C$10/'Supuestos'!$C$13))))*'Supuestos'!$C$21)*'Supuestos'!$C$26))*G$9)*$B11)+(((((((IF((IF('Supuestos'!$C$13=0,0,'Supuestos'!$C$10/'Supuestos'!$C$13))=0,0,'Supuestos'!$C$8/(IF('Supuestos'!$C$13=0,0,'Supuestos'!$C$10/'Supuestos'!$C$13))))*'Supuestos'!$C$20)*'Supuestos'!$C$25)+(((IF((IF('Supuestos'!$C$13=0,0,'Supuestos'!$C$10/'Supuestos'!$C$13))=0,0,'Supuestos'!$C$8/(IF('Supuestos'!$C$13=0,0,'Supuestos'!$C$10/'Supuestos'!$C$13))))*'Supuestos'!$C$21)*'Supuestos'!$C$26))*G$9)*'Supuestos'!$C$29)*'Supuestos'!$C$28))*('Supuestos'!$C$39+'Supuestos'!$C$40+'Supuestos'!$C$41))*(1-'Supuestos'!$C$32-'Supuestos'!$C$33-'Supuestos'!$C$34))-((IF((IF('Supuestos'!$C$13=0,0,'Supuestos'!$C$10/'Supuestos'!$C$13))=0,0,'Supuestos'!$C$8/(IF('Supuestos'!$C$13=0,0,'Supuestos'!$C$10/'Supuestos'!$C$13))))*'Supuestos'!$C$35)-'Supuestos'!$C$36-'Supuestos'!$C$8)</f>
        <v/>
      </c>
    </row>
    <row r="12">
      <c r="B12" s="31" t="n">
        <v>497</v>
      </c>
      <c r="C12" s="20">
        <f>(((((((IF((IF('Supuestos'!$C$13=0,0,'Supuestos'!$C$10/'Supuestos'!$C$13))=0,0,'Supuestos'!$C$8/(IF('Supuestos'!$C$13=0,0,'Supuestos'!$C$10/'Supuestos'!$C$13))))*'Supuestos'!$C$14)+(((IF((IF('Supuestos'!$C$13=0,0,'Supuestos'!$C$10/'Supuestos'!$C$13))=0,0,'Supuestos'!$C$8/(IF('Supuestos'!$C$13=0,0,'Supuestos'!$C$10/'Supuestos'!$C$13))))*'Supuestos'!$C$16)*'Supuestos'!$C$15))+((((((IF((IF('Supuestos'!$C$13=0,0,'Supuestos'!$C$10/'Supuestos'!$C$13))=0,0,'Supuestos'!$C$8/(IF('Supuestos'!$C$13=0,0,'Supuestos'!$C$10/'Supuestos'!$C$13))))*'Supuestos'!$C$20)*'Supuestos'!$C$25)+(((IF((IF('Supuestos'!$C$13=0,0,'Supuestos'!$C$10/'Supuestos'!$C$13))=0,0,'Supuestos'!$C$8/(IF('Supuestos'!$C$13=0,0,'Supuestos'!$C$10/'Supuestos'!$C$13))))*'Supuestos'!$C$21)*'Supuestos'!$C$26))*C$9)*$B12)+(((((((IF((IF('Supuestos'!$C$13=0,0,'Supuestos'!$C$10/'Supuestos'!$C$13))=0,0,'Supuestos'!$C$8/(IF('Supuestos'!$C$13=0,0,'Supuestos'!$C$10/'Supuestos'!$C$13))))*'Supuestos'!$C$20)*'Supuestos'!$C$25)+(((IF((IF('Supuestos'!$C$13=0,0,'Supuestos'!$C$10/'Supuestos'!$C$13))=0,0,'Supuestos'!$C$8/(IF('Supuestos'!$C$13=0,0,'Supuestos'!$C$10/'Supuestos'!$C$13))))*'Supuestos'!$C$21)*'Supuestos'!$C$26))*C$9)*'Supuestos'!$C$29)*'Supuestos'!$C$28))*('Supuestos'!$C$39+'Supuestos'!$C$40+'Supuestos'!$C$41))*(1-'Supuestos'!$C$32-'Supuestos'!$C$33-'Supuestos'!$C$34))-((IF((IF('Supuestos'!$C$13=0,0,'Supuestos'!$C$10/'Supuestos'!$C$13))=0,0,'Supuestos'!$C$8/(IF('Supuestos'!$C$13=0,0,'Supuestos'!$C$10/'Supuestos'!$C$13))))*'Supuestos'!$C$35)-'Supuestos'!$C$36-'Supuestos'!$C$8)</f>
        <v/>
      </c>
      <c r="D12" s="20">
        <f>(((((((IF((IF('Supuestos'!$C$13=0,0,'Supuestos'!$C$10/'Supuestos'!$C$13))=0,0,'Supuestos'!$C$8/(IF('Supuestos'!$C$13=0,0,'Supuestos'!$C$10/'Supuestos'!$C$13))))*'Supuestos'!$C$14)+(((IF((IF('Supuestos'!$C$13=0,0,'Supuestos'!$C$10/'Supuestos'!$C$13))=0,0,'Supuestos'!$C$8/(IF('Supuestos'!$C$13=0,0,'Supuestos'!$C$10/'Supuestos'!$C$13))))*'Supuestos'!$C$16)*'Supuestos'!$C$15))+((((((IF((IF('Supuestos'!$C$13=0,0,'Supuestos'!$C$10/'Supuestos'!$C$13))=0,0,'Supuestos'!$C$8/(IF('Supuestos'!$C$13=0,0,'Supuestos'!$C$10/'Supuestos'!$C$13))))*'Supuestos'!$C$20)*'Supuestos'!$C$25)+(((IF((IF('Supuestos'!$C$13=0,0,'Supuestos'!$C$10/'Supuestos'!$C$13))=0,0,'Supuestos'!$C$8/(IF('Supuestos'!$C$13=0,0,'Supuestos'!$C$10/'Supuestos'!$C$13))))*'Supuestos'!$C$21)*'Supuestos'!$C$26))*D$9)*$B12)+(((((((IF((IF('Supuestos'!$C$13=0,0,'Supuestos'!$C$10/'Supuestos'!$C$13))=0,0,'Supuestos'!$C$8/(IF('Supuestos'!$C$13=0,0,'Supuestos'!$C$10/'Supuestos'!$C$13))))*'Supuestos'!$C$20)*'Supuestos'!$C$25)+(((IF((IF('Supuestos'!$C$13=0,0,'Supuestos'!$C$10/'Supuestos'!$C$13))=0,0,'Supuestos'!$C$8/(IF('Supuestos'!$C$13=0,0,'Supuestos'!$C$10/'Supuestos'!$C$13))))*'Supuestos'!$C$21)*'Supuestos'!$C$26))*D$9)*'Supuestos'!$C$29)*'Supuestos'!$C$28))*('Supuestos'!$C$39+'Supuestos'!$C$40+'Supuestos'!$C$41))*(1-'Supuestos'!$C$32-'Supuestos'!$C$33-'Supuestos'!$C$34))-((IF((IF('Supuestos'!$C$13=0,0,'Supuestos'!$C$10/'Supuestos'!$C$13))=0,0,'Supuestos'!$C$8/(IF('Supuestos'!$C$13=0,0,'Supuestos'!$C$10/'Supuestos'!$C$13))))*'Supuestos'!$C$35)-'Supuestos'!$C$36-'Supuestos'!$C$8)</f>
        <v/>
      </c>
      <c r="E12" s="20">
        <f>(((((((IF((IF('Supuestos'!$C$13=0,0,'Supuestos'!$C$10/'Supuestos'!$C$13))=0,0,'Supuestos'!$C$8/(IF('Supuestos'!$C$13=0,0,'Supuestos'!$C$10/'Supuestos'!$C$13))))*'Supuestos'!$C$14)+(((IF((IF('Supuestos'!$C$13=0,0,'Supuestos'!$C$10/'Supuestos'!$C$13))=0,0,'Supuestos'!$C$8/(IF('Supuestos'!$C$13=0,0,'Supuestos'!$C$10/'Supuestos'!$C$13))))*'Supuestos'!$C$16)*'Supuestos'!$C$15))+((((((IF((IF('Supuestos'!$C$13=0,0,'Supuestos'!$C$10/'Supuestos'!$C$13))=0,0,'Supuestos'!$C$8/(IF('Supuestos'!$C$13=0,0,'Supuestos'!$C$10/'Supuestos'!$C$13))))*'Supuestos'!$C$20)*'Supuestos'!$C$25)+(((IF((IF('Supuestos'!$C$13=0,0,'Supuestos'!$C$10/'Supuestos'!$C$13))=0,0,'Supuestos'!$C$8/(IF('Supuestos'!$C$13=0,0,'Supuestos'!$C$10/'Supuestos'!$C$13))))*'Supuestos'!$C$21)*'Supuestos'!$C$26))*E$9)*$B12)+(((((((IF((IF('Supuestos'!$C$13=0,0,'Supuestos'!$C$10/'Supuestos'!$C$13))=0,0,'Supuestos'!$C$8/(IF('Supuestos'!$C$13=0,0,'Supuestos'!$C$10/'Supuestos'!$C$13))))*'Supuestos'!$C$20)*'Supuestos'!$C$25)+(((IF((IF('Supuestos'!$C$13=0,0,'Supuestos'!$C$10/'Supuestos'!$C$13))=0,0,'Supuestos'!$C$8/(IF('Supuestos'!$C$13=0,0,'Supuestos'!$C$10/'Supuestos'!$C$13))))*'Supuestos'!$C$21)*'Supuestos'!$C$26))*E$9)*'Supuestos'!$C$29)*'Supuestos'!$C$28))*('Supuestos'!$C$39+'Supuestos'!$C$40+'Supuestos'!$C$41))*(1-'Supuestos'!$C$32-'Supuestos'!$C$33-'Supuestos'!$C$34))-((IF((IF('Supuestos'!$C$13=0,0,'Supuestos'!$C$10/'Supuestos'!$C$13))=0,0,'Supuestos'!$C$8/(IF('Supuestos'!$C$13=0,0,'Supuestos'!$C$10/'Supuestos'!$C$13))))*'Supuestos'!$C$35)-'Supuestos'!$C$36-'Supuestos'!$C$8)</f>
        <v/>
      </c>
      <c r="F12" s="20">
        <f>(((((((IF((IF('Supuestos'!$C$13=0,0,'Supuestos'!$C$10/'Supuestos'!$C$13))=0,0,'Supuestos'!$C$8/(IF('Supuestos'!$C$13=0,0,'Supuestos'!$C$10/'Supuestos'!$C$13))))*'Supuestos'!$C$14)+(((IF((IF('Supuestos'!$C$13=0,0,'Supuestos'!$C$10/'Supuestos'!$C$13))=0,0,'Supuestos'!$C$8/(IF('Supuestos'!$C$13=0,0,'Supuestos'!$C$10/'Supuestos'!$C$13))))*'Supuestos'!$C$16)*'Supuestos'!$C$15))+((((((IF((IF('Supuestos'!$C$13=0,0,'Supuestos'!$C$10/'Supuestos'!$C$13))=0,0,'Supuestos'!$C$8/(IF('Supuestos'!$C$13=0,0,'Supuestos'!$C$10/'Supuestos'!$C$13))))*'Supuestos'!$C$20)*'Supuestos'!$C$25)+(((IF((IF('Supuestos'!$C$13=0,0,'Supuestos'!$C$10/'Supuestos'!$C$13))=0,0,'Supuestos'!$C$8/(IF('Supuestos'!$C$13=0,0,'Supuestos'!$C$10/'Supuestos'!$C$13))))*'Supuestos'!$C$21)*'Supuestos'!$C$26))*F$9)*$B12)+(((((((IF((IF('Supuestos'!$C$13=0,0,'Supuestos'!$C$10/'Supuestos'!$C$13))=0,0,'Supuestos'!$C$8/(IF('Supuestos'!$C$13=0,0,'Supuestos'!$C$10/'Supuestos'!$C$13))))*'Supuestos'!$C$20)*'Supuestos'!$C$25)+(((IF((IF('Supuestos'!$C$13=0,0,'Supuestos'!$C$10/'Supuestos'!$C$13))=0,0,'Supuestos'!$C$8/(IF('Supuestos'!$C$13=0,0,'Supuestos'!$C$10/'Supuestos'!$C$13))))*'Supuestos'!$C$21)*'Supuestos'!$C$26))*F$9)*'Supuestos'!$C$29)*'Supuestos'!$C$28))*('Supuestos'!$C$39+'Supuestos'!$C$40+'Supuestos'!$C$41))*(1-'Supuestos'!$C$32-'Supuestos'!$C$33-'Supuestos'!$C$34))-((IF((IF('Supuestos'!$C$13=0,0,'Supuestos'!$C$10/'Supuestos'!$C$13))=0,0,'Supuestos'!$C$8/(IF('Supuestos'!$C$13=0,0,'Supuestos'!$C$10/'Supuestos'!$C$13))))*'Supuestos'!$C$35)-'Supuestos'!$C$36-'Supuestos'!$C$8)</f>
        <v/>
      </c>
      <c r="G12" s="20">
        <f>(((((((IF((IF('Supuestos'!$C$13=0,0,'Supuestos'!$C$10/'Supuestos'!$C$13))=0,0,'Supuestos'!$C$8/(IF('Supuestos'!$C$13=0,0,'Supuestos'!$C$10/'Supuestos'!$C$13))))*'Supuestos'!$C$14)+(((IF((IF('Supuestos'!$C$13=0,0,'Supuestos'!$C$10/'Supuestos'!$C$13))=0,0,'Supuestos'!$C$8/(IF('Supuestos'!$C$13=0,0,'Supuestos'!$C$10/'Supuestos'!$C$13))))*'Supuestos'!$C$16)*'Supuestos'!$C$15))+((((((IF((IF('Supuestos'!$C$13=0,0,'Supuestos'!$C$10/'Supuestos'!$C$13))=0,0,'Supuestos'!$C$8/(IF('Supuestos'!$C$13=0,0,'Supuestos'!$C$10/'Supuestos'!$C$13))))*'Supuestos'!$C$20)*'Supuestos'!$C$25)+(((IF((IF('Supuestos'!$C$13=0,0,'Supuestos'!$C$10/'Supuestos'!$C$13))=0,0,'Supuestos'!$C$8/(IF('Supuestos'!$C$13=0,0,'Supuestos'!$C$10/'Supuestos'!$C$13))))*'Supuestos'!$C$21)*'Supuestos'!$C$26))*G$9)*$B12)+(((((((IF((IF('Supuestos'!$C$13=0,0,'Supuestos'!$C$10/'Supuestos'!$C$13))=0,0,'Supuestos'!$C$8/(IF('Supuestos'!$C$13=0,0,'Supuestos'!$C$10/'Supuestos'!$C$13))))*'Supuestos'!$C$20)*'Supuestos'!$C$25)+(((IF((IF('Supuestos'!$C$13=0,0,'Supuestos'!$C$10/'Supuestos'!$C$13))=0,0,'Supuestos'!$C$8/(IF('Supuestos'!$C$13=0,0,'Supuestos'!$C$10/'Supuestos'!$C$13))))*'Supuestos'!$C$21)*'Supuestos'!$C$26))*G$9)*'Supuestos'!$C$29)*'Supuestos'!$C$28))*('Supuestos'!$C$39+'Supuestos'!$C$40+'Supuestos'!$C$41))*(1-'Supuestos'!$C$32-'Supuestos'!$C$33-'Supuestos'!$C$34))-((IF((IF('Supuestos'!$C$13=0,0,'Supuestos'!$C$10/'Supuestos'!$C$13))=0,0,'Supuestos'!$C$8/(IF('Supuestos'!$C$13=0,0,'Supuestos'!$C$10/'Supuestos'!$C$13))))*'Supuestos'!$C$35)-'Supuestos'!$C$36-'Supuestos'!$C$8)</f>
        <v/>
      </c>
    </row>
    <row r="13">
      <c r="B13" s="31" t="n">
        <v>997</v>
      </c>
      <c r="C13" s="20">
        <f>(((((((IF((IF('Supuestos'!$C$13=0,0,'Supuestos'!$C$10/'Supuestos'!$C$13))=0,0,'Supuestos'!$C$8/(IF('Supuestos'!$C$13=0,0,'Supuestos'!$C$10/'Supuestos'!$C$13))))*'Supuestos'!$C$14)+(((IF((IF('Supuestos'!$C$13=0,0,'Supuestos'!$C$10/'Supuestos'!$C$13))=0,0,'Supuestos'!$C$8/(IF('Supuestos'!$C$13=0,0,'Supuestos'!$C$10/'Supuestos'!$C$13))))*'Supuestos'!$C$16)*'Supuestos'!$C$15))+((((((IF((IF('Supuestos'!$C$13=0,0,'Supuestos'!$C$10/'Supuestos'!$C$13))=0,0,'Supuestos'!$C$8/(IF('Supuestos'!$C$13=0,0,'Supuestos'!$C$10/'Supuestos'!$C$13))))*'Supuestos'!$C$20)*'Supuestos'!$C$25)+(((IF((IF('Supuestos'!$C$13=0,0,'Supuestos'!$C$10/'Supuestos'!$C$13))=0,0,'Supuestos'!$C$8/(IF('Supuestos'!$C$13=0,0,'Supuestos'!$C$10/'Supuestos'!$C$13))))*'Supuestos'!$C$21)*'Supuestos'!$C$26))*C$9)*$B13)+(((((((IF((IF('Supuestos'!$C$13=0,0,'Supuestos'!$C$10/'Supuestos'!$C$13))=0,0,'Supuestos'!$C$8/(IF('Supuestos'!$C$13=0,0,'Supuestos'!$C$10/'Supuestos'!$C$13))))*'Supuestos'!$C$20)*'Supuestos'!$C$25)+(((IF((IF('Supuestos'!$C$13=0,0,'Supuestos'!$C$10/'Supuestos'!$C$13))=0,0,'Supuestos'!$C$8/(IF('Supuestos'!$C$13=0,0,'Supuestos'!$C$10/'Supuestos'!$C$13))))*'Supuestos'!$C$21)*'Supuestos'!$C$26))*C$9)*'Supuestos'!$C$29)*'Supuestos'!$C$28))*('Supuestos'!$C$39+'Supuestos'!$C$40+'Supuestos'!$C$41))*(1-'Supuestos'!$C$32-'Supuestos'!$C$33-'Supuestos'!$C$34))-((IF((IF('Supuestos'!$C$13=0,0,'Supuestos'!$C$10/'Supuestos'!$C$13))=0,0,'Supuestos'!$C$8/(IF('Supuestos'!$C$13=0,0,'Supuestos'!$C$10/'Supuestos'!$C$13))))*'Supuestos'!$C$35)-'Supuestos'!$C$36-'Supuestos'!$C$8)</f>
        <v/>
      </c>
      <c r="D13" s="20">
        <f>(((((((IF((IF('Supuestos'!$C$13=0,0,'Supuestos'!$C$10/'Supuestos'!$C$13))=0,0,'Supuestos'!$C$8/(IF('Supuestos'!$C$13=0,0,'Supuestos'!$C$10/'Supuestos'!$C$13))))*'Supuestos'!$C$14)+(((IF((IF('Supuestos'!$C$13=0,0,'Supuestos'!$C$10/'Supuestos'!$C$13))=0,0,'Supuestos'!$C$8/(IF('Supuestos'!$C$13=0,0,'Supuestos'!$C$10/'Supuestos'!$C$13))))*'Supuestos'!$C$16)*'Supuestos'!$C$15))+((((((IF((IF('Supuestos'!$C$13=0,0,'Supuestos'!$C$10/'Supuestos'!$C$13))=0,0,'Supuestos'!$C$8/(IF('Supuestos'!$C$13=0,0,'Supuestos'!$C$10/'Supuestos'!$C$13))))*'Supuestos'!$C$20)*'Supuestos'!$C$25)+(((IF((IF('Supuestos'!$C$13=0,0,'Supuestos'!$C$10/'Supuestos'!$C$13))=0,0,'Supuestos'!$C$8/(IF('Supuestos'!$C$13=0,0,'Supuestos'!$C$10/'Supuestos'!$C$13))))*'Supuestos'!$C$21)*'Supuestos'!$C$26))*D$9)*$B13)+(((((((IF((IF('Supuestos'!$C$13=0,0,'Supuestos'!$C$10/'Supuestos'!$C$13))=0,0,'Supuestos'!$C$8/(IF('Supuestos'!$C$13=0,0,'Supuestos'!$C$10/'Supuestos'!$C$13))))*'Supuestos'!$C$20)*'Supuestos'!$C$25)+(((IF((IF('Supuestos'!$C$13=0,0,'Supuestos'!$C$10/'Supuestos'!$C$13))=0,0,'Supuestos'!$C$8/(IF('Supuestos'!$C$13=0,0,'Supuestos'!$C$10/'Supuestos'!$C$13))))*'Supuestos'!$C$21)*'Supuestos'!$C$26))*D$9)*'Supuestos'!$C$29)*'Supuestos'!$C$28))*('Supuestos'!$C$39+'Supuestos'!$C$40+'Supuestos'!$C$41))*(1-'Supuestos'!$C$32-'Supuestos'!$C$33-'Supuestos'!$C$34))-((IF((IF('Supuestos'!$C$13=0,0,'Supuestos'!$C$10/'Supuestos'!$C$13))=0,0,'Supuestos'!$C$8/(IF('Supuestos'!$C$13=0,0,'Supuestos'!$C$10/'Supuestos'!$C$13))))*'Supuestos'!$C$35)-'Supuestos'!$C$36-'Supuestos'!$C$8)</f>
        <v/>
      </c>
      <c r="E13" s="20">
        <f>(((((((IF((IF('Supuestos'!$C$13=0,0,'Supuestos'!$C$10/'Supuestos'!$C$13))=0,0,'Supuestos'!$C$8/(IF('Supuestos'!$C$13=0,0,'Supuestos'!$C$10/'Supuestos'!$C$13))))*'Supuestos'!$C$14)+(((IF((IF('Supuestos'!$C$13=0,0,'Supuestos'!$C$10/'Supuestos'!$C$13))=0,0,'Supuestos'!$C$8/(IF('Supuestos'!$C$13=0,0,'Supuestos'!$C$10/'Supuestos'!$C$13))))*'Supuestos'!$C$16)*'Supuestos'!$C$15))+((((((IF((IF('Supuestos'!$C$13=0,0,'Supuestos'!$C$10/'Supuestos'!$C$13))=0,0,'Supuestos'!$C$8/(IF('Supuestos'!$C$13=0,0,'Supuestos'!$C$10/'Supuestos'!$C$13))))*'Supuestos'!$C$20)*'Supuestos'!$C$25)+(((IF((IF('Supuestos'!$C$13=0,0,'Supuestos'!$C$10/'Supuestos'!$C$13))=0,0,'Supuestos'!$C$8/(IF('Supuestos'!$C$13=0,0,'Supuestos'!$C$10/'Supuestos'!$C$13))))*'Supuestos'!$C$21)*'Supuestos'!$C$26))*E$9)*$B13)+(((((((IF((IF('Supuestos'!$C$13=0,0,'Supuestos'!$C$10/'Supuestos'!$C$13))=0,0,'Supuestos'!$C$8/(IF('Supuestos'!$C$13=0,0,'Supuestos'!$C$10/'Supuestos'!$C$13))))*'Supuestos'!$C$20)*'Supuestos'!$C$25)+(((IF((IF('Supuestos'!$C$13=0,0,'Supuestos'!$C$10/'Supuestos'!$C$13))=0,0,'Supuestos'!$C$8/(IF('Supuestos'!$C$13=0,0,'Supuestos'!$C$10/'Supuestos'!$C$13))))*'Supuestos'!$C$21)*'Supuestos'!$C$26))*E$9)*'Supuestos'!$C$29)*'Supuestos'!$C$28))*('Supuestos'!$C$39+'Supuestos'!$C$40+'Supuestos'!$C$41))*(1-'Supuestos'!$C$32-'Supuestos'!$C$33-'Supuestos'!$C$34))-((IF((IF('Supuestos'!$C$13=0,0,'Supuestos'!$C$10/'Supuestos'!$C$13))=0,0,'Supuestos'!$C$8/(IF('Supuestos'!$C$13=0,0,'Supuestos'!$C$10/'Supuestos'!$C$13))))*'Supuestos'!$C$35)-'Supuestos'!$C$36-'Supuestos'!$C$8)</f>
        <v/>
      </c>
      <c r="F13" s="20">
        <f>(((((((IF((IF('Supuestos'!$C$13=0,0,'Supuestos'!$C$10/'Supuestos'!$C$13))=0,0,'Supuestos'!$C$8/(IF('Supuestos'!$C$13=0,0,'Supuestos'!$C$10/'Supuestos'!$C$13))))*'Supuestos'!$C$14)+(((IF((IF('Supuestos'!$C$13=0,0,'Supuestos'!$C$10/'Supuestos'!$C$13))=0,0,'Supuestos'!$C$8/(IF('Supuestos'!$C$13=0,0,'Supuestos'!$C$10/'Supuestos'!$C$13))))*'Supuestos'!$C$16)*'Supuestos'!$C$15))+((((((IF((IF('Supuestos'!$C$13=0,0,'Supuestos'!$C$10/'Supuestos'!$C$13))=0,0,'Supuestos'!$C$8/(IF('Supuestos'!$C$13=0,0,'Supuestos'!$C$10/'Supuestos'!$C$13))))*'Supuestos'!$C$20)*'Supuestos'!$C$25)+(((IF((IF('Supuestos'!$C$13=0,0,'Supuestos'!$C$10/'Supuestos'!$C$13))=0,0,'Supuestos'!$C$8/(IF('Supuestos'!$C$13=0,0,'Supuestos'!$C$10/'Supuestos'!$C$13))))*'Supuestos'!$C$21)*'Supuestos'!$C$26))*F$9)*$B13)+(((((((IF((IF('Supuestos'!$C$13=0,0,'Supuestos'!$C$10/'Supuestos'!$C$13))=0,0,'Supuestos'!$C$8/(IF('Supuestos'!$C$13=0,0,'Supuestos'!$C$10/'Supuestos'!$C$13))))*'Supuestos'!$C$20)*'Supuestos'!$C$25)+(((IF((IF('Supuestos'!$C$13=0,0,'Supuestos'!$C$10/'Supuestos'!$C$13))=0,0,'Supuestos'!$C$8/(IF('Supuestos'!$C$13=0,0,'Supuestos'!$C$10/'Supuestos'!$C$13))))*'Supuestos'!$C$21)*'Supuestos'!$C$26))*F$9)*'Supuestos'!$C$29)*'Supuestos'!$C$28))*('Supuestos'!$C$39+'Supuestos'!$C$40+'Supuestos'!$C$41))*(1-'Supuestos'!$C$32-'Supuestos'!$C$33-'Supuestos'!$C$34))-((IF((IF('Supuestos'!$C$13=0,0,'Supuestos'!$C$10/'Supuestos'!$C$13))=0,0,'Supuestos'!$C$8/(IF('Supuestos'!$C$13=0,0,'Supuestos'!$C$10/'Supuestos'!$C$13))))*'Supuestos'!$C$35)-'Supuestos'!$C$36-'Supuestos'!$C$8)</f>
        <v/>
      </c>
      <c r="G13" s="20">
        <f>(((((((IF((IF('Supuestos'!$C$13=0,0,'Supuestos'!$C$10/'Supuestos'!$C$13))=0,0,'Supuestos'!$C$8/(IF('Supuestos'!$C$13=0,0,'Supuestos'!$C$10/'Supuestos'!$C$13))))*'Supuestos'!$C$14)+(((IF((IF('Supuestos'!$C$13=0,0,'Supuestos'!$C$10/'Supuestos'!$C$13))=0,0,'Supuestos'!$C$8/(IF('Supuestos'!$C$13=0,0,'Supuestos'!$C$10/'Supuestos'!$C$13))))*'Supuestos'!$C$16)*'Supuestos'!$C$15))+((((((IF((IF('Supuestos'!$C$13=0,0,'Supuestos'!$C$10/'Supuestos'!$C$13))=0,0,'Supuestos'!$C$8/(IF('Supuestos'!$C$13=0,0,'Supuestos'!$C$10/'Supuestos'!$C$13))))*'Supuestos'!$C$20)*'Supuestos'!$C$25)+(((IF((IF('Supuestos'!$C$13=0,0,'Supuestos'!$C$10/'Supuestos'!$C$13))=0,0,'Supuestos'!$C$8/(IF('Supuestos'!$C$13=0,0,'Supuestos'!$C$10/'Supuestos'!$C$13))))*'Supuestos'!$C$21)*'Supuestos'!$C$26))*G$9)*$B13)+(((((((IF((IF('Supuestos'!$C$13=0,0,'Supuestos'!$C$10/'Supuestos'!$C$13))=0,0,'Supuestos'!$C$8/(IF('Supuestos'!$C$13=0,0,'Supuestos'!$C$10/'Supuestos'!$C$13))))*'Supuestos'!$C$20)*'Supuestos'!$C$25)+(((IF((IF('Supuestos'!$C$13=0,0,'Supuestos'!$C$10/'Supuestos'!$C$13))=0,0,'Supuestos'!$C$8/(IF('Supuestos'!$C$13=0,0,'Supuestos'!$C$10/'Supuestos'!$C$13))))*'Supuestos'!$C$21)*'Supuestos'!$C$26))*G$9)*'Supuestos'!$C$29)*'Supuestos'!$C$28))*('Supuestos'!$C$39+'Supuestos'!$C$40+'Supuestos'!$C$41))*(1-'Supuestos'!$C$32-'Supuestos'!$C$33-'Supuestos'!$C$34))-((IF((IF('Supuestos'!$C$13=0,0,'Supuestos'!$C$10/'Supuestos'!$C$13))=0,0,'Supuestos'!$C$8/(IF('Supuestos'!$C$13=0,0,'Supuestos'!$C$10/'Supuestos'!$C$13))))*'Supuestos'!$C$35)-'Supuestos'!$C$36-'Supuestos'!$C$8)</f>
        <v/>
      </c>
    </row>
    <row r="14">
      <c r="B14" s="31" t="n">
        <v>1997</v>
      </c>
      <c r="C14" s="20">
        <f>(((((((IF((IF('Supuestos'!$C$13=0,0,'Supuestos'!$C$10/'Supuestos'!$C$13))=0,0,'Supuestos'!$C$8/(IF('Supuestos'!$C$13=0,0,'Supuestos'!$C$10/'Supuestos'!$C$13))))*'Supuestos'!$C$14)+(((IF((IF('Supuestos'!$C$13=0,0,'Supuestos'!$C$10/'Supuestos'!$C$13))=0,0,'Supuestos'!$C$8/(IF('Supuestos'!$C$13=0,0,'Supuestos'!$C$10/'Supuestos'!$C$13))))*'Supuestos'!$C$16)*'Supuestos'!$C$15))+((((((IF((IF('Supuestos'!$C$13=0,0,'Supuestos'!$C$10/'Supuestos'!$C$13))=0,0,'Supuestos'!$C$8/(IF('Supuestos'!$C$13=0,0,'Supuestos'!$C$10/'Supuestos'!$C$13))))*'Supuestos'!$C$20)*'Supuestos'!$C$25)+(((IF((IF('Supuestos'!$C$13=0,0,'Supuestos'!$C$10/'Supuestos'!$C$13))=0,0,'Supuestos'!$C$8/(IF('Supuestos'!$C$13=0,0,'Supuestos'!$C$10/'Supuestos'!$C$13))))*'Supuestos'!$C$21)*'Supuestos'!$C$26))*C$9)*$B14)+(((((((IF((IF('Supuestos'!$C$13=0,0,'Supuestos'!$C$10/'Supuestos'!$C$13))=0,0,'Supuestos'!$C$8/(IF('Supuestos'!$C$13=0,0,'Supuestos'!$C$10/'Supuestos'!$C$13))))*'Supuestos'!$C$20)*'Supuestos'!$C$25)+(((IF((IF('Supuestos'!$C$13=0,0,'Supuestos'!$C$10/'Supuestos'!$C$13))=0,0,'Supuestos'!$C$8/(IF('Supuestos'!$C$13=0,0,'Supuestos'!$C$10/'Supuestos'!$C$13))))*'Supuestos'!$C$21)*'Supuestos'!$C$26))*C$9)*'Supuestos'!$C$29)*'Supuestos'!$C$28))*('Supuestos'!$C$39+'Supuestos'!$C$40+'Supuestos'!$C$41))*(1-'Supuestos'!$C$32-'Supuestos'!$C$33-'Supuestos'!$C$34))-((IF((IF('Supuestos'!$C$13=0,0,'Supuestos'!$C$10/'Supuestos'!$C$13))=0,0,'Supuestos'!$C$8/(IF('Supuestos'!$C$13=0,0,'Supuestos'!$C$10/'Supuestos'!$C$13))))*'Supuestos'!$C$35)-'Supuestos'!$C$36-'Supuestos'!$C$8)</f>
        <v/>
      </c>
      <c r="D14" s="20">
        <f>(((((((IF((IF('Supuestos'!$C$13=0,0,'Supuestos'!$C$10/'Supuestos'!$C$13))=0,0,'Supuestos'!$C$8/(IF('Supuestos'!$C$13=0,0,'Supuestos'!$C$10/'Supuestos'!$C$13))))*'Supuestos'!$C$14)+(((IF((IF('Supuestos'!$C$13=0,0,'Supuestos'!$C$10/'Supuestos'!$C$13))=0,0,'Supuestos'!$C$8/(IF('Supuestos'!$C$13=0,0,'Supuestos'!$C$10/'Supuestos'!$C$13))))*'Supuestos'!$C$16)*'Supuestos'!$C$15))+((((((IF((IF('Supuestos'!$C$13=0,0,'Supuestos'!$C$10/'Supuestos'!$C$13))=0,0,'Supuestos'!$C$8/(IF('Supuestos'!$C$13=0,0,'Supuestos'!$C$10/'Supuestos'!$C$13))))*'Supuestos'!$C$20)*'Supuestos'!$C$25)+(((IF((IF('Supuestos'!$C$13=0,0,'Supuestos'!$C$10/'Supuestos'!$C$13))=0,0,'Supuestos'!$C$8/(IF('Supuestos'!$C$13=0,0,'Supuestos'!$C$10/'Supuestos'!$C$13))))*'Supuestos'!$C$21)*'Supuestos'!$C$26))*D$9)*$B14)+(((((((IF((IF('Supuestos'!$C$13=0,0,'Supuestos'!$C$10/'Supuestos'!$C$13))=0,0,'Supuestos'!$C$8/(IF('Supuestos'!$C$13=0,0,'Supuestos'!$C$10/'Supuestos'!$C$13))))*'Supuestos'!$C$20)*'Supuestos'!$C$25)+(((IF((IF('Supuestos'!$C$13=0,0,'Supuestos'!$C$10/'Supuestos'!$C$13))=0,0,'Supuestos'!$C$8/(IF('Supuestos'!$C$13=0,0,'Supuestos'!$C$10/'Supuestos'!$C$13))))*'Supuestos'!$C$21)*'Supuestos'!$C$26))*D$9)*'Supuestos'!$C$29)*'Supuestos'!$C$28))*('Supuestos'!$C$39+'Supuestos'!$C$40+'Supuestos'!$C$41))*(1-'Supuestos'!$C$32-'Supuestos'!$C$33-'Supuestos'!$C$34))-((IF((IF('Supuestos'!$C$13=0,0,'Supuestos'!$C$10/'Supuestos'!$C$13))=0,0,'Supuestos'!$C$8/(IF('Supuestos'!$C$13=0,0,'Supuestos'!$C$10/'Supuestos'!$C$13))))*'Supuestos'!$C$35)-'Supuestos'!$C$36-'Supuestos'!$C$8)</f>
        <v/>
      </c>
      <c r="E14" s="20">
        <f>(((((((IF((IF('Supuestos'!$C$13=0,0,'Supuestos'!$C$10/'Supuestos'!$C$13))=0,0,'Supuestos'!$C$8/(IF('Supuestos'!$C$13=0,0,'Supuestos'!$C$10/'Supuestos'!$C$13))))*'Supuestos'!$C$14)+(((IF((IF('Supuestos'!$C$13=0,0,'Supuestos'!$C$10/'Supuestos'!$C$13))=0,0,'Supuestos'!$C$8/(IF('Supuestos'!$C$13=0,0,'Supuestos'!$C$10/'Supuestos'!$C$13))))*'Supuestos'!$C$16)*'Supuestos'!$C$15))+((((((IF((IF('Supuestos'!$C$13=0,0,'Supuestos'!$C$10/'Supuestos'!$C$13))=0,0,'Supuestos'!$C$8/(IF('Supuestos'!$C$13=0,0,'Supuestos'!$C$10/'Supuestos'!$C$13))))*'Supuestos'!$C$20)*'Supuestos'!$C$25)+(((IF((IF('Supuestos'!$C$13=0,0,'Supuestos'!$C$10/'Supuestos'!$C$13))=0,0,'Supuestos'!$C$8/(IF('Supuestos'!$C$13=0,0,'Supuestos'!$C$10/'Supuestos'!$C$13))))*'Supuestos'!$C$21)*'Supuestos'!$C$26))*E$9)*$B14)+(((((((IF((IF('Supuestos'!$C$13=0,0,'Supuestos'!$C$10/'Supuestos'!$C$13))=0,0,'Supuestos'!$C$8/(IF('Supuestos'!$C$13=0,0,'Supuestos'!$C$10/'Supuestos'!$C$13))))*'Supuestos'!$C$20)*'Supuestos'!$C$25)+(((IF((IF('Supuestos'!$C$13=0,0,'Supuestos'!$C$10/'Supuestos'!$C$13))=0,0,'Supuestos'!$C$8/(IF('Supuestos'!$C$13=0,0,'Supuestos'!$C$10/'Supuestos'!$C$13))))*'Supuestos'!$C$21)*'Supuestos'!$C$26))*E$9)*'Supuestos'!$C$29)*'Supuestos'!$C$28))*('Supuestos'!$C$39+'Supuestos'!$C$40+'Supuestos'!$C$41))*(1-'Supuestos'!$C$32-'Supuestos'!$C$33-'Supuestos'!$C$34))-((IF((IF('Supuestos'!$C$13=0,0,'Supuestos'!$C$10/'Supuestos'!$C$13))=0,0,'Supuestos'!$C$8/(IF('Supuestos'!$C$13=0,0,'Supuestos'!$C$10/'Supuestos'!$C$13))))*'Supuestos'!$C$35)-'Supuestos'!$C$36-'Supuestos'!$C$8)</f>
        <v/>
      </c>
      <c r="F14" s="20">
        <f>(((((((IF((IF('Supuestos'!$C$13=0,0,'Supuestos'!$C$10/'Supuestos'!$C$13))=0,0,'Supuestos'!$C$8/(IF('Supuestos'!$C$13=0,0,'Supuestos'!$C$10/'Supuestos'!$C$13))))*'Supuestos'!$C$14)+(((IF((IF('Supuestos'!$C$13=0,0,'Supuestos'!$C$10/'Supuestos'!$C$13))=0,0,'Supuestos'!$C$8/(IF('Supuestos'!$C$13=0,0,'Supuestos'!$C$10/'Supuestos'!$C$13))))*'Supuestos'!$C$16)*'Supuestos'!$C$15))+((((((IF((IF('Supuestos'!$C$13=0,0,'Supuestos'!$C$10/'Supuestos'!$C$13))=0,0,'Supuestos'!$C$8/(IF('Supuestos'!$C$13=0,0,'Supuestos'!$C$10/'Supuestos'!$C$13))))*'Supuestos'!$C$20)*'Supuestos'!$C$25)+(((IF((IF('Supuestos'!$C$13=0,0,'Supuestos'!$C$10/'Supuestos'!$C$13))=0,0,'Supuestos'!$C$8/(IF('Supuestos'!$C$13=0,0,'Supuestos'!$C$10/'Supuestos'!$C$13))))*'Supuestos'!$C$21)*'Supuestos'!$C$26))*F$9)*$B14)+(((((((IF((IF('Supuestos'!$C$13=0,0,'Supuestos'!$C$10/'Supuestos'!$C$13))=0,0,'Supuestos'!$C$8/(IF('Supuestos'!$C$13=0,0,'Supuestos'!$C$10/'Supuestos'!$C$13))))*'Supuestos'!$C$20)*'Supuestos'!$C$25)+(((IF((IF('Supuestos'!$C$13=0,0,'Supuestos'!$C$10/'Supuestos'!$C$13))=0,0,'Supuestos'!$C$8/(IF('Supuestos'!$C$13=0,0,'Supuestos'!$C$10/'Supuestos'!$C$13))))*'Supuestos'!$C$21)*'Supuestos'!$C$26))*F$9)*'Supuestos'!$C$29)*'Supuestos'!$C$28))*('Supuestos'!$C$39+'Supuestos'!$C$40+'Supuestos'!$C$41))*(1-'Supuestos'!$C$32-'Supuestos'!$C$33-'Supuestos'!$C$34))-((IF((IF('Supuestos'!$C$13=0,0,'Supuestos'!$C$10/'Supuestos'!$C$13))=0,0,'Supuestos'!$C$8/(IF('Supuestos'!$C$13=0,0,'Supuestos'!$C$10/'Supuestos'!$C$13))))*'Supuestos'!$C$35)-'Supuestos'!$C$36-'Supuestos'!$C$8)</f>
        <v/>
      </c>
      <c r="G14" s="20">
        <f>(((((((IF((IF('Supuestos'!$C$13=0,0,'Supuestos'!$C$10/'Supuestos'!$C$13))=0,0,'Supuestos'!$C$8/(IF('Supuestos'!$C$13=0,0,'Supuestos'!$C$10/'Supuestos'!$C$13))))*'Supuestos'!$C$14)+(((IF((IF('Supuestos'!$C$13=0,0,'Supuestos'!$C$10/'Supuestos'!$C$13))=0,0,'Supuestos'!$C$8/(IF('Supuestos'!$C$13=0,0,'Supuestos'!$C$10/'Supuestos'!$C$13))))*'Supuestos'!$C$16)*'Supuestos'!$C$15))+((((((IF((IF('Supuestos'!$C$13=0,0,'Supuestos'!$C$10/'Supuestos'!$C$13))=0,0,'Supuestos'!$C$8/(IF('Supuestos'!$C$13=0,0,'Supuestos'!$C$10/'Supuestos'!$C$13))))*'Supuestos'!$C$20)*'Supuestos'!$C$25)+(((IF((IF('Supuestos'!$C$13=0,0,'Supuestos'!$C$10/'Supuestos'!$C$13))=0,0,'Supuestos'!$C$8/(IF('Supuestos'!$C$13=0,0,'Supuestos'!$C$10/'Supuestos'!$C$13))))*'Supuestos'!$C$21)*'Supuestos'!$C$26))*G$9)*$B14)+(((((((IF((IF('Supuestos'!$C$13=0,0,'Supuestos'!$C$10/'Supuestos'!$C$13))=0,0,'Supuestos'!$C$8/(IF('Supuestos'!$C$13=0,0,'Supuestos'!$C$10/'Supuestos'!$C$13))))*'Supuestos'!$C$20)*'Supuestos'!$C$25)+(((IF((IF('Supuestos'!$C$13=0,0,'Supuestos'!$C$10/'Supuestos'!$C$13))=0,0,'Supuestos'!$C$8/(IF('Supuestos'!$C$13=0,0,'Supuestos'!$C$10/'Supuestos'!$C$13))))*'Supuestos'!$C$21)*'Supuestos'!$C$26))*G$9)*'Supuestos'!$C$29)*'Supuestos'!$C$28))*('Supuestos'!$C$39+'Supuestos'!$C$40+'Supuestos'!$C$41))*(1-'Supuestos'!$C$32-'Supuestos'!$C$33-'Supuestos'!$C$34))-((IF((IF('Supuestos'!$C$13=0,0,'Supuestos'!$C$10/'Supuestos'!$C$13))=0,0,'Supuestos'!$C$8/(IF('Supuestos'!$C$13=0,0,'Supuestos'!$C$10/'Supuestos'!$C$13))))*'Supuestos'!$C$35)-'Supuestos'!$C$36-'Supuestos'!$C$8)</f>
        <v/>
      </c>
    </row>
    <row r="17">
      <c r="B17" s="4" t="inlineStr">
        <is>
          <t>Costo por entrada × % de asistentes en vivo que solicitan → ganancia del lanzamiento</t>
        </is>
      </c>
    </row>
    <row r="18">
      <c r="B18" s="3" t="inlineStr">
        <is>
          <t>Hasta cuánto pagar por cada entrada según lo que mueve el evento.</t>
        </is>
      </c>
    </row>
    <row r="19">
      <c r="B19" s="4" t="inlineStr">
        <is>
          <t>Costo por entrada ↓  /  % en vivo que solicita →</t>
        </is>
      </c>
      <c r="C19" s="30" t="n">
        <v>0.08</v>
      </c>
      <c r="D19" s="30" t="n">
        <v>0.12</v>
      </c>
      <c r="E19" s="30" t="n">
        <v>0.16</v>
      </c>
      <c r="F19" s="30" t="n">
        <v>0.2</v>
      </c>
      <c r="G19" s="30" t="n">
        <v>0.25</v>
      </c>
    </row>
    <row r="20">
      <c r="B20" s="32" t="n">
        <v>8</v>
      </c>
      <c r="C20" s="20">
        <f>(((((((IF($B20=0,0,'Supuestos'!$C$8/$B20))*'Supuestos'!$C$14)+(((IF($B20=0,0,'Supuestos'!$C$8/$B20))*'Supuestos'!$C$16)*'Supuestos'!$C$15))+((((((IF($B20=0,0,'Supuestos'!$C$8/$B20))*'Supuestos'!$C$20)*C$19)+(((IF($B20=0,0,'Supuestos'!$C$8/$B20))*'Supuestos'!$C$21)*'Supuestos'!$C$26))*'Supuestos'!$C$27)*'Supuestos'!$C$24)+(((((((IF($B20=0,0,'Supuestos'!$C$8/$B20))*'Supuestos'!$C$20)*C$19)+(((IF($B20=0,0,'Supuestos'!$C$8/$B20))*'Supuestos'!$C$21)*'Supuestos'!$C$26))*'Supuestos'!$C$27)*'Supuestos'!$C$29)*'Supuestos'!$C$28))*('Supuestos'!$C$39+'Supuestos'!$C$40+'Supuestos'!$C$41))*(1-'Supuestos'!$C$32-'Supuestos'!$C$33-'Supuestos'!$C$34))-((IF($B20=0,0,'Supuestos'!$C$8/$B20))*'Supuestos'!$C$35)-'Supuestos'!$C$36-'Supuestos'!$C$8)</f>
        <v/>
      </c>
      <c r="D20" s="20">
        <f>(((((((IF($B20=0,0,'Supuestos'!$C$8/$B20))*'Supuestos'!$C$14)+(((IF($B20=0,0,'Supuestos'!$C$8/$B20))*'Supuestos'!$C$16)*'Supuestos'!$C$15))+((((((IF($B20=0,0,'Supuestos'!$C$8/$B20))*'Supuestos'!$C$20)*D$19)+(((IF($B20=0,0,'Supuestos'!$C$8/$B20))*'Supuestos'!$C$21)*'Supuestos'!$C$26))*'Supuestos'!$C$27)*'Supuestos'!$C$24)+(((((((IF($B20=0,0,'Supuestos'!$C$8/$B20))*'Supuestos'!$C$20)*D$19)+(((IF($B20=0,0,'Supuestos'!$C$8/$B20))*'Supuestos'!$C$21)*'Supuestos'!$C$26))*'Supuestos'!$C$27)*'Supuestos'!$C$29)*'Supuestos'!$C$28))*('Supuestos'!$C$39+'Supuestos'!$C$40+'Supuestos'!$C$41))*(1-'Supuestos'!$C$32-'Supuestos'!$C$33-'Supuestos'!$C$34))-((IF($B20=0,0,'Supuestos'!$C$8/$B20))*'Supuestos'!$C$35)-'Supuestos'!$C$36-'Supuestos'!$C$8)</f>
        <v/>
      </c>
      <c r="E20" s="20">
        <f>(((((((IF($B20=0,0,'Supuestos'!$C$8/$B20))*'Supuestos'!$C$14)+(((IF($B20=0,0,'Supuestos'!$C$8/$B20))*'Supuestos'!$C$16)*'Supuestos'!$C$15))+((((((IF($B20=0,0,'Supuestos'!$C$8/$B20))*'Supuestos'!$C$20)*E$19)+(((IF($B20=0,0,'Supuestos'!$C$8/$B20))*'Supuestos'!$C$21)*'Supuestos'!$C$26))*'Supuestos'!$C$27)*'Supuestos'!$C$24)+(((((((IF($B20=0,0,'Supuestos'!$C$8/$B20))*'Supuestos'!$C$20)*E$19)+(((IF($B20=0,0,'Supuestos'!$C$8/$B20))*'Supuestos'!$C$21)*'Supuestos'!$C$26))*'Supuestos'!$C$27)*'Supuestos'!$C$29)*'Supuestos'!$C$28))*('Supuestos'!$C$39+'Supuestos'!$C$40+'Supuestos'!$C$41))*(1-'Supuestos'!$C$32-'Supuestos'!$C$33-'Supuestos'!$C$34))-((IF($B20=0,0,'Supuestos'!$C$8/$B20))*'Supuestos'!$C$35)-'Supuestos'!$C$36-'Supuestos'!$C$8)</f>
        <v/>
      </c>
      <c r="F20" s="20">
        <f>(((((((IF($B20=0,0,'Supuestos'!$C$8/$B20))*'Supuestos'!$C$14)+(((IF($B20=0,0,'Supuestos'!$C$8/$B20))*'Supuestos'!$C$16)*'Supuestos'!$C$15))+((((((IF($B20=0,0,'Supuestos'!$C$8/$B20))*'Supuestos'!$C$20)*F$19)+(((IF($B20=0,0,'Supuestos'!$C$8/$B20))*'Supuestos'!$C$21)*'Supuestos'!$C$26))*'Supuestos'!$C$27)*'Supuestos'!$C$24)+(((((((IF($B20=0,0,'Supuestos'!$C$8/$B20))*'Supuestos'!$C$20)*F$19)+(((IF($B20=0,0,'Supuestos'!$C$8/$B20))*'Supuestos'!$C$21)*'Supuestos'!$C$26))*'Supuestos'!$C$27)*'Supuestos'!$C$29)*'Supuestos'!$C$28))*('Supuestos'!$C$39+'Supuestos'!$C$40+'Supuestos'!$C$41))*(1-'Supuestos'!$C$32-'Supuestos'!$C$33-'Supuestos'!$C$34))-((IF($B20=0,0,'Supuestos'!$C$8/$B20))*'Supuestos'!$C$35)-'Supuestos'!$C$36-'Supuestos'!$C$8)</f>
        <v/>
      </c>
      <c r="G20" s="20">
        <f>(((((((IF($B20=0,0,'Supuestos'!$C$8/$B20))*'Supuestos'!$C$14)+(((IF($B20=0,0,'Supuestos'!$C$8/$B20))*'Supuestos'!$C$16)*'Supuestos'!$C$15))+((((((IF($B20=0,0,'Supuestos'!$C$8/$B20))*'Supuestos'!$C$20)*G$19)+(((IF($B20=0,0,'Supuestos'!$C$8/$B20))*'Supuestos'!$C$21)*'Supuestos'!$C$26))*'Supuestos'!$C$27)*'Supuestos'!$C$24)+(((((((IF($B20=0,0,'Supuestos'!$C$8/$B20))*'Supuestos'!$C$20)*G$19)+(((IF($B20=0,0,'Supuestos'!$C$8/$B20))*'Supuestos'!$C$21)*'Supuestos'!$C$26))*'Supuestos'!$C$27)*'Supuestos'!$C$29)*'Supuestos'!$C$28))*('Supuestos'!$C$39+'Supuestos'!$C$40+'Supuestos'!$C$41))*(1-'Supuestos'!$C$32-'Supuestos'!$C$33-'Supuestos'!$C$34))-((IF($B20=0,0,'Supuestos'!$C$8/$B20))*'Supuestos'!$C$35)-'Supuestos'!$C$36-'Supuestos'!$C$8)</f>
        <v/>
      </c>
    </row>
    <row r="21">
      <c r="B21" s="32" t="n">
        <v>12</v>
      </c>
      <c r="C21" s="20">
        <f>(((((((IF($B21=0,0,'Supuestos'!$C$8/$B21))*'Supuestos'!$C$14)+(((IF($B21=0,0,'Supuestos'!$C$8/$B21))*'Supuestos'!$C$16)*'Supuestos'!$C$15))+((((((IF($B21=0,0,'Supuestos'!$C$8/$B21))*'Supuestos'!$C$20)*C$19)+(((IF($B21=0,0,'Supuestos'!$C$8/$B21))*'Supuestos'!$C$21)*'Supuestos'!$C$26))*'Supuestos'!$C$27)*'Supuestos'!$C$24)+(((((((IF($B21=0,0,'Supuestos'!$C$8/$B21))*'Supuestos'!$C$20)*C$19)+(((IF($B21=0,0,'Supuestos'!$C$8/$B21))*'Supuestos'!$C$21)*'Supuestos'!$C$26))*'Supuestos'!$C$27)*'Supuestos'!$C$29)*'Supuestos'!$C$28))*('Supuestos'!$C$39+'Supuestos'!$C$40+'Supuestos'!$C$41))*(1-'Supuestos'!$C$32-'Supuestos'!$C$33-'Supuestos'!$C$34))-((IF($B21=0,0,'Supuestos'!$C$8/$B21))*'Supuestos'!$C$35)-'Supuestos'!$C$36-'Supuestos'!$C$8)</f>
        <v/>
      </c>
      <c r="D21" s="20">
        <f>(((((((IF($B21=0,0,'Supuestos'!$C$8/$B21))*'Supuestos'!$C$14)+(((IF($B21=0,0,'Supuestos'!$C$8/$B21))*'Supuestos'!$C$16)*'Supuestos'!$C$15))+((((((IF($B21=0,0,'Supuestos'!$C$8/$B21))*'Supuestos'!$C$20)*D$19)+(((IF($B21=0,0,'Supuestos'!$C$8/$B21))*'Supuestos'!$C$21)*'Supuestos'!$C$26))*'Supuestos'!$C$27)*'Supuestos'!$C$24)+(((((((IF($B21=0,0,'Supuestos'!$C$8/$B21))*'Supuestos'!$C$20)*D$19)+(((IF($B21=0,0,'Supuestos'!$C$8/$B21))*'Supuestos'!$C$21)*'Supuestos'!$C$26))*'Supuestos'!$C$27)*'Supuestos'!$C$29)*'Supuestos'!$C$28))*('Supuestos'!$C$39+'Supuestos'!$C$40+'Supuestos'!$C$41))*(1-'Supuestos'!$C$32-'Supuestos'!$C$33-'Supuestos'!$C$34))-((IF($B21=0,0,'Supuestos'!$C$8/$B21))*'Supuestos'!$C$35)-'Supuestos'!$C$36-'Supuestos'!$C$8)</f>
        <v/>
      </c>
      <c r="E21" s="20">
        <f>(((((((IF($B21=0,0,'Supuestos'!$C$8/$B21))*'Supuestos'!$C$14)+(((IF($B21=0,0,'Supuestos'!$C$8/$B21))*'Supuestos'!$C$16)*'Supuestos'!$C$15))+((((((IF($B21=0,0,'Supuestos'!$C$8/$B21))*'Supuestos'!$C$20)*E$19)+(((IF($B21=0,0,'Supuestos'!$C$8/$B21))*'Supuestos'!$C$21)*'Supuestos'!$C$26))*'Supuestos'!$C$27)*'Supuestos'!$C$24)+(((((((IF($B21=0,0,'Supuestos'!$C$8/$B21))*'Supuestos'!$C$20)*E$19)+(((IF($B21=0,0,'Supuestos'!$C$8/$B21))*'Supuestos'!$C$21)*'Supuestos'!$C$26))*'Supuestos'!$C$27)*'Supuestos'!$C$29)*'Supuestos'!$C$28))*('Supuestos'!$C$39+'Supuestos'!$C$40+'Supuestos'!$C$41))*(1-'Supuestos'!$C$32-'Supuestos'!$C$33-'Supuestos'!$C$34))-((IF($B21=0,0,'Supuestos'!$C$8/$B21))*'Supuestos'!$C$35)-'Supuestos'!$C$36-'Supuestos'!$C$8)</f>
        <v/>
      </c>
      <c r="F21" s="20">
        <f>(((((((IF($B21=0,0,'Supuestos'!$C$8/$B21))*'Supuestos'!$C$14)+(((IF($B21=0,0,'Supuestos'!$C$8/$B21))*'Supuestos'!$C$16)*'Supuestos'!$C$15))+((((((IF($B21=0,0,'Supuestos'!$C$8/$B21))*'Supuestos'!$C$20)*F$19)+(((IF($B21=0,0,'Supuestos'!$C$8/$B21))*'Supuestos'!$C$21)*'Supuestos'!$C$26))*'Supuestos'!$C$27)*'Supuestos'!$C$24)+(((((((IF($B21=0,0,'Supuestos'!$C$8/$B21))*'Supuestos'!$C$20)*F$19)+(((IF($B21=0,0,'Supuestos'!$C$8/$B21))*'Supuestos'!$C$21)*'Supuestos'!$C$26))*'Supuestos'!$C$27)*'Supuestos'!$C$29)*'Supuestos'!$C$28))*('Supuestos'!$C$39+'Supuestos'!$C$40+'Supuestos'!$C$41))*(1-'Supuestos'!$C$32-'Supuestos'!$C$33-'Supuestos'!$C$34))-((IF($B21=0,0,'Supuestos'!$C$8/$B21))*'Supuestos'!$C$35)-'Supuestos'!$C$36-'Supuestos'!$C$8)</f>
        <v/>
      </c>
      <c r="G21" s="20">
        <f>(((((((IF($B21=0,0,'Supuestos'!$C$8/$B21))*'Supuestos'!$C$14)+(((IF($B21=0,0,'Supuestos'!$C$8/$B21))*'Supuestos'!$C$16)*'Supuestos'!$C$15))+((((((IF($B21=0,0,'Supuestos'!$C$8/$B21))*'Supuestos'!$C$20)*G$19)+(((IF($B21=0,0,'Supuestos'!$C$8/$B21))*'Supuestos'!$C$21)*'Supuestos'!$C$26))*'Supuestos'!$C$27)*'Supuestos'!$C$24)+(((((((IF($B21=0,0,'Supuestos'!$C$8/$B21))*'Supuestos'!$C$20)*G$19)+(((IF($B21=0,0,'Supuestos'!$C$8/$B21))*'Supuestos'!$C$21)*'Supuestos'!$C$26))*'Supuestos'!$C$27)*'Supuestos'!$C$29)*'Supuestos'!$C$28))*('Supuestos'!$C$39+'Supuestos'!$C$40+'Supuestos'!$C$41))*(1-'Supuestos'!$C$32-'Supuestos'!$C$33-'Supuestos'!$C$34))-((IF($B21=0,0,'Supuestos'!$C$8/$B21))*'Supuestos'!$C$35)-'Supuestos'!$C$36-'Supuestos'!$C$8)</f>
        <v/>
      </c>
    </row>
    <row r="22">
      <c r="B22" s="32" t="n">
        <v>15</v>
      </c>
      <c r="C22" s="20">
        <f>(((((((IF($B22=0,0,'Supuestos'!$C$8/$B22))*'Supuestos'!$C$14)+(((IF($B22=0,0,'Supuestos'!$C$8/$B22))*'Supuestos'!$C$16)*'Supuestos'!$C$15))+((((((IF($B22=0,0,'Supuestos'!$C$8/$B22))*'Supuestos'!$C$20)*C$19)+(((IF($B22=0,0,'Supuestos'!$C$8/$B22))*'Supuestos'!$C$21)*'Supuestos'!$C$26))*'Supuestos'!$C$27)*'Supuestos'!$C$24)+(((((((IF($B22=0,0,'Supuestos'!$C$8/$B22))*'Supuestos'!$C$20)*C$19)+(((IF($B22=0,0,'Supuestos'!$C$8/$B22))*'Supuestos'!$C$21)*'Supuestos'!$C$26))*'Supuestos'!$C$27)*'Supuestos'!$C$29)*'Supuestos'!$C$28))*('Supuestos'!$C$39+'Supuestos'!$C$40+'Supuestos'!$C$41))*(1-'Supuestos'!$C$32-'Supuestos'!$C$33-'Supuestos'!$C$34))-((IF($B22=0,0,'Supuestos'!$C$8/$B22))*'Supuestos'!$C$35)-'Supuestos'!$C$36-'Supuestos'!$C$8)</f>
        <v/>
      </c>
      <c r="D22" s="20">
        <f>(((((((IF($B22=0,0,'Supuestos'!$C$8/$B22))*'Supuestos'!$C$14)+(((IF($B22=0,0,'Supuestos'!$C$8/$B22))*'Supuestos'!$C$16)*'Supuestos'!$C$15))+((((((IF($B22=0,0,'Supuestos'!$C$8/$B22))*'Supuestos'!$C$20)*D$19)+(((IF($B22=0,0,'Supuestos'!$C$8/$B22))*'Supuestos'!$C$21)*'Supuestos'!$C$26))*'Supuestos'!$C$27)*'Supuestos'!$C$24)+(((((((IF($B22=0,0,'Supuestos'!$C$8/$B22))*'Supuestos'!$C$20)*D$19)+(((IF($B22=0,0,'Supuestos'!$C$8/$B22))*'Supuestos'!$C$21)*'Supuestos'!$C$26))*'Supuestos'!$C$27)*'Supuestos'!$C$29)*'Supuestos'!$C$28))*('Supuestos'!$C$39+'Supuestos'!$C$40+'Supuestos'!$C$41))*(1-'Supuestos'!$C$32-'Supuestos'!$C$33-'Supuestos'!$C$34))-((IF($B22=0,0,'Supuestos'!$C$8/$B22))*'Supuestos'!$C$35)-'Supuestos'!$C$36-'Supuestos'!$C$8)</f>
        <v/>
      </c>
      <c r="E22" s="20">
        <f>(((((((IF($B22=0,0,'Supuestos'!$C$8/$B22))*'Supuestos'!$C$14)+(((IF($B22=0,0,'Supuestos'!$C$8/$B22))*'Supuestos'!$C$16)*'Supuestos'!$C$15))+((((((IF($B22=0,0,'Supuestos'!$C$8/$B22))*'Supuestos'!$C$20)*E$19)+(((IF($B22=0,0,'Supuestos'!$C$8/$B22))*'Supuestos'!$C$21)*'Supuestos'!$C$26))*'Supuestos'!$C$27)*'Supuestos'!$C$24)+(((((((IF($B22=0,0,'Supuestos'!$C$8/$B22))*'Supuestos'!$C$20)*E$19)+(((IF($B22=0,0,'Supuestos'!$C$8/$B22))*'Supuestos'!$C$21)*'Supuestos'!$C$26))*'Supuestos'!$C$27)*'Supuestos'!$C$29)*'Supuestos'!$C$28))*('Supuestos'!$C$39+'Supuestos'!$C$40+'Supuestos'!$C$41))*(1-'Supuestos'!$C$32-'Supuestos'!$C$33-'Supuestos'!$C$34))-((IF($B22=0,0,'Supuestos'!$C$8/$B22))*'Supuestos'!$C$35)-'Supuestos'!$C$36-'Supuestos'!$C$8)</f>
        <v/>
      </c>
      <c r="F22" s="20">
        <f>(((((((IF($B22=0,0,'Supuestos'!$C$8/$B22))*'Supuestos'!$C$14)+(((IF($B22=0,0,'Supuestos'!$C$8/$B22))*'Supuestos'!$C$16)*'Supuestos'!$C$15))+((((((IF($B22=0,0,'Supuestos'!$C$8/$B22))*'Supuestos'!$C$20)*F$19)+(((IF($B22=0,0,'Supuestos'!$C$8/$B22))*'Supuestos'!$C$21)*'Supuestos'!$C$26))*'Supuestos'!$C$27)*'Supuestos'!$C$24)+(((((((IF($B22=0,0,'Supuestos'!$C$8/$B22))*'Supuestos'!$C$20)*F$19)+(((IF($B22=0,0,'Supuestos'!$C$8/$B22))*'Supuestos'!$C$21)*'Supuestos'!$C$26))*'Supuestos'!$C$27)*'Supuestos'!$C$29)*'Supuestos'!$C$28))*('Supuestos'!$C$39+'Supuestos'!$C$40+'Supuestos'!$C$41))*(1-'Supuestos'!$C$32-'Supuestos'!$C$33-'Supuestos'!$C$34))-((IF($B22=0,0,'Supuestos'!$C$8/$B22))*'Supuestos'!$C$35)-'Supuestos'!$C$36-'Supuestos'!$C$8)</f>
        <v/>
      </c>
      <c r="G22" s="20">
        <f>(((((((IF($B22=0,0,'Supuestos'!$C$8/$B22))*'Supuestos'!$C$14)+(((IF($B22=0,0,'Supuestos'!$C$8/$B22))*'Supuestos'!$C$16)*'Supuestos'!$C$15))+((((((IF($B22=0,0,'Supuestos'!$C$8/$B22))*'Supuestos'!$C$20)*G$19)+(((IF($B22=0,0,'Supuestos'!$C$8/$B22))*'Supuestos'!$C$21)*'Supuestos'!$C$26))*'Supuestos'!$C$27)*'Supuestos'!$C$24)+(((((((IF($B22=0,0,'Supuestos'!$C$8/$B22))*'Supuestos'!$C$20)*G$19)+(((IF($B22=0,0,'Supuestos'!$C$8/$B22))*'Supuestos'!$C$21)*'Supuestos'!$C$26))*'Supuestos'!$C$27)*'Supuestos'!$C$29)*'Supuestos'!$C$28))*('Supuestos'!$C$39+'Supuestos'!$C$40+'Supuestos'!$C$41))*(1-'Supuestos'!$C$32-'Supuestos'!$C$33-'Supuestos'!$C$34))-((IF($B22=0,0,'Supuestos'!$C$8/$B22))*'Supuestos'!$C$35)-'Supuestos'!$C$36-'Supuestos'!$C$8)</f>
        <v/>
      </c>
    </row>
    <row r="23">
      <c r="B23" s="32" t="n">
        <v>20</v>
      </c>
      <c r="C23" s="20">
        <f>(((((((IF($B23=0,0,'Supuestos'!$C$8/$B23))*'Supuestos'!$C$14)+(((IF($B23=0,0,'Supuestos'!$C$8/$B23))*'Supuestos'!$C$16)*'Supuestos'!$C$15))+((((((IF($B23=0,0,'Supuestos'!$C$8/$B23))*'Supuestos'!$C$20)*C$19)+(((IF($B23=0,0,'Supuestos'!$C$8/$B23))*'Supuestos'!$C$21)*'Supuestos'!$C$26))*'Supuestos'!$C$27)*'Supuestos'!$C$24)+(((((((IF($B23=0,0,'Supuestos'!$C$8/$B23))*'Supuestos'!$C$20)*C$19)+(((IF($B23=0,0,'Supuestos'!$C$8/$B23))*'Supuestos'!$C$21)*'Supuestos'!$C$26))*'Supuestos'!$C$27)*'Supuestos'!$C$29)*'Supuestos'!$C$28))*('Supuestos'!$C$39+'Supuestos'!$C$40+'Supuestos'!$C$41))*(1-'Supuestos'!$C$32-'Supuestos'!$C$33-'Supuestos'!$C$34))-((IF($B23=0,0,'Supuestos'!$C$8/$B23))*'Supuestos'!$C$35)-'Supuestos'!$C$36-'Supuestos'!$C$8)</f>
        <v/>
      </c>
      <c r="D23" s="20">
        <f>(((((((IF($B23=0,0,'Supuestos'!$C$8/$B23))*'Supuestos'!$C$14)+(((IF($B23=0,0,'Supuestos'!$C$8/$B23))*'Supuestos'!$C$16)*'Supuestos'!$C$15))+((((((IF($B23=0,0,'Supuestos'!$C$8/$B23))*'Supuestos'!$C$20)*D$19)+(((IF($B23=0,0,'Supuestos'!$C$8/$B23))*'Supuestos'!$C$21)*'Supuestos'!$C$26))*'Supuestos'!$C$27)*'Supuestos'!$C$24)+(((((((IF($B23=0,0,'Supuestos'!$C$8/$B23))*'Supuestos'!$C$20)*D$19)+(((IF($B23=0,0,'Supuestos'!$C$8/$B23))*'Supuestos'!$C$21)*'Supuestos'!$C$26))*'Supuestos'!$C$27)*'Supuestos'!$C$29)*'Supuestos'!$C$28))*('Supuestos'!$C$39+'Supuestos'!$C$40+'Supuestos'!$C$41))*(1-'Supuestos'!$C$32-'Supuestos'!$C$33-'Supuestos'!$C$34))-((IF($B23=0,0,'Supuestos'!$C$8/$B23))*'Supuestos'!$C$35)-'Supuestos'!$C$36-'Supuestos'!$C$8)</f>
        <v/>
      </c>
      <c r="E23" s="20">
        <f>(((((((IF($B23=0,0,'Supuestos'!$C$8/$B23))*'Supuestos'!$C$14)+(((IF($B23=0,0,'Supuestos'!$C$8/$B23))*'Supuestos'!$C$16)*'Supuestos'!$C$15))+((((((IF($B23=0,0,'Supuestos'!$C$8/$B23))*'Supuestos'!$C$20)*E$19)+(((IF($B23=0,0,'Supuestos'!$C$8/$B23))*'Supuestos'!$C$21)*'Supuestos'!$C$26))*'Supuestos'!$C$27)*'Supuestos'!$C$24)+(((((((IF($B23=0,0,'Supuestos'!$C$8/$B23))*'Supuestos'!$C$20)*E$19)+(((IF($B23=0,0,'Supuestos'!$C$8/$B23))*'Supuestos'!$C$21)*'Supuestos'!$C$26))*'Supuestos'!$C$27)*'Supuestos'!$C$29)*'Supuestos'!$C$28))*('Supuestos'!$C$39+'Supuestos'!$C$40+'Supuestos'!$C$41))*(1-'Supuestos'!$C$32-'Supuestos'!$C$33-'Supuestos'!$C$34))-((IF($B23=0,0,'Supuestos'!$C$8/$B23))*'Supuestos'!$C$35)-'Supuestos'!$C$36-'Supuestos'!$C$8)</f>
        <v/>
      </c>
      <c r="F23" s="20">
        <f>(((((((IF($B23=0,0,'Supuestos'!$C$8/$B23))*'Supuestos'!$C$14)+(((IF($B23=0,0,'Supuestos'!$C$8/$B23))*'Supuestos'!$C$16)*'Supuestos'!$C$15))+((((((IF($B23=0,0,'Supuestos'!$C$8/$B23))*'Supuestos'!$C$20)*F$19)+(((IF($B23=0,0,'Supuestos'!$C$8/$B23))*'Supuestos'!$C$21)*'Supuestos'!$C$26))*'Supuestos'!$C$27)*'Supuestos'!$C$24)+(((((((IF($B23=0,0,'Supuestos'!$C$8/$B23))*'Supuestos'!$C$20)*F$19)+(((IF($B23=0,0,'Supuestos'!$C$8/$B23))*'Supuestos'!$C$21)*'Supuestos'!$C$26))*'Supuestos'!$C$27)*'Supuestos'!$C$29)*'Supuestos'!$C$28))*('Supuestos'!$C$39+'Supuestos'!$C$40+'Supuestos'!$C$41))*(1-'Supuestos'!$C$32-'Supuestos'!$C$33-'Supuestos'!$C$34))-((IF($B23=0,0,'Supuestos'!$C$8/$B23))*'Supuestos'!$C$35)-'Supuestos'!$C$36-'Supuestos'!$C$8)</f>
        <v/>
      </c>
      <c r="G23" s="20">
        <f>(((((((IF($B23=0,0,'Supuestos'!$C$8/$B23))*'Supuestos'!$C$14)+(((IF($B23=0,0,'Supuestos'!$C$8/$B23))*'Supuestos'!$C$16)*'Supuestos'!$C$15))+((((((IF($B23=0,0,'Supuestos'!$C$8/$B23))*'Supuestos'!$C$20)*G$19)+(((IF($B23=0,0,'Supuestos'!$C$8/$B23))*'Supuestos'!$C$21)*'Supuestos'!$C$26))*'Supuestos'!$C$27)*'Supuestos'!$C$24)+(((((((IF($B23=0,0,'Supuestos'!$C$8/$B23))*'Supuestos'!$C$20)*G$19)+(((IF($B23=0,0,'Supuestos'!$C$8/$B23))*'Supuestos'!$C$21)*'Supuestos'!$C$26))*'Supuestos'!$C$27)*'Supuestos'!$C$29)*'Supuestos'!$C$28))*('Supuestos'!$C$39+'Supuestos'!$C$40+'Supuestos'!$C$41))*(1-'Supuestos'!$C$32-'Supuestos'!$C$33-'Supuestos'!$C$34))-((IF($B23=0,0,'Supuestos'!$C$8/$B23))*'Supuestos'!$C$35)-'Supuestos'!$C$36-'Supuestos'!$C$8)</f>
        <v/>
      </c>
    </row>
    <row r="24">
      <c r="B24" s="32" t="n">
        <v>30</v>
      </c>
      <c r="C24" s="20">
        <f>(((((((IF($B24=0,0,'Supuestos'!$C$8/$B24))*'Supuestos'!$C$14)+(((IF($B24=0,0,'Supuestos'!$C$8/$B24))*'Supuestos'!$C$16)*'Supuestos'!$C$15))+((((((IF($B24=0,0,'Supuestos'!$C$8/$B24))*'Supuestos'!$C$20)*C$19)+(((IF($B24=0,0,'Supuestos'!$C$8/$B24))*'Supuestos'!$C$21)*'Supuestos'!$C$26))*'Supuestos'!$C$27)*'Supuestos'!$C$24)+(((((((IF($B24=0,0,'Supuestos'!$C$8/$B24))*'Supuestos'!$C$20)*C$19)+(((IF($B24=0,0,'Supuestos'!$C$8/$B24))*'Supuestos'!$C$21)*'Supuestos'!$C$26))*'Supuestos'!$C$27)*'Supuestos'!$C$29)*'Supuestos'!$C$28))*('Supuestos'!$C$39+'Supuestos'!$C$40+'Supuestos'!$C$41))*(1-'Supuestos'!$C$32-'Supuestos'!$C$33-'Supuestos'!$C$34))-((IF($B24=0,0,'Supuestos'!$C$8/$B24))*'Supuestos'!$C$35)-'Supuestos'!$C$36-'Supuestos'!$C$8)</f>
        <v/>
      </c>
      <c r="D24" s="20">
        <f>(((((((IF($B24=0,0,'Supuestos'!$C$8/$B24))*'Supuestos'!$C$14)+(((IF($B24=0,0,'Supuestos'!$C$8/$B24))*'Supuestos'!$C$16)*'Supuestos'!$C$15))+((((((IF($B24=0,0,'Supuestos'!$C$8/$B24))*'Supuestos'!$C$20)*D$19)+(((IF($B24=0,0,'Supuestos'!$C$8/$B24))*'Supuestos'!$C$21)*'Supuestos'!$C$26))*'Supuestos'!$C$27)*'Supuestos'!$C$24)+(((((((IF($B24=0,0,'Supuestos'!$C$8/$B24))*'Supuestos'!$C$20)*D$19)+(((IF($B24=0,0,'Supuestos'!$C$8/$B24))*'Supuestos'!$C$21)*'Supuestos'!$C$26))*'Supuestos'!$C$27)*'Supuestos'!$C$29)*'Supuestos'!$C$28))*('Supuestos'!$C$39+'Supuestos'!$C$40+'Supuestos'!$C$41))*(1-'Supuestos'!$C$32-'Supuestos'!$C$33-'Supuestos'!$C$34))-((IF($B24=0,0,'Supuestos'!$C$8/$B24))*'Supuestos'!$C$35)-'Supuestos'!$C$36-'Supuestos'!$C$8)</f>
        <v/>
      </c>
      <c r="E24" s="20">
        <f>(((((((IF($B24=0,0,'Supuestos'!$C$8/$B24))*'Supuestos'!$C$14)+(((IF($B24=0,0,'Supuestos'!$C$8/$B24))*'Supuestos'!$C$16)*'Supuestos'!$C$15))+((((((IF($B24=0,0,'Supuestos'!$C$8/$B24))*'Supuestos'!$C$20)*E$19)+(((IF($B24=0,0,'Supuestos'!$C$8/$B24))*'Supuestos'!$C$21)*'Supuestos'!$C$26))*'Supuestos'!$C$27)*'Supuestos'!$C$24)+(((((((IF($B24=0,0,'Supuestos'!$C$8/$B24))*'Supuestos'!$C$20)*E$19)+(((IF($B24=0,0,'Supuestos'!$C$8/$B24))*'Supuestos'!$C$21)*'Supuestos'!$C$26))*'Supuestos'!$C$27)*'Supuestos'!$C$29)*'Supuestos'!$C$28))*('Supuestos'!$C$39+'Supuestos'!$C$40+'Supuestos'!$C$41))*(1-'Supuestos'!$C$32-'Supuestos'!$C$33-'Supuestos'!$C$34))-((IF($B24=0,0,'Supuestos'!$C$8/$B24))*'Supuestos'!$C$35)-'Supuestos'!$C$36-'Supuestos'!$C$8)</f>
        <v/>
      </c>
      <c r="F24" s="20">
        <f>(((((((IF($B24=0,0,'Supuestos'!$C$8/$B24))*'Supuestos'!$C$14)+(((IF($B24=0,0,'Supuestos'!$C$8/$B24))*'Supuestos'!$C$16)*'Supuestos'!$C$15))+((((((IF($B24=0,0,'Supuestos'!$C$8/$B24))*'Supuestos'!$C$20)*F$19)+(((IF($B24=0,0,'Supuestos'!$C$8/$B24))*'Supuestos'!$C$21)*'Supuestos'!$C$26))*'Supuestos'!$C$27)*'Supuestos'!$C$24)+(((((((IF($B24=0,0,'Supuestos'!$C$8/$B24))*'Supuestos'!$C$20)*F$19)+(((IF($B24=0,0,'Supuestos'!$C$8/$B24))*'Supuestos'!$C$21)*'Supuestos'!$C$26))*'Supuestos'!$C$27)*'Supuestos'!$C$29)*'Supuestos'!$C$28))*('Supuestos'!$C$39+'Supuestos'!$C$40+'Supuestos'!$C$41))*(1-'Supuestos'!$C$32-'Supuestos'!$C$33-'Supuestos'!$C$34))-((IF($B24=0,0,'Supuestos'!$C$8/$B24))*'Supuestos'!$C$35)-'Supuestos'!$C$36-'Supuestos'!$C$8)</f>
        <v/>
      </c>
      <c r="G24" s="20">
        <f>(((((((IF($B24=0,0,'Supuestos'!$C$8/$B24))*'Supuestos'!$C$14)+(((IF($B24=0,0,'Supuestos'!$C$8/$B24))*'Supuestos'!$C$16)*'Supuestos'!$C$15))+((((((IF($B24=0,0,'Supuestos'!$C$8/$B24))*'Supuestos'!$C$20)*G$19)+(((IF($B24=0,0,'Supuestos'!$C$8/$B24))*'Supuestos'!$C$21)*'Supuestos'!$C$26))*'Supuestos'!$C$27)*'Supuestos'!$C$24)+(((((((IF($B24=0,0,'Supuestos'!$C$8/$B24))*'Supuestos'!$C$20)*G$19)+(((IF($B24=0,0,'Supuestos'!$C$8/$B24))*'Supuestos'!$C$21)*'Supuestos'!$C$26))*'Supuestos'!$C$27)*'Supuestos'!$C$29)*'Supuestos'!$C$28))*('Supuestos'!$C$39+'Supuestos'!$C$40+'Supuestos'!$C$41))*(1-'Supuestos'!$C$32-'Supuestos'!$C$33-'Supuestos'!$C$34))-((IF($B24=0,0,'Supuestos'!$C$8/$B24))*'Supuestos'!$C$35)-'Supuestos'!$C$36-'Supuestos'!$C$8)</f>
        <v/>
      </c>
    </row>
    <row r="25">
      <c r="B25" s="32" t="n">
        <v>40</v>
      </c>
      <c r="C25" s="20">
        <f>(((((((IF($B25=0,0,'Supuestos'!$C$8/$B25))*'Supuestos'!$C$14)+(((IF($B25=0,0,'Supuestos'!$C$8/$B25))*'Supuestos'!$C$16)*'Supuestos'!$C$15))+((((((IF($B25=0,0,'Supuestos'!$C$8/$B25))*'Supuestos'!$C$20)*C$19)+(((IF($B25=0,0,'Supuestos'!$C$8/$B25))*'Supuestos'!$C$21)*'Supuestos'!$C$26))*'Supuestos'!$C$27)*'Supuestos'!$C$24)+(((((((IF($B25=0,0,'Supuestos'!$C$8/$B25))*'Supuestos'!$C$20)*C$19)+(((IF($B25=0,0,'Supuestos'!$C$8/$B25))*'Supuestos'!$C$21)*'Supuestos'!$C$26))*'Supuestos'!$C$27)*'Supuestos'!$C$29)*'Supuestos'!$C$28))*('Supuestos'!$C$39+'Supuestos'!$C$40+'Supuestos'!$C$41))*(1-'Supuestos'!$C$32-'Supuestos'!$C$33-'Supuestos'!$C$34))-((IF($B25=0,0,'Supuestos'!$C$8/$B25))*'Supuestos'!$C$35)-'Supuestos'!$C$36-'Supuestos'!$C$8)</f>
        <v/>
      </c>
      <c r="D25" s="20">
        <f>(((((((IF($B25=0,0,'Supuestos'!$C$8/$B25))*'Supuestos'!$C$14)+(((IF($B25=0,0,'Supuestos'!$C$8/$B25))*'Supuestos'!$C$16)*'Supuestos'!$C$15))+((((((IF($B25=0,0,'Supuestos'!$C$8/$B25))*'Supuestos'!$C$20)*D$19)+(((IF($B25=0,0,'Supuestos'!$C$8/$B25))*'Supuestos'!$C$21)*'Supuestos'!$C$26))*'Supuestos'!$C$27)*'Supuestos'!$C$24)+(((((((IF($B25=0,0,'Supuestos'!$C$8/$B25))*'Supuestos'!$C$20)*D$19)+(((IF($B25=0,0,'Supuestos'!$C$8/$B25))*'Supuestos'!$C$21)*'Supuestos'!$C$26))*'Supuestos'!$C$27)*'Supuestos'!$C$29)*'Supuestos'!$C$28))*('Supuestos'!$C$39+'Supuestos'!$C$40+'Supuestos'!$C$41))*(1-'Supuestos'!$C$32-'Supuestos'!$C$33-'Supuestos'!$C$34))-((IF($B25=0,0,'Supuestos'!$C$8/$B25))*'Supuestos'!$C$35)-'Supuestos'!$C$36-'Supuestos'!$C$8)</f>
        <v/>
      </c>
      <c r="E25" s="20">
        <f>(((((((IF($B25=0,0,'Supuestos'!$C$8/$B25))*'Supuestos'!$C$14)+(((IF($B25=0,0,'Supuestos'!$C$8/$B25))*'Supuestos'!$C$16)*'Supuestos'!$C$15))+((((((IF($B25=0,0,'Supuestos'!$C$8/$B25))*'Supuestos'!$C$20)*E$19)+(((IF($B25=0,0,'Supuestos'!$C$8/$B25))*'Supuestos'!$C$21)*'Supuestos'!$C$26))*'Supuestos'!$C$27)*'Supuestos'!$C$24)+(((((((IF($B25=0,0,'Supuestos'!$C$8/$B25))*'Supuestos'!$C$20)*E$19)+(((IF($B25=0,0,'Supuestos'!$C$8/$B25))*'Supuestos'!$C$21)*'Supuestos'!$C$26))*'Supuestos'!$C$27)*'Supuestos'!$C$29)*'Supuestos'!$C$28))*('Supuestos'!$C$39+'Supuestos'!$C$40+'Supuestos'!$C$41))*(1-'Supuestos'!$C$32-'Supuestos'!$C$33-'Supuestos'!$C$34))-((IF($B25=0,0,'Supuestos'!$C$8/$B25))*'Supuestos'!$C$35)-'Supuestos'!$C$36-'Supuestos'!$C$8)</f>
        <v/>
      </c>
      <c r="F25" s="20">
        <f>(((((((IF($B25=0,0,'Supuestos'!$C$8/$B25))*'Supuestos'!$C$14)+(((IF($B25=0,0,'Supuestos'!$C$8/$B25))*'Supuestos'!$C$16)*'Supuestos'!$C$15))+((((((IF($B25=0,0,'Supuestos'!$C$8/$B25))*'Supuestos'!$C$20)*F$19)+(((IF($B25=0,0,'Supuestos'!$C$8/$B25))*'Supuestos'!$C$21)*'Supuestos'!$C$26))*'Supuestos'!$C$27)*'Supuestos'!$C$24)+(((((((IF($B25=0,0,'Supuestos'!$C$8/$B25))*'Supuestos'!$C$20)*F$19)+(((IF($B25=0,0,'Supuestos'!$C$8/$B25))*'Supuestos'!$C$21)*'Supuestos'!$C$26))*'Supuestos'!$C$27)*'Supuestos'!$C$29)*'Supuestos'!$C$28))*('Supuestos'!$C$39+'Supuestos'!$C$40+'Supuestos'!$C$41))*(1-'Supuestos'!$C$32-'Supuestos'!$C$33-'Supuestos'!$C$34))-((IF($B25=0,0,'Supuestos'!$C$8/$B25))*'Supuestos'!$C$35)-'Supuestos'!$C$36-'Supuestos'!$C$8)</f>
        <v/>
      </c>
      <c r="G25" s="20">
        <f>(((((((IF($B25=0,0,'Supuestos'!$C$8/$B25))*'Supuestos'!$C$14)+(((IF($B25=0,0,'Supuestos'!$C$8/$B25))*'Supuestos'!$C$16)*'Supuestos'!$C$15))+((((((IF($B25=0,0,'Supuestos'!$C$8/$B25))*'Supuestos'!$C$20)*G$19)+(((IF($B25=0,0,'Supuestos'!$C$8/$B25))*'Supuestos'!$C$21)*'Supuestos'!$C$26))*'Supuestos'!$C$27)*'Supuestos'!$C$24)+(((((((IF($B25=0,0,'Supuestos'!$C$8/$B25))*'Supuestos'!$C$20)*G$19)+(((IF($B25=0,0,'Supuestos'!$C$8/$B25))*'Supuestos'!$C$21)*'Supuestos'!$C$26))*'Supuestos'!$C$27)*'Supuestos'!$C$29)*'Supuestos'!$C$28))*('Supuestos'!$C$39+'Supuestos'!$C$40+'Supuestos'!$C$41))*(1-'Supuestos'!$C$32-'Supuestos'!$C$33-'Supuestos'!$C$34))-((IF($B25=0,0,'Supuestos'!$C$8/$B25))*'Supuestos'!$C$35)-'Supuestos'!$C$36-'Supuestos'!$C$8)</f>
        <v/>
      </c>
    </row>
    <row r="28">
      <c r="B28" s="4" t="inlineStr">
        <is>
          <t>Cuánto invertir para una facturación objetivo por lanzamiento, según el ROAS que querés</t>
        </is>
      </c>
    </row>
    <row r="29">
      <c r="B29" s="3" t="inlineStr">
        <is>
          <t>Inversión = facturación ÷ ROAS. Debajo: cuántas entradas hacen falta y cuánto podés pagar por cada una.</t>
        </is>
      </c>
    </row>
    <row r="30">
      <c r="B30" s="4" t="inlineStr">
        <is>
          <t>Facturación objetivo ↓ / ROAS objetivo →</t>
        </is>
      </c>
      <c r="C30" s="33" t="n">
        <v>1.5</v>
      </c>
      <c r="D30" s="33" t="n">
        <v>2</v>
      </c>
      <c r="E30" s="33" t="n">
        <v>2.5</v>
      </c>
      <c r="F30" s="33" t="n">
        <v>3</v>
      </c>
      <c r="G30" s="33" t="n">
        <v>4</v>
      </c>
    </row>
    <row r="31">
      <c r="B31" s="31" t="n">
        <v>5000</v>
      </c>
      <c r="C31" s="20">
        <f>$B31/C$30</f>
        <v/>
      </c>
      <c r="D31" s="20">
        <f>$B31/D$30</f>
        <v/>
      </c>
      <c r="E31" s="20">
        <f>$B31/E$30</f>
        <v/>
      </c>
      <c r="F31" s="20">
        <f>$B31/F$30</f>
        <v/>
      </c>
      <c r="G31" s="20">
        <f>$B31/G$30</f>
        <v/>
      </c>
    </row>
    <row r="32">
      <c r="B32" s="31" t="n">
        <v>10000</v>
      </c>
      <c r="C32" s="20">
        <f>$B32/C$30</f>
        <v/>
      </c>
      <c r="D32" s="20">
        <f>$B32/D$30</f>
        <v/>
      </c>
      <c r="E32" s="20">
        <f>$B32/E$30</f>
        <v/>
      </c>
      <c r="F32" s="20">
        <f>$B32/F$30</f>
        <v/>
      </c>
      <c r="G32" s="20">
        <f>$B32/G$30</f>
        <v/>
      </c>
    </row>
    <row r="33">
      <c r="B33" s="31" t="n">
        <v>20000</v>
      </c>
      <c r="C33" s="20">
        <f>$B33/C$30</f>
        <v/>
      </c>
      <c r="D33" s="20">
        <f>$B33/D$30</f>
        <v/>
      </c>
      <c r="E33" s="20">
        <f>$B33/E$30</f>
        <v/>
      </c>
      <c r="F33" s="20">
        <f>$B33/F$30</f>
        <v/>
      </c>
      <c r="G33" s="20">
        <f>$B33/G$30</f>
        <v/>
      </c>
    </row>
    <row r="34">
      <c r="B34" s="31" t="n">
        <v>30000</v>
      </c>
      <c r="C34" s="20">
        <f>$B34/C$30</f>
        <v/>
      </c>
      <c r="D34" s="20">
        <f>$B34/D$30</f>
        <v/>
      </c>
      <c r="E34" s="20">
        <f>$B34/E$30</f>
        <v/>
      </c>
      <c r="F34" s="20">
        <f>$B34/F$30</f>
        <v/>
      </c>
      <c r="G34" s="20">
        <f>$B34/G$30</f>
        <v/>
      </c>
    </row>
    <row r="35">
      <c r="B35" s="31" t="n">
        <v>50000</v>
      </c>
      <c r="C35" s="20">
        <f>$B35/C$30</f>
        <v/>
      </c>
      <c r="D35" s="20">
        <f>$B35/D$30</f>
        <v/>
      </c>
      <c r="E35" s="20">
        <f>$B35/E$30</f>
        <v/>
      </c>
      <c r="F35" s="20">
        <f>$B35/F$30</f>
        <v/>
      </c>
      <c r="G35" s="20">
        <f>$B35/G$30</f>
        <v/>
      </c>
    </row>
    <row r="36">
      <c r="B36" s="4" t="inlineStr">
        <is>
          <t>Cantidad de entradas necesaria para esa facturación</t>
        </is>
      </c>
    </row>
    <row r="37">
      <c r="B37" s="34">
        <f>$B31</f>
        <v/>
      </c>
      <c r="C37" s="21">
        <f>IF('Modelo'!$C$36=0,"inalcanzable",$B31/'Modelo'!$C$36)</f>
        <v/>
      </c>
    </row>
    <row r="38">
      <c r="B38" s="34">
        <f>$B32</f>
        <v/>
      </c>
      <c r="C38" s="21">
        <f>IF('Modelo'!$C$36=0,"inalcanzable",$B32/'Modelo'!$C$36)</f>
        <v/>
      </c>
    </row>
    <row r="39">
      <c r="B39" s="34">
        <f>$B33</f>
        <v/>
      </c>
      <c r="C39" s="21">
        <f>IF('Modelo'!$C$36=0,"inalcanzable",$B33/'Modelo'!$C$36)</f>
        <v/>
      </c>
    </row>
    <row r="40">
      <c r="B40" s="34">
        <f>$B34</f>
        <v/>
      </c>
      <c r="C40" s="21">
        <f>IF('Modelo'!$C$36=0,"inalcanzable",$B34/'Modelo'!$C$36)</f>
        <v/>
      </c>
    </row>
    <row r="41">
      <c r="B41" s="34">
        <f>$B35</f>
        <v/>
      </c>
      <c r="C41" s="21">
        <f>IF('Modelo'!$C$36=0,"inalcanzable",$B35/'Modelo'!$C$36)</f>
        <v/>
      </c>
    </row>
    <row r="43">
      <c r="B43" s="4" t="inlineStr">
        <is>
          <t>Costo máximo por entrada para cumplir cada ROAS (sobre facturado)</t>
        </is>
      </c>
    </row>
    <row r="44">
      <c r="C44" s="35" t="n">
        <v>1.5</v>
      </c>
      <c r="D44" s="35" t="n">
        <v>2</v>
      </c>
      <c r="E44" s="35" t="n">
        <v>2.5</v>
      </c>
      <c r="F44" s="35" t="n">
        <v>3</v>
      </c>
      <c r="G44" s="35" t="n">
        <v>4</v>
      </c>
    </row>
    <row r="45">
      <c r="B45" t="inlineStr">
        <is>
          <t>Costo máximo (facturado por unidad ÷ ROAS)</t>
        </is>
      </c>
      <c r="C45" s="18">
        <f>IF(C44=0,0,'Modelo'!$C$36/C44)</f>
        <v/>
      </c>
      <c r="D45" s="18">
        <f>IF(D44=0,0,'Modelo'!$C$36/D44)</f>
        <v/>
      </c>
      <c r="E45" s="18">
        <f>IF(E44=0,0,'Modelo'!$C$36/E44)</f>
        <v/>
      </c>
      <c r="F45" s="18">
        <f>IF(F44=0,0,'Modelo'!$C$36/F44)</f>
        <v/>
      </c>
      <c r="G45" s="18">
        <f>IF(G44=0,0,'Modelo'!$C$36/G44)</f>
        <v/>
      </c>
    </row>
    <row r="46">
      <c r="B46" s="3" t="inlineStr">
        <is>
          <t>Sobre cash neto, el techo real está en Modelo (ya descuenta comisiones y reembolsos).</t>
        </is>
      </c>
    </row>
    <row r="49">
      <c r="B49" s="4" t="inlineStr">
        <is>
          <t>Guardarraíl: el ROAS mínimo que tiene que dar cada nivel de inversión para que subir valga la pena</t>
        </is>
      </c>
    </row>
    <row r="50">
      <c r="B50" s="3" t="inlineStr">
        <is>
          <t>Parte de tu inversión y tu ROAS actuales. Cada dólar extra tiene que devolver al menos 1,3 neto. Si al subir un escalón el ROAS real queda por debajo del mínimo de esa fila, volvé al escalón anterior.</t>
        </is>
      </c>
    </row>
    <row r="51">
      <c r="B51" s="6" t="inlineStr">
        <is>
          <t>Nivel de inversión</t>
        </is>
      </c>
      <c r="C51" s="6" t="inlineStr">
        <is>
          <t>Inversión del período</t>
        </is>
      </c>
      <c r="D51" s="6" t="inlineStr">
        <is>
          <t>ROAS mínimo (cash neto)</t>
        </is>
      </c>
      <c r="E51" s="6" t="inlineStr">
        <is>
          <t>Ganancia mínima</t>
        </is>
      </c>
    </row>
    <row r="52">
      <c r="B52" t="inlineStr">
        <is>
          <t>actual</t>
        </is>
      </c>
      <c r="C52" s="20">
        <f>'Supuestos'!$C$8*1.0</f>
        <v/>
      </c>
      <c r="D52" s="25">
        <f>IF(C52=0,0,('Supuestos'!$C$8*'Modelo'!$C$46+1.3*(C52-'Supuestos'!$C$8))/C52)</f>
        <v/>
      </c>
      <c r="E52" s="20">
        <f>C52*(D52-1)</f>
        <v/>
      </c>
    </row>
    <row r="53">
      <c r="B53" t="inlineStr">
        <is>
          <t>× 1.25</t>
        </is>
      </c>
      <c r="C53" s="20">
        <f>'Supuestos'!$C$8*1.25</f>
        <v/>
      </c>
      <c r="D53" s="25">
        <f>IF(C53=0,0,('Supuestos'!$C$8*'Modelo'!$C$46+1.3*(C53-'Supuestos'!$C$8))/C53)</f>
        <v/>
      </c>
      <c r="E53" s="20">
        <f>C53*(D53-1)</f>
        <v/>
      </c>
    </row>
    <row r="54">
      <c r="B54" t="inlineStr">
        <is>
          <t>× 1.5</t>
        </is>
      </c>
      <c r="C54" s="20">
        <f>'Supuestos'!$C$8*1.5</f>
        <v/>
      </c>
      <c r="D54" s="25">
        <f>IF(C54=0,0,('Supuestos'!$C$8*'Modelo'!$C$46+1.3*(C54-'Supuestos'!$C$8))/C54)</f>
        <v/>
      </c>
      <c r="E54" s="20">
        <f>C54*(D54-1)</f>
        <v/>
      </c>
    </row>
    <row r="55">
      <c r="B55" t="inlineStr">
        <is>
          <t>× 2</t>
        </is>
      </c>
      <c r="C55" s="20">
        <f>'Supuestos'!$C$8*2.0</f>
        <v/>
      </c>
      <c r="D55" s="25">
        <f>IF(C55=0,0,('Supuestos'!$C$8*'Modelo'!$C$46+1.3*(C55-'Supuestos'!$C$8))/C55)</f>
        <v/>
      </c>
      <c r="E55" s="20">
        <f>C55*(D55-1)</f>
        <v/>
      </c>
    </row>
    <row r="56">
      <c r="B56" t="inlineStr">
        <is>
          <t>× 3</t>
        </is>
      </c>
      <c r="C56" s="20">
        <f>'Supuestos'!$C$8*3.0</f>
        <v/>
      </c>
      <c r="D56" s="25">
        <f>IF(C56=0,0,('Supuestos'!$C$8*'Modelo'!$C$46+1.3*(C56-'Supuestos'!$C$8))/C56)</f>
        <v/>
      </c>
      <c r="E56" s="20">
        <f>C56*(D56-1)</f>
        <v/>
      </c>
    </row>
  </sheetData>
  <conditionalFormatting sqref="C10:G14">
    <cfRule type="cellIs" priority="1" operator="lessThan" dxfId="2">
      <formula>0</formula>
    </cfRule>
    <cfRule type="cellIs" priority="2" operator="between" dxfId="1">
      <formula>0</formula>
      <formula>$C$5</formula>
    </cfRule>
    <cfRule type="cellIs" priority="3" operator="greaterThanOrEqual" dxfId="0">
      <formula>$C$5</formula>
    </cfRule>
  </conditionalFormatting>
  <conditionalFormatting sqref="C20:G25">
    <cfRule type="cellIs" priority="4" operator="lessThan" dxfId="2">
      <formula>0</formula>
    </cfRule>
    <cfRule type="cellIs" priority="5" operator="between" dxfId="1">
      <formula>0</formula>
      <formula>$C$5</formula>
    </cfRule>
    <cfRule type="cellIs" priority="6" operator="greaterThanOrEqual" dxfId="0">
      <formula>$C$5</formula>
    </cfRule>
  </conditionalFormatting>
  <pageMargins left="0.75" right="0.75" top="1" bottom="1" header="0.5" footer="0.5"/>
  <headerFooter>
    <oddHeader>&amp;CJesús Tassarolo · TooAudience&amp;R&amp;D</oddHeader>
    <oddFooter>&amp;LModelo financiero de embudos · creado por Jesús Tassarolo · TooAudience · youtube.com/@JesusTassaroloSinFiltro&amp;C&amp;7 Modelo financiero de embudos · creado por Jesús Tassarolo · TooAudience · youtube.com/@JesusTassaroloSinFiltro&amp;RPágina &amp;P de &amp;N</oddFooter>
    <evenHeader>&amp;CJesús Tassarolo · TooAudience</evenHeader>
    <evenFooter>&amp;LModelo financiero de embudos · creado por Jesús Tassarolo · TooAudience · youtube.com/@JesusTassaroloSinFiltro&amp;C&amp;7 Modelo financiero de embudos · creado por Jesús Tassarolo · TooAudience · youtube.com/@JesusTassaroloSinFiltro&amp;RPágina &amp;P de &amp;N</evenFooter>
    <firstHeader/>
    <firstFooter/>
  </headerFooter>
</worksheet>
</file>

<file path=xl/worksheets/sheet8.xml><?xml version="1.0" encoding="utf-8"?>
<worksheet xmlns="http://schemas.openxmlformats.org/spreadsheetml/2006/main">
  <sheetPr>
    <outlinePr summaryBelow="1" summaryRight="1"/>
    <pageSetUpPr/>
  </sheetPr>
  <dimension ref="A1:G15"/>
  <sheetViews>
    <sheetView showGridLines="0" workbookViewId="0">
      <selection activeCell="A1" sqref="A1"/>
    </sheetView>
  </sheetViews>
  <sheetFormatPr baseColWidth="8" defaultRowHeight="15"/>
  <cols>
    <col width="2" customWidth="1" min="1" max="1"/>
    <col width="54" customWidth="1" min="2" max="2"/>
    <col width="14" customWidth="1" min="3" max="3"/>
    <col width="18" customWidth="1" min="4" max="4"/>
    <col width="18" customWidth="1" min="5" max="5"/>
    <col width="12" customWidth="1" min="6" max="6"/>
    <col width="10" customWidth="1" min="7" max="7"/>
  </cols>
  <sheetData>
    <row r="1">
      <c r="B1" s="1" t="inlineStr">
        <is>
          <t>© Jesús Tassarolo · TooAudience · youtube.com/@JesusTassaroloSinFiltro · uso personal; no redistribuir modificado</t>
        </is>
      </c>
    </row>
    <row r="2">
      <c r="B2" s="2" t="inlineStr">
        <is>
          <t>Sensibilidad: qué palanca mueve más la ganancia</t>
        </is>
      </c>
    </row>
    <row r="3">
      <c r="B3" s="3" t="inlineStr">
        <is>
          <t>Cada fila mejora una sola variable un 10 % (o baja un costo un 10 %) y recalcula la ganancia del período. El ranking dice qué conviene trabajar primero.</t>
        </is>
      </c>
    </row>
    <row r="5">
      <c r="B5" s="6" t="inlineStr">
        <is>
          <t>Palanca</t>
        </is>
      </c>
      <c r="C5" s="6" t="inlineStr">
        <is>
          <t>Cambio</t>
        </is>
      </c>
      <c r="D5" s="6" t="inlineStr">
        <is>
          <t>Ganancia nueva</t>
        </is>
      </c>
      <c r="E5" s="6" t="inlineStr">
        <is>
          <t>Diferencia</t>
        </is>
      </c>
      <c r="F5" s="6" t="inlineStr">
        <is>
          <t>Dif. %</t>
        </is>
      </c>
      <c r="G5" s="6" t="inlineStr">
        <is>
          <t>Ranking</t>
        </is>
      </c>
    </row>
    <row r="6">
      <c r="B6" s="4" t="inlineStr">
        <is>
          <t>Ganancia del período con los supuestos actuales</t>
        </is>
      </c>
      <c r="D6" s="9">
        <f>'Modelo'!$C$44</f>
        <v/>
      </c>
    </row>
    <row r="7">
      <c r="B7" t="inlineStr">
        <is>
          <t>Costo por visita 10 % más barato</t>
        </is>
      </c>
      <c r="C7" t="inlineStr">
        <is>
          <t>−10 %</t>
        </is>
      </c>
      <c r="D7" s="20">
        <f>(((((((IF((IF('Supuestos'!$C$13=0,0,('Supuestos'!$C$10*0.9)/'Supuestos'!$C$13))=0,0,'Supuestos'!$C$8/(IF('Supuestos'!$C$13=0,0,('Supuestos'!$C$10*0.9)/'Supuestos'!$C$13))))*'Supuestos'!$C$14)+(((IF((IF('Supuestos'!$C$13=0,0,('Supuestos'!$C$10*0.9)/'Supuestos'!$C$13))=0,0,'Supuestos'!$C$8/(IF('Supuestos'!$C$13=0,0,('Supuestos'!$C$10*0.9)/'Supuestos'!$C$13))))*'Supuestos'!$C$16)*'Supuestos'!$C$15))+((((((IF((IF('Supuestos'!$C$13=0,0,('Supuestos'!$C$10*0.9)/'Supuestos'!$C$13))=0,0,'Supuestos'!$C$8/(IF('Supuestos'!$C$13=0,0,('Supuestos'!$C$10*0.9)/'Supuestos'!$C$13))))*'Supuestos'!$C$20)*'Supuestos'!$C$25)+(((IF((IF('Supuestos'!$C$13=0,0,('Supuestos'!$C$10*0.9)/'Supuestos'!$C$13))=0,0,'Supuestos'!$C$8/(IF('Supuestos'!$C$13=0,0,('Supuestos'!$C$10*0.9)/'Supuestos'!$C$13))))*'Supuestos'!$C$21)*'Supuestos'!$C$26))*'Supuestos'!$C$27)*'Supuestos'!$C$24)+(((((((IF((IF('Supuestos'!$C$13=0,0,('Supuestos'!$C$10*0.9)/'Supuestos'!$C$13))=0,0,'Supuestos'!$C$8/(IF('Supuestos'!$C$13=0,0,('Supuestos'!$C$10*0.9)/'Supuestos'!$C$13))))*'Supuestos'!$C$20)*'Supuestos'!$C$25)+(((IF((IF('Supuestos'!$C$13=0,0,('Supuestos'!$C$10*0.9)/'Supuestos'!$C$13))=0,0,'Supuestos'!$C$8/(IF('Supuestos'!$C$13=0,0,('Supuestos'!$C$10*0.9)/'Supuestos'!$C$13))))*'Supuestos'!$C$21)*'Supuestos'!$C$26))*'Supuestos'!$C$27)*'Supuestos'!$C$29)*'Supuestos'!$C$28))*('Supuestos'!$C$39+'Supuestos'!$C$40+'Supuestos'!$C$41))*(1-'Supuestos'!$C$32-'Supuestos'!$C$33-'Supuestos'!$C$34))-((IF((IF('Supuestos'!$C$13=0,0,('Supuestos'!$C$10*0.9)/'Supuestos'!$C$13))=0,0,'Supuestos'!$C$8/(IF('Supuestos'!$C$13=0,0,('Supuestos'!$C$10*0.9)/'Supuestos'!$C$13))))*'Supuestos'!$C$35)-'Supuestos'!$C$36-'Supuestos'!$C$8)</f>
        <v/>
      </c>
      <c r="E7" s="20">
        <f>D7-$D$6</f>
        <v/>
      </c>
      <c r="F7" s="23">
        <f>IF($D$6=0,0,E7/ABS($D$6))</f>
        <v/>
      </c>
      <c r="G7" s="21">
        <f>RANK(E7,$E$7:$E$15)</f>
        <v/>
      </c>
    </row>
    <row r="8">
      <c r="B8" t="inlineStr">
        <is>
          <t>Página de la entrada 10 % más conversión</t>
        </is>
      </c>
      <c r="C8" t="inlineStr">
        <is>
          <t>+10 %</t>
        </is>
      </c>
      <c r="D8" s="20">
        <f>(((((((IF((IF(('Supuestos'!$C$13*1.1)=0,0,'Supuestos'!$C$10/('Supuestos'!$C$13*1.1)))=0,0,'Supuestos'!$C$8/(IF(('Supuestos'!$C$13*1.1)=0,0,'Supuestos'!$C$10/('Supuestos'!$C$13*1.1)))))*'Supuestos'!$C$14)+(((IF((IF(('Supuestos'!$C$13*1.1)=0,0,'Supuestos'!$C$10/('Supuestos'!$C$13*1.1)))=0,0,'Supuestos'!$C$8/(IF(('Supuestos'!$C$13*1.1)=0,0,'Supuestos'!$C$10/('Supuestos'!$C$13*1.1)))))*'Supuestos'!$C$16)*'Supuestos'!$C$15))+((((((IF((IF(('Supuestos'!$C$13*1.1)=0,0,'Supuestos'!$C$10/('Supuestos'!$C$13*1.1)))=0,0,'Supuestos'!$C$8/(IF(('Supuestos'!$C$13*1.1)=0,0,'Supuestos'!$C$10/('Supuestos'!$C$13*1.1)))))*'Supuestos'!$C$20)*'Supuestos'!$C$25)+(((IF((IF(('Supuestos'!$C$13*1.1)=0,0,'Supuestos'!$C$10/('Supuestos'!$C$13*1.1)))=0,0,'Supuestos'!$C$8/(IF(('Supuestos'!$C$13*1.1)=0,0,'Supuestos'!$C$10/('Supuestos'!$C$13*1.1)))))*'Supuestos'!$C$21)*'Supuestos'!$C$26))*'Supuestos'!$C$27)*'Supuestos'!$C$24)+(((((((IF((IF(('Supuestos'!$C$13*1.1)=0,0,'Supuestos'!$C$10/('Supuestos'!$C$13*1.1)))=0,0,'Supuestos'!$C$8/(IF(('Supuestos'!$C$13*1.1)=0,0,'Supuestos'!$C$10/('Supuestos'!$C$13*1.1)))))*'Supuestos'!$C$20)*'Supuestos'!$C$25)+(((IF((IF(('Supuestos'!$C$13*1.1)=0,0,'Supuestos'!$C$10/('Supuestos'!$C$13*1.1)))=0,0,'Supuestos'!$C$8/(IF(('Supuestos'!$C$13*1.1)=0,0,'Supuestos'!$C$10/('Supuestos'!$C$13*1.1)))))*'Supuestos'!$C$21)*'Supuestos'!$C$26))*'Supuestos'!$C$27)*'Supuestos'!$C$29)*'Supuestos'!$C$28))*('Supuestos'!$C$39+'Supuestos'!$C$40+'Supuestos'!$C$41))*(1-'Supuestos'!$C$32-'Supuestos'!$C$33-'Supuestos'!$C$34))-((IF((IF(('Supuestos'!$C$13*1.1)=0,0,'Supuestos'!$C$10/('Supuestos'!$C$13*1.1)))=0,0,'Supuestos'!$C$8/(IF(('Supuestos'!$C$13*1.1)=0,0,'Supuestos'!$C$10/('Supuestos'!$C$13*1.1)))))*'Supuestos'!$C$35)-'Supuestos'!$C$36-'Supuestos'!$C$8)</f>
        <v/>
      </c>
      <c r="E8" s="20">
        <f>D8-$D$6</f>
        <v/>
      </c>
      <c r="F8" s="23">
        <f>IF($D$6=0,0,E8/ABS($D$6))</f>
        <v/>
      </c>
      <c r="G8" s="21">
        <f>RANK(E8,$E$7:$E$15)</f>
        <v/>
      </c>
    </row>
    <row r="9">
      <c r="B9" t="inlineStr">
        <is>
          <t>Precio de la entrada 10 % más alto (misma conversión)</t>
        </is>
      </c>
      <c r="C9" t="inlineStr">
        <is>
          <t>+10 %</t>
        </is>
      </c>
      <c r="D9" s="20">
        <f>(((((((IF((IF('Supuestos'!$C$13=0,0,'Supuestos'!$C$10/'Supuestos'!$C$13))=0,0,'Supuestos'!$C$8/(IF('Supuestos'!$C$13=0,0,'Supuestos'!$C$10/'Supuestos'!$C$13))))*('Supuestos'!$C$14*1.1))+(((IF((IF('Supuestos'!$C$13=0,0,'Supuestos'!$C$10/'Supuestos'!$C$13))=0,0,'Supuestos'!$C$8/(IF('Supuestos'!$C$13=0,0,'Supuestos'!$C$10/'Supuestos'!$C$13))))*'Supuestos'!$C$16)*'Supuestos'!$C$15))+((((((IF((IF('Supuestos'!$C$13=0,0,'Supuestos'!$C$10/'Supuestos'!$C$13))=0,0,'Supuestos'!$C$8/(IF('Supuestos'!$C$13=0,0,'Supuestos'!$C$10/'Supuestos'!$C$13))))*'Supuestos'!$C$20)*'Supuestos'!$C$25)+(((IF((IF('Supuestos'!$C$13=0,0,'Supuestos'!$C$10/'Supuestos'!$C$13))=0,0,'Supuestos'!$C$8/(IF('Supuestos'!$C$13=0,0,'Supuestos'!$C$10/'Supuestos'!$C$13))))*'Supuestos'!$C$21)*'Supuestos'!$C$26))*'Supuestos'!$C$27)*'Supuestos'!$C$24)+(((((((IF((IF('Supuestos'!$C$13=0,0,'Supuestos'!$C$10/'Supuestos'!$C$13))=0,0,'Supuestos'!$C$8/(IF('Supuestos'!$C$13=0,0,'Supuestos'!$C$10/'Supuestos'!$C$13))))*'Supuestos'!$C$20)*'Supuestos'!$C$25)+(((IF((IF('Supuestos'!$C$13=0,0,'Supuestos'!$C$10/'Supuestos'!$C$13))=0,0,'Supuestos'!$C$8/(IF('Supuestos'!$C$13=0,0,'Supuestos'!$C$10/'Supuestos'!$C$13))))*'Supuestos'!$C$21)*'Supuestos'!$C$26))*'Supuestos'!$C$27)*'Supuestos'!$C$29)*'Supuestos'!$C$28))*('Supuestos'!$C$39+'Supuestos'!$C$40+'Supuestos'!$C$41))*(1-'Supuestos'!$C$32-'Supuestos'!$C$33-'Supuestos'!$C$34))-((IF((IF('Supuestos'!$C$13=0,0,'Supuestos'!$C$10/'Supuestos'!$C$13))=0,0,'Supuestos'!$C$8/(IF('Supuestos'!$C$13=0,0,'Supuestos'!$C$10/'Supuestos'!$C$13))))*'Supuestos'!$C$35)-'Supuestos'!$C$36-'Supuestos'!$C$8)</f>
        <v/>
      </c>
      <c r="E9" s="20">
        <f>D9-$D$6</f>
        <v/>
      </c>
      <c r="F9" s="23">
        <f>IF($D$6=0,0,E9/ABS($D$6))</f>
        <v/>
      </c>
      <c r="G9" s="21">
        <f>RANK(E9,$E$7:$E$15)</f>
        <v/>
      </c>
    </row>
    <row r="10">
      <c r="B10" t="inlineStr">
        <is>
          <t>Asistencia en vivo 10 % más alta</t>
        </is>
      </c>
      <c r="C10" t="inlineStr">
        <is>
          <t>+10 %</t>
        </is>
      </c>
      <c r="D10" s="20">
        <f>(((((((IF((IF('Supuestos'!$C$13=0,0,'Supuestos'!$C$10/'Supuestos'!$C$13))=0,0,'Supuestos'!$C$8/(IF('Supuestos'!$C$13=0,0,'Supuestos'!$C$10/'Supuestos'!$C$13))))*'Supuestos'!$C$14)+(((IF((IF('Supuestos'!$C$13=0,0,'Supuestos'!$C$10/'Supuestos'!$C$13))=0,0,'Supuestos'!$C$8/(IF('Supuestos'!$C$13=0,0,'Supuestos'!$C$10/'Supuestos'!$C$13))))*'Supuestos'!$C$16)*'Supuestos'!$C$15))+((((((IF((IF('Supuestos'!$C$13=0,0,'Supuestos'!$C$10/'Supuestos'!$C$13))=0,0,'Supuestos'!$C$8/(IF('Supuestos'!$C$13=0,0,'Supuestos'!$C$10/'Supuestos'!$C$13))))*('Supuestos'!$C$20*1.1))*'Supuestos'!$C$25)+(((IF((IF('Supuestos'!$C$13=0,0,'Supuestos'!$C$10/'Supuestos'!$C$13))=0,0,'Supuestos'!$C$8/(IF('Supuestos'!$C$13=0,0,'Supuestos'!$C$10/'Supuestos'!$C$13))))*'Supuestos'!$C$21)*'Supuestos'!$C$26))*'Supuestos'!$C$27)*'Supuestos'!$C$24)+(((((((IF((IF('Supuestos'!$C$13=0,0,'Supuestos'!$C$10/'Supuestos'!$C$13))=0,0,'Supuestos'!$C$8/(IF('Supuestos'!$C$13=0,0,'Supuestos'!$C$10/'Supuestos'!$C$13))))*('Supuestos'!$C$20*1.1))*'Supuestos'!$C$25)+(((IF((IF('Supuestos'!$C$13=0,0,'Supuestos'!$C$10/'Supuestos'!$C$13))=0,0,'Supuestos'!$C$8/(IF('Supuestos'!$C$13=0,0,'Supuestos'!$C$10/'Supuestos'!$C$13))))*'Supuestos'!$C$21)*'Supuestos'!$C$26))*'Supuestos'!$C$27)*'Supuestos'!$C$29)*'Supuestos'!$C$28))*('Supuestos'!$C$39+'Supuestos'!$C$40+'Supuestos'!$C$41))*(1-'Supuestos'!$C$32-'Supuestos'!$C$33-'Supuestos'!$C$34))-((IF((IF('Supuestos'!$C$13=0,0,'Supuestos'!$C$10/'Supuestos'!$C$13))=0,0,'Supuestos'!$C$8/(IF('Supuestos'!$C$13=0,0,'Supuestos'!$C$10/'Supuestos'!$C$13))))*'Supuestos'!$C$35)-'Supuestos'!$C$36-'Supuestos'!$C$8)</f>
        <v/>
      </c>
      <c r="E10" s="20">
        <f>D10-$D$6</f>
        <v/>
      </c>
      <c r="F10" s="23">
        <f>IF($D$6=0,0,E10/ABS($D$6))</f>
        <v/>
      </c>
      <c r="G10" s="21">
        <f>RANK(E10,$E$7:$E$15)</f>
        <v/>
      </c>
    </row>
    <row r="11">
      <c r="B11" t="inlineStr">
        <is>
          <t>10 % más asistentes en vivo que solicitan (oferta, pitch)</t>
        </is>
      </c>
      <c r="C11" t="inlineStr">
        <is>
          <t>+10 %</t>
        </is>
      </c>
      <c r="D11" s="20">
        <f>(((((((IF((IF('Supuestos'!$C$13=0,0,'Supuestos'!$C$10/'Supuestos'!$C$13))=0,0,'Supuestos'!$C$8/(IF('Supuestos'!$C$13=0,0,'Supuestos'!$C$10/'Supuestos'!$C$13))))*'Supuestos'!$C$14)+(((IF((IF('Supuestos'!$C$13=0,0,'Supuestos'!$C$10/'Supuestos'!$C$13))=0,0,'Supuestos'!$C$8/(IF('Supuestos'!$C$13=0,0,'Supuestos'!$C$10/'Supuestos'!$C$13))))*'Supuestos'!$C$16)*'Supuestos'!$C$15))+((((((IF((IF('Supuestos'!$C$13=0,0,'Supuestos'!$C$10/'Supuestos'!$C$13))=0,0,'Supuestos'!$C$8/(IF('Supuestos'!$C$13=0,0,'Supuestos'!$C$10/'Supuestos'!$C$13))))*'Supuestos'!$C$20)*('Supuestos'!$C$25*1.1))+(((IF((IF('Supuestos'!$C$13=0,0,'Supuestos'!$C$10/'Supuestos'!$C$13))=0,0,'Supuestos'!$C$8/(IF('Supuestos'!$C$13=0,0,'Supuestos'!$C$10/'Supuestos'!$C$13))))*'Supuestos'!$C$21)*'Supuestos'!$C$26))*'Supuestos'!$C$27)*'Supuestos'!$C$24)+(((((((IF((IF('Supuestos'!$C$13=0,0,'Supuestos'!$C$10/'Supuestos'!$C$13))=0,0,'Supuestos'!$C$8/(IF('Supuestos'!$C$13=0,0,'Supuestos'!$C$10/'Supuestos'!$C$13))))*'Supuestos'!$C$20)*('Supuestos'!$C$25*1.1))+(((IF((IF('Supuestos'!$C$13=0,0,'Supuestos'!$C$10/'Supuestos'!$C$13))=0,0,'Supuestos'!$C$8/(IF('Supuestos'!$C$13=0,0,'Supuestos'!$C$10/'Supuestos'!$C$13))))*'Supuestos'!$C$21)*'Supuestos'!$C$26))*'Supuestos'!$C$27)*'Supuestos'!$C$29)*'Supuestos'!$C$28))*('Supuestos'!$C$39+'Supuestos'!$C$40+'Supuestos'!$C$41))*(1-'Supuestos'!$C$32-'Supuestos'!$C$33-'Supuestos'!$C$34))-((IF((IF('Supuestos'!$C$13=0,0,'Supuestos'!$C$10/'Supuestos'!$C$13))=0,0,'Supuestos'!$C$8/(IF('Supuestos'!$C$13=0,0,'Supuestos'!$C$10/'Supuestos'!$C$13))))*'Supuestos'!$C$35)-'Supuestos'!$C$36-'Supuestos'!$C$8)</f>
        <v/>
      </c>
      <c r="E11" s="20">
        <f>D11-$D$6</f>
        <v/>
      </c>
      <c r="F11" s="23">
        <f>IF($D$6=0,0,E11/ABS($D$6))</f>
        <v/>
      </c>
      <c r="G11" s="21">
        <f>RANK(E11,$E$7:$E$15)</f>
        <v/>
      </c>
    </row>
    <row r="12">
      <c r="B12" t="inlineStr">
        <is>
          <t>10 % más solicitudes que terminan en compra (seguimiento, vendedor)</t>
        </is>
      </c>
      <c r="C12" t="inlineStr">
        <is>
          <t>+10 %</t>
        </is>
      </c>
      <c r="D12" s="20">
        <f>(((((((IF((IF('Supuestos'!$C$13=0,0,'Supuestos'!$C$10/'Supuestos'!$C$13))=0,0,'Supuestos'!$C$8/(IF('Supuestos'!$C$13=0,0,'Supuestos'!$C$10/'Supuestos'!$C$13))))*'Supuestos'!$C$14)+(((IF((IF('Supuestos'!$C$13=0,0,'Supuestos'!$C$10/'Supuestos'!$C$13))=0,0,'Supuestos'!$C$8/(IF('Supuestos'!$C$13=0,0,'Supuestos'!$C$10/'Supuestos'!$C$13))))*'Supuestos'!$C$16)*'Supuestos'!$C$15))+((((((IF((IF('Supuestos'!$C$13=0,0,'Supuestos'!$C$10/'Supuestos'!$C$13))=0,0,'Supuestos'!$C$8/(IF('Supuestos'!$C$13=0,0,'Supuestos'!$C$10/'Supuestos'!$C$13))))*'Supuestos'!$C$20)*'Supuestos'!$C$25)+(((IF((IF('Supuestos'!$C$13=0,0,'Supuestos'!$C$10/'Supuestos'!$C$13))=0,0,'Supuestos'!$C$8/(IF('Supuestos'!$C$13=0,0,'Supuestos'!$C$10/'Supuestos'!$C$13))))*'Supuestos'!$C$21)*'Supuestos'!$C$26))*('Supuestos'!$C$27*1.1))*'Supuestos'!$C$24)+(((((((IF((IF('Supuestos'!$C$13=0,0,'Supuestos'!$C$10/'Supuestos'!$C$13))=0,0,'Supuestos'!$C$8/(IF('Supuestos'!$C$13=0,0,'Supuestos'!$C$10/'Supuestos'!$C$13))))*'Supuestos'!$C$20)*'Supuestos'!$C$25)+(((IF((IF('Supuestos'!$C$13=0,0,'Supuestos'!$C$10/'Supuestos'!$C$13))=0,0,'Supuestos'!$C$8/(IF('Supuestos'!$C$13=0,0,'Supuestos'!$C$10/'Supuestos'!$C$13))))*'Supuestos'!$C$21)*'Supuestos'!$C$26))*('Supuestos'!$C$27*1.1))*'Supuestos'!$C$29)*'Supuestos'!$C$28))*('Supuestos'!$C$39+'Supuestos'!$C$40+'Supuestos'!$C$41))*(1-'Supuestos'!$C$32-'Supuestos'!$C$33-'Supuestos'!$C$34))-((IF((IF('Supuestos'!$C$13=0,0,'Supuestos'!$C$10/'Supuestos'!$C$13))=0,0,'Supuestos'!$C$8/(IF('Supuestos'!$C$13=0,0,'Supuestos'!$C$10/'Supuestos'!$C$13))))*'Supuestos'!$C$35)-'Supuestos'!$C$36-'Supuestos'!$C$8)</f>
        <v/>
      </c>
      <c r="E12" s="20">
        <f>D12-$D$6</f>
        <v/>
      </c>
      <c r="F12" s="23">
        <f>IF($D$6=0,0,E12/ABS($D$6))</f>
        <v/>
      </c>
      <c r="G12" s="21">
        <f>RANK(E12,$E$7:$E$15)</f>
        <v/>
      </c>
    </row>
    <row r="13">
      <c r="B13" t="inlineStr">
        <is>
          <t>Precio de la oferta 10 % más alto (misma conversión)</t>
        </is>
      </c>
      <c r="C13" t="inlineStr">
        <is>
          <t>+10 %</t>
        </is>
      </c>
      <c r="D13" s="20">
        <f>(((((((IF((IF('Supuestos'!$C$13=0,0,'Supuestos'!$C$10/'Supuestos'!$C$13))=0,0,'Supuestos'!$C$8/(IF('Supuestos'!$C$13=0,0,'Supuestos'!$C$10/'Supuestos'!$C$13))))*'Supuestos'!$C$14)+(((IF((IF('Supuestos'!$C$13=0,0,'Supuestos'!$C$10/'Supuestos'!$C$13))=0,0,'Supuestos'!$C$8/(IF('Supuestos'!$C$13=0,0,'Supuestos'!$C$10/'Supuestos'!$C$13))))*'Supuestos'!$C$16)*'Supuestos'!$C$15))+((((((IF((IF('Supuestos'!$C$13=0,0,'Supuestos'!$C$10/'Supuestos'!$C$13))=0,0,'Supuestos'!$C$8/(IF('Supuestos'!$C$13=0,0,'Supuestos'!$C$10/'Supuestos'!$C$13))))*'Supuestos'!$C$20)*'Supuestos'!$C$25)+(((IF((IF('Supuestos'!$C$13=0,0,'Supuestos'!$C$10/'Supuestos'!$C$13))=0,0,'Supuestos'!$C$8/(IF('Supuestos'!$C$13=0,0,'Supuestos'!$C$10/'Supuestos'!$C$13))))*'Supuestos'!$C$21)*'Supuestos'!$C$26))*'Supuestos'!$C$27)*('Supuestos'!$C$24*1.1))+(((((((IF((IF('Supuestos'!$C$13=0,0,'Supuestos'!$C$10/'Supuestos'!$C$13))=0,0,'Supuestos'!$C$8/(IF('Supuestos'!$C$13=0,0,'Supuestos'!$C$10/'Supuestos'!$C$13))))*'Supuestos'!$C$20)*'Supuestos'!$C$25)+(((IF((IF('Supuestos'!$C$13=0,0,'Supuestos'!$C$10/'Supuestos'!$C$13))=0,0,'Supuestos'!$C$8/(IF('Supuestos'!$C$13=0,0,'Supuestos'!$C$10/'Supuestos'!$C$13))))*'Supuestos'!$C$21)*'Supuestos'!$C$26))*'Supuestos'!$C$27)*'Supuestos'!$C$29)*'Supuestos'!$C$28))*('Supuestos'!$C$39+'Supuestos'!$C$40+'Supuestos'!$C$41))*(1-'Supuestos'!$C$32-'Supuestos'!$C$33-'Supuestos'!$C$34))-((IF((IF('Supuestos'!$C$13=0,0,'Supuestos'!$C$10/'Supuestos'!$C$13))=0,0,'Supuestos'!$C$8/(IF('Supuestos'!$C$13=0,0,'Supuestos'!$C$10/'Supuestos'!$C$13))))*'Supuestos'!$C$35)-'Supuestos'!$C$36-'Supuestos'!$C$8)</f>
        <v/>
      </c>
      <c r="E13" s="20">
        <f>D13-$D$6</f>
        <v/>
      </c>
      <c r="F13" s="23">
        <f>IF($D$6=0,0,E13/ABS($D$6))</f>
        <v/>
      </c>
      <c r="G13" s="21">
        <f>RANK(E13,$E$7:$E$15)</f>
        <v/>
      </c>
    </row>
    <row r="14">
      <c r="B14" t="inlineStr">
        <is>
          <t>Programa superior 10 % más tomado</t>
        </is>
      </c>
      <c r="C14" t="inlineStr">
        <is>
          <t>+10 %</t>
        </is>
      </c>
      <c r="D14" s="20">
        <f>(((((((IF((IF('Supuestos'!$C$13=0,0,'Supuestos'!$C$10/'Supuestos'!$C$13))=0,0,'Supuestos'!$C$8/(IF('Supuestos'!$C$13=0,0,'Supuestos'!$C$10/'Supuestos'!$C$13))))*'Supuestos'!$C$14)+(((IF((IF('Supuestos'!$C$13=0,0,'Supuestos'!$C$10/'Supuestos'!$C$13))=0,0,'Supuestos'!$C$8/(IF('Supuestos'!$C$13=0,0,'Supuestos'!$C$10/'Supuestos'!$C$13))))*'Supuestos'!$C$16)*'Supuestos'!$C$15))+((((((IF((IF('Supuestos'!$C$13=0,0,'Supuestos'!$C$10/'Supuestos'!$C$13))=0,0,'Supuestos'!$C$8/(IF('Supuestos'!$C$13=0,0,'Supuestos'!$C$10/'Supuestos'!$C$13))))*'Supuestos'!$C$20)*'Supuestos'!$C$25)+(((IF((IF('Supuestos'!$C$13=0,0,'Supuestos'!$C$10/'Supuestos'!$C$13))=0,0,'Supuestos'!$C$8/(IF('Supuestos'!$C$13=0,0,'Supuestos'!$C$10/'Supuestos'!$C$13))))*'Supuestos'!$C$21)*'Supuestos'!$C$26))*'Supuestos'!$C$27)*'Supuestos'!$C$24)+(((((((IF((IF('Supuestos'!$C$13=0,0,'Supuestos'!$C$10/'Supuestos'!$C$13))=0,0,'Supuestos'!$C$8/(IF('Supuestos'!$C$13=0,0,'Supuestos'!$C$10/'Supuestos'!$C$13))))*'Supuestos'!$C$20)*'Supuestos'!$C$25)+(((IF((IF('Supuestos'!$C$13=0,0,'Supuestos'!$C$10/'Supuestos'!$C$13))=0,0,'Supuestos'!$C$8/(IF('Supuestos'!$C$13=0,0,'Supuestos'!$C$10/'Supuestos'!$C$13))))*'Supuestos'!$C$21)*'Supuestos'!$C$26))*'Supuestos'!$C$27)*('Supuestos'!$C$29*1.1))*'Supuestos'!$C$28))*('Supuestos'!$C$39+'Supuestos'!$C$40+'Supuestos'!$C$41))*(1-'Supuestos'!$C$32-'Supuestos'!$C$33-'Supuestos'!$C$34))-((IF((IF('Supuestos'!$C$13=0,0,'Supuestos'!$C$10/'Supuestos'!$C$13))=0,0,'Supuestos'!$C$8/(IF('Supuestos'!$C$13=0,0,'Supuestos'!$C$10/'Supuestos'!$C$13))))*'Supuestos'!$C$35)-'Supuestos'!$C$36-'Supuestos'!$C$8)</f>
        <v/>
      </c>
      <c r="E14" s="20">
        <f>D14-$D$6</f>
        <v/>
      </c>
      <c r="F14" s="23">
        <f>IF($D$6=0,0,E14/ABS($D$6))</f>
        <v/>
      </c>
      <c r="G14" s="21">
        <f>RANK(E14,$E$7:$E$15)</f>
        <v/>
      </c>
    </row>
    <row r="15">
      <c r="B15" t="inlineStr">
        <is>
          <t>Bump de la entrada 10 % más tomado</t>
        </is>
      </c>
      <c r="C15" t="inlineStr">
        <is>
          <t>+10 %</t>
        </is>
      </c>
      <c r="D15" s="20">
        <f>(((((((IF((IF('Supuestos'!$C$13=0,0,'Supuestos'!$C$10/'Supuestos'!$C$13))=0,0,'Supuestos'!$C$8/(IF('Supuestos'!$C$13=0,0,'Supuestos'!$C$10/'Supuestos'!$C$13))))*'Supuestos'!$C$14)+(((IF((IF('Supuestos'!$C$13=0,0,'Supuestos'!$C$10/'Supuestos'!$C$13))=0,0,'Supuestos'!$C$8/(IF('Supuestos'!$C$13=0,0,'Supuestos'!$C$10/'Supuestos'!$C$13))))*('Supuestos'!$C$16*1.1))*'Supuestos'!$C$15))+((((((IF((IF('Supuestos'!$C$13=0,0,'Supuestos'!$C$10/'Supuestos'!$C$13))=0,0,'Supuestos'!$C$8/(IF('Supuestos'!$C$13=0,0,'Supuestos'!$C$10/'Supuestos'!$C$13))))*'Supuestos'!$C$20)*'Supuestos'!$C$25)+(((IF((IF('Supuestos'!$C$13=0,0,'Supuestos'!$C$10/'Supuestos'!$C$13))=0,0,'Supuestos'!$C$8/(IF('Supuestos'!$C$13=0,0,'Supuestos'!$C$10/'Supuestos'!$C$13))))*'Supuestos'!$C$21)*'Supuestos'!$C$26))*'Supuestos'!$C$27)*'Supuestos'!$C$24)+(((((((IF((IF('Supuestos'!$C$13=0,0,'Supuestos'!$C$10/'Supuestos'!$C$13))=0,0,'Supuestos'!$C$8/(IF('Supuestos'!$C$13=0,0,'Supuestos'!$C$10/'Supuestos'!$C$13))))*'Supuestos'!$C$20)*'Supuestos'!$C$25)+(((IF((IF('Supuestos'!$C$13=0,0,'Supuestos'!$C$10/'Supuestos'!$C$13))=0,0,'Supuestos'!$C$8/(IF('Supuestos'!$C$13=0,0,'Supuestos'!$C$10/'Supuestos'!$C$13))))*'Supuestos'!$C$21)*'Supuestos'!$C$26))*'Supuestos'!$C$27)*'Supuestos'!$C$29)*'Supuestos'!$C$28))*('Supuestos'!$C$39+'Supuestos'!$C$40+'Supuestos'!$C$41))*(1-'Supuestos'!$C$32-'Supuestos'!$C$33-'Supuestos'!$C$34))-((IF((IF('Supuestos'!$C$13=0,0,'Supuestos'!$C$10/'Supuestos'!$C$13))=0,0,'Supuestos'!$C$8/(IF('Supuestos'!$C$13=0,0,'Supuestos'!$C$10/'Supuestos'!$C$13))))*'Supuestos'!$C$35)-'Supuestos'!$C$36-'Supuestos'!$C$8)</f>
        <v/>
      </c>
      <c r="E15" s="20">
        <f>D15-$D$6</f>
        <v/>
      </c>
      <c r="F15" s="23">
        <f>IF($D$6=0,0,E15/ABS($D$6))</f>
        <v/>
      </c>
      <c r="G15" s="21">
        <f>RANK(E15,$E$7:$E$15)</f>
        <v/>
      </c>
    </row>
  </sheetData>
  <pageMargins left="0.75" right="0.75" top="1" bottom="1" header="0.5" footer="0.5"/>
  <headerFooter>
    <oddHeader>&amp;CJesús Tassarolo · TooAudience&amp;R&amp;D</oddHeader>
    <oddFooter>&amp;LModelo financiero de embudos · creado por Jesús Tassarolo · TooAudience · youtube.com/@JesusTassaroloSinFiltro&amp;C&amp;7 Modelo financiero de embudos · creado por Jesús Tassarolo · TooAudience · youtube.com/@JesusTassaroloSinFiltro&amp;RPágina &amp;P de &amp;N</oddFooter>
    <evenHeader>&amp;CJesús Tassarolo · TooAudience</evenHeader>
    <evenFooter>&amp;LModelo financiero de embudos · creado por Jesús Tassarolo · TooAudience · youtube.com/@JesusTassaroloSinFiltro&amp;C&amp;7 Modelo financiero de embudos · creado por Jesús Tassarolo · TooAudience · youtube.com/@JesusTassaroloSinFiltro&amp;RPágina &amp;P de &amp;N</evenFooter>
    <firstHeader/>
    <firstFooter/>
  </headerFooter>
</worksheet>
</file>

<file path=xl/worksheets/sheet9.xml><?xml version="1.0" encoding="utf-8"?>
<worksheet xmlns="http://schemas.openxmlformats.org/spreadsheetml/2006/main">
  <sheetPr>
    <outlinePr summaryBelow="1" summaryRight="1"/>
    <pageSetUpPr/>
  </sheetPr>
  <dimension ref="A1:O2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5" customWidth="1" min="15" max="15"/>
  </cols>
  <sheetData>
    <row r="1">
      <c r="B1" s="1" t="inlineStr">
        <is>
          <t>© Jesús Tassarolo · TooAudience · youtube.com/@JesusTassaroloSinFiltro · uso personal; no redistribuir modificado</t>
        </is>
      </c>
    </row>
    <row r="2">
      <c r="B2" s="2" t="inlineStr">
        <is>
          <t>Proyección a 12 meses y caja</t>
        </is>
      </c>
    </row>
    <row r="3">
      <c r="B3" s="3" t="inlineStr">
        <is>
          <t>La inversión crece cada mes según el supuesto de crecimiento. El cash entra según la curva de cobranza (mes 1 / 2 / 3). La ganancia acumulada muestra cuánto dinero hace falta para sostener la pauta. Cada mes multiplica inversión, costos fijos y ventas por los lanzamientos por mes de Supuestos.</t>
        </is>
      </c>
    </row>
    <row r="5">
      <c r="B5" s="6" t="inlineStr">
        <is>
          <t>Concepto</t>
        </is>
      </c>
      <c r="C5" s="6" t="inlineStr">
        <is>
          <t>Mes 1</t>
        </is>
      </c>
      <c r="D5" s="6" t="inlineStr">
        <is>
          <t>Mes 2</t>
        </is>
      </c>
      <c r="E5" s="6" t="inlineStr">
        <is>
          <t>Mes 3</t>
        </is>
      </c>
      <c r="F5" s="6" t="inlineStr">
        <is>
          <t>Mes 4</t>
        </is>
      </c>
      <c r="G5" s="6" t="inlineStr">
        <is>
          <t>Mes 5</t>
        </is>
      </c>
      <c r="H5" s="6" t="inlineStr">
        <is>
          <t>Mes 6</t>
        </is>
      </c>
      <c r="I5" s="6" t="inlineStr">
        <is>
          <t>Mes 7</t>
        </is>
      </c>
      <c r="J5" s="6" t="inlineStr">
        <is>
          <t>Mes 8</t>
        </is>
      </c>
      <c r="K5" s="6" t="inlineStr">
        <is>
          <t>Mes 9</t>
        </is>
      </c>
      <c r="L5" s="6" t="inlineStr">
        <is>
          <t>Mes 10</t>
        </is>
      </c>
      <c r="M5" s="6" t="inlineStr">
        <is>
          <t>Mes 11</t>
        </is>
      </c>
      <c r="N5" s="6" t="inlineStr">
        <is>
          <t>Mes 12</t>
        </is>
      </c>
      <c r="O5" s="6" t="inlineStr">
        <is>
          <t>Total</t>
        </is>
      </c>
    </row>
    <row r="6">
      <c r="B6" t="inlineStr">
        <is>
          <t>Inversión en publicidad del mes</t>
        </is>
      </c>
      <c r="C6" s="20">
        <f>'Supuestos'!$C$8*'Supuestos'!$C$9</f>
        <v/>
      </c>
      <c r="D6" s="20">
        <f>C6*(1+'Supuestos'!$C$47)</f>
        <v/>
      </c>
      <c r="E6" s="20">
        <f>D6*(1+'Supuestos'!$C$47)</f>
        <v/>
      </c>
      <c r="F6" s="20">
        <f>E6*(1+'Supuestos'!$C$47)</f>
        <v/>
      </c>
      <c r="G6" s="20">
        <f>F6*(1+'Supuestos'!$C$47)</f>
        <v/>
      </c>
      <c r="H6" s="20">
        <f>G6*(1+'Supuestos'!$C$47)</f>
        <v/>
      </c>
      <c r="I6" s="20">
        <f>H6*(1+'Supuestos'!$C$47)</f>
        <v/>
      </c>
      <c r="J6" s="20">
        <f>I6*(1+'Supuestos'!$C$47)</f>
        <v/>
      </c>
      <c r="K6" s="20">
        <f>J6*(1+'Supuestos'!$C$47)</f>
        <v/>
      </c>
      <c r="L6" s="20">
        <f>K6*(1+'Supuestos'!$C$47)</f>
        <v/>
      </c>
      <c r="M6" s="20">
        <f>L6*(1+'Supuestos'!$C$47)</f>
        <v/>
      </c>
      <c r="N6" s="20">
        <f>M6*(1+'Supuestos'!$C$47)</f>
        <v/>
      </c>
      <c r="O6" s="9">
        <f>SUM(C6:N6)</f>
        <v/>
      </c>
    </row>
    <row r="7">
      <c r="B7" t="inlineStr">
        <is>
          <t>Entradas compradas</t>
        </is>
      </c>
      <c r="C7" s="21">
        <f>IF('Modelo'!$C$8=0,0,C6/'Modelo'!$C$8)</f>
        <v/>
      </c>
      <c r="D7" s="21">
        <f>IF('Modelo'!$C$8=0,0,D6/'Modelo'!$C$8)</f>
        <v/>
      </c>
      <c r="E7" s="21">
        <f>IF('Modelo'!$C$8=0,0,E6/'Modelo'!$C$8)</f>
        <v/>
      </c>
      <c r="F7" s="21">
        <f>IF('Modelo'!$C$8=0,0,F6/'Modelo'!$C$8)</f>
        <v/>
      </c>
      <c r="G7" s="21">
        <f>IF('Modelo'!$C$8=0,0,G6/'Modelo'!$C$8)</f>
        <v/>
      </c>
      <c r="H7" s="21">
        <f>IF('Modelo'!$C$8=0,0,H6/'Modelo'!$C$8)</f>
        <v/>
      </c>
      <c r="I7" s="21">
        <f>IF('Modelo'!$C$8=0,0,I6/'Modelo'!$C$8)</f>
        <v/>
      </c>
      <c r="J7" s="21">
        <f>IF('Modelo'!$C$8=0,0,J6/'Modelo'!$C$8)</f>
        <v/>
      </c>
      <c r="K7" s="21">
        <f>IF('Modelo'!$C$8=0,0,K6/'Modelo'!$C$8)</f>
        <v/>
      </c>
      <c r="L7" s="21">
        <f>IF('Modelo'!$C$8=0,0,L6/'Modelo'!$C$8)</f>
        <v/>
      </c>
      <c r="M7" s="21">
        <f>IF('Modelo'!$C$8=0,0,M6/'Modelo'!$C$8)</f>
        <v/>
      </c>
      <c r="N7" s="21">
        <f>IF('Modelo'!$C$8=0,0,N6/'Modelo'!$C$8)</f>
        <v/>
      </c>
      <c r="O7" s="11">
        <f>SUM(C7:N7)</f>
        <v/>
      </c>
    </row>
    <row r="8">
      <c r="B8" t="inlineStr">
        <is>
          <t>Ventas del producto principal</t>
        </is>
      </c>
      <c r="C8" s="24">
        <f>C7*'Modelo'!$C$35</f>
        <v/>
      </c>
      <c r="D8" s="24">
        <f>D7*'Modelo'!$C$35</f>
        <v/>
      </c>
      <c r="E8" s="24">
        <f>E7*'Modelo'!$C$35</f>
        <v/>
      </c>
      <c r="F8" s="24">
        <f>F7*'Modelo'!$C$35</f>
        <v/>
      </c>
      <c r="G8" s="24">
        <f>G7*'Modelo'!$C$35</f>
        <v/>
      </c>
      <c r="H8" s="24">
        <f>H7*'Modelo'!$C$35</f>
        <v/>
      </c>
      <c r="I8" s="24">
        <f>I7*'Modelo'!$C$35</f>
        <v/>
      </c>
      <c r="J8" s="24">
        <f>J7*'Modelo'!$C$35</f>
        <v/>
      </c>
      <c r="K8" s="24">
        <f>K7*'Modelo'!$C$35</f>
        <v/>
      </c>
      <c r="L8" s="24">
        <f>L7*'Modelo'!$C$35</f>
        <v/>
      </c>
      <c r="M8" s="24">
        <f>M7*'Modelo'!$C$35</f>
        <v/>
      </c>
      <c r="N8" s="24">
        <f>N7*'Modelo'!$C$35</f>
        <v/>
      </c>
      <c r="O8" s="12">
        <f>SUM(C8:N8)</f>
        <v/>
      </c>
    </row>
    <row r="9">
      <c r="B9" t="inlineStr">
        <is>
          <t>Facturado (todos los productos)</t>
        </is>
      </c>
      <c r="C9" s="20">
        <f>C7*'Modelo'!$C$36</f>
        <v/>
      </c>
      <c r="D9" s="20">
        <f>D7*'Modelo'!$C$36</f>
        <v/>
      </c>
      <c r="E9" s="20">
        <f>E7*'Modelo'!$C$36</f>
        <v/>
      </c>
      <c r="F9" s="20">
        <f>F7*'Modelo'!$C$36</f>
        <v/>
      </c>
      <c r="G9" s="20">
        <f>G7*'Modelo'!$C$36</f>
        <v/>
      </c>
      <c r="H9" s="20">
        <f>H7*'Modelo'!$C$36</f>
        <v/>
      </c>
      <c r="I9" s="20">
        <f>I7*'Modelo'!$C$36</f>
        <v/>
      </c>
      <c r="J9" s="20">
        <f>J7*'Modelo'!$C$36</f>
        <v/>
      </c>
      <c r="K9" s="20">
        <f>K7*'Modelo'!$C$36</f>
        <v/>
      </c>
      <c r="L9" s="20">
        <f>L7*'Modelo'!$C$36</f>
        <v/>
      </c>
      <c r="M9" s="20">
        <f>M7*'Modelo'!$C$36</f>
        <v/>
      </c>
      <c r="N9" s="20">
        <f>N7*'Modelo'!$C$36</f>
        <v/>
      </c>
      <c r="O9" s="9">
        <f>SUM(C9:N9)</f>
        <v/>
      </c>
    </row>
    <row r="10">
      <c r="B10" t="inlineStr">
        <is>
          <t>Cash cobrado en el mes</t>
        </is>
      </c>
      <c r="C10" s="20">
        <f>C9*'Supuestos'!$C$39</f>
        <v/>
      </c>
      <c r="D10" s="20">
        <f>D9*'Supuestos'!$C$39+C9*'Supuestos'!$C$40</f>
        <v/>
      </c>
      <c r="E10" s="20">
        <f>E9*'Supuestos'!$C$39+D9*'Supuestos'!$C$40+C9*'Supuestos'!$C$41</f>
        <v/>
      </c>
      <c r="F10" s="20">
        <f>F9*'Supuestos'!$C$39+E9*'Supuestos'!$C$40+D9*'Supuestos'!$C$41</f>
        <v/>
      </c>
      <c r="G10" s="20">
        <f>G9*'Supuestos'!$C$39+F9*'Supuestos'!$C$40+E9*'Supuestos'!$C$41</f>
        <v/>
      </c>
      <c r="H10" s="20">
        <f>H9*'Supuestos'!$C$39+G9*'Supuestos'!$C$40+F9*'Supuestos'!$C$41</f>
        <v/>
      </c>
      <c r="I10" s="20">
        <f>I9*'Supuestos'!$C$39+H9*'Supuestos'!$C$40+G9*'Supuestos'!$C$41</f>
        <v/>
      </c>
      <c r="J10" s="20">
        <f>J9*'Supuestos'!$C$39+I9*'Supuestos'!$C$40+H9*'Supuestos'!$C$41</f>
        <v/>
      </c>
      <c r="K10" s="20">
        <f>K9*'Supuestos'!$C$39+J9*'Supuestos'!$C$40+I9*'Supuestos'!$C$41</f>
        <v/>
      </c>
      <c r="L10" s="20">
        <f>L9*'Supuestos'!$C$39+K9*'Supuestos'!$C$40+J9*'Supuestos'!$C$41</f>
        <v/>
      </c>
      <c r="M10" s="20">
        <f>M9*'Supuestos'!$C$39+L9*'Supuestos'!$C$40+K9*'Supuestos'!$C$41</f>
        <v/>
      </c>
      <c r="N10" s="20">
        <f>N9*'Supuestos'!$C$39+M9*'Supuestos'!$C$40+L9*'Supuestos'!$C$41</f>
        <v/>
      </c>
      <c r="O10" s="9">
        <f>SUM(C10:N10)</f>
        <v/>
      </c>
    </row>
    <row r="11">
      <c r="B11" t="inlineStr">
        <is>
          <t>Comisiones y reembolsos</t>
        </is>
      </c>
      <c r="C11" s="20">
        <f>C10*('Supuestos'!$C$32+'Supuestos'!$C$33+'Supuestos'!$C$34)</f>
        <v/>
      </c>
      <c r="D11" s="20">
        <f>D10*('Supuestos'!$C$32+'Supuestos'!$C$33+'Supuestos'!$C$34)</f>
        <v/>
      </c>
      <c r="E11" s="20">
        <f>E10*('Supuestos'!$C$32+'Supuestos'!$C$33+'Supuestos'!$C$34)</f>
        <v/>
      </c>
      <c r="F11" s="20">
        <f>F10*('Supuestos'!$C$32+'Supuestos'!$C$33+'Supuestos'!$C$34)</f>
        <v/>
      </c>
      <c r="G11" s="20">
        <f>G10*('Supuestos'!$C$32+'Supuestos'!$C$33+'Supuestos'!$C$34)</f>
        <v/>
      </c>
      <c r="H11" s="20">
        <f>H10*('Supuestos'!$C$32+'Supuestos'!$C$33+'Supuestos'!$C$34)</f>
        <v/>
      </c>
      <c r="I11" s="20">
        <f>I10*('Supuestos'!$C$32+'Supuestos'!$C$33+'Supuestos'!$C$34)</f>
        <v/>
      </c>
      <c r="J11" s="20">
        <f>J10*('Supuestos'!$C$32+'Supuestos'!$C$33+'Supuestos'!$C$34)</f>
        <v/>
      </c>
      <c r="K11" s="20">
        <f>K10*('Supuestos'!$C$32+'Supuestos'!$C$33+'Supuestos'!$C$34)</f>
        <v/>
      </c>
      <c r="L11" s="20">
        <f>L10*('Supuestos'!$C$32+'Supuestos'!$C$33+'Supuestos'!$C$34)</f>
        <v/>
      </c>
      <c r="M11" s="20">
        <f>M10*('Supuestos'!$C$32+'Supuestos'!$C$33+'Supuestos'!$C$34)</f>
        <v/>
      </c>
      <c r="N11" s="20">
        <f>N10*('Supuestos'!$C$32+'Supuestos'!$C$33+'Supuestos'!$C$34)</f>
        <v/>
      </c>
      <c r="O11" s="9">
        <f>SUM(C11:N11)</f>
        <v/>
      </c>
    </row>
    <row r="12">
      <c r="B12" t="inlineStr">
        <is>
          <t>Costos por unidad (herramientas, WhatsApp, IA)</t>
        </is>
      </c>
      <c r="C12" s="20">
        <f>C7*'Supuestos'!$C$35</f>
        <v/>
      </c>
      <c r="D12" s="20">
        <f>D7*'Supuestos'!$C$35</f>
        <v/>
      </c>
      <c r="E12" s="20">
        <f>E7*'Supuestos'!$C$35</f>
        <v/>
      </c>
      <c r="F12" s="20">
        <f>F7*'Supuestos'!$C$35</f>
        <v/>
      </c>
      <c r="G12" s="20">
        <f>G7*'Supuestos'!$C$35</f>
        <v/>
      </c>
      <c r="H12" s="20">
        <f>H7*'Supuestos'!$C$35</f>
        <v/>
      </c>
      <c r="I12" s="20">
        <f>I7*'Supuestos'!$C$35</f>
        <v/>
      </c>
      <c r="J12" s="20">
        <f>J7*'Supuestos'!$C$35</f>
        <v/>
      </c>
      <c r="K12" s="20">
        <f>K7*'Supuestos'!$C$35</f>
        <v/>
      </c>
      <c r="L12" s="20">
        <f>L7*'Supuestos'!$C$35</f>
        <v/>
      </c>
      <c r="M12" s="20">
        <f>M7*'Supuestos'!$C$35</f>
        <v/>
      </c>
      <c r="N12" s="20">
        <f>N7*'Supuestos'!$C$35</f>
        <v/>
      </c>
      <c r="O12" s="9">
        <f>SUM(C12:N12)</f>
        <v/>
      </c>
    </row>
    <row r="13">
      <c r="B13" t="inlineStr">
        <is>
          <t>Costos fijos del mes</t>
        </is>
      </c>
      <c r="C13" s="20">
        <f>'Supuestos'!$C$36*'Supuestos'!$C$9</f>
        <v/>
      </c>
      <c r="D13" s="20">
        <f>'Supuestos'!$C$36*'Supuestos'!$C$9</f>
        <v/>
      </c>
      <c r="E13" s="20">
        <f>'Supuestos'!$C$36*'Supuestos'!$C$9</f>
        <v/>
      </c>
      <c r="F13" s="20">
        <f>'Supuestos'!$C$36*'Supuestos'!$C$9</f>
        <v/>
      </c>
      <c r="G13" s="20">
        <f>'Supuestos'!$C$36*'Supuestos'!$C$9</f>
        <v/>
      </c>
      <c r="H13" s="20">
        <f>'Supuestos'!$C$36*'Supuestos'!$C$9</f>
        <v/>
      </c>
      <c r="I13" s="20">
        <f>'Supuestos'!$C$36*'Supuestos'!$C$9</f>
        <v/>
      </c>
      <c r="J13" s="20">
        <f>'Supuestos'!$C$36*'Supuestos'!$C$9</f>
        <v/>
      </c>
      <c r="K13" s="20">
        <f>'Supuestos'!$C$36*'Supuestos'!$C$9</f>
        <v/>
      </c>
      <c r="L13" s="20">
        <f>'Supuestos'!$C$36*'Supuestos'!$C$9</f>
        <v/>
      </c>
      <c r="M13" s="20">
        <f>'Supuestos'!$C$36*'Supuestos'!$C$9</f>
        <v/>
      </c>
      <c r="N13" s="20">
        <f>'Supuestos'!$C$36*'Supuestos'!$C$9</f>
        <v/>
      </c>
      <c r="O13" s="9">
        <f>SUM(C13:N13)</f>
        <v/>
      </c>
    </row>
    <row r="14">
      <c r="B14" s="4" t="inlineStr">
        <is>
          <t>Ganancia de caja del mes</t>
        </is>
      </c>
      <c r="C14" s="9">
        <f>C10-C11-C12-C13-C6</f>
        <v/>
      </c>
      <c r="D14" s="9">
        <f>D10-D11-D12-D13-D6</f>
        <v/>
      </c>
      <c r="E14" s="9">
        <f>E10-E11-E12-E13-E6</f>
        <v/>
      </c>
      <c r="F14" s="9">
        <f>F10-F11-F12-F13-F6</f>
        <v/>
      </c>
      <c r="G14" s="9">
        <f>G10-G11-G12-G13-G6</f>
        <v/>
      </c>
      <c r="H14" s="9">
        <f>H10-H11-H12-H13-H6</f>
        <v/>
      </c>
      <c r="I14" s="9">
        <f>I10-I11-I12-I13-I6</f>
        <v/>
      </c>
      <c r="J14" s="9">
        <f>J10-J11-J12-J13-J6</f>
        <v/>
      </c>
      <c r="K14" s="9">
        <f>K10-K11-K12-K13-K6</f>
        <v/>
      </c>
      <c r="L14" s="9">
        <f>L10-L11-L12-L13-L6</f>
        <v/>
      </c>
      <c r="M14" s="9">
        <f>M10-M11-M12-M13-M6</f>
        <v/>
      </c>
      <c r="N14" s="9">
        <f>N10-N11-N12-N13-N6</f>
        <v/>
      </c>
      <c r="O14" s="9">
        <f>SUM(C14:N14)</f>
        <v/>
      </c>
    </row>
    <row r="15">
      <c r="B15" s="4" t="inlineStr">
        <is>
          <t>Ganancia de caja acumulada (desde cero)</t>
        </is>
      </c>
      <c r="C15" s="9">
        <f>C14</f>
        <v/>
      </c>
      <c r="D15" s="9">
        <f>C15+D14</f>
        <v/>
      </c>
      <c r="E15" s="9">
        <f>D15+E14</f>
        <v/>
      </c>
      <c r="F15" s="9">
        <f>E15+F14</f>
        <v/>
      </c>
      <c r="G15" s="9">
        <f>F15+G14</f>
        <v/>
      </c>
      <c r="H15" s="9">
        <f>G15+H14</f>
        <v/>
      </c>
      <c r="I15" s="9">
        <f>H15+I14</f>
        <v/>
      </c>
      <c r="J15" s="9">
        <f>I15+J14</f>
        <v/>
      </c>
      <c r="K15" s="9">
        <f>J15+K14</f>
        <v/>
      </c>
      <c r="L15" s="9">
        <f>K15+L14</f>
        <v/>
      </c>
      <c r="M15" s="9">
        <f>L15+M14</f>
        <v/>
      </c>
      <c r="N15" s="9">
        <f>M15+N14</f>
        <v/>
      </c>
    </row>
    <row r="16">
      <c r="B16" t="inlineStr">
        <is>
          <t>Saldo de caja (caja inicial + ganancia acumulada)</t>
        </is>
      </c>
      <c r="C16" s="20">
        <f>'Supuestos'!$C$48+C15</f>
        <v/>
      </c>
      <c r="D16" s="20">
        <f>'Supuestos'!$C$48+D15</f>
        <v/>
      </c>
      <c r="E16" s="20">
        <f>'Supuestos'!$C$48+E15</f>
        <v/>
      </c>
      <c r="F16" s="20">
        <f>'Supuestos'!$C$48+F15</f>
        <v/>
      </c>
      <c r="G16" s="20">
        <f>'Supuestos'!$C$48+G15</f>
        <v/>
      </c>
      <c r="H16" s="20">
        <f>'Supuestos'!$C$48+H15</f>
        <v/>
      </c>
      <c r="I16" s="20">
        <f>'Supuestos'!$C$48+I15</f>
        <v/>
      </c>
      <c r="J16" s="20">
        <f>'Supuestos'!$C$48+J15</f>
        <v/>
      </c>
      <c r="K16" s="20">
        <f>'Supuestos'!$C$48+K15</f>
        <v/>
      </c>
      <c r="L16" s="20">
        <f>'Supuestos'!$C$48+L15</f>
        <v/>
      </c>
      <c r="M16" s="20">
        <f>'Supuestos'!$C$48+M15</f>
        <v/>
      </c>
      <c r="N16" s="20">
        <f>'Supuestos'!$C$48+N15</f>
        <v/>
      </c>
    </row>
    <row r="18">
      <c r="B18" s="4" t="inlineStr">
        <is>
          <t>Caja necesaria para no frenar la pauta (el peor momento de la ganancia acumulada)</t>
        </is>
      </c>
      <c r="C18" s="9">
        <f>MAX(0,-MIN(C15:N15))</f>
        <v/>
      </c>
    </row>
    <row r="19">
      <c r="B19" s="4" t="inlineStr">
        <is>
          <t>Saldo mínimo de caja con tu caja inicial</t>
        </is>
      </c>
      <c r="C19" s="9">
        <f>MIN(C16:N16)</f>
        <v/>
      </c>
    </row>
    <row r="20">
      <c r="B20" s="4" t="inlineStr">
        <is>
          <t>Ganancia de caja acumulada en 12 meses</t>
        </is>
      </c>
      <c r="C20" s="9">
        <f>O14</f>
        <v/>
      </c>
    </row>
  </sheetData>
  <conditionalFormatting sqref="C14:N14">
    <cfRule type="cellIs" priority="1" operator="lessThan" dxfId="2">
      <formula>0</formula>
    </cfRule>
    <cfRule type="cellIs" priority="2" operator="between" dxfId="1">
      <formula>0</formula>
      <formula>0.0001</formula>
    </cfRule>
    <cfRule type="cellIs" priority="3" operator="greaterThanOrEqual" dxfId="0">
      <formula>0.0001</formula>
    </cfRule>
  </conditionalFormatting>
  <pageMargins left="0.75" right="0.75" top="1" bottom="1" header="0.5" footer="0.5"/>
  <headerFooter>
    <oddHeader>&amp;CJesús Tassarolo · TooAudience&amp;R&amp;D</oddHeader>
    <oddFooter>&amp;LModelo financiero de embudos · creado por Jesús Tassarolo · TooAudience · youtube.com/@JesusTassaroloSinFiltro&amp;C&amp;7 Modelo financiero de embudos · creado por Jesús Tassarolo · TooAudience · youtube.com/@JesusTassaroloSinFiltro&amp;RPágina &amp;P de &amp;N</oddFooter>
    <evenHeader>&amp;CJesús Tassarolo · TooAudience</evenHeader>
    <evenFooter>&amp;LModelo financiero de embudos · creado por Jesús Tassarolo · TooAudience · youtube.com/@JesusTassaroloSinFiltro&amp;C&amp;7 Modelo financiero de embudos · creado por Jesús Tassarolo · TooAudience · youtube.com/@JesusTassaroloSinFiltro&amp;RPágina &amp;P de &amp;N</evenFooter>
    <firstHeader/>
    <firstFooter/>
  </headerFooter>
</worksheet>
</file>

<file path=xl/worksheets/sheet10.xml><?xml version="1.0" encoding="utf-8"?>
<worksheet xmlns="http://schemas.openxmlformats.org/spreadsheetml/2006/main">
  <sheetPr>
    <outlinePr summaryBelow="1" summaryRight="1"/>
    <pageSetUpPr/>
  </sheetPr>
  <dimension ref="A1:Q3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 customWidth="1" min="1" max="1"/>
    <col width="5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c r="B1" s="1" t="inlineStr">
        <is>
          <t>© Jesús Tassarolo · TooAudience · youtube.com/@JesusTassaroloSinFiltro · uso personal; no redistribuir modificado</t>
        </is>
      </c>
    </row>
    <row r="2">
      <c r="B2" s="2" t="inlineStr">
        <is>
          <t>Seguimiento: una columna por lanzamiento</t>
        </is>
      </c>
    </row>
    <row r="3">
      <c r="B3" s="3" t="inlineStr">
        <is>
          <t>Cargá los datos reales en las celdas amarillas. El semáforo compara tu costo real por entrada con el techo móvil (lo que rindieron tus últimas 4 columnas) y con el techo del modelo.</t>
        </is>
      </c>
    </row>
    <row r="5">
      <c r="B5" s="6" t="inlineStr">
        <is>
          <t>Dato</t>
        </is>
      </c>
      <c r="C5" s="6" t="inlineStr">
        <is>
          <t>Lanzamiento 1</t>
        </is>
      </c>
      <c r="D5" s="6" t="inlineStr">
        <is>
          <t>Lanzamiento 2</t>
        </is>
      </c>
      <c r="E5" s="6" t="inlineStr">
        <is>
          <t>Lanzamiento 3</t>
        </is>
      </c>
      <c r="F5" s="6" t="inlineStr">
        <is>
          <t>Lanzamiento 4</t>
        </is>
      </c>
      <c r="G5" s="6" t="inlineStr">
        <is>
          <t>Lanzamiento 5</t>
        </is>
      </c>
      <c r="H5" s="6" t="inlineStr">
        <is>
          <t>Lanzamiento 6</t>
        </is>
      </c>
      <c r="I5" s="6" t="inlineStr">
        <is>
          <t>Lanzamiento 7</t>
        </is>
      </c>
      <c r="J5" s="6" t="inlineStr">
        <is>
          <t>Lanzamiento 8</t>
        </is>
      </c>
      <c r="K5" s="6" t="inlineStr">
        <is>
          <t>Lanzamiento 9</t>
        </is>
      </c>
      <c r="L5" s="6" t="inlineStr">
        <is>
          <t>Lanzamiento 10</t>
        </is>
      </c>
      <c r="M5" s="6" t="inlineStr">
        <is>
          <t>Lanzamiento 11</t>
        </is>
      </c>
      <c r="N5" s="6" t="inlineStr">
        <is>
          <t>Lanzamiento 12</t>
        </is>
      </c>
      <c r="O5" s="6" t="inlineStr">
        <is>
          <t>Promedio</t>
        </is>
      </c>
      <c r="P5" s="6" t="inlineStr">
        <is>
          <t>Máximo</t>
        </is>
      </c>
      <c r="Q5" s="6" t="inlineStr">
        <is>
          <t>Mínimo</t>
        </is>
      </c>
    </row>
    <row r="6">
      <c r="B6" s="7" t="inlineStr">
        <is>
          <t>Datos que cargás</t>
        </is>
      </c>
      <c r="C6" s="8" t="n"/>
      <c r="D6" s="8" t="n"/>
      <c r="E6" s="8" t="n"/>
      <c r="F6" s="8" t="n"/>
      <c r="G6" s="8" t="n"/>
      <c r="H6" s="8" t="n"/>
      <c r="I6" s="8" t="n"/>
      <c r="J6" s="8" t="n"/>
      <c r="K6" s="8" t="n"/>
      <c r="L6" s="8" t="n"/>
      <c r="M6" s="8" t="n"/>
      <c r="N6" s="8" t="n"/>
    </row>
    <row r="7">
      <c r="B7" t="inlineStr">
        <is>
          <t>Inversión en publicidad</t>
        </is>
      </c>
      <c r="C7" s="19" t="n">
        <v>3000</v>
      </c>
      <c r="D7" s="19" t="n">
        <v>3200</v>
      </c>
      <c r="E7" s="19" t="n">
        <v>3600</v>
      </c>
      <c r="F7" s="19" t="n"/>
      <c r="G7" s="19" t="n"/>
      <c r="H7" s="19" t="n"/>
      <c r="I7" s="19" t="n"/>
      <c r="J7" s="19" t="n"/>
      <c r="K7" s="19" t="n"/>
      <c r="L7" s="19" t="n"/>
      <c r="M7" s="19" t="n"/>
      <c r="N7" s="19" t="n"/>
      <c r="O7" s="20">
        <f>IF(COUNT(C7:N7)=0,"",AVERAGE(C7:N7))</f>
        <v/>
      </c>
      <c r="P7" s="20">
        <f>IF(COUNT(C7:N7)=0,"",MAX(C7:N7))</f>
        <v/>
      </c>
      <c r="Q7" s="20">
        <f>IF(COUNT(C7:N7)=0,"",MIN(C7:N7))</f>
        <v/>
      </c>
    </row>
    <row r="8">
      <c r="B8" t="inlineStr">
        <is>
          <t>Visitas a la página de ventas</t>
        </is>
      </c>
      <c r="C8" s="29" t="n">
        <v>8600</v>
      </c>
      <c r="D8" s="29" t="n">
        <v>8900</v>
      </c>
      <c r="E8" s="29" t="n">
        <v>9700</v>
      </c>
      <c r="F8" s="29" t="n"/>
      <c r="G8" s="29" t="n"/>
      <c r="H8" s="29" t="n"/>
      <c r="I8" s="29" t="n"/>
      <c r="J8" s="29" t="n"/>
      <c r="K8" s="29" t="n"/>
      <c r="L8" s="29" t="n"/>
      <c r="M8" s="29" t="n"/>
      <c r="N8" s="29" t="n"/>
      <c r="O8" s="21">
        <f>IF(COUNT(C8:N8)=0,"",AVERAGE(C8:N8))</f>
        <v/>
      </c>
      <c r="P8" s="21">
        <f>IF(COUNT(C8:N8)=0,"",MAX(C8:N8))</f>
        <v/>
      </c>
      <c r="Q8" s="21">
        <f>IF(COUNT(C8:N8)=0,"",MIN(C8:N8))</f>
        <v/>
      </c>
    </row>
    <row r="9">
      <c r="B9" t="inlineStr">
        <is>
          <t>Entradas vendidas</t>
        </is>
      </c>
      <c r="C9" s="29" t="n">
        <v>214</v>
      </c>
      <c r="D9" s="29" t="n">
        <v>220</v>
      </c>
      <c r="E9" s="29" t="n">
        <v>235</v>
      </c>
      <c r="F9" s="29" t="n"/>
      <c r="G9" s="29" t="n"/>
      <c r="H9" s="29" t="n"/>
      <c r="I9" s="29" t="n"/>
      <c r="J9" s="29" t="n"/>
      <c r="K9" s="29" t="n"/>
      <c r="L9" s="29" t="n"/>
      <c r="M9" s="29" t="n"/>
      <c r="N9" s="29" t="n"/>
      <c r="O9" s="21">
        <f>IF(COUNT(C9:N9)=0,"",AVERAGE(C9:N9))</f>
        <v/>
      </c>
      <c r="P9" s="21">
        <f>IF(COUNT(C9:N9)=0,"",MAX(C9:N9))</f>
        <v/>
      </c>
      <c r="Q9" s="21">
        <f>IF(COUNT(C9:N9)=0,"",MIN(C9:N9))</f>
        <v/>
      </c>
    </row>
    <row r="10">
      <c r="B10" t="inlineStr">
        <is>
          <t>Bumps de la entrada</t>
        </is>
      </c>
      <c r="C10" s="29" t="n">
        <v>43</v>
      </c>
      <c r="D10" s="29" t="n">
        <v>40</v>
      </c>
      <c r="E10" s="29" t="n">
        <v>50</v>
      </c>
      <c r="F10" s="29" t="n"/>
      <c r="G10" s="29" t="n"/>
      <c r="H10" s="29" t="n"/>
      <c r="I10" s="29" t="n"/>
      <c r="J10" s="29" t="n"/>
      <c r="K10" s="29" t="n"/>
      <c r="L10" s="29" t="n"/>
      <c r="M10" s="29" t="n"/>
      <c r="N10" s="29" t="n"/>
      <c r="O10" s="21">
        <f>IF(COUNT(C10:N10)=0,"",AVERAGE(C10:N10))</f>
        <v/>
      </c>
      <c r="P10" s="21">
        <f>IF(COUNT(C10:N10)=0,"",MAX(C10:N10))</f>
        <v/>
      </c>
      <c r="Q10" s="21">
        <f>IF(COUNT(C10:N10)=0,"",MIN(C10:N10))</f>
        <v/>
      </c>
    </row>
    <row r="11">
      <c r="B11" t="inlineStr">
        <is>
          <t>Entraron al grupo</t>
        </is>
      </c>
      <c r="C11" s="29" t="n">
        <v>182</v>
      </c>
      <c r="D11" s="29" t="n">
        <v>190</v>
      </c>
      <c r="E11" s="29" t="n">
        <v>200</v>
      </c>
      <c r="F11" s="29" t="n"/>
      <c r="G11" s="29" t="n"/>
      <c r="H11" s="29" t="n"/>
      <c r="I11" s="29" t="n"/>
      <c r="J11" s="29" t="n"/>
      <c r="K11" s="29" t="n"/>
      <c r="L11" s="29" t="n"/>
      <c r="M11" s="29" t="n"/>
      <c r="N11" s="29" t="n"/>
      <c r="O11" s="21">
        <f>IF(COUNT(C11:N11)=0,"",AVERAGE(C11:N11))</f>
        <v/>
      </c>
      <c r="P11" s="21">
        <f>IF(COUNT(C11:N11)=0,"",MAX(C11:N11))</f>
        <v/>
      </c>
      <c r="Q11" s="21">
        <f>IF(COUNT(C11:N11)=0,"",MIN(C11:N11))</f>
        <v/>
      </c>
    </row>
    <row r="12">
      <c r="B12" t="inlineStr">
        <is>
          <t>Asistentes en vivo</t>
        </is>
      </c>
      <c r="C12" s="29" t="n">
        <v>118</v>
      </c>
      <c r="D12" s="29" t="n">
        <v>115</v>
      </c>
      <c r="E12" s="29" t="n">
        <v>135</v>
      </c>
      <c r="F12" s="29" t="n"/>
      <c r="G12" s="29" t="n"/>
      <c r="H12" s="29" t="n"/>
      <c r="I12" s="29" t="n"/>
      <c r="J12" s="29" t="n"/>
      <c r="K12" s="29" t="n"/>
      <c r="L12" s="29" t="n"/>
      <c r="M12" s="29" t="n"/>
      <c r="N12" s="29" t="n"/>
      <c r="O12" s="21">
        <f>IF(COUNT(C12:N12)=0,"",AVERAGE(C12:N12))</f>
        <v/>
      </c>
      <c r="P12" s="21">
        <f>IF(COUNT(C12:N12)=0,"",MAX(C12:N12))</f>
        <v/>
      </c>
      <c r="Q12" s="21">
        <f>IF(COUNT(C12:N12)=0,"",MIN(C12:N12))</f>
        <v/>
      </c>
    </row>
    <row r="13">
      <c r="B13" t="inlineStr">
        <is>
          <t>Vieron el replay</t>
        </is>
      </c>
      <c r="C13" s="29" t="n">
        <v>54</v>
      </c>
      <c r="D13" s="29" t="n">
        <v>60</v>
      </c>
      <c r="E13" s="29" t="n">
        <v>58</v>
      </c>
      <c r="F13" s="29" t="n"/>
      <c r="G13" s="29" t="n"/>
      <c r="H13" s="29" t="n"/>
      <c r="I13" s="29" t="n"/>
      <c r="J13" s="29" t="n"/>
      <c r="K13" s="29" t="n"/>
      <c r="L13" s="29" t="n"/>
      <c r="M13" s="29" t="n"/>
      <c r="N13" s="29" t="n"/>
      <c r="O13" s="21">
        <f>IF(COUNT(C13:N13)=0,"",AVERAGE(C13:N13))</f>
        <v/>
      </c>
      <c r="P13" s="21">
        <f>IF(COUNT(C13:N13)=0,"",MAX(C13:N13))</f>
        <v/>
      </c>
      <c r="Q13" s="21">
        <f>IF(COUNT(C13:N13)=0,"",MIN(C13:N13))</f>
        <v/>
      </c>
    </row>
    <row r="14">
      <c r="B14" t="inlineStr">
        <is>
          <t>Solicitudes (formulario de compra, aplicación o vendedor)</t>
        </is>
      </c>
      <c r="C14" s="29" t="n">
        <v>22</v>
      </c>
      <c r="D14" s="29" t="n">
        <v>19</v>
      </c>
      <c r="E14" s="29" t="n">
        <v>26</v>
      </c>
      <c r="F14" s="29" t="n"/>
      <c r="G14" s="29" t="n"/>
      <c r="H14" s="29" t="n"/>
      <c r="I14" s="29" t="n"/>
      <c r="J14" s="29" t="n"/>
      <c r="K14" s="29" t="n"/>
      <c r="L14" s="29" t="n"/>
      <c r="M14" s="29" t="n"/>
      <c r="N14" s="29" t="n"/>
      <c r="O14" s="21">
        <f>IF(COUNT(C14:N14)=0,"",AVERAGE(C14:N14))</f>
        <v/>
      </c>
      <c r="P14" s="21">
        <f>IF(COUNT(C14:N14)=0,"",MAX(C14:N14))</f>
        <v/>
      </c>
      <c r="Q14" s="21">
        <f>IF(COUNT(C14:N14)=0,"",MIN(C14:N14))</f>
        <v/>
      </c>
    </row>
    <row r="15">
      <c r="B15" t="inlineStr">
        <is>
          <t>Ventas de la oferta</t>
        </is>
      </c>
      <c r="C15" s="29" t="n">
        <v>11</v>
      </c>
      <c r="D15" s="29" t="n">
        <v>9</v>
      </c>
      <c r="E15" s="29" t="n">
        <v>13</v>
      </c>
      <c r="F15" s="29" t="n"/>
      <c r="G15" s="29" t="n"/>
      <c r="H15" s="29" t="n"/>
      <c r="I15" s="29" t="n"/>
      <c r="J15" s="29" t="n"/>
      <c r="K15" s="29" t="n"/>
      <c r="L15" s="29" t="n"/>
      <c r="M15" s="29" t="n"/>
      <c r="N15" s="29" t="n"/>
      <c r="O15" s="21">
        <f>IF(COUNT(C15:N15)=0,"",AVERAGE(C15:N15))</f>
        <v/>
      </c>
      <c r="P15" s="21">
        <f>IF(COUNT(C15:N15)=0,"",MAX(C15:N15))</f>
        <v/>
      </c>
      <c r="Q15" s="21">
        <f>IF(COUNT(C15:N15)=0,"",MIN(C15:N15))</f>
        <v/>
      </c>
    </row>
    <row r="16">
      <c r="B16" t="inlineStr">
        <is>
          <t>Ventas del programa superior</t>
        </is>
      </c>
      <c r="C16" s="29" t="n">
        <v>1</v>
      </c>
      <c r="D16" s="29" t="n">
        <v>1</v>
      </c>
      <c r="E16" s="29" t="n">
        <v>2</v>
      </c>
      <c r="F16" s="29" t="n"/>
      <c r="G16" s="29" t="n"/>
      <c r="H16" s="29" t="n"/>
      <c r="I16" s="29" t="n"/>
      <c r="J16" s="29" t="n"/>
      <c r="K16" s="29" t="n"/>
      <c r="L16" s="29" t="n"/>
      <c r="M16" s="29" t="n"/>
      <c r="N16" s="29" t="n"/>
      <c r="O16" s="21">
        <f>IF(COUNT(C16:N16)=0,"",AVERAGE(C16:N16))</f>
        <v/>
      </c>
      <c r="P16" s="21">
        <f>IF(COUNT(C16:N16)=0,"",MAX(C16:N16))</f>
        <v/>
      </c>
      <c r="Q16" s="21">
        <f>IF(COUNT(C16:N16)=0,"",MIN(C16:N16))</f>
        <v/>
      </c>
    </row>
    <row r="17">
      <c r="B17" t="inlineStr">
        <is>
          <t>Facturado del lanzamiento (a precio de lista, con cuotas por cobrar)</t>
        </is>
      </c>
      <c r="C17" s="19" t="n">
        <v>10400</v>
      </c>
      <c r="D17" s="19" t="n">
        <v>9000</v>
      </c>
      <c r="E17" s="19" t="n">
        <v>12300</v>
      </c>
      <c r="F17" s="19" t="n"/>
      <c r="G17" s="19" t="n"/>
      <c r="H17" s="19" t="n"/>
      <c r="I17" s="19" t="n"/>
      <c r="J17" s="19" t="n"/>
      <c r="K17" s="19" t="n"/>
      <c r="L17" s="19" t="n"/>
      <c r="M17" s="19" t="n"/>
      <c r="N17" s="19" t="n"/>
      <c r="O17" s="20">
        <f>IF(COUNT(C17:N17)=0,"",AVERAGE(C17:N17))</f>
        <v/>
      </c>
      <c r="P17" s="20">
        <f>IF(COUNT(C17:N17)=0,"",MAX(C17:N17))</f>
        <v/>
      </c>
      <c r="Q17" s="20">
        <f>IF(COUNT(C17:N17)=0,"",MIN(C17:N17))</f>
        <v/>
      </c>
    </row>
    <row r="18">
      <c r="B18" t="inlineStr">
        <is>
          <t>Cash cobrado hasta ahora de ese lanzamiento</t>
        </is>
      </c>
      <c r="C18" s="19" t="n">
        <v>6900</v>
      </c>
      <c r="D18" s="19" t="n">
        <v>6300</v>
      </c>
      <c r="E18" s="19" t="n">
        <v>8200</v>
      </c>
      <c r="F18" s="19" t="n"/>
      <c r="G18" s="19" t="n"/>
      <c r="H18" s="19" t="n"/>
      <c r="I18" s="19" t="n"/>
      <c r="J18" s="19" t="n"/>
      <c r="K18" s="19" t="n"/>
      <c r="L18" s="19" t="n"/>
      <c r="M18" s="19" t="n"/>
      <c r="N18" s="19" t="n"/>
      <c r="O18" s="20">
        <f>IF(COUNT(C18:N18)=0,"",AVERAGE(C18:N18))</f>
        <v/>
      </c>
      <c r="P18" s="20">
        <f>IF(COUNT(C18:N18)=0,"",MAX(C18:N18))</f>
        <v/>
      </c>
      <c r="Q18" s="20">
        <f>IF(COUNT(C18:N18)=0,"",MIN(C18:N18))</f>
        <v/>
      </c>
    </row>
    <row r="19">
      <c r="B19" s="7" t="inlineStr">
        <is>
          <t>Lo que calcula el modelo</t>
        </is>
      </c>
      <c r="C19" s="8" t="n"/>
      <c r="D19" s="8" t="n"/>
      <c r="E19" s="8" t="n"/>
      <c r="F19" s="8" t="n"/>
      <c r="G19" s="8" t="n"/>
      <c r="H19" s="8" t="n"/>
      <c r="I19" s="8" t="n"/>
      <c r="J19" s="8" t="n"/>
      <c r="K19" s="8" t="n"/>
      <c r="L19" s="8" t="n"/>
      <c r="M19" s="8" t="n"/>
      <c r="N19" s="8" t="n"/>
    </row>
    <row r="20">
      <c r="B20" s="4" t="inlineStr">
        <is>
          <t>Costo por entrada real</t>
        </is>
      </c>
      <c r="C20" s="13">
        <f>IF(COUNT(C7:C18)&lt;12,"",IF(C9=0,0,C7/C9))</f>
        <v/>
      </c>
      <c r="D20" s="13">
        <f>IF(COUNT(D7:D18)&lt;12,"",IF(D9=0,0,D7/D9))</f>
        <v/>
      </c>
      <c r="E20" s="13">
        <f>IF(COUNT(E7:E18)&lt;12,"",IF(E9=0,0,E7/E9))</f>
        <v/>
      </c>
      <c r="F20" s="13">
        <f>IF(COUNT(F7:F18)&lt;12,"",IF(F9=0,0,F7/F9))</f>
        <v/>
      </c>
      <c r="G20" s="13">
        <f>IF(COUNT(G7:G18)&lt;12,"",IF(G9=0,0,G7/G9))</f>
        <v/>
      </c>
      <c r="H20" s="13">
        <f>IF(COUNT(H7:H18)&lt;12,"",IF(H9=0,0,H7/H9))</f>
        <v/>
      </c>
      <c r="I20" s="13">
        <f>IF(COUNT(I7:I18)&lt;12,"",IF(I9=0,0,I7/I9))</f>
        <v/>
      </c>
      <c r="J20" s="13">
        <f>IF(COUNT(J7:J18)&lt;12,"",IF(J9=0,0,J7/J9))</f>
        <v/>
      </c>
      <c r="K20" s="13">
        <f>IF(COUNT(K7:K18)&lt;12,"",IF(K9=0,0,K7/K9))</f>
        <v/>
      </c>
      <c r="L20" s="13">
        <f>IF(COUNT(L7:L18)&lt;12,"",IF(L9=0,0,L7/L9))</f>
        <v/>
      </c>
      <c r="M20" s="13">
        <f>IF(COUNT(M7:M18)&lt;12,"",IF(M9=0,0,M7/M9))</f>
        <v/>
      </c>
      <c r="N20" s="13">
        <f>IF(COUNT(N7:N18)&lt;12,"",IF(N9=0,0,N7/N9))</f>
        <v/>
      </c>
      <c r="O20" s="18">
        <f>IF(COUNT(C20:N20)=0,"",AVERAGE(C20:N20))</f>
        <v/>
      </c>
      <c r="P20" s="18">
        <f>IF(COUNT(C20:N20)=0,"",MAX(C20:N20))</f>
        <v/>
      </c>
      <c r="Q20" s="18">
        <f>IF(COUNT(C20:N20)=0,"",MIN(C20:N20))</f>
        <v/>
      </c>
    </row>
    <row r="21">
      <c r="B21" t="inlineStr">
        <is>
          <t>% visita → entrada</t>
        </is>
      </c>
      <c r="C21" s="23">
        <f>IF(COUNT(C7:C18)&lt;12,"",IF(C8=0,0,C9/C8))</f>
        <v/>
      </c>
      <c r="D21" s="23">
        <f>IF(COUNT(D7:D18)&lt;12,"",IF(D8=0,0,D9/D8))</f>
        <v/>
      </c>
      <c r="E21" s="23">
        <f>IF(COUNT(E7:E18)&lt;12,"",IF(E8=0,0,E9/E8))</f>
        <v/>
      </c>
      <c r="F21" s="23">
        <f>IF(COUNT(F7:F18)&lt;12,"",IF(F8=0,0,F9/F8))</f>
        <v/>
      </c>
      <c r="G21" s="23">
        <f>IF(COUNT(G7:G18)&lt;12,"",IF(G8=0,0,G9/G8))</f>
        <v/>
      </c>
      <c r="H21" s="23">
        <f>IF(COUNT(H7:H18)&lt;12,"",IF(H8=0,0,H9/H8))</f>
        <v/>
      </c>
      <c r="I21" s="23">
        <f>IF(COUNT(I7:I18)&lt;12,"",IF(I8=0,0,I9/I8))</f>
        <v/>
      </c>
      <c r="J21" s="23">
        <f>IF(COUNT(J7:J18)&lt;12,"",IF(J8=0,0,J9/J8))</f>
        <v/>
      </c>
      <c r="K21" s="23">
        <f>IF(COUNT(K7:K18)&lt;12,"",IF(K8=0,0,K9/K8))</f>
        <v/>
      </c>
      <c r="L21" s="23">
        <f>IF(COUNT(L7:L18)&lt;12,"",IF(L8=0,0,L9/L8))</f>
        <v/>
      </c>
      <c r="M21" s="23">
        <f>IF(COUNT(M7:M18)&lt;12,"",IF(M8=0,0,M9/M8))</f>
        <v/>
      </c>
      <c r="N21" s="23">
        <f>IF(COUNT(N7:N18)&lt;12,"",IF(N8=0,0,N9/N8))</f>
        <v/>
      </c>
      <c r="O21" s="23">
        <f>IF(COUNT(C21:N21)=0,"",AVERAGE(C21:N21))</f>
        <v/>
      </c>
      <c r="P21" s="23">
        <f>IF(COUNT(C21:N21)=0,"",MAX(C21:N21))</f>
        <v/>
      </c>
      <c r="Q21" s="23">
        <f>IF(COUNT(C21:N21)=0,"",MIN(C21:N21))</f>
        <v/>
      </c>
    </row>
    <row r="22">
      <c r="B22" s="4" t="inlineStr">
        <is>
          <t>ROAS del front (entradas × precio + bumps × precio ÷ inversión)</t>
        </is>
      </c>
      <c r="C22" s="10">
        <f>IF(COUNT(C7:C18)&lt;12,"",(C9*'Supuestos'!$C$14+C10*'Supuestos'!$C$15)/C7)</f>
        <v/>
      </c>
      <c r="D22" s="10">
        <f>IF(COUNT(D7:D18)&lt;12,"",(D9*'Supuestos'!$C$14+D10*'Supuestos'!$C$15)/D7)</f>
        <v/>
      </c>
      <c r="E22" s="10">
        <f>IF(COUNT(E7:E18)&lt;12,"",(E9*'Supuestos'!$C$14+E10*'Supuestos'!$C$15)/E7)</f>
        <v/>
      </c>
      <c r="F22" s="10">
        <f>IF(COUNT(F7:F18)&lt;12,"",(F9*'Supuestos'!$C$14+F10*'Supuestos'!$C$15)/F7)</f>
        <v/>
      </c>
      <c r="G22" s="10">
        <f>IF(COUNT(G7:G18)&lt;12,"",(G9*'Supuestos'!$C$14+G10*'Supuestos'!$C$15)/G7)</f>
        <v/>
      </c>
      <c r="H22" s="10">
        <f>IF(COUNT(H7:H18)&lt;12,"",(H9*'Supuestos'!$C$14+H10*'Supuestos'!$C$15)/H7)</f>
        <v/>
      </c>
      <c r="I22" s="10">
        <f>IF(COUNT(I7:I18)&lt;12,"",(I9*'Supuestos'!$C$14+I10*'Supuestos'!$C$15)/I7)</f>
        <v/>
      </c>
      <c r="J22" s="10">
        <f>IF(COUNT(J7:J18)&lt;12,"",(J9*'Supuestos'!$C$14+J10*'Supuestos'!$C$15)/J7)</f>
        <v/>
      </c>
      <c r="K22" s="10">
        <f>IF(COUNT(K7:K18)&lt;12,"",(K9*'Supuestos'!$C$14+K10*'Supuestos'!$C$15)/K7)</f>
        <v/>
      </c>
      <c r="L22" s="10">
        <f>IF(COUNT(L7:L18)&lt;12,"",(L9*'Supuestos'!$C$14+L10*'Supuestos'!$C$15)/L7)</f>
        <v/>
      </c>
      <c r="M22" s="10">
        <f>IF(COUNT(M7:M18)&lt;12,"",(M9*'Supuestos'!$C$14+M10*'Supuestos'!$C$15)/M7)</f>
        <v/>
      </c>
      <c r="N22" s="10">
        <f>IF(COUNT(N7:N18)&lt;12,"",(N9*'Supuestos'!$C$14+N10*'Supuestos'!$C$15)/N7)</f>
        <v/>
      </c>
      <c r="O22" s="25">
        <f>IF(COUNT(C22:N22)=0,"",AVERAGE(C22:N22))</f>
        <v/>
      </c>
      <c r="P22" s="25">
        <f>IF(COUNT(C22:N22)=0,"",MAX(C22:N22))</f>
        <v/>
      </c>
      <c r="Q22" s="25">
        <f>IF(COUNT(C22:N22)=0,"",MIN(C22:N22))</f>
        <v/>
      </c>
    </row>
    <row r="23">
      <c r="B23" t="inlineStr">
        <is>
          <t>% entrada → en vivo</t>
        </is>
      </c>
      <c r="C23" s="23">
        <f>IF(COUNT(C7:C18)&lt;12,"",IF(C9=0,0,C12/C9))</f>
        <v/>
      </c>
      <c r="D23" s="23">
        <f>IF(COUNT(D7:D18)&lt;12,"",IF(D9=0,0,D12/D9))</f>
        <v/>
      </c>
      <c r="E23" s="23">
        <f>IF(COUNT(E7:E18)&lt;12,"",IF(E9=0,0,E12/E9))</f>
        <v/>
      </c>
      <c r="F23" s="23">
        <f>IF(COUNT(F7:F18)&lt;12,"",IF(F9=0,0,F12/F9))</f>
        <v/>
      </c>
      <c r="G23" s="23">
        <f>IF(COUNT(G7:G18)&lt;12,"",IF(G9=0,0,G12/G9))</f>
        <v/>
      </c>
      <c r="H23" s="23">
        <f>IF(COUNT(H7:H18)&lt;12,"",IF(H9=0,0,H12/H9))</f>
        <v/>
      </c>
      <c r="I23" s="23">
        <f>IF(COUNT(I7:I18)&lt;12,"",IF(I9=0,0,I12/I9))</f>
        <v/>
      </c>
      <c r="J23" s="23">
        <f>IF(COUNT(J7:J18)&lt;12,"",IF(J9=0,0,J12/J9))</f>
        <v/>
      </c>
      <c r="K23" s="23">
        <f>IF(COUNT(K7:K18)&lt;12,"",IF(K9=0,0,K12/K9))</f>
        <v/>
      </c>
      <c r="L23" s="23">
        <f>IF(COUNT(L7:L18)&lt;12,"",IF(L9=0,0,L12/L9))</f>
        <v/>
      </c>
      <c r="M23" s="23">
        <f>IF(COUNT(M7:M18)&lt;12,"",IF(M9=0,0,M12/M9))</f>
        <v/>
      </c>
      <c r="N23" s="23">
        <f>IF(COUNT(N7:N18)&lt;12,"",IF(N9=0,0,N12/N9))</f>
        <v/>
      </c>
      <c r="O23" s="23">
        <f>IF(COUNT(C23:N23)=0,"",AVERAGE(C23:N23))</f>
        <v/>
      </c>
      <c r="P23" s="23">
        <f>IF(COUNT(C23:N23)=0,"",MAX(C23:N23))</f>
        <v/>
      </c>
      <c r="Q23" s="23">
        <f>IF(COUNT(C23:N23)=0,"",MIN(C23:N23))</f>
        <v/>
      </c>
    </row>
    <row r="24">
      <c r="B24" t="inlineStr">
        <is>
          <t>Ventas ÷ asistentes en vivo</t>
        </is>
      </c>
      <c r="C24" s="23">
        <f>IF(COUNT(C7:C18)&lt;12,"",IF(C12=0,0,C15/C12))</f>
        <v/>
      </c>
      <c r="D24" s="23">
        <f>IF(COUNT(D7:D18)&lt;12,"",IF(D12=0,0,D15/D12))</f>
        <v/>
      </c>
      <c r="E24" s="23">
        <f>IF(COUNT(E7:E18)&lt;12,"",IF(E12=0,0,E15/E12))</f>
        <v/>
      </c>
      <c r="F24" s="23">
        <f>IF(COUNT(F7:F18)&lt;12,"",IF(F12=0,0,F15/F12))</f>
        <v/>
      </c>
      <c r="G24" s="23">
        <f>IF(COUNT(G7:G18)&lt;12,"",IF(G12=0,0,G15/G12))</f>
        <v/>
      </c>
      <c r="H24" s="23">
        <f>IF(COUNT(H7:H18)&lt;12,"",IF(H12=0,0,H15/H12))</f>
        <v/>
      </c>
      <c r="I24" s="23">
        <f>IF(COUNT(I7:I18)&lt;12,"",IF(I12=0,0,I15/I12))</f>
        <v/>
      </c>
      <c r="J24" s="23">
        <f>IF(COUNT(J7:J18)&lt;12,"",IF(J12=0,0,J15/J12))</f>
        <v/>
      </c>
      <c r="K24" s="23">
        <f>IF(COUNT(K7:K18)&lt;12,"",IF(K12=0,0,K15/K12))</f>
        <v/>
      </c>
      <c r="L24" s="23">
        <f>IF(COUNT(L7:L18)&lt;12,"",IF(L12=0,0,L15/L12))</f>
        <v/>
      </c>
      <c r="M24" s="23">
        <f>IF(COUNT(M7:M18)&lt;12,"",IF(M12=0,0,M15/M12))</f>
        <v/>
      </c>
      <c r="N24" s="23">
        <f>IF(COUNT(N7:N18)&lt;12,"",IF(N12=0,0,N15/N12))</f>
        <v/>
      </c>
      <c r="O24" s="23">
        <f>IF(COUNT(C24:N24)=0,"",AVERAGE(C24:N24))</f>
        <v/>
      </c>
      <c r="P24" s="23">
        <f>IF(COUNT(C24:N24)=0,"",MAX(C24:N24))</f>
        <v/>
      </c>
      <c r="Q24" s="23">
        <f>IF(COUNT(C24:N24)=0,"",MIN(C24:N24))</f>
        <v/>
      </c>
    </row>
    <row r="25">
      <c r="B25" t="inlineStr">
        <is>
          <t>Costo por comprador de la oferta</t>
        </is>
      </c>
      <c r="C25" s="18">
        <f>IF(COUNT(C7:C18)&lt;12,"",IF(C15=0,0,C7/C15))</f>
        <v/>
      </c>
      <c r="D25" s="18">
        <f>IF(COUNT(D7:D18)&lt;12,"",IF(D15=0,0,D7/D15))</f>
        <v/>
      </c>
      <c r="E25" s="18">
        <f>IF(COUNT(E7:E18)&lt;12,"",IF(E15=0,0,E7/E15))</f>
        <v/>
      </c>
      <c r="F25" s="18">
        <f>IF(COUNT(F7:F18)&lt;12,"",IF(F15=0,0,F7/F15))</f>
        <v/>
      </c>
      <c r="G25" s="18">
        <f>IF(COUNT(G7:G18)&lt;12,"",IF(G15=0,0,G7/G15))</f>
        <v/>
      </c>
      <c r="H25" s="18">
        <f>IF(COUNT(H7:H18)&lt;12,"",IF(H15=0,0,H7/H15))</f>
        <v/>
      </c>
      <c r="I25" s="18">
        <f>IF(COUNT(I7:I18)&lt;12,"",IF(I15=0,0,I7/I15))</f>
        <v/>
      </c>
      <c r="J25" s="18">
        <f>IF(COUNT(J7:J18)&lt;12,"",IF(J15=0,0,J7/J15))</f>
        <v/>
      </c>
      <c r="K25" s="18">
        <f>IF(COUNT(K7:K18)&lt;12,"",IF(K15=0,0,K7/K15))</f>
        <v/>
      </c>
      <c r="L25" s="18">
        <f>IF(COUNT(L7:L18)&lt;12,"",IF(L15=0,0,L7/L15))</f>
        <v/>
      </c>
      <c r="M25" s="18">
        <f>IF(COUNT(M7:M18)&lt;12,"",IF(M15=0,0,M7/M15))</f>
        <v/>
      </c>
      <c r="N25" s="18">
        <f>IF(COUNT(N7:N18)&lt;12,"",IF(N15=0,0,N7/N15))</f>
        <v/>
      </c>
      <c r="O25" s="18">
        <f>IF(COUNT(C25:N25)=0,"",AVERAGE(C25:N25))</f>
        <v/>
      </c>
      <c r="P25" s="18">
        <f>IF(COUNT(C25:N25)=0,"",MAX(C25:N25))</f>
        <v/>
      </c>
      <c r="Q25" s="18">
        <f>IF(COUNT(C25:N25)=0,"",MIN(C25:N25))</f>
        <v/>
      </c>
    </row>
    <row r="26">
      <c r="B26" t="inlineStr">
        <is>
          <t>Costo por persona en el grupo</t>
        </is>
      </c>
      <c r="C26" s="18">
        <f>IF(COUNT(C7:C18)&lt;12,"",IF(C11=0,0,C7/C11))</f>
        <v/>
      </c>
      <c r="D26" s="18">
        <f>IF(COUNT(D7:D18)&lt;12,"",IF(D11=0,0,D7/D11))</f>
        <v/>
      </c>
      <c r="E26" s="18">
        <f>IF(COUNT(E7:E18)&lt;12,"",IF(E11=0,0,E7/E11))</f>
        <v/>
      </c>
      <c r="F26" s="18">
        <f>IF(COUNT(F7:F18)&lt;12,"",IF(F11=0,0,F7/F11))</f>
        <v/>
      </c>
      <c r="G26" s="18">
        <f>IF(COUNT(G7:G18)&lt;12,"",IF(G11=0,0,G7/G11))</f>
        <v/>
      </c>
      <c r="H26" s="18">
        <f>IF(COUNT(H7:H18)&lt;12,"",IF(H11=0,0,H7/H11))</f>
        <v/>
      </c>
      <c r="I26" s="18">
        <f>IF(COUNT(I7:I18)&lt;12,"",IF(I11=0,0,I7/I11))</f>
        <v/>
      </c>
      <c r="J26" s="18">
        <f>IF(COUNT(J7:J18)&lt;12,"",IF(J11=0,0,J7/J11))</f>
        <v/>
      </c>
      <c r="K26" s="18">
        <f>IF(COUNT(K7:K18)&lt;12,"",IF(K11=0,0,K7/K11))</f>
        <v/>
      </c>
      <c r="L26" s="18">
        <f>IF(COUNT(L7:L18)&lt;12,"",IF(L11=0,0,L7/L11))</f>
        <v/>
      </c>
      <c r="M26" s="18">
        <f>IF(COUNT(M7:M18)&lt;12,"",IF(M11=0,0,M7/M11))</f>
        <v/>
      </c>
      <c r="N26" s="18">
        <f>IF(COUNT(N7:N18)&lt;12,"",IF(N11=0,0,N7/N11))</f>
        <v/>
      </c>
      <c r="O26" s="18">
        <f>IF(COUNT(C26:N26)=0,"",AVERAGE(C26:N26))</f>
        <v/>
      </c>
      <c r="P26" s="18">
        <f>IF(COUNT(C26:N26)=0,"",MAX(C26:N26))</f>
        <v/>
      </c>
      <c r="Q26" s="18">
        <f>IF(COUNT(C26:N26)=0,"",MIN(C26:N26))</f>
        <v/>
      </c>
    </row>
    <row r="27">
      <c r="B27" t="inlineStr">
        <is>
          <t>% en vivo → solicitud</t>
        </is>
      </c>
      <c r="C27" s="23">
        <f>IF(COUNT(C7:C18)&lt;12,"",IF(C12=0,0,C14/C12))</f>
        <v/>
      </c>
      <c r="D27" s="23">
        <f>IF(COUNT(D7:D18)&lt;12,"",IF(D12=0,0,D14/D12))</f>
        <v/>
      </c>
      <c r="E27" s="23">
        <f>IF(COUNT(E7:E18)&lt;12,"",IF(E12=0,0,E14/E12))</f>
        <v/>
      </c>
      <c r="F27" s="23">
        <f>IF(COUNT(F7:F18)&lt;12,"",IF(F12=0,0,F14/F12))</f>
        <v/>
      </c>
      <c r="G27" s="23">
        <f>IF(COUNT(G7:G18)&lt;12,"",IF(G12=0,0,G14/G12))</f>
        <v/>
      </c>
      <c r="H27" s="23">
        <f>IF(COUNT(H7:H18)&lt;12,"",IF(H12=0,0,H14/H12))</f>
        <v/>
      </c>
      <c r="I27" s="23">
        <f>IF(COUNT(I7:I18)&lt;12,"",IF(I12=0,0,I14/I12))</f>
        <v/>
      </c>
      <c r="J27" s="23">
        <f>IF(COUNT(J7:J18)&lt;12,"",IF(J12=0,0,J14/J12))</f>
        <v/>
      </c>
      <c r="K27" s="23">
        <f>IF(COUNT(K7:K18)&lt;12,"",IF(K12=0,0,K14/K12))</f>
        <v/>
      </c>
      <c r="L27" s="23">
        <f>IF(COUNT(L7:L18)&lt;12,"",IF(L12=0,0,L14/L12))</f>
        <v/>
      </c>
      <c r="M27" s="23">
        <f>IF(COUNT(M7:M18)&lt;12,"",IF(M12=0,0,M14/M12))</f>
        <v/>
      </c>
      <c r="N27" s="23">
        <f>IF(COUNT(N7:N18)&lt;12,"",IF(N12=0,0,N14/N12))</f>
        <v/>
      </c>
      <c r="O27" s="23">
        <f>IF(COUNT(C27:N27)=0,"",AVERAGE(C27:N27))</f>
        <v/>
      </c>
      <c r="P27" s="23">
        <f>IF(COUNT(C27:N27)=0,"",MAX(C27:N27))</f>
        <v/>
      </c>
      <c r="Q27" s="23">
        <f>IF(COUNT(C27:N27)=0,"",MIN(C27:N27))</f>
        <v/>
      </c>
    </row>
    <row r="28">
      <c r="B28" s="4" t="inlineStr">
        <is>
          <t>Costo por solicitud</t>
        </is>
      </c>
      <c r="C28" s="13">
        <f>IF(COUNT(C7:C18)&lt;12,"",IF(C14=0,0,C7/C14))</f>
        <v/>
      </c>
      <c r="D28" s="13">
        <f>IF(COUNT(D7:D18)&lt;12,"",IF(D14=0,0,D7/D14))</f>
        <v/>
      </c>
      <c r="E28" s="13">
        <f>IF(COUNT(E7:E18)&lt;12,"",IF(E14=0,0,E7/E14))</f>
        <v/>
      </c>
      <c r="F28" s="13">
        <f>IF(COUNT(F7:F18)&lt;12,"",IF(F14=0,0,F7/F14))</f>
        <v/>
      </c>
      <c r="G28" s="13">
        <f>IF(COUNT(G7:G18)&lt;12,"",IF(G14=0,0,G7/G14))</f>
        <v/>
      </c>
      <c r="H28" s="13">
        <f>IF(COUNT(H7:H18)&lt;12,"",IF(H14=0,0,H7/H14))</f>
        <v/>
      </c>
      <c r="I28" s="13">
        <f>IF(COUNT(I7:I18)&lt;12,"",IF(I14=0,0,I7/I14))</f>
        <v/>
      </c>
      <c r="J28" s="13">
        <f>IF(COUNT(J7:J18)&lt;12,"",IF(J14=0,0,J7/J14))</f>
        <v/>
      </c>
      <c r="K28" s="13">
        <f>IF(COUNT(K7:K18)&lt;12,"",IF(K14=0,0,K7/K14))</f>
        <v/>
      </c>
      <c r="L28" s="13">
        <f>IF(COUNT(L7:L18)&lt;12,"",IF(L14=0,0,L7/L14))</f>
        <v/>
      </c>
      <c r="M28" s="13">
        <f>IF(COUNT(M7:M18)&lt;12,"",IF(M14=0,0,M7/M14))</f>
        <v/>
      </c>
      <c r="N28" s="13">
        <f>IF(COUNT(N7:N18)&lt;12,"",IF(N14=0,0,N7/N14))</f>
        <v/>
      </c>
      <c r="O28" s="18">
        <f>IF(COUNT(C28:N28)=0,"",AVERAGE(C28:N28))</f>
        <v/>
      </c>
      <c r="P28" s="18">
        <f>IF(COUNT(C28:N28)=0,"",MAX(C28:N28))</f>
        <v/>
      </c>
      <c r="Q28" s="18">
        <f>IF(COUNT(C28:N28)=0,"",MIN(C28:N28))</f>
        <v/>
      </c>
    </row>
    <row r="29">
      <c r="B29" t="inlineStr">
        <is>
          <t>% solicitud → compra</t>
        </is>
      </c>
      <c r="C29" s="23">
        <f>IF(COUNT(C7:C18)&lt;12,"",IF(C14=0,0,C15/C14))</f>
        <v/>
      </c>
      <c r="D29" s="23">
        <f>IF(COUNT(D7:D18)&lt;12,"",IF(D14=0,0,D15/D14))</f>
        <v/>
      </c>
      <c r="E29" s="23">
        <f>IF(COUNT(E7:E18)&lt;12,"",IF(E14=0,0,E15/E14))</f>
        <v/>
      </c>
      <c r="F29" s="23">
        <f>IF(COUNT(F7:F18)&lt;12,"",IF(F14=0,0,F15/F14))</f>
        <v/>
      </c>
      <c r="G29" s="23">
        <f>IF(COUNT(G7:G18)&lt;12,"",IF(G14=0,0,G15/G14))</f>
        <v/>
      </c>
      <c r="H29" s="23">
        <f>IF(COUNT(H7:H18)&lt;12,"",IF(H14=0,0,H15/H14))</f>
        <v/>
      </c>
      <c r="I29" s="23">
        <f>IF(COUNT(I7:I18)&lt;12,"",IF(I14=0,0,I15/I14))</f>
        <v/>
      </c>
      <c r="J29" s="23">
        <f>IF(COUNT(J7:J18)&lt;12,"",IF(J14=0,0,J15/J14))</f>
        <v/>
      </c>
      <c r="K29" s="23">
        <f>IF(COUNT(K7:K18)&lt;12,"",IF(K14=0,0,K15/K14))</f>
        <v/>
      </c>
      <c r="L29" s="23">
        <f>IF(COUNT(L7:L18)&lt;12,"",IF(L14=0,0,L15/L14))</f>
        <v/>
      </c>
      <c r="M29" s="23">
        <f>IF(COUNT(M7:M18)&lt;12,"",IF(M14=0,0,M15/M14))</f>
        <v/>
      </c>
      <c r="N29" s="23">
        <f>IF(COUNT(N7:N18)&lt;12,"",IF(N14=0,0,N15/N14))</f>
        <v/>
      </c>
      <c r="O29" s="23">
        <f>IF(COUNT(C29:N29)=0,"",AVERAGE(C29:N29))</f>
        <v/>
      </c>
      <c r="P29" s="23">
        <f>IF(COUNT(C29:N29)=0,"",MAX(C29:N29))</f>
        <v/>
      </c>
      <c r="Q29" s="23">
        <f>IF(COUNT(C29:N29)=0,"",MIN(C29:N29))</f>
        <v/>
      </c>
    </row>
    <row r="30">
      <c r="B30" s="4" t="inlineStr">
        <is>
          <t>Valor neto por unidad real (sobre facturado, cobranza completa)</t>
        </is>
      </c>
      <c r="C30" s="13">
        <f>IF(COUNT(C7:C18)&lt;12,"",IF(C9=0,0,(C17*(1-'Supuestos'!$C$32-'Supuestos'!$C$33-'Supuestos'!$C$34)-C9*'Supuestos'!$C$35)/C9))</f>
        <v/>
      </c>
      <c r="D30" s="13">
        <f>IF(COUNT(D7:D18)&lt;12,"",IF(D9=0,0,(D17*(1-'Supuestos'!$C$32-'Supuestos'!$C$33-'Supuestos'!$C$34)-D9*'Supuestos'!$C$35)/D9))</f>
        <v/>
      </c>
      <c r="E30" s="13">
        <f>IF(COUNT(E7:E18)&lt;12,"",IF(E9=0,0,(E17*(1-'Supuestos'!$C$32-'Supuestos'!$C$33-'Supuestos'!$C$34)-E9*'Supuestos'!$C$35)/E9))</f>
        <v/>
      </c>
      <c r="F30" s="13">
        <f>IF(COUNT(F7:F18)&lt;12,"",IF(F9=0,0,(F17*(1-'Supuestos'!$C$32-'Supuestos'!$C$33-'Supuestos'!$C$34)-F9*'Supuestos'!$C$35)/F9))</f>
        <v/>
      </c>
      <c r="G30" s="13">
        <f>IF(COUNT(G7:G18)&lt;12,"",IF(G9=0,0,(G17*(1-'Supuestos'!$C$32-'Supuestos'!$C$33-'Supuestos'!$C$34)-G9*'Supuestos'!$C$35)/G9))</f>
        <v/>
      </c>
      <c r="H30" s="13">
        <f>IF(COUNT(H7:H18)&lt;12,"",IF(H9=0,0,(H17*(1-'Supuestos'!$C$32-'Supuestos'!$C$33-'Supuestos'!$C$34)-H9*'Supuestos'!$C$35)/H9))</f>
        <v/>
      </c>
      <c r="I30" s="13">
        <f>IF(COUNT(I7:I18)&lt;12,"",IF(I9=0,0,(I17*(1-'Supuestos'!$C$32-'Supuestos'!$C$33-'Supuestos'!$C$34)-I9*'Supuestos'!$C$35)/I9))</f>
        <v/>
      </c>
      <c r="J30" s="13">
        <f>IF(COUNT(J7:J18)&lt;12,"",IF(J9=0,0,(J17*(1-'Supuestos'!$C$32-'Supuestos'!$C$33-'Supuestos'!$C$34)-J9*'Supuestos'!$C$35)/J9))</f>
        <v/>
      </c>
      <c r="K30" s="13">
        <f>IF(COUNT(K7:K18)&lt;12,"",IF(K9=0,0,(K17*(1-'Supuestos'!$C$32-'Supuestos'!$C$33-'Supuestos'!$C$34)-K9*'Supuestos'!$C$35)/K9))</f>
        <v/>
      </c>
      <c r="L30" s="13">
        <f>IF(COUNT(L7:L18)&lt;12,"",IF(L9=0,0,(L17*(1-'Supuestos'!$C$32-'Supuestos'!$C$33-'Supuestos'!$C$34)-L9*'Supuestos'!$C$35)/L9))</f>
        <v/>
      </c>
      <c r="M30" s="13">
        <f>IF(COUNT(M7:M18)&lt;12,"",IF(M9=0,0,(M17*(1-'Supuestos'!$C$32-'Supuestos'!$C$33-'Supuestos'!$C$34)-M9*'Supuestos'!$C$35)/M9))</f>
        <v/>
      </c>
      <c r="N30" s="13">
        <f>IF(COUNT(N7:N18)&lt;12,"",IF(N9=0,0,(N17*(1-'Supuestos'!$C$32-'Supuestos'!$C$33-'Supuestos'!$C$34)-N9*'Supuestos'!$C$35)/N9))</f>
        <v/>
      </c>
      <c r="O30" s="18">
        <f>IF(COUNT(C30:N30)=0,"",AVERAGE(C30:N30))</f>
        <v/>
      </c>
      <c r="P30" s="18">
        <f>IF(COUNT(C30:N30)=0,"",MAX(C30:N30))</f>
        <v/>
      </c>
      <c r="Q30" s="18">
        <f>IF(COUNT(C30:N30)=0,"",MIN(C30:N30))</f>
        <v/>
      </c>
    </row>
    <row r="31">
      <c r="B31" s="4" t="inlineStr">
        <is>
          <t>Ganancia del período al completar la cobranza</t>
        </is>
      </c>
      <c r="C31" s="9">
        <f>IF(COUNT(C7:C18)&lt;12,"",C17*(1-'Supuestos'!$C$32-'Supuestos'!$C$33-'Supuestos'!$C$34)-C9*'Supuestos'!$C$35-'Supuestos'!$C$36-C7)</f>
        <v/>
      </c>
      <c r="D31" s="9">
        <f>IF(COUNT(D7:D18)&lt;12,"",D17*(1-'Supuestos'!$C$32-'Supuestos'!$C$33-'Supuestos'!$C$34)-D9*'Supuestos'!$C$35-'Supuestos'!$C$36-D7)</f>
        <v/>
      </c>
      <c r="E31" s="9">
        <f>IF(COUNT(E7:E18)&lt;12,"",E17*(1-'Supuestos'!$C$32-'Supuestos'!$C$33-'Supuestos'!$C$34)-E9*'Supuestos'!$C$35-'Supuestos'!$C$36-E7)</f>
        <v/>
      </c>
      <c r="F31" s="9">
        <f>IF(COUNT(F7:F18)&lt;12,"",F17*(1-'Supuestos'!$C$32-'Supuestos'!$C$33-'Supuestos'!$C$34)-F9*'Supuestos'!$C$35-'Supuestos'!$C$36-F7)</f>
        <v/>
      </c>
      <c r="G31" s="9">
        <f>IF(COUNT(G7:G18)&lt;12,"",G17*(1-'Supuestos'!$C$32-'Supuestos'!$C$33-'Supuestos'!$C$34)-G9*'Supuestos'!$C$35-'Supuestos'!$C$36-G7)</f>
        <v/>
      </c>
      <c r="H31" s="9">
        <f>IF(COUNT(H7:H18)&lt;12,"",H17*(1-'Supuestos'!$C$32-'Supuestos'!$C$33-'Supuestos'!$C$34)-H9*'Supuestos'!$C$35-'Supuestos'!$C$36-H7)</f>
        <v/>
      </c>
      <c r="I31" s="9">
        <f>IF(COUNT(I7:I18)&lt;12,"",I17*(1-'Supuestos'!$C$32-'Supuestos'!$C$33-'Supuestos'!$C$34)-I9*'Supuestos'!$C$35-'Supuestos'!$C$36-I7)</f>
        <v/>
      </c>
      <c r="J31" s="9">
        <f>IF(COUNT(J7:J18)&lt;12,"",J17*(1-'Supuestos'!$C$32-'Supuestos'!$C$33-'Supuestos'!$C$34)-J9*'Supuestos'!$C$35-'Supuestos'!$C$36-J7)</f>
        <v/>
      </c>
      <c r="K31" s="9">
        <f>IF(COUNT(K7:K18)&lt;12,"",K17*(1-'Supuestos'!$C$32-'Supuestos'!$C$33-'Supuestos'!$C$34)-K9*'Supuestos'!$C$35-'Supuestos'!$C$36-K7)</f>
        <v/>
      </c>
      <c r="L31" s="9">
        <f>IF(COUNT(L7:L18)&lt;12,"",L17*(1-'Supuestos'!$C$32-'Supuestos'!$C$33-'Supuestos'!$C$34)-L9*'Supuestos'!$C$35-'Supuestos'!$C$36-L7)</f>
        <v/>
      </c>
      <c r="M31" s="9">
        <f>IF(COUNT(M7:M18)&lt;12,"",M17*(1-'Supuestos'!$C$32-'Supuestos'!$C$33-'Supuestos'!$C$34)-M9*'Supuestos'!$C$35-'Supuestos'!$C$36-M7)</f>
        <v/>
      </c>
      <c r="N31" s="9">
        <f>IF(COUNT(N7:N18)&lt;12,"",N17*(1-'Supuestos'!$C$32-'Supuestos'!$C$33-'Supuestos'!$C$34)-N9*'Supuestos'!$C$35-'Supuestos'!$C$36-N7)</f>
        <v/>
      </c>
      <c r="O31" s="20">
        <f>IF(COUNT(C31:N31)=0,"",AVERAGE(C31:N31))</f>
        <v/>
      </c>
      <c r="P31" s="20">
        <f>IF(COUNT(C31:N31)=0,"",MAX(C31:N31))</f>
        <v/>
      </c>
      <c r="Q31" s="20">
        <f>IF(COUNT(C31:N31)=0,"",MIN(C31:N31))</f>
        <v/>
      </c>
    </row>
    <row r="32">
      <c r="B32" t="inlineStr">
        <is>
          <t>Ganancia de caja del período (con lo cobrado hasta ahora)</t>
        </is>
      </c>
      <c r="C32" s="20">
        <f>IF(COUNT(C7:C18)&lt;12,"",C18*(1-'Supuestos'!$C$32-'Supuestos'!$C$33-'Supuestos'!$C$34)-C9*'Supuestos'!$C$35-'Supuestos'!$C$36-C7)</f>
        <v/>
      </c>
      <c r="D32" s="20">
        <f>IF(COUNT(D7:D18)&lt;12,"",D18*(1-'Supuestos'!$C$32-'Supuestos'!$C$33-'Supuestos'!$C$34)-D9*'Supuestos'!$C$35-'Supuestos'!$C$36-D7)</f>
        <v/>
      </c>
      <c r="E32" s="20">
        <f>IF(COUNT(E7:E18)&lt;12,"",E18*(1-'Supuestos'!$C$32-'Supuestos'!$C$33-'Supuestos'!$C$34)-E9*'Supuestos'!$C$35-'Supuestos'!$C$36-E7)</f>
        <v/>
      </c>
      <c r="F32" s="20">
        <f>IF(COUNT(F7:F18)&lt;12,"",F18*(1-'Supuestos'!$C$32-'Supuestos'!$C$33-'Supuestos'!$C$34)-F9*'Supuestos'!$C$35-'Supuestos'!$C$36-F7)</f>
        <v/>
      </c>
      <c r="G32" s="20">
        <f>IF(COUNT(G7:G18)&lt;12,"",G18*(1-'Supuestos'!$C$32-'Supuestos'!$C$33-'Supuestos'!$C$34)-G9*'Supuestos'!$C$35-'Supuestos'!$C$36-G7)</f>
        <v/>
      </c>
      <c r="H32" s="20">
        <f>IF(COUNT(H7:H18)&lt;12,"",H18*(1-'Supuestos'!$C$32-'Supuestos'!$C$33-'Supuestos'!$C$34)-H9*'Supuestos'!$C$35-'Supuestos'!$C$36-H7)</f>
        <v/>
      </c>
      <c r="I32" s="20">
        <f>IF(COUNT(I7:I18)&lt;12,"",I18*(1-'Supuestos'!$C$32-'Supuestos'!$C$33-'Supuestos'!$C$34)-I9*'Supuestos'!$C$35-'Supuestos'!$C$36-I7)</f>
        <v/>
      </c>
      <c r="J32" s="20">
        <f>IF(COUNT(J7:J18)&lt;12,"",J18*(1-'Supuestos'!$C$32-'Supuestos'!$C$33-'Supuestos'!$C$34)-J9*'Supuestos'!$C$35-'Supuestos'!$C$36-J7)</f>
        <v/>
      </c>
      <c r="K32" s="20">
        <f>IF(COUNT(K7:K18)&lt;12,"",K18*(1-'Supuestos'!$C$32-'Supuestos'!$C$33-'Supuestos'!$C$34)-K9*'Supuestos'!$C$35-'Supuestos'!$C$36-K7)</f>
        <v/>
      </c>
      <c r="L32" s="20">
        <f>IF(COUNT(L7:L18)&lt;12,"",L18*(1-'Supuestos'!$C$32-'Supuestos'!$C$33-'Supuestos'!$C$34)-L9*'Supuestos'!$C$35-'Supuestos'!$C$36-L7)</f>
        <v/>
      </c>
      <c r="M32" s="20">
        <f>IF(COUNT(M7:M18)&lt;12,"",M18*(1-'Supuestos'!$C$32-'Supuestos'!$C$33-'Supuestos'!$C$34)-M9*'Supuestos'!$C$35-'Supuestos'!$C$36-M7)</f>
        <v/>
      </c>
      <c r="N32" s="20">
        <f>IF(COUNT(N7:N18)&lt;12,"",N18*(1-'Supuestos'!$C$32-'Supuestos'!$C$33-'Supuestos'!$C$34)-N9*'Supuestos'!$C$35-'Supuestos'!$C$36-N7)</f>
        <v/>
      </c>
      <c r="O32" s="20">
        <f>IF(COUNT(C32:N32)=0,"",AVERAGE(C32:N32))</f>
        <v/>
      </c>
      <c r="P32" s="20">
        <f>IF(COUNT(C32:N32)=0,"",MAX(C32:N32))</f>
        <v/>
      </c>
      <c r="Q32" s="20">
        <f>IF(COUNT(C32:N32)=0,"",MIN(C32:N32))</f>
        <v/>
      </c>
    </row>
    <row r="33">
      <c r="B33" s="4" t="inlineStr">
        <is>
          <t>Ganancia por unidad real (ganancia ÷ unidades)</t>
        </is>
      </c>
      <c r="C33" s="13">
        <f>IF(COUNT(C7:C18)&lt;12,"",IF(C9=0,0,(C17*(1-'Supuestos'!$C$32-'Supuestos'!$C$33-'Supuestos'!$C$34)-C9*'Supuestos'!$C$35-'Supuestos'!$C$36-C7)/C9))</f>
        <v/>
      </c>
      <c r="D33" s="13">
        <f>IF(COUNT(D7:D18)&lt;12,"",IF(D9=0,0,(D17*(1-'Supuestos'!$C$32-'Supuestos'!$C$33-'Supuestos'!$C$34)-D9*'Supuestos'!$C$35-'Supuestos'!$C$36-D7)/D9))</f>
        <v/>
      </c>
      <c r="E33" s="13">
        <f>IF(COUNT(E7:E18)&lt;12,"",IF(E9=0,0,(E17*(1-'Supuestos'!$C$32-'Supuestos'!$C$33-'Supuestos'!$C$34)-E9*'Supuestos'!$C$35-'Supuestos'!$C$36-E7)/E9))</f>
        <v/>
      </c>
      <c r="F33" s="13">
        <f>IF(COUNT(F7:F18)&lt;12,"",IF(F9=0,0,(F17*(1-'Supuestos'!$C$32-'Supuestos'!$C$33-'Supuestos'!$C$34)-F9*'Supuestos'!$C$35-'Supuestos'!$C$36-F7)/F9))</f>
        <v/>
      </c>
      <c r="G33" s="13">
        <f>IF(COUNT(G7:G18)&lt;12,"",IF(G9=0,0,(G17*(1-'Supuestos'!$C$32-'Supuestos'!$C$33-'Supuestos'!$C$34)-G9*'Supuestos'!$C$35-'Supuestos'!$C$36-G7)/G9))</f>
        <v/>
      </c>
      <c r="H33" s="13">
        <f>IF(COUNT(H7:H18)&lt;12,"",IF(H9=0,0,(H17*(1-'Supuestos'!$C$32-'Supuestos'!$C$33-'Supuestos'!$C$34)-H9*'Supuestos'!$C$35-'Supuestos'!$C$36-H7)/H9))</f>
        <v/>
      </c>
      <c r="I33" s="13">
        <f>IF(COUNT(I7:I18)&lt;12,"",IF(I9=0,0,(I17*(1-'Supuestos'!$C$32-'Supuestos'!$C$33-'Supuestos'!$C$34)-I9*'Supuestos'!$C$35-'Supuestos'!$C$36-I7)/I9))</f>
        <v/>
      </c>
      <c r="J33" s="13">
        <f>IF(COUNT(J7:J18)&lt;12,"",IF(J9=0,0,(J17*(1-'Supuestos'!$C$32-'Supuestos'!$C$33-'Supuestos'!$C$34)-J9*'Supuestos'!$C$35-'Supuestos'!$C$36-J7)/J9))</f>
        <v/>
      </c>
      <c r="K33" s="13">
        <f>IF(COUNT(K7:K18)&lt;12,"",IF(K9=0,0,(K17*(1-'Supuestos'!$C$32-'Supuestos'!$C$33-'Supuestos'!$C$34)-K9*'Supuestos'!$C$35-'Supuestos'!$C$36-K7)/K9))</f>
        <v/>
      </c>
      <c r="L33" s="13">
        <f>IF(COUNT(L7:L18)&lt;12,"",IF(L9=0,0,(L17*(1-'Supuestos'!$C$32-'Supuestos'!$C$33-'Supuestos'!$C$34)-L9*'Supuestos'!$C$35-'Supuestos'!$C$36-L7)/L9))</f>
        <v/>
      </c>
      <c r="M33" s="13">
        <f>IF(COUNT(M7:M18)&lt;12,"",IF(M9=0,0,(M17*(1-'Supuestos'!$C$32-'Supuestos'!$C$33-'Supuestos'!$C$34)-M9*'Supuestos'!$C$35-'Supuestos'!$C$36-M7)/M9))</f>
        <v/>
      </c>
      <c r="N33" s="13">
        <f>IF(COUNT(N7:N18)&lt;12,"",IF(N9=0,0,(N17*(1-'Supuestos'!$C$32-'Supuestos'!$C$33-'Supuestos'!$C$34)-N9*'Supuestos'!$C$35-'Supuestos'!$C$36-N7)/N9))</f>
        <v/>
      </c>
      <c r="O33" s="18">
        <f>IF(COUNT(C33:N33)=0,"",AVERAGE(C33:N33))</f>
        <v/>
      </c>
      <c r="P33" s="18">
        <f>IF(COUNT(C33:N33)=0,"",MAX(C33:N33))</f>
        <v/>
      </c>
      <c r="Q33" s="18">
        <f>IF(COUNT(C33:N33)=0,"",MIN(C33:N33))</f>
        <v/>
      </c>
    </row>
    <row r="34">
      <c r="B34" s="4" t="inlineStr">
        <is>
          <t>ROAS sobre cash neto (cobranza completa)</t>
        </is>
      </c>
      <c r="C34" s="10">
        <f>IF(COUNT(C7:C18)&lt;12,"",IF(C7=0,0,C17*(1-'Supuestos'!$C$32-'Supuestos'!$C$33-'Supuestos'!$C$34)/C7))</f>
        <v/>
      </c>
      <c r="D34" s="10">
        <f>IF(COUNT(D7:D18)&lt;12,"",IF(D7=0,0,D17*(1-'Supuestos'!$C$32-'Supuestos'!$C$33-'Supuestos'!$C$34)/D7))</f>
        <v/>
      </c>
      <c r="E34" s="10">
        <f>IF(COUNT(E7:E18)&lt;12,"",IF(E7=0,0,E17*(1-'Supuestos'!$C$32-'Supuestos'!$C$33-'Supuestos'!$C$34)/E7))</f>
        <v/>
      </c>
      <c r="F34" s="10">
        <f>IF(COUNT(F7:F18)&lt;12,"",IF(F7=0,0,F17*(1-'Supuestos'!$C$32-'Supuestos'!$C$33-'Supuestos'!$C$34)/F7))</f>
        <v/>
      </c>
      <c r="G34" s="10">
        <f>IF(COUNT(G7:G18)&lt;12,"",IF(G7=0,0,G17*(1-'Supuestos'!$C$32-'Supuestos'!$C$33-'Supuestos'!$C$34)/G7))</f>
        <v/>
      </c>
      <c r="H34" s="10">
        <f>IF(COUNT(H7:H18)&lt;12,"",IF(H7=0,0,H17*(1-'Supuestos'!$C$32-'Supuestos'!$C$33-'Supuestos'!$C$34)/H7))</f>
        <v/>
      </c>
      <c r="I34" s="10">
        <f>IF(COUNT(I7:I18)&lt;12,"",IF(I7=0,0,I17*(1-'Supuestos'!$C$32-'Supuestos'!$C$33-'Supuestos'!$C$34)/I7))</f>
        <v/>
      </c>
      <c r="J34" s="10">
        <f>IF(COUNT(J7:J18)&lt;12,"",IF(J7=0,0,J17*(1-'Supuestos'!$C$32-'Supuestos'!$C$33-'Supuestos'!$C$34)/J7))</f>
        <v/>
      </c>
      <c r="K34" s="10">
        <f>IF(COUNT(K7:K18)&lt;12,"",IF(K7=0,0,K17*(1-'Supuestos'!$C$32-'Supuestos'!$C$33-'Supuestos'!$C$34)/K7))</f>
        <v/>
      </c>
      <c r="L34" s="10">
        <f>IF(COUNT(L7:L18)&lt;12,"",IF(L7=0,0,L17*(1-'Supuestos'!$C$32-'Supuestos'!$C$33-'Supuestos'!$C$34)/L7))</f>
        <v/>
      </c>
      <c r="M34" s="10">
        <f>IF(COUNT(M7:M18)&lt;12,"",IF(M7=0,0,M17*(1-'Supuestos'!$C$32-'Supuestos'!$C$33-'Supuestos'!$C$34)/M7))</f>
        <v/>
      </c>
      <c r="N34" s="10">
        <f>IF(COUNT(N7:N18)&lt;12,"",IF(N7=0,0,N17*(1-'Supuestos'!$C$32-'Supuestos'!$C$33-'Supuestos'!$C$34)/N7))</f>
        <v/>
      </c>
      <c r="O34" s="25">
        <f>IF(COUNT(C34:N34)=0,"",AVERAGE(C34:N34))</f>
        <v/>
      </c>
      <c r="P34" s="25">
        <f>IF(COUNT(C34:N34)=0,"",MAX(C34:N34))</f>
        <v/>
      </c>
      <c r="Q34" s="25">
        <f>IF(COUNT(C34:N34)=0,"",MIN(C34:N34))</f>
        <v/>
      </c>
    </row>
    <row r="35">
      <c r="B35" t="inlineStr">
        <is>
          <t>ROAS de caja (cobrado hasta ahora)</t>
        </is>
      </c>
      <c r="C35" s="25">
        <f>IF(COUNT(C7:C18)&lt;12,"",IF(C7=0,0,C18*(1-'Supuestos'!$C$32-'Supuestos'!$C$33-'Supuestos'!$C$34)/C7))</f>
        <v/>
      </c>
      <c r="D35" s="25">
        <f>IF(COUNT(D7:D18)&lt;12,"",IF(D7=0,0,D18*(1-'Supuestos'!$C$32-'Supuestos'!$C$33-'Supuestos'!$C$34)/D7))</f>
        <v/>
      </c>
      <c r="E35" s="25">
        <f>IF(COUNT(E7:E18)&lt;12,"",IF(E7=0,0,E18*(1-'Supuestos'!$C$32-'Supuestos'!$C$33-'Supuestos'!$C$34)/E7))</f>
        <v/>
      </c>
      <c r="F35" s="25">
        <f>IF(COUNT(F7:F18)&lt;12,"",IF(F7=0,0,F18*(1-'Supuestos'!$C$32-'Supuestos'!$C$33-'Supuestos'!$C$34)/F7))</f>
        <v/>
      </c>
      <c r="G35" s="25">
        <f>IF(COUNT(G7:G18)&lt;12,"",IF(G7=0,0,G18*(1-'Supuestos'!$C$32-'Supuestos'!$C$33-'Supuestos'!$C$34)/G7))</f>
        <v/>
      </c>
      <c r="H35" s="25">
        <f>IF(COUNT(H7:H18)&lt;12,"",IF(H7=0,0,H18*(1-'Supuestos'!$C$32-'Supuestos'!$C$33-'Supuestos'!$C$34)/H7))</f>
        <v/>
      </c>
      <c r="I35" s="25">
        <f>IF(COUNT(I7:I18)&lt;12,"",IF(I7=0,0,I18*(1-'Supuestos'!$C$32-'Supuestos'!$C$33-'Supuestos'!$C$34)/I7))</f>
        <v/>
      </c>
      <c r="J35" s="25">
        <f>IF(COUNT(J7:J18)&lt;12,"",IF(J7=0,0,J18*(1-'Supuestos'!$C$32-'Supuestos'!$C$33-'Supuestos'!$C$34)/J7))</f>
        <v/>
      </c>
      <c r="K35" s="25">
        <f>IF(COUNT(K7:K18)&lt;12,"",IF(K7=0,0,K18*(1-'Supuestos'!$C$32-'Supuestos'!$C$33-'Supuestos'!$C$34)/K7))</f>
        <v/>
      </c>
      <c r="L35" s="25">
        <f>IF(COUNT(L7:L18)&lt;12,"",IF(L7=0,0,L18*(1-'Supuestos'!$C$32-'Supuestos'!$C$33-'Supuestos'!$C$34)/L7))</f>
        <v/>
      </c>
      <c r="M35" s="25">
        <f>IF(COUNT(M7:M18)&lt;12,"",IF(M7=0,0,M18*(1-'Supuestos'!$C$32-'Supuestos'!$C$33-'Supuestos'!$C$34)/M7))</f>
        <v/>
      </c>
      <c r="N35" s="25">
        <f>IF(COUNT(N7:N18)&lt;12,"",IF(N7=0,0,N18*(1-'Supuestos'!$C$32-'Supuestos'!$C$33-'Supuestos'!$C$34)/N7))</f>
        <v/>
      </c>
      <c r="O35" s="25">
        <f>IF(COUNT(C35:N35)=0,"",AVERAGE(C35:N35))</f>
        <v/>
      </c>
      <c r="P35" s="25">
        <f>IF(COUNT(C35:N35)=0,"",MAX(C35:N35))</f>
        <v/>
      </c>
      <c r="Q35" s="25">
        <f>IF(COUNT(C35:N35)=0,"",MIN(C35:N35))</f>
        <v/>
      </c>
    </row>
    <row r="36">
      <c r="B36" t="inlineStr">
        <is>
          <t>Techo móvil (mediana de tus últimas 4 columnas; al inicio, el del modelo)</t>
        </is>
      </c>
      <c r="C36" s="18">
        <f>IF(COUNT(C7:C18)&lt;12,"",'Modelo'!$C$51)</f>
        <v/>
      </c>
      <c r="D36" s="18">
        <f>IF(COUNT(D7:D18)&lt;12,"",IF(COUNT(C30:C30)&gt;0,MEDIAN(C30:C30),'Modelo'!$C$51))</f>
        <v/>
      </c>
      <c r="E36" s="18">
        <f>IF(COUNT(E7:E18)&lt;12,"",IF(COUNT(C30:D30)&gt;0,MEDIAN(C30:D30),'Modelo'!$C$51))</f>
        <v/>
      </c>
      <c r="F36" s="18">
        <f>IF(COUNT(F7:F18)&lt;12,"",IF(COUNT(C30:E30)&gt;0,MEDIAN(C30:E30),'Modelo'!$C$51))</f>
        <v/>
      </c>
      <c r="G36" s="18">
        <f>IF(COUNT(G7:G18)&lt;12,"",IF(COUNT(C30:F30)&gt;0,MEDIAN(C30:F30),'Modelo'!$C$51))</f>
        <v/>
      </c>
      <c r="H36" s="18">
        <f>IF(COUNT(H7:H18)&lt;12,"",IF(COUNT(D30:G30)&gt;0,MEDIAN(D30:G30),'Modelo'!$C$51))</f>
        <v/>
      </c>
      <c r="I36" s="18">
        <f>IF(COUNT(I7:I18)&lt;12,"",IF(COUNT(E30:H30)&gt;0,MEDIAN(E30:H30),'Modelo'!$C$51))</f>
        <v/>
      </c>
      <c r="J36" s="18">
        <f>IF(COUNT(J7:J18)&lt;12,"",IF(COUNT(F30:I30)&gt;0,MEDIAN(F30:I30),'Modelo'!$C$51))</f>
        <v/>
      </c>
      <c r="K36" s="18">
        <f>IF(COUNT(K7:K18)&lt;12,"",IF(COUNT(G30:J30)&gt;0,MEDIAN(G30:J30),'Modelo'!$C$51))</f>
        <v/>
      </c>
      <c r="L36" s="18">
        <f>IF(COUNT(L7:L18)&lt;12,"",IF(COUNT(H30:K30)&gt;0,MEDIAN(H30:K30),'Modelo'!$C$51))</f>
        <v/>
      </c>
      <c r="M36" s="18">
        <f>IF(COUNT(M7:M18)&lt;12,"",IF(COUNT(I30:L30)&gt;0,MEDIAN(I30:L30),'Modelo'!$C$51))</f>
        <v/>
      </c>
      <c r="N36" s="18">
        <f>IF(COUNT(N7:N18)&lt;12,"",IF(COUNT(J30:M30)&gt;0,MEDIAN(J30:M30),'Modelo'!$C$51))</f>
        <v/>
      </c>
      <c r="O36" s="18">
        <f>IF(COUNT(C36:N36)=0,"",AVERAGE(C36:N36))</f>
        <v/>
      </c>
      <c r="P36" s="18">
        <f>IF(COUNT(C36:N36)=0,"",MAX(C36:N36))</f>
        <v/>
      </c>
      <c r="Q36" s="18">
        <f>IF(COUNT(C36:N36)=0,"",MIN(C36:N36))</f>
        <v/>
      </c>
    </row>
    <row r="37">
      <c r="B37" s="4" t="inlineStr">
        <is>
          <t>Semáforo (costo por unidad contra el techo móvil, y ROAS contra el objetivo)</t>
        </is>
      </c>
      <c r="C37" s="14">
        <f>IF(COUNT(C7:C18)&lt;12,"",IF(C20&gt;C36,"ROJO",IF(AND(C20&lt;=C36/(1+'Supuestos'!$C$45),C34&gt;='Supuestos'!$C$44),"VERDE","AMARILLO")))</f>
        <v/>
      </c>
      <c r="D37" s="14">
        <f>IF(COUNT(D7:D18)&lt;12,"",IF(D20&gt;D36,"ROJO",IF(AND(D20&lt;=D36/(1+'Supuestos'!$C$45),D34&gt;='Supuestos'!$C$44),"VERDE","AMARILLO")))</f>
        <v/>
      </c>
      <c r="E37" s="14">
        <f>IF(COUNT(E7:E18)&lt;12,"",IF(E20&gt;E36,"ROJO",IF(AND(E20&lt;=E36/(1+'Supuestos'!$C$45),E34&gt;='Supuestos'!$C$44),"VERDE","AMARILLO")))</f>
        <v/>
      </c>
      <c r="F37" s="14">
        <f>IF(COUNT(F7:F18)&lt;12,"",IF(F20&gt;F36,"ROJO",IF(AND(F20&lt;=F36/(1+'Supuestos'!$C$45),F34&gt;='Supuestos'!$C$44),"VERDE","AMARILLO")))</f>
        <v/>
      </c>
      <c r="G37" s="14">
        <f>IF(COUNT(G7:G18)&lt;12,"",IF(G20&gt;G36,"ROJO",IF(AND(G20&lt;=G36/(1+'Supuestos'!$C$45),G34&gt;='Supuestos'!$C$44),"VERDE","AMARILLO")))</f>
        <v/>
      </c>
      <c r="H37" s="14">
        <f>IF(COUNT(H7:H18)&lt;12,"",IF(H20&gt;H36,"ROJO",IF(AND(H20&lt;=H36/(1+'Supuestos'!$C$45),H34&gt;='Supuestos'!$C$44),"VERDE","AMARILLO")))</f>
        <v/>
      </c>
      <c r="I37" s="14">
        <f>IF(COUNT(I7:I18)&lt;12,"",IF(I20&gt;I36,"ROJO",IF(AND(I20&lt;=I36/(1+'Supuestos'!$C$45),I34&gt;='Supuestos'!$C$44),"VERDE","AMARILLO")))</f>
        <v/>
      </c>
      <c r="J37" s="14">
        <f>IF(COUNT(J7:J18)&lt;12,"",IF(J20&gt;J36,"ROJO",IF(AND(J20&lt;=J36/(1+'Supuestos'!$C$45),J34&gt;='Supuestos'!$C$44),"VERDE","AMARILLO")))</f>
        <v/>
      </c>
      <c r="K37" s="14">
        <f>IF(COUNT(K7:K18)&lt;12,"",IF(K20&gt;K36,"ROJO",IF(AND(K20&lt;=K36/(1+'Supuestos'!$C$45),K34&gt;='Supuestos'!$C$44),"VERDE","AMARILLO")))</f>
        <v/>
      </c>
      <c r="L37" s="14">
        <f>IF(COUNT(L7:L18)&lt;12,"",IF(L20&gt;L36,"ROJO",IF(AND(L20&lt;=L36/(1+'Supuestos'!$C$45),L34&gt;='Supuestos'!$C$44),"VERDE","AMARILLO")))</f>
        <v/>
      </c>
      <c r="M37" s="14">
        <f>IF(COUNT(M7:M18)&lt;12,"",IF(M20&gt;M36,"ROJO",IF(AND(M20&lt;=M36/(1+'Supuestos'!$C$45),M34&gt;='Supuestos'!$C$44),"VERDE","AMARILLO")))</f>
        <v/>
      </c>
      <c r="N37" s="14">
        <f>IF(COUNT(N7:N18)&lt;12,"",IF(N20&gt;N36,"ROJO",IF(AND(N20&lt;=N36/(1+'Supuestos'!$C$45),N34&gt;='Supuestos'!$C$44),"VERDE","AMARILLO")))</f>
        <v/>
      </c>
    </row>
  </sheetData>
  <conditionalFormatting sqref="C5:N38">
    <cfRule type="expression" priority="1" dxfId="0">
      <formula>LEFT(C5,5)="VERDE"</formula>
    </cfRule>
    <cfRule type="expression" priority="2" dxfId="1">
      <formula>LEFT(C5,8)="AMARILLO"</formula>
    </cfRule>
    <cfRule type="expression" priority="3" dxfId="2">
      <formula>LEFT(C5,4)="ROJO"</formula>
    </cfRule>
  </conditionalFormatting>
  <pageMargins left="0.75" right="0.75" top="1" bottom="1" header="0.5" footer="0.5"/>
  <headerFooter>
    <oddHeader>&amp;CJesús Tassarolo · TooAudience&amp;R&amp;D</oddHeader>
    <oddFooter>&amp;LModelo financiero de embudos · creado por Jesús Tassarolo · TooAudience · youtube.com/@JesusTassaroloSinFiltro&amp;C&amp;7 Modelo financiero de embudos · creado por Jesús Tassarolo · TooAudience · youtube.com/@JesusTassaroloSinFiltro&amp;RPágina &amp;P de &amp;N</oddFooter>
    <evenHeader>&amp;CJesús Tassarolo · TooAudience</evenHeader>
    <evenFooter>&amp;LModelo financiero de embudos · creado por Jesús Tassarolo · TooAudience · youtube.com/@JesusTassaroloSinFiltro&amp;C&amp;7 Modelo financiero de embudos · creado por Jesús Tassarolo · TooAudience · youtube.com/@JesusTassaroloSinFiltro&amp;RPágina &amp;P de &amp;N</evenFooter>
    <firstHeader/>
    <firstFooter/>
  </headerFooter>
</worksheet>
</file>

<file path=xl/worksheets/sheet11.xml><?xml version="1.0" encoding="utf-8"?>
<worksheet xmlns="http://schemas.openxmlformats.org/spreadsheetml/2006/main">
  <sheetPr>
    <outlinePr summaryBelow="1" summaryRight="1"/>
    <pageSetUpPr/>
  </sheetPr>
  <dimension ref="A1:H15"/>
  <sheetViews>
    <sheetView showGridLines="0" workbookViewId="0">
      <selection activeCell="A1" sqref="A1"/>
    </sheetView>
  </sheetViews>
  <sheetFormatPr baseColWidth="8" defaultRowHeight="15"/>
  <cols>
    <col width="2" customWidth="1" min="1" max="1"/>
    <col width="40" customWidth="1" min="2" max="2"/>
    <col width="14" customWidth="1" min="3" max="3"/>
    <col width="14" customWidth="1" min="4" max="4"/>
    <col width="14" customWidth="1" min="5" max="5"/>
    <col width="14" customWidth="1" min="6" max="6"/>
    <col width="16" customWidth="1" min="7" max="7"/>
    <col width="60" customWidth="1" min="8" max="8"/>
  </cols>
  <sheetData>
    <row r="1">
      <c r="B1" s="1" t="inlineStr">
        <is>
          <t>© Jesús Tassarolo · TooAudience · youtube.com/@JesusTassaroloSinFiltro · uso personal; no redistribuir modificado</t>
        </is>
      </c>
    </row>
    <row r="2">
      <c r="B2" s="2" t="inlineStr">
        <is>
          <t>Benchmarks: contra qué comparar tus números</t>
        </is>
      </c>
    </row>
    <row r="3">
      <c r="B3" s="3" t="inlineStr">
        <is>
          <t>Valores de referencia para tráfico frío en español. Son orden de magnitud, no objetivo: tus propios datos de Seguimiento mandan.</t>
        </is>
      </c>
    </row>
    <row r="5">
      <c r="B5" s="6" t="inlineStr">
        <is>
          <t>Métrica</t>
        </is>
      </c>
      <c r="C5" s="6" t="inlineStr">
        <is>
          <t>Malo</t>
        </is>
      </c>
      <c r="D5" s="6" t="inlineStr">
        <is>
          <t>Aceptable</t>
        </is>
      </c>
      <c r="E5" s="6" t="inlineStr">
        <is>
          <t>Bueno</t>
        </is>
      </c>
      <c r="F5" s="6" t="inlineStr">
        <is>
          <t>Ganador</t>
        </is>
      </c>
      <c r="G5" s="6" t="inlineStr">
        <is>
          <t>Tu valor (Modelo)</t>
        </is>
      </c>
      <c r="H5" s="6" t="inlineStr">
        <is>
          <t>Fuente / nota</t>
        </is>
      </c>
    </row>
    <row r="6">
      <c r="B6" t="inlineStr">
        <is>
          <t>ROAS del front (entradas + bump ÷ inversión)</t>
        </is>
      </c>
      <c r="C6" t="inlineStr">
        <is>
          <t>&lt;0,5</t>
        </is>
      </c>
      <c r="D6" t="inlineStr">
        <is>
          <t>0,5 a 0,8</t>
        </is>
      </c>
      <c r="E6" t="inlineStr">
        <is>
          <t>0,8 a 1,2</t>
        </is>
      </c>
      <c r="F6" t="inlineStr">
        <is>
          <t>&gt;1,2</t>
        </is>
      </c>
      <c r="G6" s="25">
        <f>'Modelo'!$C$14</f>
        <v/>
      </c>
      <c r="H6" s="5" t="inlineStr">
        <is>
          <t>Eventos pagos hispanos, 2025 a 2026. Cerca de 1 el evento se paga solo.</t>
        </is>
      </c>
    </row>
    <row r="7">
      <c r="B7" t="inlineStr">
        <is>
          <t>% visitas → entrada</t>
        </is>
      </c>
      <c r="C7" t="inlineStr">
        <is>
          <t>&lt;1 %</t>
        </is>
      </c>
      <c r="D7" t="inlineStr">
        <is>
          <t>1 a 2 %</t>
        </is>
      </c>
      <c r="E7" t="inlineStr">
        <is>
          <t>2 a 3,5 %</t>
        </is>
      </c>
      <c r="F7" t="inlineStr">
        <is>
          <t>&gt;3,5 %</t>
        </is>
      </c>
      <c r="G7" s="23">
        <f>'Supuestos'!$C$13</f>
        <v/>
      </c>
      <c r="H7" s="5" t="inlineStr">
        <is>
          <t>Página de ventas de 5 a 15 USD.</t>
        </is>
      </c>
    </row>
    <row r="8">
      <c r="B8" t="inlineStr">
        <is>
          <t>Costo por entrada (USD)</t>
        </is>
      </c>
      <c r="C8" t="inlineStr">
        <is>
          <t>&gt;25</t>
        </is>
      </c>
      <c r="D8" t="inlineStr">
        <is>
          <t>15 a 25</t>
        </is>
      </c>
      <c r="E8" t="inlineStr">
        <is>
          <t>8 a 15</t>
        </is>
      </c>
      <c r="F8" t="inlineStr">
        <is>
          <t>&lt;8</t>
        </is>
      </c>
      <c r="G8" s="18">
        <f>'Modelo'!$C$8</f>
        <v/>
      </c>
      <c r="H8" s="5" t="inlineStr">
        <is>
          <t>Depende del precio: compará contra tu precio de entrada.</t>
        </is>
      </c>
    </row>
    <row r="9">
      <c r="B9" t="inlineStr">
        <is>
          <t>% entrada → en vivo</t>
        </is>
      </c>
      <c r="C9" t="inlineStr">
        <is>
          <t>&lt;35 %</t>
        </is>
      </c>
      <c r="D9" t="inlineStr">
        <is>
          <t>35 a 50 %</t>
        </is>
      </c>
      <c r="E9" t="inlineStr">
        <is>
          <t>50 a 65 %</t>
        </is>
      </c>
      <c r="F9" t="inlineStr">
        <is>
          <t>&gt;65 %</t>
        </is>
      </c>
      <c r="G9" s="23">
        <f>'Supuestos'!$C$20</f>
        <v/>
      </c>
      <c r="H9" s="5" t="inlineStr">
        <is>
          <t>Pagaron: asisten mucho más que en gratuito (10 a 20 %).</t>
        </is>
      </c>
    </row>
    <row r="10">
      <c r="B10" t="inlineStr">
        <is>
          <t>Costo por persona en el grupo (USD)</t>
        </is>
      </c>
      <c r="C10" t="inlineStr">
        <is>
          <t>&gt;30</t>
        </is>
      </c>
      <c r="D10" t="inlineStr">
        <is>
          <t>18 a 30</t>
        </is>
      </c>
      <c r="E10" t="inlineStr">
        <is>
          <t>10 a 18</t>
        </is>
      </c>
      <c r="F10" t="inlineStr">
        <is>
          <t>&lt;10</t>
        </is>
      </c>
      <c r="G10" s="18">
        <f>'Modelo'!$C$17</f>
        <v/>
      </c>
      <c r="H10" s="5" t="inlineStr">
        <is>
          <t>Sobre compradores de entrada: casi todos entran.</t>
        </is>
      </c>
    </row>
    <row r="11">
      <c r="B11" t="inlineStr">
        <is>
          <t>% asistentes en vivo que solicitan</t>
        </is>
      </c>
      <c r="C11" t="inlineStr">
        <is>
          <t>&lt;8 %</t>
        </is>
      </c>
      <c r="D11" t="inlineStr">
        <is>
          <t>8 a 14 %</t>
        </is>
      </c>
      <c r="E11" t="inlineStr">
        <is>
          <t>14 a 22 %</t>
        </is>
      </c>
      <c r="F11" t="inlineStr">
        <is>
          <t>&gt;22 %</t>
        </is>
      </c>
      <c r="G11" s="23">
        <f>'Supuestos'!$C$25</f>
        <v/>
      </c>
      <c r="H11" s="5" t="inlineStr">
        <is>
          <t>Público que pagó por estar: solicita más que en gratuito.</t>
        </is>
      </c>
    </row>
    <row r="12">
      <c r="B12" t="inlineStr">
        <is>
          <t>Costo por solicitud (USD)</t>
        </is>
      </c>
      <c r="C12" t="inlineStr">
        <is>
          <t>&gt;250</t>
        </is>
      </c>
      <c r="D12" t="inlineStr">
        <is>
          <t>150 a 250</t>
        </is>
      </c>
      <c r="E12" t="inlineStr">
        <is>
          <t>80 a 150</t>
        </is>
      </c>
      <c r="F12" t="inlineStr">
        <is>
          <t>&lt;80</t>
        </is>
      </c>
      <c r="G12" s="18">
        <f>'Modelo'!$C$26</f>
        <v/>
      </c>
      <c r="H12" s="5" t="inlineStr">
        <is>
          <t>Oferta de 300 a 1.000.</t>
        </is>
      </c>
    </row>
    <row r="13">
      <c r="B13" t="inlineStr">
        <is>
          <t>% solicitud → compra</t>
        </is>
      </c>
      <c r="C13" t="inlineStr">
        <is>
          <t>&lt;35 %</t>
        </is>
      </c>
      <c r="D13" t="inlineStr">
        <is>
          <t>35 a 50 %</t>
        </is>
      </c>
      <c r="E13" t="inlineStr">
        <is>
          <t>50 a 65 %</t>
        </is>
      </c>
      <c r="F13" t="inlineStr">
        <is>
          <t>&gt;65 %</t>
        </is>
      </c>
      <c r="G13" s="23">
        <f>'Supuestos'!$C$27</f>
        <v/>
      </c>
      <c r="H13" s="5" t="inlineStr">
        <is>
          <t>Con vendedor: 40 a 60 %. Compra directa en el formulario: más alto.</t>
        </is>
      </c>
    </row>
    <row r="14">
      <c r="B14" t="inlineStr">
        <is>
          <t>% entrada → oferta (total)</t>
        </is>
      </c>
      <c r="C14" t="inlineStr">
        <is>
          <t>&lt;3 %</t>
        </is>
      </c>
      <c r="D14" t="inlineStr">
        <is>
          <t>3 a 6 %</t>
        </is>
      </c>
      <c r="E14" t="inlineStr">
        <is>
          <t>6 a 10 %</t>
        </is>
      </c>
      <c r="F14" t="inlineStr">
        <is>
          <t>&gt;10 %</t>
        </is>
      </c>
      <c r="G14" s="26">
        <f>'Modelo'!$C$28</f>
        <v/>
      </c>
      <c r="H14" s="5" t="inlineStr">
        <is>
          <t>Vivo + replay.</t>
        </is>
      </c>
    </row>
    <row r="15">
      <c r="B15" t="inlineStr">
        <is>
          <t>ROAS total sobre cash neto</t>
        </is>
      </c>
      <c r="C15" t="inlineStr">
        <is>
          <t>&lt;1,3</t>
        </is>
      </c>
      <c r="D15" t="inlineStr">
        <is>
          <t>1,3 a 2</t>
        </is>
      </c>
      <c r="E15" t="inlineStr">
        <is>
          <t>2 a 3</t>
        </is>
      </c>
      <c r="F15" t="inlineStr">
        <is>
          <t>&gt;3</t>
        </is>
      </c>
      <c r="G15" s="25">
        <f>'Modelo'!$C$46</f>
        <v/>
      </c>
      <c r="H15" s="5" t="inlineStr">
        <is>
          <t>Por lanzamiento, cobranza completa.</t>
        </is>
      </c>
    </row>
  </sheetData>
  <pageMargins left="0.75" right="0.75" top="1" bottom="1" header="0.5" footer="0.5"/>
  <headerFooter>
    <oddHeader>&amp;CJesús Tassarolo · TooAudience&amp;R&amp;D</oddHeader>
    <oddFooter>&amp;LModelo financiero de embudos · creado por Jesús Tassarolo · TooAudience · youtube.com/@JesusTassaroloSinFiltro&amp;C&amp;7 Modelo financiero de embudos · creado por Jesús Tassarolo · TooAudience · youtube.com/@JesusTassaroloSinFiltro&amp;RPágina &amp;P de &amp;N</oddFooter>
    <evenHeader>&amp;CJesús Tassarolo · TooAudience</evenHeader>
    <evenFooter>&amp;LModelo financiero de embudos · creado por Jesús Tassarolo · TooAudience · youtube.com/@JesusTassaroloSinFiltro&amp;C&amp;7 Modelo financiero de embudos · creado por Jesús Tassarolo · TooAudience · youtube.com/@JesusTassaroloSinFiltro&amp;RPágina &amp;P de &amp;N</evenFooter>
    <firstHeader/>
    <firstFooter/>
  </headerFooter>
</worksheet>
</file>

<file path=xl/worksheets/sheet12.xml><?xml version="1.0" encoding="utf-8"?>
<worksheet xmlns="http://schemas.openxmlformats.org/spreadsheetml/2006/main">
  <sheetPr>
    <outlinePr summaryBelow="1" summaryRight="1"/>
    <pageSetUpPr/>
  </sheetPr>
  <dimension ref="A1:D43"/>
  <sheetViews>
    <sheetView showGridLines="0" workbookViewId="0">
      <selection activeCell="A1" sqref="A1"/>
    </sheetView>
  </sheetViews>
  <sheetFormatPr baseColWidth="8" defaultRowHeight="15"/>
  <cols>
    <col width="2" customWidth="1" min="1" max="1"/>
    <col width="30" customWidth="1" min="2" max="2"/>
    <col width="90" customWidth="1" min="3" max="3"/>
    <col width="26" customWidth="1" min="4" max="4"/>
  </cols>
  <sheetData>
    <row r="1">
      <c r="B1" s="1" t="inlineStr">
        <is>
          <t>© Jesús Tassarolo · TooAudience · youtube.com/@JesusTassaroloSinFiltro · uso personal; no redistribuir modificado</t>
        </is>
      </c>
    </row>
    <row r="2">
      <c r="B2" s="2" t="inlineStr">
        <is>
          <t>Glosario</t>
        </is>
      </c>
    </row>
    <row r="3">
      <c r="B3" s="3" t="inlineStr">
        <is>
          <t>Los términos que usa este modelo, en el orden del embudo.</t>
        </is>
      </c>
    </row>
    <row r="5">
      <c r="B5" s="6" t="inlineStr">
        <is>
          <t>Término</t>
        </is>
      </c>
      <c r="C5" s="6" t="inlineStr">
        <is>
          <t>Qué es</t>
        </is>
      </c>
      <c r="D5" s="6" t="inlineStr">
        <is>
          <t>Dónde aparece</t>
        </is>
      </c>
    </row>
    <row r="6" ht="30" customHeight="1">
      <c r="B6" s="4" t="inlineStr">
        <is>
          <t>CPM</t>
        </is>
      </c>
      <c r="C6" s="5" t="inlineStr">
        <is>
          <t>Costo por mil impresiones: lo que cobra la plataforma de anuncios por mostrar el aviso mil veces.</t>
        </is>
      </c>
      <c r="D6" t="inlineStr">
        <is>
          <t>Supuestos</t>
        </is>
      </c>
    </row>
    <row r="7" ht="15" customHeight="1">
      <c r="B7" s="4" t="inlineStr">
        <is>
          <t>CTR</t>
        </is>
      </c>
      <c r="C7" s="5" t="inlineStr">
        <is>
          <t>Porcentaje de impresiones que terminan en clic al enlace.</t>
        </is>
      </c>
      <c r="D7" t="inlineStr">
        <is>
          <t>Supuestos</t>
        </is>
      </c>
    </row>
    <row r="8" ht="30" customHeight="1">
      <c r="B8" s="4" t="inlineStr">
        <is>
          <t>Clic → visita</t>
        </is>
      </c>
      <c r="C8" s="5" t="inlineStr">
        <is>
          <t>Porcentaje de clics que llegan a cargar la página. Siempre menor a 100 % (cierran antes de que cargue).</t>
        </is>
      </c>
      <c r="D8" t="inlineStr">
        <is>
          <t>Supuestos</t>
        </is>
      </c>
    </row>
    <row r="9" ht="30" customHeight="1">
      <c r="B9" s="4" t="inlineStr">
        <is>
          <t>Unidad de adquisición</t>
        </is>
      </c>
      <c r="C9" s="5" t="inlineStr">
        <is>
          <t>Lo que compra la publicidad en este embudo (visita, registro o entrada). Todo el modelo se mide por unidad.</t>
        </is>
      </c>
      <c r="D9" t="inlineStr">
        <is>
          <t>Modelo</t>
        </is>
      </c>
    </row>
    <row r="10" ht="30" customHeight="1">
      <c r="B10" s="4" t="inlineStr">
        <is>
          <t>Costo por unidad</t>
        </is>
      </c>
      <c r="C10" s="5" t="inlineStr">
        <is>
          <t>Inversión dividida por unidades compradas: costo por visita, CPL (costo por lead o registro) o costo por entrada.</t>
        </is>
      </c>
      <c r="D10" t="inlineStr">
        <is>
          <t>Modelo, Seguimiento</t>
        </is>
      </c>
    </row>
    <row r="11" ht="30" customHeight="1">
      <c r="B11" s="4" t="inlineStr">
        <is>
          <t>Conversión</t>
        </is>
      </c>
      <c r="C11" s="5" t="inlineStr">
        <is>
          <t>Porcentaje que pasa de una etapa a la siguiente. Las conversiones se multiplican: 15 % × 14 % × 44 % = 0,9 %.</t>
        </is>
      </c>
      <c r="D11" t="inlineStr">
        <is>
          <t>Supuestos, Modelo</t>
        </is>
      </c>
    </row>
    <row r="12" ht="30" customHeight="1">
      <c r="B12" s="4" t="inlineStr">
        <is>
          <t>Show rate</t>
        </is>
      </c>
      <c r="C12" s="5" t="inlineStr">
        <is>
          <t>Porcentaje de registrados (o compradores) que asisten en vivo. El replay se cuenta aparte.</t>
        </is>
      </c>
      <c r="D12" t="inlineStr">
        <is>
          <t>Supuestos</t>
        </is>
      </c>
    </row>
    <row r="13" ht="30" customHeight="1">
      <c r="B13" s="4" t="inlineStr">
        <is>
          <t>Bump</t>
        </is>
      </c>
      <c r="C13" s="5" t="inlineStr">
        <is>
          <t>Oferta extra en el mismo checkout, con una casilla. Se mide como % de los compradores.</t>
        </is>
      </c>
      <c r="D13" t="inlineStr">
        <is>
          <t>Supuestos</t>
        </is>
      </c>
    </row>
    <row r="14" ht="30" customHeight="1">
      <c r="B14" s="4" t="inlineStr">
        <is>
          <t>OTO / upsell</t>
        </is>
      </c>
      <c r="C14" s="5" t="inlineStr">
        <is>
          <t>Oferta que aparece después de pagar (one-time offer). Downsell: la oferta más barata para quien rechaza la OTO.</t>
        </is>
      </c>
      <c r="D14" t="inlineStr">
        <is>
          <t>Supuestos</t>
        </is>
      </c>
    </row>
    <row r="15" ht="15" customHeight="1">
      <c r="B15" s="4" t="inlineStr">
        <is>
          <t>Backend</t>
        </is>
      </c>
      <c r="C15" s="5" t="inlineStr">
        <is>
          <t>Producto de mayor valor que se vende después del primero, por ascenso o por llamada.</t>
        </is>
      </c>
      <c r="D15" t="inlineStr">
        <is>
          <t>Supuestos</t>
        </is>
      </c>
    </row>
    <row r="16" ht="15" customHeight="1">
      <c r="B16" s="4" t="inlineStr">
        <is>
          <t>AOV</t>
        </is>
      </c>
      <c r="C16" s="5" t="inlineStr">
        <is>
          <t>Facturado promedio por comprador del producto principal, sumando toda la escalera.</t>
        </is>
      </c>
      <c r="D16" t="inlineStr">
        <is>
          <t>Modelo</t>
        </is>
      </c>
    </row>
    <row r="17" ht="15" customHeight="1">
      <c r="B17" s="4" t="inlineStr">
        <is>
          <t>CPA / CAC</t>
        </is>
      </c>
      <c r="C17" s="5" t="inlineStr">
        <is>
          <t>Costo por comprador: inversión dividida por ventas del producto principal.</t>
        </is>
      </c>
      <c r="D17" t="inlineStr">
        <is>
          <t>Modelo</t>
        </is>
      </c>
    </row>
    <row r="18" ht="15" customHeight="1">
      <c r="B18" s="4" t="inlineStr">
        <is>
          <t>Facturado</t>
        </is>
      </c>
      <c r="C18" s="5" t="inlineStr">
        <is>
          <t>Lo vendido a precio de lista, aunque todavía no se haya cobrado (cuotas).</t>
        </is>
      </c>
      <c r="D18" t="inlineStr">
        <is>
          <t>Modelo</t>
        </is>
      </c>
    </row>
    <row r="19" ht="30" customHeight="1">
      <c r="B19" s="4" t="inlineStr">
        <is>
          <t>Cash cobrado</t>
        </is>
      </c>
      <c r="C19" s="5" t="inlineStr">
        <is>
          <t>Lo que efectivamente entró. Con cuotas, entra en varios meses según la curva de cobranza.</t>
        </is>
      </c>
      <c r="D19" t="inlineStr">
        <is>
          <t>Modelo, Proyección</t>
        </is>
      </c>
    </row>
    <row r="20" ht="30" customHeight="1">
      <c r="B20" s="4" t="inlineStr">
        <is>
          <t>Cash neto</t>
        </is>
      </c>
      <c r="C20" s="5" t="inlineStr">
        <is>
          <t>Cash cobrado menos comisiones de pasarela, comisiones de ventas y reembolsos. Es la base de verdad del modelo.</t>
        </is>
      </c>
      <c r="D20" t="inlineStr">
        <is>
          <t>Modelo</t>
        </is>
      </c>
    </row>
    <row r="21" ht="30" customHeight="1">
      <c r="B21" s="4" t="inlineStr">
        <is>
          <t>ROAS</t>
        </is>
      </c>
      <c r="C21" s="5" t="inlineStr">
        <is>
          <t>Retorno sobre la inversión en publicidad. Sobre facturado, sobre cash o sobre cash neto: siempre decí cuál.</t>
        </is>
      </c>
      <c r="D21" t="inlineStr">
        <is>
          <t>Modelo</t>
        </is>
      </c>
    </row>
    <row r="22" ht="30" customHeight="1">
      <c r="B22" s="4" t="inlineStr">
        <is>
          <t>Valor neto por unidad (VPU)</t>
        </is>
      </c>
      <c r="C22" s="5" t="inlineStr">
        <is>
          <t>Cash neto que deja cada unidad de adquisición, descontando los costos que crecen con el volumen. Es lo que vale un lead, una visita o una entrada.</t>
        </is>
      </c>
      <c r="D22" t="inlineStr">
        <is>
          <t>Modelo</t>
        </is>
      </c>
    </row>
    <row r="23" ht="30" customHeight="1">
      <c r="B23" s="4" t="inlineStr">
        <is>
          <t>Techo</t>
        </is>
      </c>
      <c r="C23" s="5" t="inlineStr">
        <is>
          <t>Costo por unidad al que no ganás ni perdés (break-even). Es igual al valor neto por unidad.</t>
        </is>
      </c>
      <c r="D23" t="inlineStr">
        <is>
          <t>Modelo, Seguimiento</t>
        </is>
      </c>
    </row>
    <row r="24" ht="15" customHeight="1">
      <c r="B24" s="4" t="inlineStr">
        <is>
          <t>Objetivo</t>
        </is>
      </c>
      <c r="C24" s="5" t="inlineStr">
        <is>
          <t>Techo dividido por (1 + margen de seguridad). Si pagás eso o menos, estás en verde.</t>
        </is>
      </c>
      <c r="D24" t="inlineStr">
        <is>
          <t>Modelo</t>
        </is>
      </c>
    </row>
    <row r="25" ht="30" customHeight="1">
      <c r="B25" s="4" t="inlineStr">
        <is>
          <t>Margen de seguridad</t>
        </is>
      </c>
      <c r="C25" s="5" t="inlineStr">
        <is>
          <t>Colchón entre el techo y el objetivo para absorber varianza, reembolsos y costos que no viste. 30 % es el estándar.</t>
        </is>
      </c>
      <c r="D25" t="inlineStr">
        <is>
          <t>Supuestos</t>
        </is>
      </c>
    </row>
    <row r="26" ht="60" customHeight="1">
      <c r="B26" s="4" t="inlineStr">
        <is>
          <t>Semáforo</t>
        </is>
      </c>
      <c r="C26" s="5" t="inlineStr">
        <is>
          <t>Rojo: el costo por unidad está por encima del techo (perdés con cada unidad). Verde: el costo está en el objetivo o por debajo y el ROAS sobre cash neto llega al objetivo. Amarillo: todo lo demás (el costo está entre objetivo y techo, o el ROAS no llega).</t>
        </is>
      </c>
      <c r="D26" t="inlineStr">
        <is>
          <t>Resumen, Seguimiento</t>
        </is>
      </c>
    </row>
    <row r="27" ht="30" customHeight="1">
      <c r="B27" s="4" t="inlineStr">
        <is>
          <t>Techo móvil</t>
        </is>
      </c>
      <c r="C27" s="5" t="inlineStr">
        <is>
          <t>Mediana del valor neto por unidad de tus últimas 4 columnas de Seguimiento. Es el techo que se usa para decidir, porque refleja tu rendimiento reciente.</t>
        </is>
      </c>
      <c r="D27" t="inlineStr">
        <is>
          <t>Seguimiento</t>
        </is>
      </c>
    </row>
    <row r="28" ht="30" customHeight="1">
      <c r="B28" s="4" t="inlineStr">
        <is>
          <t>Escenario</t>
        </is>
      </c>
      <c r="C28" s="5" t="inlineStr">
        <is>
          <t>Conjunto de supuestos conservador, base u optimista. Se elige con una celda en Supuestos.</t>
        </is>
      </c>
      <c r="D28" t="inlineStr">
        <is>
          <t>Supuestos</t>
        </is>
      </c>
    </row>
    <row r="29" ht="30" customHeight="1">
      <c r="B29" s="4" t="inlineStr">
        <is>
          <t>Sensibilidad</t>
        </is>
      </c>
      <c r="C29" s="5" t="inlineStr">
        <is>
          <t>Cuánto cambia la ganancia si mejorás una sola variable un 10 %. Dice qué palanca trabajar primero.</t>
        </is>
      </c>
      <c r="D29" t="inlineStr">
        <is>
          <t>Sensibilidad</t>
        </is>
      </c>
    </row>
    <row r="30" ht="45" customHeight="1">
      <c r="B30" s="4" t="inlineStr">
        <is>
          <t>Ganancia por visita / por lead / por cliente</t>
        </is>
      </c>
      <c r="C30" s="5" t="inlineStr">
        <is>
          <t>La ganancia del período dividida por la cantidad de ese paso. Es la otra cara del costo por paso. La ganancia por visita es la métrica que más vale: resume todo lo que pasa después de la página.</t>
        </is>
      </c>
      <c r="D30" t="inlineStr">
        <is>
          <t>Modelo, Embudo</t>
        </is>
      </c>
    </row>
    <row r="31" ht="30" customHeight="1">
      <c r="B31" s="4" t="inlineStr">
        <is>
          <t>Order value (AOV)</t>
        </is>
      </c>
      <c r="C31" s="5" t="inlineStr">
        <is>
          <t>Facturado promedio por comprador del principal sumando toda la escalera. El AOV neto es lo mismo después de comisiones y reembolsos, y su par es el CPA.</t>
        </is>
      </c>
      <c r="D31" t="inlineStr">
        <is>
          <t>Modelo</t>
        </is>
      </c>
    </row>
    <row r="32" ht="45" customHeight="1">
      <c r="B32" s="4" t="inlineStr">
        <is>
          <t>Caja necesaria</t>
        </is>
      </c>
      <c r="C32" s="5" t="inlineStr">
        <is>
          <t>El peor momento de la ganancia acumulada en la proyección, en positivo. Es la plata que necesitás tener para no frenar la pauta mientras cobrás. Si da 0, el embudo se autofinancia.</t>
        </is>
      </c>
      <c r="D32" t="inlineStr">
        <is>
          <t>Proyección</t>
        </is>
      </c>
    </row>
    <row r="33" ht="30" customHeight="1">
      <c r="B33" s="4" t="inlineStr">
        <is>
          <t>Unit economics</t>
        </is>
      </c>
      <c r="C33" s="5" t="inlineStr">
        <is>
          <t>Los números por unidad: cuánto cuesta y cuánto deja cada visita, registro, entrada o comprador.</t>
        </is>
      </c>
      <c r="D33" t="inlineStr">
        <is>
          <t>Resumen</t>
        </is>
      </c>
    </row>
    <row r="34" ht="30" customHeight="1">
      <c r="B34" s="4" t="inlineStr">
        <is>
          <t>Tráfico frío</t>
        </is>
      </c>
      <c r="C34" s="5" t="inlineStr">
        <is>
          <t>Gente que no te conoce y llega desde un anuncio. Convierte menos que tu audiencia propia.</t>
        </is>
      </c>
      <c r="D34" t="inlineStr">
        <is>
          <t>Benchmarks</t>
        </is>
      </c>
    </row>
    <row r="35" ht="30" customHeight="1">
      <c r="B35" s="4" t="inlineStr">
        <is>
          <t>Front / producto principal</t>
        </is>
      </c>
      <c r="C35" s="5" t="inlineStr">
        <is>
          <t>El primer producto que se vende en el embudo. Todo lo demás (bumps, OTOs, programa) se mide como % de sus compradores.</t>
        </is>
      </c>
      <c r="D35" t="inlineStr">
        <is>
          <t>Supuestos</t>
        </is>
      </c>
    </row>
    <row r="36" ht="15" customHeight="1">
      <c r="B36" s="4" t="inlineStr">
        <is>
          <t>Pitch</t>
        </is>
      </c>
      <c r="C36" s="5" t="inlineStr">
        <is>
          <t>La parte del webinar o la llamada donde se presenta la oferta.</t>
        </is>
      </c>
      <c r="D36" t="inlineStr">
        <is>
          <t>Inicio</t>
        </is>
      </c>
    </row>
    <row r="37" ht="15" customHeight="1">
      <c r="B37" s="4" t="inlineStr">
        <is>
          <t>VSL</t>
        </is>
      </c>
      <c r="C37" s="5" t="inlineStr">
        <is>
          <t>Video de ventas: la página de ventas es un video largo que vende el producto.</t>
        </is>
      </c>
      <c r="D37" t="inlineStr">
        <is>
          <t>Supuestos</t>
        </is>
      </c>
    </row>
    <row r="38" ht="30" customHeight="1">
      <c r="B38" s="4" t="inlineStr">
        <is>
          <t>B2B</t>
        </is>
      </c>
      <c r="C38" s="5" t="inlineStr">
        <is>
          <t>Negocios que venden a empresas. Sus benchmarks de asistencia son más altos que los de tráfico frío a personas.</t>
        </is>
      </c>
      <c r="D38" t="inlineStr">
        <is>
          <t>Benchmarks</t>
        </is>
      </c>
    </row>
    <row r="39" ht="15" customHeight="1">
      <c r="B39" s="4" t="inlineStr">
        <is>
          <t>Self-serve</t>
        </is>
      </c>
      <c r="C39" s="5" t="inlineStr">
        <is>
          <t>Venta sin llamada: la persona compra sola desde una página de pago.</t>
        </is>
      </c>
      <c r="D39" t="inlineStr">
        <is>
          <t>Supuestos</t>
        </is>
      </c>
    </row>
    <row r="40" ht="30" customHeight="1">
      <c r="B40" s="4" t="inlineStr">
        <is>
          <t>Entrada</t>
        </is>
      </c>
      <c r="C40" s="5" t="inlineStr">
        <is>
          <t>El producto barato (5 a 15 USD) que da acceso al evento. Es la unidad de adquisición de este embudo.</t>
        </is>
      </c>
      <c r="D40" t="inlineStr">
        <is>
          <t>Supuestos</t>
        </is>
      </c>
    </row>
    <row r="41" ht="30" customHeight="1">
      <c r="B41" s="4" t="inlineStr">
        <is>
          <t>ROAS del front</t>
        </is>
      </c>
      <c r="C41" s="5" t="inlineStr">
        <is>
          <t>Facturado de entradas y bump dividido por la inversión: qué parte de la pauta se recupera antes del evento.</t>
        </is>
      </c>
      <c r="D41" t="inlineStr">
        <is>
          <t>Modelo</t>
        </is>
      </c>
    </row>
    <row r="42" ht="30" customHeight="1">
      <c r="B42" s="4" t="inlineStr">
        <is>
          <t>Precio escalonado</t>
        </is>
      </c>
      <c r="C42" s="5" t="inlineStr">
        <is>
          <t>Entrada que sube de precio a medida que se acerca el evento (5 → 10 → 15). En el modelo se usa el promedio cobrado.</t>
        </is>
      </c>
      <c r="D42" t="inlineStr">
        <is>
          <t>Supuestos</t>
        </is>
      </c>
    </row>
    <row r="43" ht="45" customHeight="1">
      <c r="B43" s="4" t="inlineStr">
        <is>
          <t>Solicitud</t>
        </is>
      </c>
      <c r="C43" s="5" t="inlineStr">
        <is>
          <t>Lo que hace el asistente cuando se presenta la oferta: completa el formulario de compra, la aplicación, o pide hablar con un vendedor. Se mide en cantidad, costo por solicitud y % sobre asistentes en vivo.</t>
        </is>
      </c>
      <c r="D43" t="inlineStr">
        <is>
          <t>Modelo, Seguimiento</t>
        </is>
      </c>
    </row>
  </sheetData>
  <pageMargins left="0.75" right="0.75" top="1" bottom="1" header="0.5" footer="0.5"/>
  <headerFooter>
    <oddHeader>&amp;CJesús Tassarolo · TooAudience&amp;R&amp;D</oddHeader>
    <oddFooter>&amp;LModelo financiero de embudos · creado por Jesús Tassarolo · TooAudience · youtube.com/@JesusTassaroloSinFiltro&amp;C&amp;7 Modelo financiero de embudos · creado por Jesús Tassarolo · TooAudience · youtube.com/@JesusTassaroloSinFiltro&amp;RPágina &amp;P de &amp;N</oddFooter>
    <evenHeader>&amp;CJesús Tassarolo · TooAudience</evenHeader>
    <evenFooter>&amp;LModelo financiero de embudos · creado por Jesús Tassarolo · TooAudience · youtube.com/@JesusTassaroloSinFiltro&amp;C&amp;7 Modelo financiero de embudos · creado por Jesús Tassarolo · TooAudience · youtube.com/@JesusTassaroloSinFiltro&amp;RPágina &amp;P de &amp;N</evenFooter>
    <firstHeader/>
    <firstFooter/>
  </headerFooter>
</worksheet>
</file>

<file path=xl/worksheets/sheet13.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 customWidth="1" min="1" max="1"/>
    <col width="70" customWidth="1" min="2" max="2"/>
    <col width="14" customWidth="1" min="3" max="3"/>
    <col width="60" customWidth="1" min="4" max="4"/>
  </cols>
  <sheetData>
    <row r="1">
      <c r="B1" s="1" t="inlineStr">
        <is>
          <t>© Jesús Tassarolo · TooAudience · youtube.com/@JesusTassaroloSinFiltro · uso personal; no redistribuir modificado</t>
        </is>
      </c>
    </row>
    <row r="2">
      <c r="B2" s="2" t="inlineStr">
        <is>
          <t>Chequeos: el modelo se revisa solo</t>
        </is>
      </c>
    </row>
    <row r="3">
      <c r="B3" s="3" t="inlineStr">
        <is>
          <t>Si alguna fila dice REVISAR, hay un supuesto fuera de rango o un dato inconsistente.</t>
        </is>
      </c>
    </row>
    <row r="5">
      <c r="B5" s="6" t="inlineStr">
        <is>
          <t>Chequeo</t>
        </is>
      </c>
      <c r="C5" s="6" t="inlineStr">
        <is>
          <t>Estado</t>
        </is>
      </c>
      <c r="D5" s="6" t="inlineStr">
        <is>
          <t>Qué revisar</t>
        </is>
      </c>
    </row>
    <row r="6">
      <c r="B6" t="inlineStr">
        <is>
          <t>Ninguna celda con error en Modelo</t>
        </is>
      </c>
      <c r="C6" s="36">
        <f>IF(ISERROR(SUM('Modelo'!C5:C160)),"REVISAR","OK")</f>
        <v/>
      </c>
      <c r="D6" s="5" t="inlineStr">
        <is>
          <t>Si dice REVISAR, hay un #DIV/0! o #REF!: casi siempre un supuesto en 0 o una fila borrada.</t>
        </is>
      </c>
    </row>
    <row r="7">
      <c r="B7" t="inlineStr">
        <is>
          <t>Ninguna celda con error en Simulador</t>
        </is>
      </c>
      <c r="C7" s="36">
        <f>IF(ISERROR(SUM('Simulador'!C5:G220)),"REVISAR","OK")</f>
        <v/>
      </c>
      <c r="D7" s="5" t="inlineStr">
        <is>
          <t>Si dice REVISAR, hay un #DIV/0! o #REF!: casi siempre un supuesto en 0 o una fila borrada.</t>
        </is>
      </c>
    </row>
    <row r="8">
      <c r="B8" t="inlineStr">
        <is>
          <t>Ninguna celda con error en Embudo</t>
        </is>
      </c>
      <c r="C8" s="36">
        <f>IF(ISERROR(SUM('Embudo'!C5:H60)),"REVISAR","OK")</f>
        <v/>
      </c>
      <c r="D8" s="5" t="inlineStr">
        <is>
          <t>Si dice REVISAR, hay un #DIV/0! o #REF!: casi siempre un supuesto en 0 o una fila borrada.</t>
        </is>
      </c>
    </row>
    <row r="9">
      <c r="B9" t="inlineStr">
        <is>
          <t>Ninguna celda con error en Resumen</t>
        </is>
      </c>
      <c r="C9" s="36">
        <f>IF(ISERROR(SUM('Resumen'!C5:C60)),"REVISAR","OK")</f>
        <v/>
      </c>
      <c r="D9" s="5" t="inlineStr">
        <is>
          <t>Si dice REVISAR, hay un #DIV/0! o #REF!: casi siempre un supuesto en 0 o una fila borrada.</t>
        </is>
      </c>
    </row>
    <row r="10">
      <c r="B10" t="inlineStr">
        <is>
          <t>Ninguna celda con error en Proyección 12 meses</t>
        </is>
      </c>
      <c r="C10" s="36">
        <f>IF(ISERROR(SUM('Proyección 12 meses'!C5:O40)),"REVISAR","OK")</f>
        <v/>
      </c>
      <c r="D10" s="5" t="inlineStr">
        <is>
          <t>Si dice REVISAR, hay un #DIV/0! o #REF!: casi siempre un supuesto en 0 o una fila borrada.</t>
        </is>
      </c>
    </row>
    <row r="11">
      <c r="B11" t="inlineStr">
        <is>
          <t>Ninguna celda con error en Escenarios</t>
        </is>
      </c>
      <c r="C11" s="36">
        <f>IF(ISERROR(SUM('Escenarios'!C5:L120)),"REVISAR","OK")</f>
        <v/>
      </c>
      <c r="D11" s="5" t="inlineStr">
        <is>
          <t>Si dice REVISAR, hay un #DIV/0! o #REF!: casi siempre un supuesto en 0 o una fila borrada.</t>
        </is>
      </c>
    </row>
    <row r="12">
      <c r="B12" t="inlineStr">
        <is>
          <t>Ninguna celda con error en Seguimiento</t>
        </is>
      </c>
      <c r="C12" s="36">
        <f>IF(ISERROR(SUM('Seguimiento'!C5:Q80)),"REVISAR","OK")</f>
        <v/>
      </c>
      <c r="D12" s="5" t="inlineStr">
        <is>
          <t>Si dice REVISAR, hay un #DIV/0! o #REF!: casi siempre un supuesto en 0 o una fila borrada.</t>
        </is>
      </c>
    </row>
    <row r="13">
      <c r="B13" t="inlineStr">
        <is>
          <t>Los supuestos de tráfico son mayores a cero</t>
        </is>
      </c>
      <c r="C13" s="36">
        <f>IF(AND('Supuestos'!$C$10&gt;0,'Supuestos'!$C$13&gt;0),"OK","REVISAR")</f>
        <v/>
      </c>
      <c r="D13" s="5" t="inlineStr">
        <is>
          <t>Con un 0 en el tráfico o en la conversión de la página no hay unidades y el modelo no dice nada.</t>
        </is>
      </c>
    </row>
    <row r="14">
      <c r="B14" t="inlineStr">
        <is>
          <t>La curva de cobranza suma 100 %</t>
        </is>
      </c>
      <c r="C14" s="36">
        <f>IF(ABS('Supuestos'!$C$39+'Supuestos'!$C$40+'Supuestos'!$C$41-1)&lt;0.001,"OK","REVISAR")</f>
        <v/>
      </c>
      <c r="D14" s="5" t="inlineStr">
        <is>
          <t>Supuestos → cobranza mes 1 + mes 2 + mes 3 = 100 %.</t>
        </is>
      </c>
    </row>
    <row r="15">
      <c r="B15" t="inlineStr">
        <is>
          <t>Comisiones + reembolsos menores al 60 %</t>
        </is>
      </c>
      <c r="C15" s="36">
        <f>IF(('Supuestos'!$C$32+'Supuestos'!$C$33+'Supuestos'!$C$34)&lt;0.6,"OK","REVISAR")</f>
        <v/>
      </c>
      <c r="D15" s="5" t="inlineStr">
        <is>
          <t>Si suman más, revisá los porcentajes.</t>
        </is>
      </c>
    </row>
    <row r="16">
      <c r="B16" t="inlineStr">
        <is>
          <t>El escenario en uso es 1, 2 o 3</t>
        </is>
      </c>
      <c r="C16" s="36">
        <f>IF(OR('Supuestos'!$C$6=1,'Supuestos'!$C$6=2,'Supuestos'!$C$6=3),"OK","REVISAR")</f>
        <v/>
      </c>
      <c r="D16" s="5" t="inlineStr">
        <is>
          <t>Supuestos → celda 'Escenario en uso'.</t>
        </is>
      </c>
    </row>
    <row r="17">
      <c r="B17" t="inlineStr">
        <is>
          <t>La inversión es mayor a cero</t>
        </is>
      </c>
      <c r="C17" s="36">
        <f>IF('Supuestos'!$C$8&gt;0,"OK","REVISAR")</f>
        <v/>
      </c>
      <c r="D17" s="5" t="inlineStr"/>
    </row>
    <row r="18">
      <c r="B18" t="inlineStr">
        <is>
          <t>La meta de ventas es alcanzable (hay conversión a venta)</t>
        </is>
      </c>
      <c r="C18" s="36">
        <f>IF('Modelo'!$C$28&gt;0,"OK","REVISAR")</f>
        <v/>
      </c>
      <c r="D18" s="5" t="inlineStr">
        <is>
          <t>Con conversión a venta en 0, la inversión para la meta dice 'inalcanzable con estos supuestos'.</t>
        </is>
      </c>
    </row>
    <row r="19">
      <c r="B19" t="inlineStr">
        <is>
          <t>Las conversiones están entre 0 y 100 %</t>
        </is>
      </c>
      <c r="C19" s="36">
        <f>IF(AND('Supuestos'!$C$13&gt;=0,'Supuestos'!$C$13&lt;=1,'Supuestos'!$C$16&gt;=0,'Supuestos'!$C$16&lt;=1,'Supuestos'!$C$19&gt;=0,'Supuestos'!$C$19&lt;=1,'Supuestos'!$C$20&gt;=0,'Supuestos'!$C$20&lt;=1,'Supuestos'!$C$21&gt;=0,'Supuestos'!$C$21&lt;=1,'Supuestos'!$C$25&gt;=0,'Supuestos'!$C$25&lt;=1,'Supuestos'!$C$26&gt;=0,'Supuestos'!$C$26&lt;=1,'Supuestos'!$C$27&gt;=0,'Supuestos'!$C$27&lt;=1,'Supuestos'!$C$29&gt;=0,'Supuestos'!$C$29&lt;=1),"OK","REVISAR")</f>
        <v/>
      </c>
      <c r="D19" s="5" t="inlineStr">
        <is>
          <t>Un 25 % se escribe 25 % (o 0,25), no 25.</t>
        </is>
      </c>
    </row>
    <row r="20">
      <c r="B20" t="inlineStr">
        <is>
          <t>El margen de seguridad está entre 0 y 100 %</t>
        </is>
      </c>
      <c r="C20" s="36">
        <f>IF(AND('Supuestos'!$C$45&gt;=0,'Supuestos'!$C$45&lt;=1),"OK","REVISAR")</f>
        <v/>
      </c>
      <c r="D20" s="5" t="inlineStr"/>
    </row>
    <row r="21">
      <c r="B21" t="inlineStr">
        <is>
          <t>El crecimiento mensual está entre −50 % y 100 %</t>
        </is>
      </c>
      <c r="C21" s="36">
        <f>IF(AND('Supuestos'!$C$47&gt;=-0.5,'Supuestos'!$C$47&lt;=1),"OK","REVISAR")</f>
        <v/>
      </c>
      <c r="D21" s="5" t="inlineStr">
        <is>
          <t>Más de 100 % por mes no es realista para una proyección.</t>
        </is>
      </c>
    </row>
    <row r="22">
      <c r="B22" t="inlineStr">
        <is>
          <t>La cadena es decreciente (cada etapa tiene menos gente que la anterior)</t>
        </is>
      </c>
      <c r="C22" s="36">
        <f>IF(AND('Modelo'!$C$9&lt;='Modelo'!$C$7,'Modelo'!$C$18&lt;='Modelo'!$C$9,'Modelo'!$C$22&lt;='Modelo'!$C$18,'Modelo'!$C$23&lt;='Modelo'!$C$19,'Modelo'!$C$27&lt;='Modelo'!$C$24),"OK","REVISAR")</f>
        <v/>
      </c>
      <c r="D22" s="5" t="inlineStr">
        <is>
          <t>Si falla, alguna conversión está por encima de 100 %.</t>
        </is>
      </c>
    </row>
    <row r="23">
      <c r="B23" t="inlineStr">
        <is>
          <t>En vivo + replay no superan el 100 % de los compradores</t>
        </is>
      </c>
      <c r="C23" s="36">
        <f>IF(('Supuestos'!$C$20+'Supuestos'!$C$21)&lt;=1,"OK","REVISAR")</f>
        <v/>
      </c>
      <c r="D23" s="5" t="inlineStr">
        <is>
          <t>El replay se cuenta sin los que fueron en vivo.</t>
        </is>
      </c>
    </row>
    <row r="25">
      <c r="B25" s="4" t="inlineStr">
        <is>
          <t>Estado general del modelo</t>
        </is>
      </c>
      <c r="C25" s="37">
        <f>IF(COUNTIF(C6:C23,"REVISAR")=0,"OK","REVISAR")</f>
        <v/>
      </c>
    </row>
  </sheetData>
  <conditionalFormatting sqref="C6:C25">
    <cfRule type="cellIs" priority="1" operator="equal" dxfId="0">
      <formula>"OK"</formula>
    </cfRule>
    <cfRule type="cellIs" priority="2" operator="equal" dxfId="2">
      <formula>"REVISAR"</formula>
    </cfRule>
  </conditionalFormatting>
  <pageMargins left="0.75" right="0.75" top="1" bottom="1" header="0.5" footer="0.5"/>
  <headerFooter>
    <oddHeader>&amp;CJesús Tassarolo · TooAudience&amp;R&amp;D</oddHeader>
    <oddFooter>&amp;LModelo financiero de embudos · creado por Jesús Tassarolo · TooAudience · youtube.com/@JesusTassaroloSinFiltro&amp;C&amp;7 Modelo financiero de embudos · creado por Jesús Tassarolo · TooAudience · youtube.com/@JesusTassaroloSinFiltro&amp;RPágina &amp;P de &amp;N</oddFooter>
    <evenHeader>&amp;CJesús Tassarolo · TooAudience</evenHeader>
    <evenFooter>&amp;LModelo financiero de embudos · creado por Jesús Tassarolo · TooAudience · youtube.com/@JesusTassaroloSinFiltro&amp;C&amp;7 Modelo financiero de embudos · creado por Jesús Tassarolo · TooAudience · youtube.com/@JesusTassaroloSinFiltro&amp;RPágina &amp;P de &amp;N</evenFooter>
    <firstHeader/>
    <firstFooter/>
  </headerFooter>
</worksheet>
</file>

<file path=xl/worksheets/sheet14.xml><?xml version="1.0" encoding="utf-8"?>
<worksheet xmlns="http://schemas.openxmlformats.org/spreadsheetml/2006/main">
  <sheetPr>
    <tabColor rgb="001F3864"/>
    <outlinePr summaryBelow="1" summaryRight="1"/>
    <pageSetUpPr/>
  </sheetPr>
  <dimension ref="B2:B11"/>
  <sheetViews>
    <sheetView workbookViewId="0">
      <selection activeCell="A1" sqref="A1"/>
    </sheetView>
  </sheetViews>
  <sheetFormatPr baseColWidth="8" defaultRowHeight="15"/>
  <cols>
    <col width="3" customWidth="1" min="1" max="1"/>
    <col width="120" customWidth="1" min="2" max="2"/>
  </cols>
  <sheetData>
    <row r="2">
      <c r="B2" s="2" t="inlineStr">
        <is>
          <t>Autoría y licencia</t>
        </is>
      </c>
    </row>
    <row r="4">
      <c r="B4" s="5" t="inlineStr">
        <is>
          <t>Modelo financiero · Embudo de webinar pago (evento pago)</t>
        </is>
      </c>
    </row>
    <row r="5">
      <c r="B5" s="5" t="inlineStr">
        <is>
          <t>Modelo financiero de embudos · creado por Jesús Tassarolo · TooAudience · youtube.com/@JesusTassaroloSinFiltro</t>
        </is>
      </c>
    </row>
    <row r="6">
      <c r="B6" s="5" t="inlineStr">
        <is>
          <t>v1.2 · octubre 2026</t>
        </is>
      </c>
    </row>
    <row r="7">
      <c r="B7" s="5" t="inlineStr"/>
    </row>
    <row r="8">
      <c r="B8" s="5" t="inlineStr">
        <is>
          <t>Licencia Creative Commons BY-NC-ND 4.0: podés usar este archivo con tus números y compartirlo tal cual, citando al autor. No podés venderlo, modificar su estructura para redistribuirlo ni quitar la línea de autoría.</t>
        </is>
      </c>
    </row>
    <row r="9">
      <c r="B9" s="5" t="inlineStr"/>
    </row>
    <row r="10">
      <c r="B10" s="5" t="inlineStr">
        <is>
          <t>Este archivo, sus fórmulas, sus umbrales y su método son obra de Jesús Tassarolo (TooAudience). Si lo compartís, compartilo entero y con esta hoja.</t>
        </is>
      </c>
    </row>
    <row r="11">
      <c r="B11" s="5" t="inlineStr">
        <is>
          <t>Canal: youtube.com/@JesusTassaroloSinFiltro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Jesús Tassarolo</dc:creator>
  <dc:title xmlns:dc="http://purl.org/dc/elements/1.1/">Modelo financiero · Embudo de webinar pago (evento pago)</dc:title>
  <dc:description xmlns:dc="http://purl.org/dc/elements/1.1/">Modelo financiero de embudos · creado por Jesús Tassarolo · TooAudience · youtube.com/@JesusTassaroloSinFiltro · Licencia Creative Commons BY-NC-ND 4.0: podés usar este archivo con tus números y compartirlo tal cual, citando al autor. No podés venderlo, modificar su estructura para redistribuirlo ni quitar la línea de autoría. · v1.2 · octubre 2026</dc:description>
  <dc:subject xmlns:dc="http://purl.org/dc/elements/1.1/">Modelo financiero de embudos · Jesús Tassarolo · TooAudience</dc:subject>
  <dcterms:created xmlns:dcterms="http://purl.org/dc/terms/" xmlns:xsi="http://www.w3.org/2001/XMLSchema-instance" xsi:type="dcterms:W3CDTF">2026-10-02T16:24:47Z</dcterms:created>
  <dcterms:modified xmlns:dcterms="http://purl.org/dc/terms/" xmlns:xsi="http://www.w3.org/2001/XMLSchema-instance" xsi:type="dcterms:W3CDTF">2026-10-02T16:24:47Z</dcterms:modified>
  <cp:lastModifiedBy>Jesús Tassarolo</cp:lastModifiedBy>
  <cp:category>TooAudience · Mastermind</cp:category>
  <cp:keywords>Jesús Tassarolo, TooAudience, modelo financiero, embudos, mastermind</cp:keywords>
</cp:coreProperties>
</file>

<file path=docProps/custom.xml><?xml version="1.0" encoding="utf-8"?>
<Properties xmlns="http://schemas.openxmlformats.org/officeDocument/2006/custom-properties">
  <property name="Autor" fmtid="{D5CDD505-2E9C-101B-9397-08002B2CF9AE}" pid="2">
    <vt:lpwstr xmlns:vt="http://schemas.openxmlformats.org/officeDocument/2006/docPropsVTypes">Jesús Tassarolo</vt:lpwstr>
  </property>
  <property name="Marca" fmtid="{D5CDD505-2E9C-101B-9397-08002B2CF9AE}" pid="3">
    <vt:lpwstr xmlns:vt="http://schemas.openxmlformats.org/officeDocument/2006/docPropsVTypes">Modelo financiero de embudos · creado por Jesús Tassarolo · TooAudience · youtube.com/@JesusTassaroloSinFiltro</vt:lpwstr>
  </property>
  <property name="Licencia" fmtid="{D5CDD505-2E9C-101B-9397-08002B2CF9AE}" pid="4">
    <vt:lpwstr xmlns:vt="http://schemas.openxmlformats.org/officeDocument/2006/docPropsVTypes">CC BY-NC-ND 4.0</vt:lpwstr>
  </property>
  <property name="YouTube" fmtid="{D5CDD505-2E9C-101B-9397-08002B2CF9AE}" pid="5">
    <vt:lpwstr xmlns:vt="http://schemas.openxmlformats.org/officeDocument/2006/docPropsVTypes">youtube.com/@JesusTassaroloSinFiltro</vt:lpwstr>
  </property>
  <property name="Version" fmtid="{D5CDD505-2E9C-101B-9397-08002B2CF9AE}" pid="6">
    <vt:lpwstr xmlns:vt="http://schemas.openxmlformats.org/officeDocument/2006/docPropsVTypes">v1.2 · octubre 2026</vt:lpwstr>
  </property>
</Properties>
</file>