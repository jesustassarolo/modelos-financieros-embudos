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 xmlns:r="http://schemas.openxmlformats.org/officeDocument/2006/relationships" name="Licencia" sheetId="13" state="visible" r:id="rId1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0"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4" fontId="0" fillId="5" borderId="1" pivotButton="0" quotePrefix="0" xfId="0"/>
    <xf numFmtId="168"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webinar pago (evento pago)</t>
        </is>
      </c>
    </row>
    <row r="3">
      <c r="B3" s="3" t="inlineStr">
        <is>
          <t>Anuncios → página de ventas de la entrada → entrada + bump → grupo de WhatsApp → evento en vivo y replay → oferta → programa superior</t>
        </is>
      </c>
    </row>
    <row r="5">
      <c r="B5" s="4" t="inlineStr">
        <is>
          <t>Para qué sirve este modelo</t>
        </is>
      </c>
    </row>
    <row r="6" ht="75" customHeight="1">
      <c r="B6" s="5" t="inlineStr">
        <is>
          <t>Es el modelo financiero de un embudo de webinar pago: anuncios que venden una entrada barata a un evento, un grupo de WhatsApp, el evento en vivo (con replay) donde se presenta la oferta principal, y un programa superior que se vende después. Con tus números (o con el ejemplo cargado) te dice cuánto vale cada entrada que comprás con publicidad, hasta cuánto podés pagar por entrada y por cada etapa siguiente, cuánto invertir para una meta de ventas, cuánta caja necesitás y qué palanca mejora más la ganancia.</t>
        </is>
      </c>
    </row>
    <row r="7" ht="60" customHeight="1">
      <c r="B7" s="5" t="inlineStr">
        <is>
          <t>La unidad que comprás es la entrada vendida: acá los leads ya son compradores de un low ticket, no registros. Lo primero que se mira es qué parte de la pauta recupera la entrada (ROAS del front); después, escalón por escalón: costo por persona en el grupo, costo por asistente en vivo (mucho más alto que en gratuito porque pagaron), costo por solicitud y cierre, cada uno con su cantidad y su porcentaje.</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lanzamiento, ROAS, el techo y el objetivo de costo por entrada, y el semáforo. Después Embudo: todos los pasos en orden con cuántos pasan, lo que pagás, lo que te queda y lo máximo que podrías pagar por cada uno.</t>
        </is>
      </c>
    </row>
    <row r="12" ht="45" customHeight="1">
      <c r="B12" s="5" t="inlineStr">
        <is>
          <t>3. Para jugar con los números, usá el Excel de Simulación de este embudo (archivo aparte): es esta misma cadena, idéntica a la hoja Modelo, con todos los supuestos editables en su lugar. Cambiá uno y se recalcula todo. No se conecta con este archivo: cuando una prueba te convence, pasá ese número 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lanzamiento. El semáforo te dice si estás pagando de más por cada entrada.</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45" customHeight="1">
      <c r="B25" s="5" t="inlineStr">
        <is>
          <t>Un taller pago con entradas a 9 USD promedio (si escalonás 5, 10 y 15, poné el promedio cobrado). Se invierten 3.000 USD por lanzamiento a 0,35 por visita: 8.571 visitas, el 2,5 % compra la entrada (214 entradas, costo por entrada 14) y el 20 % suma un bump de 27.</t>
        </is>
      </c>
    </row>
    <row r="26" ht="60" customHeight="1">
      <c r="B26" s="5" t="inlineStr">
        <is>
          <t>El 85 % entra al grupo (costo por persona en el grupo cerca de 16), el 55 % asiste en vivo (costo por asistente cerca de 25) y el 25 % ve el replay. Cuando se presenta la oferta de 497, el 16 % de los asistentes en vivo solicita y el 4 % de los del replay; la mitad de las solicitudes termina en compra: unas 10 ventas, con un costo por solicitud cerca de 140. El 10 % de los compradores pasa a un programa de 1.997.</t>
        </is>
      </c>
    </row>
    <row r="27" ht="30" customHeight="1">
      <c r="B27" s="5" t="inlineStr">
        <is>
          <t>Costos: pasarela 8 %, reembolsos 5 %, 0,30 por entrada en WhatsApp y soporte, fijos 800 por lanzamiento. Cobranza 50 / 25 / 25.</t>
        </is>
      </c>
    </row>
    <row r="28" ht="30" customHeight="1">
      <c r="B28" s="5" t="inlineStr">
        <is>
          <t>Resultado: la entrada y el bump recuperan cerca del 100 % de la pauta en facturado (un 90 % en cash neto) antes del evento; la oferta y el programa son la ganancia.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entrada.</t>
        </is>
      </c>
    </row>
    <row r="32" ht="45" customHeight="1">
      <c r="B32" s="5" t="inlineStr">
        <is>
          <t>2. Primeros días: compará tu costo real por entrada con el objetivo. Verde: seguí. Amarillo: no subas la inversión y revisá en este orden: CPM (público y frecuencia), creativo (CTR) y página (conversión). Rojo: bajá un escalón (−25 %) y arreglá antes de volver a subir.</t>
        </is>
      </c>
    </row>
    <row r="33" ht="30" customHeight="1">
      <c r="B33" s="5" t="inlineStr">
        <is>
          <t>3. Cada lanzamiento: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45" customHeight="1">
      <c r="B38" s="5" t="inlineStr">
        <is>
          <t>8. El ROAS del front (entradas + bump ÷ inversión) es el seguro del embudo: si está cerca de 1, el evento se paga solo y todo lo demás es ganancia. Si cae por debajo de 0,5, revisá precio de la entrada y página de ventas antes que nada.</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lanzamiento</t>
        </is>
      </c>
      <c r="C6" s="8" t="n"/>
      <c r="D6" s="8" t="n"/>
    </row>
    <row r="7">
      <c r="B7" t="inlineStr">
        <is>
          <t>Ganancia del período</t>
        </is>
      </c>
      <c r="C7" s="9">
        <f>'Modelo'!$C$44</f>
        <v/>
      </c>
      <c r="D7" s="5" t="inlineStr">
        <is>
          <t>Cash neto menos costos y menos inversión.</t>
        </is>
      </c>
    </row>
    <row r="8">
      <c r="B8" t="inlineStr">
        <is>
          <t>ROAS del front (qué parte de la pauta recupera la entrada)</t>
        </is>
      </c>
      <c r="C8" s="10">
        <f>'Modelo'!$C$14</f>
        <v/>
      </c>
      <c r="D8" s="5" t="inlineStr">
        <is>
          <t>Qué parte de la pauta recupera la entrada antes del evento. Cerca de 1 = el evento se paga solo.</t>
        </is>
      </c>
    </row>
    <row r="9">
      <c r="B9" t="inlineStr">
        <is>
          <t>ROAS sobre cash neto</t>
        </is>
      </c>
      <c r="C9" s="10">
        <f>'Modelo'!$C$46</f>
        <v/>
      </c>
      <c r="D9" s="5" t="inlineStr">
        <is>
          <t>Total, sobre cash neto.</t>
        </is>
      </c>
    </row>
    <row r="10">
      <c r="B10" t="inlineStr">
        <is>
          <t>Entradas vendidas</t>
        </is>
      </c>
      <c r="C10" s="11">
        <f>'Modelo'!$C$9</f>
        <v/>
      </c>
      <c r="D10" s="5" t="inlineStr">
        <is>
          <t>Entradas vendidas.</t>
        </is>
      </c>
    </row>
    <row r="11">
      <c r="B11" t="inlineStr">
        <is>
          <t>Asistentes en vivo</t>
        </is>
      </c>
      <c r="C11" s="11">
        <f>'Modelo'!$C$18</f>
        <v/>
      </c>
      <c r="D11" s="5" t="inlineStr">
        <is>
          <t>Asistentes en vivo.</t>
        </is>
      </c>
    </row>
    <row r="12">
      <c r="B12" t="inlineStr">
        <is>
          <t>Ventas de la oferta</t>
        </is>
      </c>
      <c r="C12" s="12">
        <f>'Modelo'!$C$27</f>
        <v/>
      </c>
      <c r="D12" s="5" t="inlineStr">
        <is>
          <t>Ventas de la oferta (vivo + replay).</t>
        </is>
      </c>
    </row>
    <row r="13">
      <c r="B13" s="7" t="inlineStr">
        <is>
          <t>Unit economics</t>
        </is>
      </c>
      <c r="C13" s="8" t="n"/>
      <c r="D13" s="8" t="n"/>
    </row>
    <row r="14">
      <c r="B14" t="inlineStr">
        <is>
          <t>Costo por entrada vendida</t>
        </is>
      </c>
      <c r="C14" s="13">
        <f>'Modelo'!$C$8</f>
        <v/>
      </c>
      <c r="D14" s="5" t="inlineStr">
        <is>
          <t>Costo por entrada vendida.</t>
        </is>
      </c>
    </row>
    <row r="15">
      <c r="B15" t="inlineStr">
        <is>
          <t>Valor neto por entrada</t>
        </is>
      </c>
      <c r="C15" s="13">
        <f>'Modelo'!$C$50</f>
        <v/>
      </c>
      <c r="D15" s="5" t="inlineStr">
        <is>
          <t>Lo que vale una entrada en cash neto, con todo lo que viene después.</t>
        </is>
      </c>
    </row>
    <row r="16">
      <c r="B16" t="inlineStr">
        <is>
          <t>Costo por persona en el grupo</t>
        </is>
      </c>
      <c r="C16" s="13">
        <f>'Modelo'!$C$17</f>
        <v/>
      </c>
      <c r="D16" s="5" t="inlineStr">
        <is>
          <t>Lo que te cuesta cada persona que entra al grupo.</t>
        </is>
      </c>
    </row>
    <row r="17">
      <c r="B17" t="inlineStr">
        <is>
          <t>Costo por asistente en vivo</t>
        </is>
      </c>
      <c r="C17" s="13">
        <f>'Modelo'!$C$20</f>
        <v/>
      </c>
      <c r="D17" s="5" t="inlineStr">
        <is>
          <t>Lo que te cuesta cada asistente en vivo.</t>
        </is>
      </c>
    </row>
    <row r="18">
      <c r="B18" t="inlineStr">
        <is>
          <t>Solicitudes (total)</t>
        </is>
      </c>
      <c r="C18" s="12">
        <f>'Modelo'!$C$24</f>
        <v/>
      </c>
      <c r="D18" s="5" t="inlineStr">
        <is>
          <t>Formularios de compra, aplicaciones o pedidos de hablar con un vendedor.</t>
        </is>
      </c>
    </row>
    <row r="19">
      <c r="B19" t="inlineStr">
        <is>
          <t>Costo por solicitud</t>
        </is>
      </c>
      <c r="C19" s="13">
        <f>'Modelo'!$C$26</f>
        <v/>
      </c>
      <c r="D19" s="5" t="inlineStr">
        <is>
          <t>Lo que te cuesta cada solicitud.</t>
        </is>
      </c>
    </row>
    <row r="20">
      <c r="B20" t="inlineStr">
        <is>
          <t>Costo por comprador de la oferta</t>
        </is>
      </c>
      <c r="C20" s="13">
        <f>'Modelo'!$C$29</f>
        <v/>
      </c>
      <c r="D20" s="5" t="inlineStr">
        <is>
          <t>Lo que te cuesta cada comprador de la oferta.</t>
        </is>
      </c>
    </row>
    <row r="21">
      <c r="B21" s="7" t="inlineStr">
        <is>
          <t>Las dos caras de cada número</t>
        </is>
      </c>
      <c r="C21" s="8" t="n"/>
      <c r="D21" s="8" t="n"/>
    </row>
    <row r="22">
      <c r="B22" t="inlineStr">
        <is>
          <t>Ganancia por visita</t>
        </is>
      </c>
      <c r="C22" s="13">
        <f>'Modelo'!$C$64</f>
        <v/>
      </c>
      <c r="D22" s="5" t="inlineStr">
        <is>
          <t>Lo que te queda por cada visita a la página de ventas. La métrica más valiosa del embudo.</t>
        </is>
      </c>
    </row>
    <row r="23">
      <c r="B23" t="inlineStr">
        <is>
          <t>Ganancia por entrada</t>
        </is>
      </c>
      <c r="C23" s="13">
        <f>'Modelo'!$C$65</f>
        <v/>
      </c>
      <c r="D23" s="5" t="inlineStr">
        <is>
          <t>Lo que te queda por cada entrada vendida. Su par es el costo por entrada.</t>
        </is>
      </c>
    </row>
    <row r="24">
      <c r="B24" t="inlineStr">
        <is>
          <t>Ganancia por cliente</t>
        </is>
      </c>
      <c r="C24" s="13">
        <f>'Modelo'!$C$68</f>
        <v/>
      </c>
      <c r="D24" s="5" t="inlineStr">
        <is>
          <t>Lo que te queda por cada comprador de la oferta. Su par es el costo por comprador.</t>
        </is>
      </c>
    </row>
    <row r="25">
      <c r="B25" t="inlineStr">
        <is>
          <t>Order value (AOV)</t>
        </is>
      </c>
      <c r="C25" s="13">
        <f>'Modelo'!$C$34</f>
        <v/>
      </c>
      <c r="D25" s="5" t="inlineStr">
        <is>
          <t>Facturado por comprador de la oferta, con todo lo demás.</t>
        </is>
      </c>
    </row>
    <row r="26">
      <c r="B26" t="inlineStr">
        <is>
          <t>Order value neto (AOV neto)</t>
        </is>
      </c>
      <c r="C26" s="13">
        <f>'Modelo'!$C$63</f>
        <v/>
      </c>
      <c r="D26" s="5" t="inlineStr">
        <is>
          <t>Lo mismo después de comisiones, reembolsos y costos por entrada.</t>
        </is>
      </c>
    </row>
    <row r="27">
      <c r="B27" s="7" t="inlineStr">
        <is>
          <t>Hasta cuánto pagar</t>
        </is>
      </c>
      <c r="C27" s="8" t="n"/>
      <c r="D27" s="8" t="n"/>
    </row>
    <row r="28">
      <c r="B28" t="inlineStr">
        <is>
          <t>Techo de costo por entrada (break-even)</t>
        </is>
      </c>
      <c r="C28" s="13">
        <f>'Modelo'!$C$51</f>
        <v/>
      </c>
      <c r="D28" s="5" t="inlineStr">
        <is>
          <t>Costo por entrada donde no ganás ni perdés.</t>
        </is>
      </c>
    </row>
    <row r="29">
      <c r="B29" t="inlineStr">
        <is>
          <t>Objetivo de costo por entrada</t>
        </is>
      </c>
      <c r="C29" s="13">
        <f>'Modelo'!$C$52</f>
        <v/>
      </c>
      <c r="D29" s="5" t="inlineStr">
        <is>
          <t>A este costo o menos estás en verde.</t>
        </is>
      </c>
    </row>
    <row r="30">
      <c r="B30" t="inlineStr">
        <is>
          <t>Techo de costo por visita a la página</t>
        </is>
      </c>
      <c r="C30" s="13">
        <f>'Modelo'!$C$53</f>
        <v/>
      </c>
      <c r="D30" s="5" t="inlineStr">
        <is>
          <t>Costo máximo por visita a la página de ventas.</t>
        </is>
      </c>
    </row>
    <row r="31">
      <c r="B31" t="inlineStr">
        <is>
          <t>Techo de costo por solicitud</t>
        </is>
      </c>
      <c r="C31" s="13">
        <f>'Modelo'!$C$55</f>
        <v/>
      </c>
      <c r="D31" s="5" t="inlineStr">
        <is>
          <t>Costo máximo por solicitud.</t>
        </is>
      </c>
    </row>
    <row r="32">
      <c r="B32" t="inlineStr">
        <is>
          <t>Techo de costo por comprador de la oferta</t>
        </is>
      </c>
      <c r="C32" s="13">
        <f>'Modelo'!$C$56</f>
        <v/>
      </c>
      <c r="D32" s="5" t="inlineStr">
        <is>
          <t>Costo máximo por comprador de la oferta.</t>
        </is>
      </c>
    </row>
    <row r="33">
      <c r="B33" t="inlineStr">
        <is>
          <t>Semáforo del costo por entrada actual</t>
        </is>
      </c>
      <c r="C33" s="14">
        <f>'Modelo'!$C$59</f>
        <v/>
      </c>
      <c r="D33" s="5" t="inlineStr">
        <is>
          <t>Tu costo por entrada actual contra techo y objetivo.</t>
        </is>
      </c>
    </row>
    <row r="34">
      <c r="B34" s="7" t="inlineStr">
        <is>
          <t>Cuánto invertir y cuánta caja</t>
        </is>
      </c>
      <c r="C34" s="8" t="n"/>
      <c r="D34" s="8" t="n"/>
    </row>
    <row r="35">
      <c r="B35" t="inlineStr">
        <is>
          <t>Inversión necesaria para la meta de ventas de la oferta (al costo actual)</t>
        </is>
      </c>
      <c r="C35" s="9">
        <f>'Modelo'!$C$60</f>
        <v/>
      </c>
      <c r="D35" s="5" t="inlineStr">
        <is>
          <t>Para la meta de ventas de Supuestos, al costo actual.</t>
        </is>
      </c>
    </row>
    <row r="36">
      <c r="B36" t="inlineStr">
        <is>
          <t>Caja que hay que tener (peor momento de la proyección)</t>
        </is>
      </c>
      <c r="C36" s="9">
        <f>'Proyección 12 meses'!$C$18</f>
        <v/>
      </c>
      <c r="D36" s="5" t="inlineStr">
        <is>
          <t>Si da 0, el embudo se autofinancia: cada mes cobra más de lo que invierte.</t>
        </is>
      </c>
    </row>
    <row r="37">
      <c r="B37" t="inlineStr">
        <is>
          <t>Saldo mínimo de caja con tu caja inicial</t>
        </is>
      </c>
      <c r="C37" s="9">
        <f>'Proyección 12 meses'!$C$19</f>
        <v/>
      </c>
      <c r="D37" s="5" t="inlineStr">
        <is>
          <t>Si es negativo, la caja inicial no alcanza.</t>
        </is>
      </c>
    </row>
    <row r="38">
      <c r="B38" t="inlineStr">
        <is>
          <t>Ganancia acumulada en 12 meses</t>
        </is>
      </c>
      <c r="C38" s="9">
        <f>'Proyección 12 meses'!$C$20</f>
        <v/>
      </c>
      <c r="D38" s="5" t="inlineStr">
        <is>
          <t>Con la inversión creciendo según el supuesto.</t>
        </is>
      </c>
    </row>
    <row r="40" ht="32" customHeight="1">
      <c r="B40" s="4" t="inlineStr">
        <is>
          <t>Recomendación según el semáforo</t>
        </is>
      </c>
      <c r="C40" s="15">
        <f>IF('Modelo'!$C$59="VERDE","Sostener o subir un escalón (+25 %) y medir 7 días",IF('Modelo'!$C$59="AMARILLO","No subir. Si el costo está bien, el ROAS no llega al objetivo: mirá Sensibilidad. Si no, revisar en orden: CPM, creativo, página",IF('Modelo'!$C$59="ROJO","Bajar un escalón (−25 %) y arreglar antes de volver a subir","")))</f>
        <v/>
      </c>
      <c r="D40" s="16" t="n"/>
    </row>
    <row r="42">
      <c r="B42" s="3" t="inlineStr">
        <is>
          <t>Modelo financiero de embudos · creado por Jesús Tassarolo · TooAudience · youtube.com/@JesusTassaroloSinFiltro · v1.2 · octubre 2026</t>
        </is>
      </c>
    </row>
  </sheetData>
  <mergeCells count="1">
    <mergeCell ref="C40:D40"/>
  </mergeCells>
  <conditionalFormatting sqref="C5:C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Visitas a la página de ventas de la entrada</t>
        </is>
      </c>
      <c r="C6" s="17">
        <f>'Modelo'!$C$7</f>
        <v/>
      </c>
      <c r="D6" t="inlineStr">
        <is>
          <t>—</t>
        </is>
      </c>
      <c r="E6" t="inlineStr">
        <is>
          <t>—</t>
        </is>
      </c>
      <c r="F6" s="13">
        <f>IF('Modelo'!$C$7=0,0,'Supuestos'!$C$8*1/'Modelo'!$C$7)</f>
        <v/>
      </c>
      <c r="G6" s="13">
        <f>IF('Modelo'!$C$7=0,0,'Modelo'!$C$44*1/'Modelo'!$C$7)</f>
        <v/>
      </c>
      <c r="H6" s="13">
        <f>IF('Modelo'!$C$7=0,0,'Modelo'!$C$50*'Modelo'!$C$9*1/'Modelo'!$C$7)</f>
        <v/>
      </c>
      <c r="I6" s="5" t="inlineStr">
        <is>
          <t>Costo por visita.</t>
        </is>
      </c>
    </row>
    <row r="7">
      <c r="B7" s="4" t="inlineStr">
        <is>
          <t>Compran la entrada</t>
        </is>
      </c>
      <c r="C7" s="17">
        <f>'Modelo'!$C$9</f>
        <v/>
      </c>
      <c r="D7" s="18">
        <f>IF('Modelo'!$C$7=0,0,'Modelo'!$C$9/'Modelo'!$C$7)</f>
        <v/>
      </c>
      <c r="E7" s="19">
        <f>IF('Modelo'!$C$9=0,0,'Modelo'!$C$9/'Modelo'!$C$9)</f>
        <v/>
      </c>
      <c r="F7" s="13">
        <f>IF('Modelo'!$C$9=0,0,'Supuestos'!$C$8*1/'Modelo'!$C$9)</f>
        <v/>
      </c>
      <c r="G7" s="13">
        <f>IF('Modelo'!$C$9=0,0,'Modelo'!$C$44*1/'Modelo'!$C$9)</f>
        <v/>
      </c>
      <c r="H7" s="13">
        <f>IF('Modelo'!$C$9=0,0,'Modelo'!$C$50*'Modelo'!$C$9*1/'Modelo'!$C$9)</f>
        <v/>
      </c>
      <c r="I7" s="5" t="inlineStr">
        <is>
          <t>Costo por entrada. La unidad de este embudo: acá los leads ya son compradores.</t>
        </is>
      </c>
    </row>
    <row r="8">
      <c r="B8" t="inlineStr">
        <is>
          <t>Toman el bump de la entrada</t>
        </is>
      </c>
      <c r="C8" s="17">
        <f>'Modelo'!$C$11</f>
        <v/>
      </c>
      <c r="D8" s="18">
        <f>IF('Modelo'!$C$9=0,0,'Modelo'!$C$11/'Modelo'!$C$9)</f>
        <v/>
      </c>
      <c r="E8" s="19">
        <f>IF('Modelo'!$C$9=0,0,'Modelo'!$C$11/'Modelo'!$C$9)</f>
        <v/>
      </c>
      <c r="F8" t="inlineStr">
        <is>
          <t>sin costo propio</t>
        </is>
      </c>
      <c r="G8" t="inlineStr">
        <is>
          <t>—</t>
        </is>
      </c>
      <c r="H8" t="inlineStr">
        <is>
          <t>—</t>
        </is>
      </c>
      <c r="I8" s="5" t="inlineStr">
        <is>
          <t>Sobre compradores de entrada. Suma al ROAS del front.</t>
        </is>
      </c>
    </row>
    <row r="9">
      <c r="B9" t="inlineStr">
        <is>
          <t>Entran al grupo de WhatsApp</t>
        </is>
      </c>
      <c r="C9" s="17">
        <f>'Modelo'!$C$16</f>
        <v/>
      </c>
      <c r="D9" s="18">
        <f>IF('Modelo'!$C$9=0,0,'Modelo'!$C$16/'Modelo'!$C$9)</f>
        <v/>
      </c>
      <c r="E9" s="19">
        <f>IF('Modelo'!$C$9=0,0,'Modelo'!$C$16/'Modelo'!$C$9)</f>
        <v/>
      </c>
      <c r="F9" s="13">
        <f>IF('Modelo'!$C$16=0,0,'Supuestos'!$C$8*1/'Modelo'!$C$16)</f>
        <v/>
      </c>
      <c r="G9" s="13">
        <f>IF('Modelo'!$C$16=0,0,'Modelo'!$C$44*1/'Modelo'!$C$16)</f>
        <v/>
      </c>
      <c r="H9" s="13">
        <f>IF('Modelo'!$C$16=0,0,'Modelo'!$C$50*'Modelo'!$C$9*1/'Modelo'!$C$16)</f>
        <v/>
      </c>
      <c r="I9" s="5" t="inlineStr">
        <is>
          <t>Costo por persona en el grupo.</t>
        </is>
      </c>
    </row>
    <row r="10">
      <c r="B10" s="4" t="inlineStr">
        <is>
          <t>Asisten en vivo</t>
        </is>
      </c>
      <c r="C10" s="17">
        <f>'Modelo'!$C$18</f>
        <v/>
      </c>
      <c r="D10" s="18">
        <f>IF('Modelo'!$C$9=0,0,'Modelo'!$C$18/'Modelo'!$C$9)</f>
        <v/>
      </c>
      <c r="E10" s="19">
        <f>IF('Modelo'!$C$9=0,0,'Modelo'!$C$18/'Modelo'!$C$9)</f>
        <v/>
      </c>
      <c r="F10" s="13">
        <f>IF('Modelo'!$C$18=0,0,'Supuestos'!$C$8*1/'Modelo'!$C$18)</f>
        <v/>
      </c>
      <c r="G10" s="13">
        <f>IF('Modelo'!$C$18=0,0,'Modelo'!$C$44*1/'Modelo'!$C$18)</f>
        <v/>
      </c>
      <c r="H10" s="13">
        <f>IF('Modelo'!$C$18=0,0,'Modelo'!$C$50*'Modelo'!$C$9*1/'Modelo'!$C$18)</f>
        <v/>
      </c>
      <c r="I10" s="5" t="inlineStr">
        <is>
          <t>Costo por asistente en vivo. Sobre compradores de entrada.</t>
        </is>
      </c>
    </row>
    <row r="11">
      <c r="B11" t="inlineStr">
        <is>
          <t>Ven el replay</t>
        </is>
      </c>
      <c r="C11" s="17">
        <f>'Modelo'!$C$19</f>
        <v/>
      </c>
      <c r="D11" s="18">
        <f>IF('Modelo'!$C$9=0,0,'Modelo'!$C$19/'Modelo'!$C$9)</f>
        <v/>
      </c>
      <c r="E11" s="19">
        <f>IF('Modelo'!$C$9=0,0,'Modelo'!$C$19/'Modelo'!$C$9)</f>
        <v/>
      </c>
      <c r="F11" s="13">
        <f>IF('Modelo'!$C$19=0,0,'Supuestos'!$C$8*1/'Modelo'!$C$19)</f>
        <v/>
      </c>
      <c r="G11" s="13">
        <f>IF('Modelo'!$C$19=0,0,'Modelo'!$C$44*1/'Modelo'!$C$19)</f>
        <v/>
      </c>
      <c r="H11" s="13">
        <f>IF('Modelo'!$C$19=0,0,'Modelo'!$C$50*'Modelo'!$C$9*1/'Modelo'!$C$19)</f>
        <v/>
      </c>
      <c r="I11" s="5" t="inlineStr">
        <is>
          <t>Sobre compradores de entrada.</t>
        </is>
      </c>
    </row>
    <row r="12">
      <c r="B12" t="inlineStr">
        <is>
          <t>Solicitan, de los que estuvieron en vivo</t>
        </is>
      </c>
      <c r="C12" s="17">
        <f>'Modelo'!$C$22</f>
        <v/>
      </c>
      <c r="D12" s="18">
        <f>IF('Modelo'!$C$18=0,0,'Modelo'!$C$22/'Modelo'!$C$18)</f>
        <v/>
      </c>
      <c r="E12" s="19">
        <f>IF('Modelo'!$C$9=0,0,'Modelo'!$C$22/'Modelo'!$C$9)</f>
        <v/>
      </c>
      <c r="F12" s="13">
        <f>IF('Modelo'!$C$22=0,0,'Supuestos'!$C$8*1/'Modelo'!$C$22)</f>
        <v/>
      </c>
      <c r="G12" s="13">
        <f>IF('Modelo'!$C$22=0,0,'Modelo'!$C$44*1/'Modelo'!$C$22)</f>
        <v/>
      </c>
      <c r="H12" s="13">
        <f>IF('Modelo'!$C$22=0,0,'Modelo'!$C$50*'Modelo'!$C$9*1/'Modelo'!$C$22)</f>
        <v/>
      </c>
      <c r="I12" s="5" t="inlineStr">
        <is>
          <t>Formulario de compra, aplicación o vendedor. Sobre asistentes en vivo.</t>
        </is>
      </c>
    </row>
    <row r="13">
      <c r="B13" t="inlineStr">
        <is>
          <t>Solicitan, de los que vieron el replay</t>
        </is>
      </c>
      <c r="C13" s="17">
        <f>'Modelo'!$C$23</f>
        <v/>
      </c>
      <c r="D13" s="18">
        <f>IF('Modelo'!$C$19=0,0,'Modelo'!$C$23/'Modelo'!$C$19)</f>
        <v/>
      </c>
      <c r="E13" s="19">
        <f>IF('Modelo'!$C$9=0,0,'Modelo'!$C$23/'Modelo'!$C$9)</f>
        <v/>
      </c>
      <c r="F13" s="13">
        <f>IF('Modelo'!$C$23=0,0,'Supuestos'!$C$8*1/'Modelo'!$C$23)</f>
        <v/>
      </c>
      <c r="G13" s="13">
        <f>IF('Modelo'!$C$23=0,0,'Modelo'!$C$44*1/'Modelo'!$C$23)</f>
        <v/>
      </c>
      <c r="H13" s="13">
        <f>IF('Modelo'!$C$23=0,0,'Modelo'!$C$50*'Modelo'!$C$9*1/'Modelo'!$C$23)</f>
        <v/>
      </c>
      <c r="I13" s="5" t="inlineStr">
        <is>
          <t>Sobre los que vieron el replay.</t>
        </is>
      </c>
    </row>
    <row r="14">
      <c r="B14" s="4" t="inlineStr">
        <is>
          <t>Solicitudes (total)</t>
        </is>
      </c>
      <c r="C14" s="17">
        <f>'Modelo'!$C$24</f>
        <v/>
      </c>
      <c r="D14" s="18">
        <f>IF('Modelo'!$C$9=0,0,'Modelo'!$C$24/'Modelo'!$C$9)</f>
        <v/>
      </c>
      <c r="E14" s="19">
        <f>IF('Modelo'!$C$9=0,0,'Modelo'!$C$24/'Modelo'!$C$9)</f>
        <v/>
      </c>
      <c r="F14" s="13">
        <f>IF('Modelo'!$C$24=0,0,'Supuestos'!$C$8*1/'Modelo'!$C$24)</f>
        <v/>
      </c>
      <c r="G14" s="13">
        <f>IF('Modelo'!$C$24=0,0,'Modelo'!$C$44*1/'Modelo'!$C$24)</f>
        <v/>
      </c>
      <c r="H14" s="13">
        <f>IF('Modelo'!$C$24=0,0,'Modelo'!$C$50*'Modelo'!$C$9*1/'Modelo'!$C$24)</f>
        <v/>
      </c>
      <c r="I14" s="5" t="inlineStr">
        <is>
          <t>Costo por solicitud. Sobre compradores de entrada.</t>
        </is>
      </c>
    </row>
    <row r="15">
      <c r="B15" s="4" t="inlineStr">
        <is>
          <t>Compran la oferta</t>
        </is>
      </c>
      <c r="C15" s="17">
        <f>'Modelo'!$C$27</f>
        <v/>
      </c>
      <c r="D15" s="18">
        <f>IF('Modelo'!$C$24=0,0,'Modelo'!$C$27/'Modelo'!$C$24)</f>
        <v/>
      </c>
      <c r="E15" s="19">
        <f>IF('Modelo'!$C$9=0,0,'Modelo'!$C$27/'Modelo'!$C$9)</f>
        <v/>
      </c>
      <c r="F15" s="13">
        <f>IF('Modelo'!$C$27=0,0,'Supuestos'!$C$8*1/'Modelo'!$C$27)</f>
        <v/>
      </c>
      <c r="G15" s="13">
        <f>IF('Modelo'!$C$27=0,0,'Modelo'!$C$44*1/'Modelo'!$C$27)</f>
        <v/>
      </c>
      <c r="H15" s="13">
        <f>IF('Modelo'!$C$27=0,0,'Modelo'!$C$50*'Modelo'!$C$9*1/'Modelo'!$C$27)</f>
        <v/>
      </c>
      <c r="I15" s="5" t="inlineStr">
        <is>
          <t>Costo por comprador de la oferta. Sobre solicitudes (cierre).</t>
        </is>
      </c>
    </row>
    <row r="16">
      <c r="B16" t="inlineStr">
        <is>
          <t>Pasan al programa superior</t>
        </is>
      </c>
      <c r="C16" s="17">
        <f>'Modelo'!$C$31</f>
        <v/>
      </c>
      <c r="D16" s="18">
        <f>IF('Modelo'!$C$27=0,0,'Modelo'!$C$31/'Modelo'!$C$27)</f>
        <v/>
      </c>
      <c r="E16" s="19">
        <f>IF('Modelo'!$C$9=0,0,'Modelo'!$C$31/'Modelo'!$C$9)</f>
        <v/>
      </c>
      <c r="F16" t="inlineStr">
        <is>
          <t>sin costo propio</t>
        </is>
      </c>
      <c r="G16" t="inlineStr">
        <is>
          <t>—</t>
        </is>
      </c>
      <c r="H16" t="inlineStr">
        <is>
          <t>—</t>
        </is>
      </c>
      <c r="I16" s="5" t="inlineStr">
        <is>
          <t>Sobre compradores de la oferta.</t>
        </is>
      </c>
    </row>
    <row r="18">
      <c r="B18" s="4" t="inlineStr">
        <is>
          <t>Comprobalo con la fila de la unidad: costo + ganancia + fijos repartidos = techo</t>
        </is>
      </c>
      <c r="F18" s="20">
        <f>F7</f>
        <v/>
      </c>
      <c r="G18" s="20">
        <f>G7</f>
        <v/>
      </c>
      <c r="H18" s="13">
        <f>F7+G7+'Supuestos'!$C$36/'Modelo'!$C$9</f>
        <v/>
      </c>
      <c r="I18" s="5" t="inlineStr">
        <is>
          <t>Techo = costo + ganancia + fijos ÷ unidades. Lo que falta entre (costo + ganancia) y el techo son los costos fijos repartidos entre las unidades.</t>
        </is>
      </c>
    </row>
    <row r="19">
      <c r="B19" s="4" t="inlineStr">
        <is>
          <t>Cómo se lee</t>
        </is>
      </c>
    </row>
    <row r="20" ht="28" customHeight="1">
      <c r="B20" s="5" t="inlineStr">
        <is>
          <t>Cantidad: cuántas acciones o personas hubo en ese paso con los supuestos del escenario en uso.</t>
        </is>
      </c>
    </row>
    <row r="21" ht="28" customHeight="1">
      <c r="B21" s="5" t="inlineStr">
        <is>
          <t>% que pasa: de los que estaban en el paso anterior (o en el paso que indica la nota), cuántos llegan a este. % acumulado: cuántos llegan a este paso por cada 100 unidades que compra la pauta.</t>
        </is>
      </c>
    </row>
    <row r="22" ht="28" customHeight="1">
      <c r="B22" s="5" t="inlineStr">
        <is>
          <t>Costo por paso: inversión ÷ cantidad. Es lo que te está costando hoy cada persona que llega a ese paso.</t>
        </is>
      </c>
    </row>
    <row r="23" ht="28" customHeight="1">
      <c r="B23"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5"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H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1"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lanzamiento</t>
        </is>
      </c>
      <c r="C8" s="22" t="n">
        <v>3000</v>
      </c>
      <c r="G8" t="inlineStr">
        <is>
          <t>USD / lanzamiento</t>
        </is>
      </c>
      <c r="H8" s="5" t="inlineStr">
        <is>
          <t>Un lanzamiento = una tanda de venta de entradas + evento + oferta.</t>
        </is>
      </c>
    </row>
    <row r="9">
      <c r="B9" t="inlineStr">
        <is>
          <t>Lanzamientos por mes (para la proyección)</t>
        </is>
      </c>
      <c r="C9" s="21" t="n">
        <v>2</v>
      </c>
      <c r="G9" t="inlineStr">
        <is>
          <t>lanzamientos / mes</t>
        </is>
      </c>
      <c r="H9" s="5" t="inlineStr">
        <is>
          <t>Cuántos eventos como este hacés por mes. La proyección multiplica inversión, costos fijos y ventas por este número.</t>
        </is>
      </c>
    </row>
    <row r="10">
      <c r="B10" t="inlineStr">
        <is>
          <t>Costo por visita a la página de ventas de la entrada</t>
        </is>
      </c>
      <c r="C10" s="20">
        <f>IF('Supuestos'!$C$6=1,D10,IF('Supuestos'!$C$6=2,E10,F10))</f>
        <v/>
      </c>
      <c r="D10" s="23" t="n">
        <v>0.5</v>
      </c>
      <c r="E10" s="23" t="n">
        <v>0.35</v>
      </c>
      <c r="F10" s="23" t="n">
        <v>0.25</v>
      </c>
      <c r="G10" t="inlineStr">
        <is>
          <t>USD / visita</t>
        </is>
      </c>
      <c r="H10" s="5" t="inlineStr">
        <is>
          <t>Lo que pagás por cada persona que llega a la página.</t>
        </is>
      </c>
    </row>
    <row r="12">
      <c r="B12" s="7" t="inlineStr">
        <is>
          <t>2. Entrada y bump</t>
        </is>
      </c>
      <c r="C12" s="8" t="n"/>
      <c r="D12" s="8" t="n"/>
      <c r="E12" s="8" t="n"/>
      <c r="F12" s="8" t="n"/>
      <c r="G12" s="8" t="n"/>
      <c r="H12" s="8" t="n"/>
    </row>
    <row r="13">
      <c r="B13" t="inlineStr">
        <is>
          <t>% de visitas que compran la entrada</t>
        </is>
      </c>
      <c r="C13" s="18">
        <f>IF('Supuestos'!$C$6=1,D13,IF('Supuestos'!$C$6=2,E13,F13))</f>
        <v/>
      </c>
      <c r="D13" s="24" t="n">
        <v>0.015</v>
      </c>
      <c r="E13" s="24" t="n">
        <v>0.025</v>
      </c>
      <c r="F13" s="24" t="n">
        <v>0.035</v>
      </c>
      <c r="G13" t="inlineStr">
        <is>
          <t>%</t>
        </is>
      </c>
      <c r="H13" s="5" t="inlineStr">
        <is>
          <t>Página de ventas de un producto de 5 a 15 USD.</t>
        </is>
      </c>
    </row>
    <row r="14">
      <c r="B14" t="inlineStr">
        <is>
          <t>Precio promedio cobrado por entrada</t>
        </is>
      </c>
      <c r="C14" s="23" t="n">
        <v>9</v>
      </c>
      <c r="G14" t="inlineStr">
        <is>
          <t>USD</t>
        </is>
      </c>
      <c r="H14" s="5" t="inlineStr">
        <is>
          <t>Si escalonás el precio (5 → 10 → 15), poné el promedio que cobrás.</t>
        </is>
      </c>
    </row>
    <row r="15">
      <c r="B15" t="inlineStr">
        <is>
          <t>Bump en el checkout de la entrada: precio</t>
        </is>
      </c>
      <c r="C15" s="23" t="n">
        <v>27</v>
      </c>
      <c r="G15" t="inlineStr">
        <is>
          <t>USD</t>
        </is>
      </c>
      <c r="H15" s="5" t="inlineStr">
        <is>
          <t>Grabaciones, plantillas, acceso extendido.</t>
        </is>
      </c>
    </row>
    <row r="16">
      <c r="B16" t="inlineStr">
        <is>
          <t>Bump: % de compradores de entrada que lo toman</t>
        </is>
      </c>
      <c r="C16" s="18">
        <f>IF('Supuestos'!$C$6=1,D16,IF('Supuestos'!$C$6=2,E16,F16))</f>
        <v/>
      </c>
      <c r="D16" s="24" t="n">
        <v>0.12</v>
      </c>
      <c r="E16" s="24" t="n">
        <v>0.2</v>
      </c>
      <c r="F16" s="24" t="n">
        <v>0.3</v>
      </c>
      <c r="G16" t="inlineStr">
        <is>
          <t>%</t>
        </is>
      </c>
      <c r="H16" s="5" t="inlineStr"/>
    </row>
    <row r="18">
      <c r="B18" s="7" t="inlineStr">
        <is>
          <t>3. Grupo y asistencia (sobre compradores de entrada)</t>
        </is>
      </c>
      <c r="C18" s="8" t="n"/>
      <c r="D18" s="8" t="n"/>
      <c r="E18" s="8" t="n"/>
      <c r="F18" s="8" t="n"/>
      <c r="G18" s="8" t="n"/>
      <c r="H18" s="8" t="n"/>
    </row>
    <row r="19">
      <c r="B19" t="inlineStr">
        <is>
          <t>% que entra al grupo de WhatsApp</t>
        </is>
      </c>
      <c r="C19" s="18">
        <f>IF('Supuestos'!$C$6=1,D19,IF('Supuestos'!$C$6=2,E19,F19))</f>
        <v/>
      </c>
      <c r="D19" s="24" t="n">
        <v>0.7</v>
      </c>
      <c r="E19" s="24" t="n">
        <v>0.85</v>
      </c>
      <c r="F19" s="24" t="n">
        <v>0.95</v>
      </c>
      <c r="G19" t="inlineStr">
        <is>
          <t>%</t>
        </is>
      </c>
      <c r="H19" s="5" t="inlineStr">
        <is>
          <t>Pagaron: entran casi todos.</t>
        </is>
      </c>
    </row>
    <row r="20">
      <c r="B20" t="inlineStr">
        <is>
          <t>% que asiste en vivo</t>
        </is>
      </c>
      <c r="C20" s="18">
        <f>IF('Supuestos'!$C$6=1,D20,IF('Supuestos'!$C$6=2,E20,F20))</f>
        <v/>
      </c>
      <c r="D20" s="24" t="n">
        <v>0.4</v>
      </c>
      <c r="E20" s="24" t="n">
        <v>0.55</v>
      </c>
      <c r="F20" s="24" t="n">
        <v>0.65</v>
      </c>
      <c r="G20" t="inlineStr">
        <is>
          <t>%</t>
        </is>
      </c>
      <c r="H20" s="5" t="inlineStr">
        <is>
          <t>Mucho más alto que en gratuito.</t>
        </is>
      </c>
    </row>
    <row r="21">
      <c r="B21" t="inlineStr">
        <is>
          <t>% que ve el replay (sin contar los que fueron en vivo)</t>
        </is>
      </c>
      <c r="C21" s="18">
        <f>IF('Supuestos'!$C$6=1,D21,IF('Supuestos'!$C$6=2,E21,F21))</f>
        <v/>
      </c>
      <c r="D21" s="24" t="n">
        <v>0.15</v>
      </c>
      <c r="E21" s="24" t="n">
        <v>0.25</v>
      </c>
      <c r="F21" s="24" t="n">
        <v>0.3</v>
      </c>
      <c r="G21" t="inlineStr">
        <is>
          <t>%</t>
        </is>
      </c>
      <c r="H21" s="5" t="inlineStr"/>
    </row>
    <row r="23">
      <c r="B23" s="7" t="inlineStr">
        <is>
          <t>4. Oferta del evento y programa superior</t>
        </is>
      </c>
      <c r="C23" s="8" t="n"/>
      <c r="D23" s="8" t="n"/>
      <c r="E23" s="8" t="n"/>
      <c r="F23" s="8" t="n"/>
      <c r="G23" s="8" t="n"/>
      <c r="H23" s="8" t="n"/>
    </row>
    <row r="24">
      <c r="B24" t="inlineStr">
        <is>
          <t>Oferta principal: precio</t>
        </is>
      </c>
      <c r="C24" s="23" t="n">
        <v>497</v>
      </c>
      <c r="G24" t="inlineStr">
        <is>
          <t>USD</t>
        </is>
      </c>
      <c r="H24" s="5" t="inlineStr">
        <is>
          <t>Lo que se presenta al final del evento.</t>
        </is>
      </c>
    </row>
    <row r="25">
      <c r="B25" t="inlineStr">
        <is>
          <t>% de asistentes en vivo que solicitan (formulario de compra, de aplicación o hablar con un vendedor)</t>
        </is>
      </c>
      <c r="C25" s="18">
        <f>IF('Supuestos'!$C$6=1,D25,IF('Supuestos'!$C$6=2,E25,F25))</f>
        <v/>
      </c>
      <c r="D25" s="24" t="n">
        <v>0.1</v>
      </c>
      <c r="E25" s="24" t="n">
        <v>0.16</v>
      </c>
      <c r="F25" s="24" t="n">
        <v>0.22</v>
      </c>
      <c r="G25" t="inlineStr">
        <is>
          <t>%</t>
        </is>
      </c>
      <c r="H25" s="5" t="inlineStr">
        <is>
          <t>Público que pagó por estar: solicita más que en un webinar gratuito.</t>
        </is>
      </c>
    </row>
    <row r="26">
      <c r="B26" t="inlineStr">
        <is>
          <t>% de los que ven el replay que solicitan</t>
        </is>
      </c>
      <c r="C26" s="18">
        <f>IF('Supuestos'!$C$6=1,D26,IF('Supuestos'!$C$6=2,E26,F26))</f>
        <v/>
      </c>
      <c r="D26" s="24" t="n">
        <v>0.02</v>
      </c>
      <c r="E26" s="24" t="n">
        <v>0.04</v>
      </c>
      <c r="F26" s="24" t="n">
        <v>0.06</v>
      </c>
      <c r="G26" t="inlineStr">
        <is>
          <t>%</t>
        </is>
      </c>
      <c r="H26" s="5" t="inlineStr"/>
    </row>
    <row r="27">
      <c r="B27" t="inlineStr">
        <is>
          <t>% de solicitudes que terminan en compra</t>
        </is>
      </c>
      <c r="C27" s="18">
        <f>IF('Supuestos'!$C$6=1,D27,IF('Supuestos'!$C$6=2,E27,F27))</f>
        <v/>
      </c>
      <c r="D27" s="24" t="n">
        <v>0.4</v>
      </c>
      <c r="E27" s="24" t="n">
        <v>0.5</v>
      </c>
      <c r="F27" s="24" t="n">
        <v>0.6</v>
      </c>
      <c r="G27" t="inlineStr">
        <is>
          <t>%</t>
        </is>
      </c>
      <c r="H27" s="5" t="inlineStr">
        <is>
          <t>Con compra directa en el formulario suele ser alto; con vendedor, 40 a 60 %.</t>
        </is>
      </c>
    </row>
    <row r="28">
      <c r="B28" t="inlineStr">
        <is>
          <t>Programa superior: precio</t>
        </is>
      </c>
      <c r="C28" s="23" t="n">
        <v>1997</v>
      </c>
      <c r="G28" t="inlineStr">
        <is>
          <t>USD</t>
        </is>
      </c>
      <c r="H28" s="5" t="inlineStr">
        <is>
          <t>Por llamada o por ascenso.</t>
        </is>
      </c>
    </row>
    <row r="29">
      <c r="B29" t="inlineStr">
        <is>
          <t>Programa superior: % de compradores de la oferta que lo toman</t>
        </is>
      </c>
      <c r="C29" s="18">
        <f>IF('Supuestos'!$C$6=1,D29,IF('Supuestos'!$C$6=2,E29,F29))</f>
        <v/>
      </c>
      <c r="D29" s="24" t="n">
        <v>0.05</v>
      </c>
      <c r="E29" s="24" t="n">
        <v>0.1</v>
      </c>
      <c r="F29" s="24" t="n">
        <v>0.15</v>
      </c>
      <c r="G29" t="inlineStr">
        <is>
          <t>%</t>
        </is>
      </c>
      <c r="H29" s="5" t="inlineStr"/>
    </row>
    <row r="31">
      <c r="B31" s="7" t="inlineStr">
        <is>
          <t>5. Costos</t>
        </is>
      </c>
      <c r="C31" s="8" t="n"/>
      <c r="D31" s="8" t="n"/>
      <c r="E31" s="8" t="n"/>
      <c r="F31" s="8" t="n"/>
      <c r="G31" s="8" t="n"/>
      <c r="H31" s="8" t="n"/>
    </row>
    <row r="32">
      <c r="B32" t="inlineStr">
        <is>
          <t>Comisión de la pasarela o plataforma de pago</t>
        </is>
      </c>
      <c r="C32" s="24" t="n">
        <v>0.08</v>
      </c>
      <c r="G32" t="inlineStr">
        <is>
          <t>% del cash</t>
        </is>
      </c>
      <c r="H32" s="5" t="inlineStr">
        <is>
          <t>Hotmart, Stripe, Mercado Pago: lo que se queda la plataforma.</t>
        </is>
      </c>
    </row>
    <row r="33">
      <c r="B33" t="inlineStr">
        <is>
          <t>Comisión del equipo de ventas</t>
        </is>
      </c>
      <c r="C33" s="24" t="n">
        <v>0</v>
      </c>
      <c r="G33" t="inlineStr">
        <is>
          <t>% del cash</t>
        </is>
      </c>
      <c r="H33" s="5" t="inlineStr">
        <is>
          <t>Sobre el cash cobrado. Si el programa superior se vende por llamada, poné acá la comisión del closer.</t>
        </is>
      </c>
    </row>
    <row r="34">
      <c r="B34" t="inlineStr">
        <is>
          <t>Reembolsos y contracargos</t>
        </is>
      </c>
      <c r="C34" s="24" t="n">
        <v>0.05</v>
      </c>
      <c r="G34" t="inlineStr">
        <is>
          <t>% del cash</t>
        </is>
      </c>
      <c r="H34" s="5" t="inlineStr">
        <is>
          <t>5 % es normal en productos digitales. Más de 10 % es un problema de oferta o de expectativa.</t>
        </is>
      </c>
    </row>
    <row r="35">
      <c r="B35" t="inlineStr">
        <is>
          <t>Costos por entrada (herramientas, WhatsApp, IA)</t>
        </is>
      </c>
      <c r="C35" s="23" t="n">
        <v>0.3</v>
      </c>
      <c r="G35" t="inlineStr">
        <is>
          <t>USD / entrada</t>
        </is>
      </c>
      <c r="H35" s="5" t="inlineStr">
        <is>
          <t>WhatsApp, soporte, plataforma del evento: lo que pagás por cada entrada.</t>
        </is>
      </c>
    </row>
    <row r="36">
      <c r="B36" t="inlineStr">
        <is>
          <t>Costos fijos por lanzamiento</t>
        </is>
      </c>
      <c r="C36" s="22" t="n">
        <v>800</v>
      </c>
      <c r="G36" t="inlineStr">
        <is>
          <t>USD / lanzamiento</t>
        </is>
      </c>
      <c r="H36" s="5" t="inlineStr">
        <is>
          <t>Equipo, herramientas, edición: lo que pagás aunque no vendas.</t>
        </is>
      </c>
    </row>
    <row r="38">
      <c r="B38" s="7" t="inlineStr">
        <is>
          <t>6. Cobranza</t>
        </is>
      </c>
      <c r="C38" s="8" t="n"/>
      <c r="D38" s="8" t="n"/>
      <c r="E38" s="8" t="n"/>
      <c r="F38" s="8" t="n"/>
      <c r="G38" s="8" t="n"/>
      <c r="H38" s="8" t="n"/>
    </row>
    <row r="39">
      <c r="B39" t="inlineStr">
        <is>
          <t>% del facturado que entra en el mes 1</t>
        </is>
      </c>
      <c r="C39" s="24" t="n">
        <v>0.5</v>
      </c>
      <c r="G39" t="inlineStr">
        <is>
          <t>%</t>
        </is>
      </c>
      <c r="H39" s="5" t="inlineStr">
        <is>
          <t>Se aplica a todo el facturado como promedio ponderado: la entrada se cobra al contado, la oferta y el programa en cuotas. El ejemplo usa 50 / 25 / 25.</t>
        </is>
      </c>
    </row>
    <row r="40">
      <c r="B40" t="inlineStr">
        <is>
          <t>% que entra en el mes 2</t>
        </is>
      </c>
      <c r="C40" s="24" t="n">
        <v>0.25</v>
      </c>
      <c r="G40" t="inlineStr">
        <is>
          <t>%</t>
        </is>
      </c>
      <c r="H40" s="5" t="inlineStr">
        <is>
          <t>Cuotas o pagos diferidos.</t>
        </is>
      </c>
    </row>
    <row r="41">
      <c r="B41" t="inlineStr">
        <is>
          <t>% que entra en el mes 3</t>
        </is>
      </c>
      <c r="C41" s="24" t="n">
        <v>0.25</v>
      </c>
      <c r="G41" t="inlineStr">
        <is>
          <t>%</t>
        </is>
      </c>
      <c r="H41" s="5" t="inlineStr">
        <is>
          <t>Los tres deben sumar 100 %.</t>
        </is>
      </c>
    </row>
    <row r="43">
      <c r="B43" s="7" t="inlineStr">
        <is>
          <t>7. Objetivos y proyección</t>
        </is>
      </c>
      <c r="C43" s="8" t="n"/>
      <c r="D43" s="8" t="n"/>
      <c r="E43" s="8" t="n"/>
      <c r="F43" s="8" t="n"/>
      <c r="G43" s="8" t="n"/>
      <c r="H43" s="8" t="n"/>
    </row>
    <row r="44">
      <c r="B44" t="inlineStr">
        <is>
          <t>ROAS objetivo sobre cash neto</t>
        </is>
      </c>
      <c r="C44" s="25" t="n">
        <v>2</v>
      </c>
      <c r="G44" t="inlineStr">
        <is>
          <t>x</t>
        </is>
      </c>
      <c r="H44" s="5" t="inlineStr">
        <is>
          <t>El retorno mínimo que querés por cada dólar invertido, después de comisiones y reembolsos. Entra en el semáforo: sin llegar a este ROAS no hay verde.</t>
        </is>
      </c>
    </row>
    <row r="45">
      <c r="B45" t="inlineStr">
        <is>
          <t>Margen de seguridad</t>
        </is>
      </c>
      <c r="C45" s="24" t="n">
        <v>0.3</v>
      </c>
      <c r="G45" t="inlineStr">
        <is>
          <t>%</t>
        </is>
      </c>
      <c r="H45" s="5" t="inlineStr">
        <is>
          <t>Colchón entre el techo (donde no ganás ni perdés) y el objetivo. 30 % es el estándar que usamos.</t>
        </is>
      </c>
    </row>
    <row r="46">
      <c r="B46" t="inlineStr">
        <is>
          <t>Meta de ventas del producto principal</t>
        </is>
      </c>
      <c r="C46" s="21" t="n">
        <v>25</v>
      </c>
      <c r="G46" t="inlineStr">
        <is>
          <t>ventas de la oferta / lanzamiento</t>
        </is>
      </c>
      <c r="H46" s="5" t="inlineStr">
        <is>
          <t>Para calcular cuánto invertir.</t>
        </is>
      </c>
    </row>
    <row r="47">
      <c r="B47" t="inlineStr">
        <is>
          <t>Crecimiento de la inversión por mes (proyección)</t>
        </is>
      </c>
      <c r="C47" s="24" t="n">
        <v>0.1</v>
      </c>
      <c r="G47" t="inlineStr">
        <is>
          <t>% / mes</t>
        </is>
      </c>
      <c r="H47" s="5" t="inlineStr">
        <is>
          <t>Cuánto sube la inversión cada mes en la proyección. 10 % por mes es un ritmo prudente; más de 25 % suele encarecer el CPM.</t>
        </is>
      </c>
    </row>
    <row r="48">
      <c r="B48" t="inlineStr">
        <is>
          <t>Caja inicial</t>
        </is>
      </c>
      <c r="C48" s="22" t="n">
        <v>4000</v>
      </c>
      <c r="G48" t="inlineStr">
        <is>
          <t>USD</t>
        </is>
      </c>
      <c r="H48"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D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entradas</t>
        </is>
      </c>
      <c r="C6" s="8" t="n"/>
      <c r="D6" s="8" t="n"/>
    </row>
    <row r="7">
      <c r="B7" t="inlineStr">
        <is>
          <t>Visitas a la página de ventas</t>
        </is>
      </c>
      <c r="C7" s="17">
        <f>IF('Supuestos'!$C$10=0,0,'Supuestos'!$C$8/'Supuestos'!$C$10)</f>
        <v/>
      </c>
      <c r="D7" s="5" t="inlineStr">
        <is>
          <t>Inversión ÷ costo por visita.</t>
        </is>
      </c>
    </row>
    <row r="8">
      <c r="B8" s="4" t="inlineStr">
        <is>
          <t>Costo por entrada vendida</t>
        </is>
      </c>
      <c r="C8" s="13">
        <f>IF('Supuestos'!$C$13=0,0,'Supuestos'!$C$10/'Supuestos'!$C$13)</f>
        <v/>
      </c>
      <c r="D8" s="5" t="inlineStr">
        <is>
          <t>Costo por visita ÷ % que compra la entrada.</t>
        </is>
      </c>
    </row>
    <row r="9">
      <c r="B9" s="4" t="inlineStr">
        <is>
          <t>Entradas vendidas</t>
        </is>
      </c>
      <c r="C9" s="11">
        <f>IF('Modelo'!$C$8=0,0,'Supuestos'!$C$8/'Modelo'!$C$8)</f>
        <v/>
      </c>
      <c r="D9" s="5" t="inlineStr">
        <is>
          <t>Inversión ÷ costo por entrada.</t>
        </is>
      </c>
    </row>
    <row r="10">
      <c r="B10" t="inlineStr">
        <is>
          <t>Facturado: entradas</t>
        </is>
      </c>
      <c r="C10" s="26">
        <f>'Modelo'!$C$9*'Supuestos'!$C$14</f>
        <v/>
      </c>
      <c r="D10" s="5" t="inlineStr">
        <is>
          <t>Entradas × precio promedio.</t>
        </is>
      </c>
    </row>
    <row r="11">
      <c r="B11" t="inlineStr">
        <is>
          <t>Ventas: bump de la entrada</t>
        </is>
      </c>
      <c r="C11" s="27">
        <f>'Modelo'!$C$9*'Supuestos'!$C$16</f>
        <v/>
      </c>
      <c r="D11" s="5" t="inlineStr">
        <is>
          <t>Entradas × % que lo toma.</t>
        </is>
      </c>
    </row>
    <row r="12">
      <c r="B12" t="inlineStr">
        <is>
          <t>Facturado: bump de la entrada</t>
        </is>
      </c>
      <c r="C12" s="26">
        <f>'Modelo'!$C$11*'Supuestos'!$C$15</f>
        <v/>
      </c>
      <c r="D12" s="5" t="inlineStr">
        <is>
          <t>Ventas × precio.</t>
        </is>
      </c>
    </row>
    <row r="13">
      <c r="B13" s="4" t="inlineStr">
        <is>
          <t>Facturado del front (entradas + bump)</t>
        </is>
      </c>
      <c r="C13" s="9">
        <f>'Modelo'!$C$10+'Modelo'!$C$12</f>
        <v/>
      </c>
      <c r="D13" s="5" t="inlineStr">
        <is>
          <t>Lo que entra antes del evento.</t>
        </is>
      </c>
    </row>
    <row r="14">
      <c r="B14" s="4" t="inlineStr">
        <is>
          <t>ROAS del front (qué parte de la pauta recupera la entrada)</t>
        </is>
      </c>
      <c r="C14" s="10">
        <f>IF('Supuestos'!$C$8=0,0,'Modelo'!$C$13/'Supuestos'!$C$8)</f>
        <v/>
      </c>
      <c r="D14" s="5" t="inlineStr">
        <is>
          <t>Facturado del front ÷ inversión. Cerca de 1 = el evento se paga solo.</t>
        </is>
      </c>
    </row>
    <row r="15">
      <c r="B15" s="7" t="inlineStr">
        <is>
          <t>Grupo y asistencia</t>
        </is>
      </c>
      <c r="C15" s="8" t="n"/>
      <c r="D15" s="8" t="n"/>
    </row>
    <row r="16">
      <c r="B16" t="inlineStr">
        <is>
          <t>Personas en el grupo</t>
        </is>
      </c>
      <c r="C16" s="17">
        <f>'Modelo'!$C$9*'Supuestos'!$C$19</f>
        <v/>
      </c>
      <c r="D16" s="5" t="inlineStr">
        <is>
          <t>Entradas × % que entra.</t>
        </is>
      </c>
    </row>
    <row r="17">
      <c r="B17" s="4" t="inlineStr">
        <is>
          <t>Costo por persona en el grupo</t>
        </is>
      </c>
      <c r="C17" s="13">
        <f>IF('Modelo'!$C$16=0,0,'Supuestos'!$C$8/'Modelo'!$C$16)</f>
        <v/>
      </c>
      <c r="D17" s="5" t="inlineStr">
        <is>
          <t>Inversión ÷ personas en el grupo.</t>
        </is>
      </c>
    </row>
    <row r="18">
      <c r="B18" s="4" t="inlineStr">
        <is>
          <t>Asistentes en vivo</t>
        </is>
      </c>
      <c r="C18" s="11">
        <f>'Modelo'!$C$9*'Supuestos'!$C$20</f>
        <v/>
      </c>
      <c r="D18" s="5" t="inlineStr">
        <is>
          <t>Entradas × asistencia en vivo.</t>
        </is>
      </c>
    </row>
    <row r="19">
      <c r="B19" t="inlineStr">
        <is>
          <t>Vieron el replay</t>
        </is>
      </c>
      <c r="C19" s="17">
        <f>'Modelo'!$C$9*'Supuestos'!$C$21</f>
        <v/>
      </c>
      <c r="D19" s="5" t="inlineStr">
        <is>
          <t>Entradas × % que ve el replay.</t>
        </is>
      </c>
    </row>
    <row r="20">
      <c r="B20" t="inlineStr">
        <is>
          <t>Costo por asistente en vivo</t>
        </is>
      </c>
      <c r="C20" s="20">
        <f>IF('Modelo'!$C$18=0,0,'Supuestos'!$C$8/'Modelo'!$C$18)</f>
        <v/>
      </c>
      <c r="D20" s="5" t="inlineStr">
        <is>
          <t>Inversión ÷ asistentes.</t>
        </is>
      </c>
    </row>
    <row r="21">
      <c r="B21" s="7" t="inlineStr">
        <is>
          <t>Solicitudes (formulario de compra, aplicación o vendedor), oferta, programa y facturación</t>
        </is>
      </c>
      <c r="C21" s="8" t="n"/>
      <c r="D21" s="8" t="n"/>
    </row>
    <row r="22">
      <c r="B22" t="inlineStr">
        <is>
          <t>Solicitudes: en vivo</t>
        </is>
      </c>
      <c r="C22" s="27">
        <f>'Modelo'!$C$18*'Supuestos'!$C$25</f>
        <v/>
      </c>
      <c r="D22" s="5" t="inlineStr">
        <is>
          <t>Asistentes en vivo × % que solicita.</t>
        </is>
      </c>
    </row>
    <row r="23">
      <c r="B23" t="inlineStr">
        <is>
          <t>Solicitudes: replay</t>
        </is>
      </c>
      <c r="C23" s="27">
        <f>'Modelo'!$C$19*'Supuestos'!$C$26</f>
        <v/>
      </c>
      <c r="D23" s="5" t="inlineStr">
        <is>
          <t>Replay × % que solicita.</t>
        </is>
      </c>
    </row>
    <row r="24">
      <c r="B24" s="4" t="inlineStr">
        <is>
          <t>Solicitudes (total)</t>
        </is>
      </c>
      <c r="C24" s="12">
        <f>'Modelo'!$C$22+'Modelo'!$C$23</f>
        <v/>
      </c>
      <c r="D24" s="5" t="inlineStr">
        <is>
          <t>En vivo + replay.</t>
        </is>
      </c>
    </row>
    <row r="25">
      <c r="B25" t="inlineStr">
        <is>
          <t>% de compradores de entrada que solicitan</t>
        </is>
      </c>
      <c r="C25" s="19">
        <f>IF('Modelo'!$C$9=0,0,'Modelo'!$C$24/'Modelo'!$C$9)</f>
        <v/>
      </c>
      <c r="D25" s="5" t="inlineStr">
        <is>
          <t>Solicitudes ÷ entradas.</t>
        </is>
      </c>
    </row>
    <row r="26">
      <c r="B26" s="4" t="inlineStr">
        <is>
          <t>Costo por solicitud</t>
        </is>
      </c>
      <c r="C26" s="13">
        <f>IF('Modelo'!$C$24=0,0,'Supuestos'!$C$8/'Modelo'!$C$24)</f>
        <v/>
      </c>
      <c r="D26" s="5" t="inlineStr">
        <is>
          <t>Inversión ÷ solicitudes.</t>
        </is>
      </c>
    </row>
    <row r="27">
      <c r="B27" s="4" t="inlineStr">
        <is>
          <t>Ventas de la oferta</t>
        </is>
      </c>
      <c r="C27" s="12">
        <f>'Modelo'!$C$24*'Supuestos'!$C$27</f>
        <v/>
      </c>
      <c r="D27" s="5" t="inlineStr">
        <is>
          <t>Solicitudes × % que termina en compra.</t>
        </is>
      </c>
    </row>
    <row r="28">
      <c r="B28" t="inlineStr">
        <is>
          <t>% de compradores de entrada que compran la oferta</t>
        </is>
      </c>
      <c r="C28" s="19">
        <f>IF('Modelo'!$C$9=0,0,'Modelo'!$C$27/'Modelo'!$C$9)</f>
        <v/>
      </c>
      <c r="D28" s="5" t="inlineStr">
        <is>
          <t>Ventas ÷ entradas.</t>
        </is>
      </c>
    </row>
    <row r="29">
      <c r="B29" s="4" t="inlineStr">
        <is>
          <t>Costo por comprador de la oferta</t>
        </is>
      </c>
      <c r="C29" s="13">
        <f>IF('Modelo'!$C$27=0,0,'Supuestos'!$C$8/'Modelo'!$C$27)</f>
        <v/>
      </c>
      <c r="D29" s="5" t="inlineStr">
        <is>
          <t>Inversión ÷ ventas de la oferta.</t>
        </is>
      </c>
    </row>
    <row r="30">
      <c r="B30" t="inlineStr">
        <is>
          <t>Facturado: oferta</t>
        </is>
      </c>
      <c r="C30" s="26">
        <f>'Modelo'!$C$27*'Supuestos'!$C$24</f>
        <v/>
      </c>
      <c r="D30" s="5" t="inlineStr">
        <is>
          <t>Ventas × precio.</t>
        </is>
      </c>
    </row>
    <row r="31">
      <c r="B31" t="inlineStr">
        <is>
          <t>Ventas: programa superior</t>
        </is>
      </c>
      <c r="C31" s="27">
        <f>'Modelo'!$C$27*'Supuestos'!$C$29</f>
        <v/>
      </c>
      <c r="D31" s="5" t="inlineStr">
        <is>
          <t>Compradores de la oferta × % que asciende.</t>
        </is>
      </c>
    </row>
    <row r="32">
      <c r="B32" t="inlineStr">
        <is>
          <t>Facturado: programa superior</t>
        </is>
      </c>
      <c r="C32" s="26">
        <f>'Modelo'!$C$31*'Supuestos'!$C$28</f>
        <v/>
      </c>
      <c r="D32" s="5" t="inlineStr">
        <is>
          <t>Ventas × precio.</t>
        </is>
      </c>
    </row>
    <row r="33">
      <c r="B33" s="4" t="inlineStr">
        <is>
          <t>Facturado total</t>
        </is>
      </c>
      <c r="C33" s="9">
        <f>'Modelo'!$C$13+'Modelo'!$C$30+'Modelo'!$C$32</f>
        <v/>
      </c>
      <c r="D33" s="5" t="inlineStr">
        <is>
          <t>Front + oferta + programa.</t>
        </is>
      </c>
    </row>
    <row r="34">
      <c r="B34" t="inlineStr">
        <is>
          <t>Facturado por comprador de la oferta</t>
        </is>
      </c>
      <c r="C34" s="20">
        <f>IF('Modelo'!$C$27=0,0,'Modelo'!$C$33/'Modelo'!$C$27)</f>
        <v/>
      </c>
      <c r="D34" s="5" t="inlineStr">
        <is>
          <t>Facturado total ÷ ventas de la oferta.</t>
        </is>
      </c>
    </row>
    <row r="35">
      <c r="B35" t="inlineStr">
        <is>
          <t>Ventas de la oferta por entrada (para la proyección)</t>
        </is>
      </c>
      <c r="C35" s="19">
        <f>IF('Modelo'!$C$9=0,0,'Modelo'!$C$27/'Modelo'!$C$9)</f>
        <v/>
      </c>
      <c r="D35" s="5" t="inlineStr">
        <is>
          <t>Igual a '% que compra la oferta'.</t>
        </is>
      </c>
    </row>
    <row r="36">
      <c r="B36" t="inlineStr">
        <is>
          <t>Facturado por entrada</t>
        </is>
      </c>
      <c r="C36" s="20">
        <f>IF('Modelo'!$C$9=0,0,'Modelo'!$C$33/'Modelo'!$C$9)</f>
        <v/>
      </c>
      <c r="D36" s="5" t="inlineStr">
        <is>
          <t>Facturado total ÷ entradas.</t>
        </is>
      </c>
    </row>
    <row r="37">
      <c r="B37" s="7" t="inlineStr">
        <is>
          <t>Cash, costos y ganancia del período</t>
        </is>
      </c>
      <c r="C37" s="8" t="n"/>
      <c r="D37" s="8" t="n"/>
    </row>
    <row r="38">
      <c r="B38" t="inlineStr">
        <is>
          <t>Cash a cobrar (facturado × cobranza completa)</t>
        </is>
      </c>
      <c r="C38" s="26">
        <f>'Modelo'!$C$33*('Supuestos'!$C$39+'Supuestos'!$C$40+'Supuestos'!$C$41)</f>
        <v/>
      </c>
      <c r="D38" s="5" t="inlineStr">
        <is>
          <t>Facturado × (mes 1 + mes 2 + mes 3). Si la cobranza suma 100 %, es igual al facturado.</t>
        </is>
      </c>
    </row>
    <row r="39">
      <c r="B39" t="inlineStr">
        <is>
          <t>Cash que entra en el primer mes</t>
        </is>
      </c>
      <c r="C39" s="26">
        <f>'Modelo'!$C$33*'Supuestos'!$C$39</f>
        <v/>
      </c>
      <c r="D39" s="5" t="inlineStr">
        <is>
          <t>Facturado × % del mes 1.</t>
        </is>
      </c>
    </row>
    <row r="40">
      <c r="B40" t="inlineStr">
        <is>
          <t>Comisiones (pasarela + ventas)</t>
        </is>
      </c>
      <c r="C40" s="26">
        <f>'Modelo'!$C$38*('Supuestos'!$C$32+'Supuestos'!$C$33)</f>
        <v/>
      </c>
      <c r="D40" s="5" t="inlineStr">
        <is>
          <t>Cash × (pasarela + equipo de ventas).</t>
        </is>
      </c>
    </row>
    <row r="41">
      <c r="B41" t="inlineStr">
        <is>
          <t>Reembolsos</t>
        </is>
      </c>
      <c r="C41" s="26">
        <f>'Modelo'!$C$38*'Supuestos'!$C$34</f>
        <v/>
      </c>
      <c r="D41" s="5" t="inlineStr">
        <is>
          <t>Cash × % de reembolsos.</t>
        </is>
      </c>
    </row>
    <row r="42">
      <c r="B42" s="4" t="inlineStr">
        <is>
          <t>Cash neto</t>
        </is>
      </c>
      <c r="C42" s="9">
        <f>'Modelo'!$C$38*(1-'Supuestos'!$C$32-'Supuestos'!$C$33-'Supuestos'!$C$34)</f>
        <v/>
      </c>
      <c r="D42" s="5" t="inlineStr">
        <is>
          <t>Cash − comisiones − reembolsos. La base de verdad.</t>
        </is>
      </c>
    </row>
    <row r="43">
      <c r="B43" t="inlineStr">
        <is>
          <t>Costos por entrada (herramientas, WhatsApp, IA)</t>
        </is>
      </c>
      <c r="C43" s="26">
        <f>'Modelo'!$C$9*'Supuestos'!$C$35</f>
        <v/>
      </c>
      <c r="D43" s="5" t="inlineStr">
        <is>
          <t>Entradas × costo por entrada.</t>
        </is>
      </c>
    </row>
    <row r="44">
      <c r="B44" s="4" t="inlineStr">
        <is>
          <t>Ganancia del período</t>
        </is>
      </c>
      <c r="C44" s="9">
        <f>'Modelo'!$C$42-'Modelo'!$C$43-'Supuestos'!$C$36-'Supuestos'!$C$8</f>
        <v/>
      </c>
      <c r="D44" s="5" t="inlineStr">
        <is>
          <t>Cash neto − costos por unidad − fijos − inversión.</t>
        </is>
      </c>
    </row>
    <row r="45">
      <c r="B45" t="inlineStr">
        <is>
          <t>ROAS sobre facturado</t>
        </is>
      </c>
      <c r="C45" s="28">
        <f>IF('Supuestos'!$C$8=0,0,'Modelo'!$C$33/'Supuestos'!$C$8)</f>
        <v/>
      </c>
      <c r="D45" s="5" t="inlineStr">
        <is>
          <t>Facturado ÷ inversión. El número que más se infla: no decidas con este.</t>
        </is>
      </c>
    </row>
    <row r="46">
      <c r="B46" s="4" t="inlineStr">
        <is>
          <t>ROAS sobre cash neto</t>
        </is>
      </c>
      <c r="C46" s="10">
        <f>IF('Supuestos'!$C$8=0,0,'Modelo'!$C$42/'Supuestos'!$C$8)</f>
        <v/>
      </c>
      <c r="D46" s="5" t="inlineStr">
        <is>
          <t>Cash neto ÷ inversión. Con este se decide.</t>
        </is>
      </c>
    </row>
    <row r="47">
      <c r="B47" t="inlineStr">
        <is>
          <t>Margen sobre cash</t>
        </is>
      </c>
      <c r="C47" s="18">
        <f>IF('Modelo'!$C$38=0,0,'Modelo'!$C$44/'Modelo'!$C$38)</f>
        <v/>
      </c>
      <c r="D47" s="5" t="inlineStr">
        <is>
          <t>Ganancia ÷ cash.</t>
        </is>
      </c>
    </row>
    <row r="48">
      <c r="B48" t="inlineStr">
        <is>
          <t>¿Cumple el ROAS objetivo?</t>
        </is>
      </c>
      <c r="C48" s="29">
        <f>IF('Modelo'!$C$46&gt;='Supuestos'!$C$44,"SÍ","NO")</f>
        <v/>
      </c>
      <c r="D48" s="5" t="inlineStr">
        <is>
          <t>ROAS sobre cash neto contra el objetivo de Supuestos.</t>
        </is>
      </c>
    </row>
    <row r="49">
      <c r="B49" s="7" t="inlineStr">
        <is>
          <t>Cuánto vale cada entrada y hasta cuánto pagar</t>
        </is>
      </c>
      <c r="C49" s="8" t="n"/>
      <c r="D49" s="8" t="n"/>
    </row>
    <row r="50">
      <c r="B50" s="4" t="inlineStr">
        <is>
          <t>Valor neto por entrada</t>
        </is>
      </c>
      <c r="C50" s="13">
        <f>IF('Modelo'!$C$9=0,0,('Modelo'!$C$42-'Modelo'!$C$43)/'Modelo'!$C$9)</f>
        <v/>
      </c>
      <c r="D50" s="5" t="inlineStr">
        <is>
          <t>(Cash neto − costos por entrada) ÷ entradas.</t>
        </is>
      </c>
    </row>
    <row r="51">
      <c r="B51" s="4" t="inlineStr">
        <is>
          <t>Techo de costo por entrada (break-even)</t>
        </is>
      </c>
      <c r="C51" s="13">
        <f>'Modelo'!$C$50</f>
        <v/>
      </c>
      <c r="D51" s="5" t="inlineStr">
        <is>
          <t>Igual al valor neto por entrada.</t>
        </is>
      </c>
    </row>
    <row r="52">
      <c r="B52" s="4" t="inlineStr">
        <is>
          <t>Objetivo de costo por entrada</t>
        </is>
      </c>
      <c r="C52" s="13">
        <f>'Modelo'!$C$51/(1+'Supuestos'!$C$45)</f>
        <v/>
      </c>
      <c r="D52" s="5" t="inlineStr">
        <is>
          <t>Techo ÷ (1 + margen de seguridad).</t>
        </is>
      </c>
    </row>
    <row r="53">
      <c r="B53" t="inlineStr">
        <is>
          <t>Techo de costo por visita a la página</t>
        </is>
      </c>
      <c r="C53" s="20">
        <f>'Modelo'!$C$50*'Supuestos'!$C$13</f>
        <v/>
      </c>
      <c r="D53" s="5" t="inlineStr">
        <is>
          <t>Valor por entrada × % que compra la entrada.</t>
        </is>
      </c>
    </row>
    <row r="54">
      <c r="B54" t="inlineStr">
        <is>
          <t>Techo de costo por asistente en vivo</t>
        </is>
      </c>
      <c r="C54" s="20">
        <f>IF('Supuestos'!$C$20=0,0,'Modelo'!$C$50/'Supuestos'!$C$20)</f>
        <v/>
      </c>
      <c r="D54" s="5" t="inlineStr">
        <is>
          <t>Valor por entrada ÷ asistencia.</t>
        </is>
      </c>
    </row>
    <row r="55">
      <c r="B55" s="4" t="inlineStr">
        <is>
          <t>Techo de costo por solicitud</t>
        </is>
      </c>
      <c r="C55" s="13">
        <f>IF('Modelo'!$C$24=0,0,'Modelo'!$C$50*'Modelo'!$C$9/'Modelo'!$C$24)</f>
        <v/>
      </c>
      <c r="D55" s="5" t="inlineStr">
        <is>
          <t>Valor total ÷ solicitudes.</t>
        </is>
      </c>
    </row>
    <row r="56">
      <c r="B56" t="inlineStr">
        <is>
          <t>Techo de costo por comprador de la oferta</t>
        </is>
      </c>
      <c r="C56" s="20">
        <f>IF('Modelo'!$C$28=0,0,'Modelo'!$C$50/'Modelo'!$C$28)</f>
        <v/>
      </c>
      <c r="D56" s="5" t="inlineStr">
        <is>
          <t>Valor por entrada ÷ % que compra la oferta.</t>
        </is>
      </c>
    </row>
    <row r="57">
      <c r="B57" t="inlineStr">
        <is>
          <t>Objetivo de costo por comprador de la oferta</t>
        </is>
      </c>
      <c r="C57" s="20">
        <f>'Modelo'!$C$56/(1+'Supuestos'!$C$45)</f>
        <v/>
      </c>
      <c r="D57" s="5" t="inlineStr">
        <is>
          <t>Techo ÷ (1 + margen de seguridad).</t>
        </is>
      </c>
    </row>
    <row r="58">
      <c r="B58" s="7" t="inlineStr">
        <is>
          <t>Semáforo y cuánto invertir</t>
        </is>
      </c>
      <c r="C58" s="8" t="n"/>
      <c r="D58" s="8" t="n"/>
    </row>
    <row r="59">
      <c r="B59" s="4" t="inlineStr">
        <is>
          <t>Semáforo del costo por entrada actual</t>
        </is>
      </c>
      <c r="C59" s="14">
        <f>IF('Modelo'!$C$8&gt;'Modelo'!$C$51,"ROJO",IF(AND('Modelo'!$C$8&lt;='Modelo'!$C$52,'Modelo'!$C$46&gt;='Supuestos'!$C$44),"VERDE","AMARILLO"))</f>
        <v/>
      </c>
      <c r="D59" s="5" t="inlineStr">
        <is>
          <t>Rojo: costo &gt; techo. Verde: costo ≤ objetivo y ROAS sobre cash neto ≥ objetivo. Amarillo: el resto.</t>
        </is>
      </c>
    </row>
    <row r="60">
      <c r="B60" s="4" t="inlineStr">
        <is>
          <t>Inversión necesaria para la meta de ventas de la oferta (al costo actual)</t>
        </is>
      </c>
      <c r="C60" s="9">
        <f>IF('Modelo'!$C$28=0,"inalcanzable con estos supuestos",'Supuestos'!$C$46/'Modelo'!$C$28*'Modelo'!$C$8)</f>
        <v/>
      </c>
      <c r="D60" s="5" t="inlineStr">
        <is>
          <t>Meta ÷ % que compra la oferta × costo por entrada.</t>
        </is>
      </c>
    </row>
    <row r="61">
      <c r="B61" t="inlineStr">
        <is>
          <t>Inversión para la meta al costo objetivo (lo máximo que conviene pagar)</t>
        </is>
      </c>
      <c r="C61" s="26">
        <f>IF('Modelo'!$C$28=0,"inalcanzable con estos supuestos",'Supuestos'!$C$46/'Modelo'!$C$28*'Modelo'!$C$52)</f>
        <v/>
      </c>
      <c r="D61" s="5" t="inlineStr">
        <is>
          <t>Lo mismo, al costo objetivo.</t>
        </is>
      </c>
    </row>
    <row r="62">
      <c r="B62" s="7" t="inlineStr">
        <is>
          <t>Ganancia por paso (las dos caras de cada número: costo por X y ganancia por X)</t>
        </is>
      </c>
      <c r="C62" s="8" t="n"/>
      <c r="D62" s="8" t="n"/>
    </row>
    <row r="63">
      <c r="B63" s="4" t="inlineStr">
        <is>
          <t>Cash neto por comprador (AOV neto)</t>
        </is>
      </c>
      <c r="C63" s="13">
        <f>IF('Modelo'!$C$27=0,0,('Modelo'!$C$42-'Modelo'!$C$43)/'Modelo'!$C$27)</f>
        <v/>
      </c>
      <c r="D63" s="5" t="inlineStr">
        <is>
          <t>Lo que deja cada comprador del principal después de comisiones, reembolsos y costos por unidad. Su par es el CPA.</t>
        </is>
      </c>
    </row>
    <row r="64">
      <c r="B64" s="4" t="inlineStr">
        <is>
          <t>Ganancia por visita</t>
        </is>
      </c>
      <c r="C64" s="13">
        <f>IF('Modelo'!$C$7=0,0,'Modelo'!$C$44/'Modelo'!$C$7)</f>
        <v/>
      </c>
      <c r="D64" s="5" t="inlineStr">
        <is>
          <t>Ganancia del período ÷ visitas a la página de ventas. La métrica más valiosa: resume todo lo que pasa después. Su par es el costo por visita.</t>
        </is>
      </c>
    </row>
    <row r="65">
      <c r="B65" s="4" t="inlineStr">
        <is>
          <t>Ganancia por entrada</t>
        </is>
      </c>
      <c r="C65" s="13">
        <f>IF('Modelo'!$C$9=0,0,'Modelo'!$C$44/'Modelo'!$C$9)</f>
        <v/>
      </c>
      <c r="D65" s="5" t="inlineStr">
        <is>
          <t>Ganancia del período ÷ entradas. Su par es el costo por entrada.</t>
        </is>
      </c>
    </row>
    <row r="66">
      <c r="B66" t="inlineStr">
        <is>
          <t>Ganancia por asistente en vivo</t>
        </is>
      </c>
      <c r="C66" s="20">
        <f>IF('Modelo'!$C$18=0,0,'Modelo'!$C$44/'Modelo'!$C$18)</f>
        <v/>
      </c>
      <c r="D66" s="5" t="inlineStr">
        <is>
          <t>Ganancia del período ÷ asistente en vivos. Su par es el costo por asistente en vivo.</t>
        </is>
      </c>
    </row>
    <row r="67">
      <c r="B67" t="inlineStr">
        <is>
          <t>Ganancia por solicitud</t>
        </is>
      </c>
      <c r="C67" s="20">
        <f>IF('Modelo'!$C$24=0,0,'Modelo'!$C$44/'Modelo'!$C$24)</f>
        <v/>
      </c>
      <c r="D67" s="5" t="inlineStr">
        <is>
          <t>Ganancia del período ÷ solicituds. Su par es el costo por solicitud.</t>
        </is>
      </c>
    </row>
    <row r="68">
      <c r="B68" s="4" t="inlineStr">
        <is>
          <t>Ganancia por cliente</t>
        </is>
      </c>
      <c r="C68" s="13">
        <f>IF('Modelo'!$C$27=0,0,'Modelo'!$C$44/'Modelo'!$C$27)</f>
        <v/>
      </c>
      <c r="D68" s="5" t="inlineStr">
        <is>
          <t>Ganancia del período ÷ compradores de la oferta. Su par es el costo por comprador.</t>
        </is>
      </c>
    </row>
  </sheetData>
  <conditionalFormatting sqref="C5:C6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G56"/>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6">
        <f>'Supuestos'!$C$8*'Supuestos'!$C$45</f>
        <v/>
      </c>
    </row>
    <row r="7">
      <c r="B7" s="4" t="inlineStr">
        <is>
          <t>Precio de la oferta × % de solicitudes que terminan en compra → ganancia del lanzamiento</t>
        </is>
      </c>
    </row>
    <row r="8">
      <c r="B8" s="3" t="inlineStr">
        <is>
          <t>A más precio, menos cierre: la tabla muestra qué combinación gana.</t>
        </is>
      </c>
    </row>
    <row r="9">
      <c r="B9" s="4" t="inlineStr">
        <is>
          <t>Precio ↓  /  % solicitud → compra →</t>
        </is>
      </c>
      <c r="C9" s="30" t="n">
        <v>0.3</v>
      </c>
      <c r="D9" s="30" t="n">
        <v>0.4</v>
      </c>
      <c r="E9" s="30" t="n">
        <v>0.5</v>
      </c>
      <c r="F9" s="30" t="n">
        <v>0.6</v>
      </c>
      <c r="G9" s="30" t="n">
        <v>0.7</v>
      </c>
    </row>
    <row r="10">
      <c r="B10" s="31" t="n">
        <v>197</v>
      </c>
      <c r="C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10)+(((((((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10)+(((((((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10)+(((((((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10)+(((((((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10)+(((((((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1">
      <c r="B11" s="31" t="n">
        <v>297</v>
      </c>
      <c r="C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11)+(((((((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11)+(((((((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11)+(((((((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11)+(((((((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11)+(((((((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2">
      <c r="B12" s="31" t="n">
        <v>497</v>
      </c>
      <c r="C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12)+(((((((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12)+(((((((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12)+(((((((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12)+(((((((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12)+(((((((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3">
      <c r="B13" s="31" t="n">
        <v>997</v>
      </c>
      <c r="C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13)+(((((((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13)+(((((((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13)+(((((((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13)+(((((((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13)+(((((((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4">
      <c r="B14" s="31" t="n">
        <v>1997</v>
      </c>
      <c r="C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14)+(((((((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14)+(((((((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14)+(((((((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14)+(((((((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14)+(((((((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7">
      <c r="B17" s="4" t="inlineStr">
        <is>
          <t>Costo por entrada × % de asistentes en vivo que solicitan → ganancia del lanzamiento</t>
        </is>
      </c>
    </row>
    <row r="18">
      <c r="B18" s="3" t="inlineStr">
        <is>
          <t>Hasta cuánto pagar por cada entrada según lo que mueve el evento.</t>
        </is>
      </c>
    </row>
    <row r="19">
      <c r="B19" s="4" t="inlineStr">
        <is>
          <t>Costo por entrada ↓  /  % en vivo que solicita →</t>
        </is>
      </c>
      <c r="C19" s="30" t="n">
        <v>0.08</v>
      </c>
      <c r="D19" s="30" t="n">
        <v>0.12</v>
      </c>
      <c r="E19" s="30" t="n">
        <v>0.16</v>
      </c>
      <c r="F19" s="30" t="n">
        <v>0.2</v>
      </c>
      <c r="G19" s="30" t="n">
        <v>0.25</v>
      </c>
    </row>
    <row r="20">
      <c r="B20" s="32" t="n">
        <v>8</v>
      </c>
      <c r="C20" s="26">
        <f>(((((((IF($B20=0,0,'Supuestos'!$C$8/$B20))*'Supuestos'!$C$14)+(((IF($B20=0,0,'Supuestos'!$C$8/$B20))*'Supuestos'!$C$16)*'Supuestos'!$C$15))+((((((IF($B20=0,0,'Supuestos'!$C$8/$B20))*'Supuestos'!$C$20)*C$19)+(((IF($B20=0,0,'Supuestos'!$C$8/$B20))*'Supuestos'!$C$21)*'Supuestos'!$C$26))*'Supuestos'!$C$27)*'Supuestos'!$C$24)+(((((((IF($B20=0,0,'Supuestos'!$C$8/$B20))*'Supuestos'!$C$20)*C$19)+(((IF($B20=0,0,'Supuestos'!$C$8/$B20))*'Supuestos'!$C$21)*'Supuestos'!$C$26))*'Supuestos'!$C$27)*'Supuestos'!$C$29)*'Supuestos'!$C$28))*('Supuestos'!$C$39+'Supuestos'!$C$40+'Supuestos'!$C$41))*(1-'Supuestos'!$C$32-'Supuestos'!$C$33-'Supuestos'!$C$34))-((IF($B20=0,0,'Supuestos'!$C$8/$B20))*'Supuestos'!$C$35)-'Supuestos'!$C$36-'Supuestos'!$C$8)</f>
        <v/>
      </c>
      <c r="D20" s="26">
        <f>(((((((IF($B20=0,0,'Supuestos'!$C$8/$B20))*'Supuestos'!$C$14)+(((IF($B20=0,0,'Supuestos'!$C$8/$B20))*'Supuestos'!$C$16)*'Supuestos'!$C$15))+((((((IF($B20=0,0,'Supuestos'!$C$8/$B20))*'Supuestos'!$C$20)*D$19)+(((IF($B20=0,0,'Supuestos'!$C$8/$B20))*'Supuestos'!$C$21)*'Supuestos'!$C$26))*'Supuestos'!$C$27)*'Supuestos'!$C$24)+(((((((IF($B20=0,0,'Supuestos'!$C$8/$B20))*'Supuestos'!$C$20)*D$19)+(((IF($B20=0,0,'Supuestos'!$C$8/$B20))*'Supuestos'!$C$21)*'Supuestos'!$C$26))*'Supuestos'!$C$27)*'Supuestos'!$C$29)*'Supuestos'!$C$28))*('Supuestos'!$C$39+'Supuestos'!$C$40+'Supuestos'!$C$41))*(1-'Supuestos'!$C$32-'Supuestos'!$C$33-'Supuestos'!$C$34))-((IF($B20=0,0,'Supuestos'!$C$8/$B20))*'Supuestos'!$C$35)-'Supuestos'!$C$36-'Supuestos'!$C$8)</f>
        <v/>
      </c>
      <c r="E20" s="26">
        <f>(((((((IF($B20=0,0,'Supuestos'!$C$8/$B20))*'Supuestos'!$C$14)+(((IF($B20=0,0,'Supuestos'!$C$8/$B20))*'Supuestos'!$C$16)*'Supuestos'!$C$15))+((((((IF($B20=0,0,'Supuestos'!$C$8/$B20))*'Supuestos'!$C$20)*E$19)+(((IF($B20=0,0,'Supuestos'!$C$8/$B20))*'Supuestos'!$C$21)*'Supuestos'!$C$26))*'Supuestos'!$C$27)*'Supuestos'!$C$24)+(((((((IF($B20=0,0,'Supuestos'!$C$8/$B20))*'Supuestos'!$C$20)*E$19)+(((IF($B20=0,0,'Supuestos'!$C$8/$B20))*'Supuestos'!$C$21)*'Supuestos'!$C$26))*'Supuestos'!$C$27)*'Supuestos'!$C$29)*'Supuestos'!$C$28))*('Supuestos'!$C$39+'Supuestos'!$C$40+'Supuestos'!$C$41))*(1-'Supuestos'!$C$32-'Supuestos'!$C$33-'Supuestos'!$C$34))-((IF($B20=0,0,'Supuestos'!$C$8/$B20))*'Supuestos'!$C$35)-'Supuestos'!$C$36-'Supuestos'!$C$8)</f>
        <v/>
      </c>
      <c r="F20" s="26">
        <f>(((((((IF($B20=0,0,'Supuestos'!$C$8/$B20))*'Supuestos'!$C$14)+(((IF($B20=0,0,'Supuestos'!$C$8/$B20))*'Supuestos'!$C$16)*'Supuestos'!$C$15))+((((((IF($B20=0,0,'Supuestos'!$C$8/$B20))*'Supuestos'!$C$20)*F$19)+(((IF($B20=0,0,'Supuestos'!$C$8/$B20))*'Supuestos'!$C$21)*'Supuestos'!$C$26))*'Supuestos'!$C$27)*'Supuestos'!$C$24)+(((((((IF($B20=0,0,'Supuestos'!$C$8/$B20))*'Supuestos'!$C$20)*F$19)+(((IF($B20=0,0,'Supuestos'!$C$8/$B20))*'Supuestos'!$C$21)*'Supuestos'!$C$26))*'Supuestos'!$C$27)*'Supuestos'!$C$29)*'Supuestos'!$C$28))*('Supuestos'!$C$39+'Supuestos'!$C$40+'Supuestos'!$C$41))*(1-'Supuestos'!$C$32-'Supuestos'!$C$33-'Supuestos'!$C$34))-((IF($B20=0,0,'Supuestos'!$C$8/$B20))*'Supuestos'!$C$35)-'Supuestos'!$C$36-'Supuestos'!$C$8)</f>
        <v/>
      </c>
      <c r="G20" s="26">
        <f>(((((((IF($B20=0,0,'Supuestos'!$C$8/$B20))*'Supuestos'!$C$14)+(((IF($B20=0,0,'Supuestos'!$C$8/$B20))*'Supuestos'!$C$16)*'Supuestos'!$C$15))+((((((IF($B20=0,0,'Supuestos'!$C$8/$B20))*'Supuestos'!$C$20)*G$19)+(((IF($B20=0,0,'Supuestos'!$C$8/$B20))*'Supuestos'!$C$21)*'Supuestos'!$C$26))*'Supuestos'!$C$27)*'Supuestos'!$C$24)+(((((((IF($B20=0,0,'Supuestos'!$C$8/$B20))*'Supuestos'!$C$20)*G$19)+(((IF($B20=0,0,'Supuestos'!$C$8/$B20))*'Supuestos'!$C$21)*'Supuestos'!$C$26))*'Supuestos'!$C$27)*'Supuestos'!$C$29)*'Supuestos'!$C$28))*('Supuestos'!$C$39+'Supuestos'!$C$40+'Supuestos'!$C$41))*(1-'Supuestos'!$C$32-'Supuestos'!$C$33-'Supuestos'!$C$34))-((IF($B20=0,0,'Supuestos'!$C$8/$B20))*'Supuestos'!$C$35)-'Supuestos'!$C$36-'Supuestos'!$C$8)</f>
        <v/>
      </c>
    </row>
    <row r="21">
      <c r="B21" s="32" t="n">
        <v>12</v>
      </c>
      <c r="C21" s="26">
        <f>(((((((IF($B21=0,0,'Supuestos'!$C$8/$B21))*'Supuestos'!$C$14)+(((IF($B21=0,0,'Supuestos'!$C$8/$B21))*'Supuestos'!$C$16)*'Supuestos'!$C$15))+((((((IF($B21=0,0,'Supuestos'!$C$8/$B21))*'Supuestos'!$C$20)*C$19)+(((IF($B21=0,0,'Supuestos'!$C$8/$B21))*'Supuestos'!$C$21)*'Supuestos'!$C$26))*'Supuestos'!$C$27)*'Supuestos'!$C$24)+(((((((IF($B21=0,0,'Supuestos'!$C$8/$B21))*'Supuestos'!$C$20)*C$19)+(((IF($B21=0,0,'Supuestos'!$C$8/$B21))*'Supuestos'!$C$21)*'Supuestos'!$C$26))*'Supuestos'!$C$27)*'Supuestos'!$C$29)*'Supuestos'!$C$28))*('Supuestos'!$C$39+'Supuestos'!$C$40+'Supuestos'!$C$41))*(1-'Supuestos'!$C$32-'Supuestos'!$C$33-'Supuestos'!$C$34))-((IF($B21=0,0,'Supuestos'!$C$8/$B21))*'Supuestos'!$C$35)-'Supuestos'!$C$36-'Supuestos'!$C$8)</f>
        <v/>
      </c>
      <c r="D21" s="26">
        <f>(((((((IF($B21=0,0,'Supuestos'!$C$8/$B21))*'Supuestos'!$C$14)+(((IF($B21=0,0,'Supuestos'!$C$8/$B21))*'Supuestos'!$C$16)*'Supuestos'!$C$15))+((((((IF($B21=0,0,'Supuestos'!$C$8/$B21))*'Supuestos'!$C$20)*D$19)+(((IF($B21=0,0,'Supuestos'!$C$8/$B21))*'Supuestos'!$C$21)*'Supuestos'!$C$26))*'Supuestos'!$C$27)*'Supuestos'!$C$24)+(((((((IF($B21=0,0,'Supuestos'!$C$8/$B21))*'Supuestos'!$C$20)*D$19)+(((IF($B21=0,0,'Supuestos'!$C$8/$B21))*'Supuestos'!$C$21)*'Supuestos'!$C$26))*'Supuestos'!$C$27)*'Supuestos'!$C$29)*'Supuestos'!$C$28))*('Supuestos'!$C$39+'Supuestos'!$C$40+'Supuestos'!$C$41))*(1-'Supuestos'!$C$32-'Supuestos'!$C$33-'Supuestos'!$C$34))-((IF($B21=0,0,'Supuestos'!$C$8/$B21))*'Supuestos'!$C$35)-'Supuestos'!$C$36-'Supuestos'!$C$8)</f>
        <v/>
      </c>
      <c r="E21" s="26">
        <f>(((((((IF($B21=0,0,'Supuestos'!$C$8/$B21))*'Supuestos'!$C$14)+(((IF($B21=0,0,'Supuestos'!$C$8/$B21))*'Supuestos'!$C$16)*'Supuestos'!$C$15))+((((((IF($B21=0,0,'Supuestos'!$C$8/$B21))*'Supuestos'!$C$20)*E$19)+(((IF($B21=0,0,'Supuestos'!$C$8/$B21))*'Supuestos'!$C$21)*'Supuestos'!$C$26))*'Supuestos'!$C$27)*'Supuestos'!$C$24)+(((((((IF($B21=0,0,'Supuestos'!$C$8/$B21))*'Supuestos'!$C$20)*E$19)+(((IF($B21=0,0,'Supuestos'!$C$8/$B21))*'Supuestos'!$C$21)*'Supuestos'!$C$26))*'Supuestos'!$C$27)*'Supuestos'!$C$29)*'Supuestos'!$C$28))*('Supuestos'!$C$39+'Supuestos'!$C$40+'Supuestos'!$C$41))*(1-'Supuestos'!$C$32-'Supuestos'!$C$33-'Supuestos'!$C$34))-((IF($B21=0,0,'Supuestos'!$C$8/$B21))*'Supuestos'!$C$35)-'Supuestos'!$C$36-'Supuestos'!$C$8)</f>
        <v/>
      </c>
      <c r="F21" s="26">
        <f>(((((((IF($B21=0,0,'Supuestos'!$C$8/$B21))*'Supuestos'!$C$14)+(((IF($B21=0,0,'Supuestos'!$C$8/$B21))*'Supuestos'!$C$16)*'Supuestos'!$C$15))+((((((IF($B21=0,0,'Supuestos'!$C$8/$B21))*'Supuestos'!$C$20)*F$19)+(((IF($B21=0,0,'Supuestos'!$C$8/$B21))*'Supuestos'!$C$21)*'Supuestos'!$C$26))*'Supuestos'!$C$27)*'Supuestos'!$C$24)+(((((((IF($B21=0,0,'Supuestos'!$C$8/$B21))*'Supuestos'!$C$20)*F$19)+(((IF($B21=0,0,'Supuestos'!$C$8/$B21))*'Supuestos'!$C$21)*'Supuestos'!$C$26))*'Supuestos'!$C$27)*'Supuestos'!$C$29)*'Supuestos'!$C$28))*('Supuestos'!$C$39+'Supuestos'!$C$40+'Supuestos'!$C$41))*(1-'Supuestos'!$C$32-'Supuestos'!$C$33-'Supuestos'!$C$34))-((IF($B21=0,0,'Supuestos'!$C$8/$B21))*'Supuestos'!$C$35)-'Supuestos'!$C$36-'Supuestos'!$C$8)</f>
        <v/>
      </c>
      <c r="G21" s="26">
        <f>(((((((IF($B21=0,0,'Supuestos'!$C$8/$B21))*'Supuestos'!$C$14)+(((IF($B21=0,0,'Supuestos'!$C$8/$B21))*'Supuestos'!$C$16)*'Supuestos'!$C$15))+((((((IF($B21=0,0,'Supuestos'!$C$8/$B21))*'Supuestos'!$C$20)*G$19)+(((IF($B21=0,0,'Supuestos'!$C$8/$B21))*'Supuestos'!$C$21)*'Supuestos'!$C$26))*'Supuestos'!$C$27)*'Supuestos'!$C$24)+(((((((IF($B21=0,0,'Supuestos'!$C$8/$B21))*'Supuestos'!$C$20)*G$19)+(((IF($B21=0,0,'Supuestos'!$C$8/$B21))*'Supuestos'!$C$21)*'Supuestos'!$C$26))*'Supuestos'!$C$27)*'Supuestos'!$C$29)*'Supuestos'!$C$28))*('Supuestos'!$C$39+'Supuestos'!$C$40+'Supuestos'!$C$41))*(1-'Supuestos'!$C$32-'Supuestos'!$C$33-'Supuestos'!$C$34))-((IF($B21=0,0,'Supuestos'!$C$8/$B21))*'Supuestos'!$C$35)-'Supuestos'!$C$36-'Supuestos'!$C$8)</f>
        <v/>
      </c>
    </row>
    <row r="22">
      <c r="B22" s="32" t="n">
        <v>15</v>
      </c>
      <c r="C22" s="26">
        <f>(((((((IF($B22=0,0,'Supuestos'!$C$8/$B22))*'Supuestos'!$C$14)+(((IF($B22=0,0,'Supuestos'!$C$8/$B22))*'Supuestos'!$C$16)*'Supuestos'!$C$15))+((((((IF($B22=0,0,'Supuestos'!$C$8/$B22))*'Supuestos'!$C$20)*C$19)+(((IF($B22=0,0,'Supuestos'!$C$8/$B22))*'Supuestos'!$C$21)*'Supuestos'!$C$26))*'Supuestos'!$C$27)*'Supuestos'!$C$24)+(((((((IF($B22=0,0,'Supuestos'!$C$8/$B22))*'Supuestos'!$C$20)*C$19)+(((IF($B22=0,0,'Supuestos'!$C$8/$B22))*'Supuestos'!$C$21)*'Supuestos'!$C$26))*'Supuestos'!$C$27)*'Supuestos'!$C$29)*'Supuestos'!$C$28))*('Supuestos'!$C$39+'Supuestos'!$C$40+'Supuestos'!$C$41))*(1-'Supuestos'!$C$32-'Supuestos'!$C$33-'Supuestos'!$C$34))-((IF($B22=0,0,'Supuestos'!$C$8/$B22))*'Supuestos'!$C$35)-'Supuestos'!$C$36-'Supuestos'!$C$8)</f>
        <v/>
      </c>
      <c r="D22" s="26">
        <f>(((((((IF($B22=0,0,'Supuestos'!$C$8/$B22))*'Supuestos'!$C$14)+(((IF($B22=0,0,'Supuestos'!$C$8/$B22))*'Supuestos'!$C$16)*'Supuestos'!$C$15))+((((((IF($B22=0,0,'Supuestos'!$C$8/$B22))*'Supuestos'!$C$20)*D$19)+(((IF($B22=0,0,'Supuestos'!$C$8/$B22))*'Supuestos'!$C$21)*'Supuestos'!$C$26))*'Supuestos'!$C$27)*'Supuestos'!$C$24)+(((((((IF($B22=0,0,'Supuestos'!$C$8/$B22))*'Supuestos'!$C$20)*D$19)+(((IF($B22=0,0,'Supuestos'!$C$8/$B22))*'Supuestos'!$C$21)*'Supuestos'!$C$26))*'Supuestos'!$C$27)*'Supuestos'!$C$29)*'Supuestos'!$C$28))*('Supuestos'!$C$39+'Supuestos'!$C$40+'Supuestos'!$C$41))*(1-'Supuestos'!$C$32-'Supuestos'!$C$33-'Supuestos'!$C$34))-((IF($B22=0,0,'Supuestos'!$C$8/$B22))*'Supuestos'!$C$35)-'Supuestos'!$C$36-'Supuestos'!$C$8)</f>
        <v/>
      </c>
      <c r="E22" s="26">
        <f>(((((((IF($B22=0,0,'Supuestos'!$C$8/$B22))*'Supuestos'!$C$14)+(((IF($B22=0,0,'Supuestos'!$C$8/$B22))*'Supuestos'!$C$16)*'Supuestos'!$C$15))+((((((IF($B22=0,0,'Supuestos'!$C$8/$B22))*'Supuestos'!$C$20)*E$19)+(((IF($B22=0,0,'Supuestos'!$C$8/$B22))*'Supuestos'!$C$21)*'Supuestos'!$C$26))*'Supuestos'!$C$27)*'Supuestos'!$C$24)+(((((((IF($B22=0,0,'Supuestos'!$C$8/$B22))*'Supuestos'!$C$20)*E$19)+(((IF($B22=0,0,'Supuestos'!$C$8/$B22))*'Supuestos'!$C$21)*'Supuestos'!$C$26))*'Supuestos'!$C$27)*'Supuestos'!$C$29)*'Supuestos'!$C$28))*('Supuestos'!$C$39+'Supuestos'!$C$40+'Supuestos'!$C$41))*(1-'Supuestos'!$C$32-'Supuestos'!$C$33-'Supuestos'!$C$34))-((IF($B22=0,0,'Supuestos'!$C$8/$B22))*'Supuestos'!$C$35)-'Supuestos'!$C$36-'Supuestos'!$C$8)</f>
        <v/>
      </c>
      <c r="F22" s="26">
        <f>(((((((IF($B22=0,0,'Supuestos'!$C$8/$B22))*'Supuestos'!$C$14)+(((IF($B22=0,0,'Supuestos'!$C$8/$B22))*'Supuestos'!$C$16)*'Supuestos'!$C$15))+((((((IF($B22=0,0,'Supuestos'!$C$8/$B22))*'Supuestos'!$C$20)*F$19)+(((IF($B22=0,0,'Supuestos'!$C$8/$B22))*'Supuestos'!$C$21)*'Supuestos'!$C$26))*'Supuestos'!$C$27)*'Supuestos'!$C$24)+(((((((IF($B22=0,0,'Supuestos'!$C$8/$B22))*'Supuestos'!$C$20)*F$19)+(((IF($B22=0,0,'Supuestos'!$C$8/$B22))*'Supuestos'!$C$21)*'Supuestos'!$C$26))*'Supuestos'!$C$27)*'Supuestos'!$C$29)*'Supuestos'!$C$28))*('Supuestos'!$C$39+'Supuestos'!$C$40+'Supuestos'!$C$41))*(1-'Supuestos'!$C$32-'Supuestos'!$C$33-'Supuestos'!$C$34))-((IF($B22=0,0,'Supuestos'!$C$8/$B22))*'Supuestos'!$C$35)-'Supuestos'!$C$36-'Supuestos'!$C$8)</f>
        <v/>
      </c>
      <c r="G22" s="26">
        <f>(((((((IF($B22=0,0,'Supuestos'!$C$8/$B22))*'Supuestos'!$C$14)+(((IF($B22=0,0,'Supuestos'!$C$8/$B22))*'Supuestos'!$C$16)*'Supuestos'!$C$15))+((((((IF($B22=0,0,'Supuestos'!$C$8/$B22))*'Supuestos'!$C$20)*G$19)+(((IF($B22=0,0,'Supuestos'!$C$8/$B22))*'Supuestos'!$C$21)*'Supuestos'!$C$26))*'Supuestos'!$C$27)*'Supuestos'!$C$24)+(((((((IF($B22=0,0,'Supuestos'!$C$8/$B22))*'Supuestos'!$C$20)*G$19)+(((IF($B22=0,0,'Supuestos'!$C$8/$B22))*'Supuestos'!$C$21)*'Supuestos'!$C$26))*'Supuestos'!$C$27)*'Supuestos'!$C$29)*'Supuestos'!$C$28))*('Supuestos'!$C$39+'Supuestos'!$C$40+'Supuestos'!$C$41))*(1-'Supuestos'!$C$32-'Supuestos'!$C$33-'Supuestos'!$C$34))-((IF($B22=0,0,'Supuestos'!$C$8/$B22))*'Supuestos'!$C$35)-'Supuestos'!$C$36-'Supuestos'!$C$8)</f>
        <v/>
      </c>
    </row>
    <row r="23">
      <c r="B23" s="32" t="n">
        <v>20</v>
      </c>
      <c r="C23" s="26">
        <f>(((((((IF($B23=0,0,'Supuestos'!$C$8/$B23))*'Supuestos'!$C$14)+(((IF($B23=0,0,'Supuestos'!$C$8/$B23))*'Supuestos'!$C$16)*'Supuestos'!$C$15))+((((((IF($B23=0,0,'Supuestos'!$C$8/$B23))*'Supuestos'!$C$20)*C$19)+(((IF($B23=0,0,'Supuestos'!$C$8/$B23))*'Supuestos'!$C$21)*'Supuestos'!$C$26))*'Supuestos'!$C$27)*'Supuestos'!$C$24)+(((((((IF($B23=0,0,'Supuestos'!$C$8/$B23))*'Supuestos'!$C$20)*C$19)+(((IF($B23=0,0,'Supuestos'!$C$8/$B23))*'Supuestos'!$C$21)*'Supuestos'!$C$26))*'Supuestos'!$C$27)*'Supuestos'!$C$29)*'Supuestos'!$C$28))*('Supuestos'!$C$39+'Supuestos'!$C$40+'Supuestos'!$C$41))*(1-'Supuestos'!$C$32-'Supuestos'!$C$33-'Supuestos'!$C$34))-((IF($B23=0,0,'Supuestos'!$C$8/$B23))*'Supuestos'!$C$35)-'Supuestos'!$C$36-'Supuestos'!$C$8)</f>
        <v/>
      </c>
      <c r="D23" s="26">
        <f>(((((((IF($B23=0,0,'Supuestos'!$C$8/$B23))*'Supuestos'!$C$14)+(((IF($B23=0,0,'Supuestos'!$C$8/$B23))*'Supuestos'!$C$16)*'Supuestos'!$C$15))+((((((IF($B23=0,0,'Supuestos'!$C$8/$B23))*'Supuestos'!$C$20)*D$19)+(((IF($B23=0,0,'Supuestos'!$C$8/$B23))*'Supuestos'!$C$21)*'Supuestos'!$C$26))*'Supuestos'!$C$27)*'Supuestos'!$C$24)+(((((((IF($B23=0,0,'Supuestos'!$C$8/$B23))*'Supuestos'!$C$20)*D$19)+(((IF($B23=0,0,'Supuestos'!$C$8/$B23))*'Supuestos'!$C$21)*'Supuestos'!$C$26))*'Supuestos'!$C$27)*'Supuestos'!$C$29)*'Supuestos'!$C$28))*('Supuestos'!$C$39+'Supuestos'!$C$40+'Supuestos'!$C$41))*(1-'Supuestos'!$C$32-'Supuestos'!$C$33-'Supuestos'!$C$34))-((IF($B23=0,0,'Supuestos'!$C$8/$B23))*'Supuestos'!$C$35)-'Supuestos'!$C$36-'Supuestos'!$C$8)</f>
        <v/>
      </c>
      <c r="E23" s="26">
        <f>(((((((IF($B23=0,0,'Supuestos'!$C$8/$B23))*'Supuestos'!$C$14)+(((IF($B23=0,0,'Supuestos'!$C$8/$B23))*'Supuestos'!$C$16)*'Supuestos'!$C$15))+((((((IF($B23=0,0,'Supuestos'!$C$8/$B23))*'Supuestos'!$C$20)*E$19)+(((IF($B23=0,0,'Supuestos'!$C$8/$B23))*'Supuestos'!$C$21)*'Supuestos'!$C$26))*'Supuestos'!$C$27)*'Supuestos'!$C$24)+(((((((IF($B23=0,0,'Supuestos'!$C$8/$B23))*'Supuestos'!$C$20)*E$19)+(((IF($B23=0,0,'Supuestos'!$C$8/$B23))*'Supuestos'!$C$21)*'Supuestos'!$C$26))*'Supuestos'!$C$27)*'Supuestos'!$C$29)*'Supuestos'!$C$28))*('Supuestos'!$C$39+'Supuestos'!$C$40+'Supuestos'!$C$41))*(1-'Supuestos'!$C$32-'Supuestos'!$C$33-'Supuestos'!$C$34))-((IF($B23=0,0,'Supuestos'!$C$8/$B23))*'Supuestos'!$C$35)-'Supuestos'!$C$36-'Supuestos'!$C$8)</f>
        <v/>
      </c>
      <c r="F23" s="26">
        <f>(((((((IF($B23=0,0,'Supuestos'!$C$8/$B23))*'Supuestos'!$C$14)+(((IF($B23=0,0,'Supuestos'!$C$8/$B23))*'Supuestos'!$C$16)*'Supuestos'!$C$15))+((((((IF($B23=0,0,'Supuestos'!$C$8/$B23))*'Supuestos'!$C$20)*F$19)+(((IF($B23=0,0,'Supuestos'!$C$8/$B23))*'Supuestos'!$C$21)*'Supuestos'!$C$26))*'Supuestos'!$C$27)*'Supuestos'!$C$24)+(((((((IF($B23=0,0,'Supuestos'!$C$8/$B23))*'Supuestos'!$C$20)*F$19)+(((IF($B23=0,0,'Supuestos'!$C$8/$B23))*'Supuestos'!$C$21)*'Supuestos'!$C$26))*'Supuestos'!$C$27)*'Supuestos'!$C$29)*'Supuestos'!$C$28))*('Supuestos'!$C$39+'Supuestos'!$C$40+'Supuestos'!$C$41))*(1-'Supuestos'!$C$32-'Supuestos'!$C$33-'Supuestos'!$C$34))-((IF($B23=0,0,'Supuestos'!$C$8/$B23))*'Supuestos'!$C$35)-'Supuestos'!$C$36-'Supuestos'!$C$8)</f>
        <v/>
      </c>
      <c r="G23" s="26">
        <f>(((((((IF($B23=0,0,'Supuestos'!$C$8/$B23))*'Supuestos'!$C$14)+(((IF($B23=0,0,'Supuestos'!$C$8/$B23))*'Supuestos'!$C$16)*'Supuestos'!$C$15))+((((((IF($B23=0,0,'Supuestos'!$C$8/$B23))*'Supuestos'!$C$20)*G$19)+(((IF($B23=0,0,'Supuestos'!$C$8/$B23))*'Supuestos'!$C$21)*'Supuestos'!$C$26))*'Supuestos'!$C$27)*'Supuestos'!$C$24)+(((((((IF($B23=0,0,'Supuestos'!$C$8/$B23))*'Supuestos'!$C$20)*G$19)+(((IF($B23=0,0,'Supuestos'!$C$8/$B23))*'Supuestos'!$C$21)*'Supuestos'!$C$26))*'Supuestos'!$C$27)*'Supuestos'!$C$29)*'Supuestos'!$C$28))*('Supuestos'!$C$39+'Supuestos'!$C$40+'Supuestos'!$C$41))*(1-'Supuestos'!$C$32-'Supuestos'!$C$33-'Supuestos'!$C$34))-((IF($B23=0,0,'Supuestos'!$C$8/$B23))*'Supuestos'!$C$35)-'Supuestos'!$C$36-'Supuestos'!$C$8)</f>
        <v/>
      </c>
    </row>
    <row r="24">
      <c r="B24" s="32" t="n">
        <v>30</v>
      </c>
      <c r="C24" s="26">
        <f>(((((((IF($B24=0,0,'Supuestos'!$C$8/$B24))*'Supuestos'!$C$14)+(((IF($B24=0,0,'Supuestos'!$C$8/$B24))*'Supuestos'!$C$16)*'Supuestos'!$C$15))+((((((IF($B24=0,0,'Supuestos'!$C$8/$B24))*'Supuestos'!$C$20)*C$19)+(((IF($B24=0,0,'Supuestos'!$C$8/$B24))*'Supuestos'!$C$21)*'Supuestos'!$C$26))*'Supuestos'!$C$27)*'Supuestos'!$C$24)+(((((((IF($B24=0,0,'Supuestos'!$C$8/$B24))*'Supuestos'!$C$20)*C$19)+(((IF($B24=0,0,'Supuestos'!$C$8/$B24))*'Supuestos'!$C$21)*'Supuestos'!$C$26))*'Supuestos'!$C$27)*'Supuestos'!$C$29)*'Supuestos'!$C$28))*('Supuestos'!$C$39+'Supuestos'!$C$40+'Supuestos'!$C$41))*(1-'Supuestos'!$C$32-'Supuestos'!$C$33-'Supuestos'!$C$34))-((IF($B24=0,0,'Supuestos'!$C$8/$B24))*'Supuestos'!$C$35)-'Supuestos'!$C$36-'Supuestos'!$C$8)</f>
        <v/>
      </c>
      <c r="D24" s="26">
        <f>(((((((IF($B24=0,0,'Supuestos'!$C$8/$B24))*'Supuestos'!$C$14)+(((IF($B24=0,0,'Supuestos'!$C$8/$B24))*'Supuestos'!$C$16)*'Supuestos'!$C$15))+((((((IF($B24=0,0,'Supuestos'!$C$8/$B24))*'Supuestos'!$C$20)*D$19)+(((IF($B24=0,0,'Supuestos'!$C$8/$B24))*'Supuestos'!$C$21)*'Supuestos'!$C$26))*'Supuestos'!$C$27)*'Supuestos'!$C$24)+(((((((IF($B24=0,0,'Supuestos'!$C$8/$B24))*'Supuestos'!$C$20)*D$19)+(((IF($B24=0,0,'Supuestos'!$C$8/$B24))*'Supuestos'!$C$21)*'Supuestos'!$C$26))*'Supuestos'!$C$27)*'Supuestos'!$C$29)*'Supuestos'!$C$28))*('Supuestos'!$C$39+'Supuestos'!$C$40+'Supuestos'!$C$41))*(1-'Supuestos'!$C$32-'Supuestos'!$C$33-'Supuestos'!$C$34))-((IF($B24=0,0,'Supuestos'!$C$8/$B24))*'Supuestos'!$C$35)-'Supuestos'!$C$36-'Supuestos'!$C$8)</f>
        <v/>
      </c>
      <c r="E24" s="26">
        <f>(((((((IF($B24=0,0,'Supuestos'!$C$8/$B24))*'Supuestos'!$C$14)+(((IF($B24=0,0,'Supuestos'!$C$8/$B24))*'Supuestos'!$C$16)*'Supuestos'!$C$15))+((((((IF($B24=0,0,'Supuestos'!$C$8/$B24))*'Supuestos'!$C$20)*E$19)+(((IF($B24=0,0,'Supuestos'!$C$8/$B24))*'Supuestos'!$C$21)*'Supuestos'!$C$26))*'Supuestos'!$C$27)*'Supuestos'!$C$24)+(((((((IF($B24=0,0,'Supuestos'!$C$8/$B24))*'Supuestos'!$C$20)*E$19)+(((IF($B24=0,0,'Supuestos'!$C$8/$B24))*'Supuestos'!$C$21)*'Supuestos'!$C$26))*'Supuestos'!$C$27)*'Supuestos'!$C$29)*'Supuestos'!$C$28))*('Supuestos'!$C$39+'Supuestos'!$C$40+'Supuestos'!$C$41))*(1-'Supuestos'!$C$32-'Supuestos'!$C$33-'Supuestos'!$C$34))-((IF($B24=0,0,'Supuestos'!$C$8/$B24))*'Supuestos'!$C$35)-'Supuestos'!$C$36-'Supuestos'!$C$8)</f>
        <v/>
      </c>
      <c r="F24" s="26">
        <f>(((((((IF($B24=0,0,'Supuestos'!$C$8/$B24))*'Supuestos'!$C$14)+(((IF($B24=0,0,'Supuestos'!$C$8/$B24))*'Supuestos'!$C$16)*'Supuestos'!$C$15))+((((((IF($B24=0,0,'Supuestos'!$C$8/$B24))*'Supuestos'!$C$20)*F$19)+(((IF($B24=0,0,'Supuestos'!$C$8/$B24))*'Supuestos'!$C$21)*'Supuestos'!$C$26))*'Supuestos'!$C$27)*'Supuestos'!$C$24)+(((((((IF($B24=0,0,'Supuestos'!$C$8/$B24))*'Supuestos'!$C$20)*F$19)+(((IF($B24=0,0,'Supuestos'!$C$8/$B24))*'Supuestos'!$C$21)*'Supuestos'!$C$26))*'Supuestos'!$C$27)*'Supuestos'!$C$29)*'Supuestos'!$C$28))*('Supuestos'!$C$39+'Supuestos'!$C$40+'Supuestos'!$C$41))*(1-'Supuestos'!$C$32-'Supuestos'!$C$33-'Supuestos'!$C$34))-((IF($B24=0,0,'Supuestos'!$C$8/$B24))*'Supuestos'!$C$35)-'Supuestos'!$C$36-'Supuestos'!$C$8)</f>
        <v/>
      </c>
      <c r="G24" s="26">
        <f>(((((((IF($B24=0,0,'Supuestos'!$C$8/$B24))*'Supuestos'!$C$14)+(((IF($B24=0,0,'Supuestos'!$C$8/$B24))*'Supuestos'!$C$16)*'Supuestos'!$C$15))+((((((IF($B24=0,0,'Supuestos'!$C$8/$B24))*'Supuestos'!$C$20)*G$19)+(((IF($B24=0,0,'Supuestos'!$C$8/$B24))*'Supuestos'!$C$21)*'Supuestos'!$C$26))*'Supuestos'!$C$27)*'Supuestos'!$C$24)+(((((((IF($B24=0,0,'Supuestos'!$C$8/$B24))*'Supuestos'!$C$20)*G$19)+(((IF($B24=0,0,'Supuestos'!$C$8/$B24))*'Supuestos'!$C$21)*'Supuestos'!$C$26))*'Supuestos'!$C$27)*'Supuestos'!$C$29)*'Supuestos'!$C$28))*('Supuestos'!$C$39+'Supuestos'!$C$40+'Supuestos'!$C$41))*(1-'Supuestos'!$C$32-'Supuestos'!$C$33-'Supuestos'!$C$34))-((IF($B24=0,0,'Supuestos'!$C$8/$B24))*'Supuestos'!$C$35)-'Supuestos'!$C$36-'Supuestos'!$C$8)</f>
        <v/>
      </c>
    </row>
    <row r="25">
      <c r="B25" s="32" t="n">
        <v>40</v>
      </c>
      <c r="C25" s="26">
        <f>(((((((IF($B25=0,0,'Supuestos'!$C$8/$B25))*'Supuestos'!$C$14)+(((IF($B25=0,0,'Supuestos'!$C$8/$B25))*'Supuestos'!$C$16)*'Supuestos'!$C$15))+((((((IF($B25=0,0,'Supuestos'!$C$8/$B25))*'Supuestos'!$C$20)*C$19)+(((IF($B25=0,0,'Supuestos'!$C$8/$B25))*'Supuestos'!$C$21)*'Supuestos'!$C$26))*'Supuestos'!$C$27)*'Supuestos'!$C$24)+(((((((IF($B25=0,0,'Supuestos'!$C$8/$B25))*'Supuestos'!$C$20)*C$19)+(((IF($B25=0,0,'Supuestos'!$C$8/$B25))*'Supuestos'!$C$21)*'Supuestos'!$C$26))*'Supuestos'!$C$27)*'Supuestos'!$C$29)*'Supuestos'!$C$28))*('Supuestos'!$C$39+'Supuestos'!$C$40+'Supuestos'!$C$41))*(1-'Supuestos'!$C$32-'Supuestos'!$C$33-'Supuestos'!$C$34))-((IF($B25=0,0,'Supuestos'!$C$8/$B25))*'Supuestos'!$C$35)-'Supuestos'!$C$36-'Supuestos'!$C$8)</f>
        <v/>
      </c>
      <c r="D25" s="26">
        <f>(((((((IF($B25=0,0,'Supuestos'!$C$8/$B25))*'Supuestos'!$C$14)+(((IF($B25=0,0,'Supuestos'!$C$8/$B25))*'Supuestos'!$C$16)*'Supuestos'!$C$15))+((((((IF($B25=0,0,'Supuestos'!$C$8/$B25))*'Supuestos'!$C$20)*D$19)+(((IF($B25=0,0,'Supuestos'!$C$8/$B25))*'Supuestos'!$C$21)*'Supuestos'!$C$26))*'Supuestos'!$C$27)*'Supuestos'!$C$24)+(((((((IF($B25=0,0,'Supuestos'!$C$8/$B25))*'Supuestos'!$C$20)*D$19)+(((IF($B25=0,0,'Supuestos'!$C$8/$B25))*'Supuestos'!$C$21)*'Supuestos'!$C$26))*'Supuestos'!$C$27)*'Supuestos'!$C$29)*'Supuestos'!$C$28))*('Supuestos'!$C$39+'Supuestos'!$C$40+'Supuestos'!$C$41))*(1-'Supuestos'!$C$32-'Supuestos'!$C$33-'Supuestos'!$C$34))-((IF($B25=0,0,'Supuestos'!$C$8/$B25))*'Supuestos'!$C$35)-'Supuestos'!$C$36-'Supuestos'!$C$8)</f>
        <v/>
      </c>
      <c r="E25" s="26">
        <f>(((((((IF($B25=0,0,'Supuestos'!$C$8/$B25))*'Supuestos'!$C$14)+(((IF($B25=0,0,'Supuestos'!$C$8/$B25))*'Supuestos'!$C$16)*'Supuestos'!$C$15))+((((((IF($B25=0,0,'Supuestos'!$C$8/$B25))*'Supuestos'!$C$20)*E$19)+(((IF($B25=0,0,'Supuestos'!$C$8/$B25))*'Supuestos'!$C$21)*'Supuestos'!$C$26))*'Supuestos'!$C$27)*'Supuestos'!$C$24)+(((((((IF($B25=0,0,'Supuestos'!$C$8/$B25))*'Supuestos'!$C$20)*E$19)+(((IF($B25=0,0,'Supuestos'!$C$8/$B25))*'Supuestos'!$C$21)*'Supuestos'!$C$26))*'Supuestos'!$C$27)*'Supuestos'!$C$29)*'Supuestos'!$C$28))*('Supuestos'!$C$39+'Supuestos'!$C$40+'Supuestos'!$C$41))*(1-'Supuestos'!$C$32-'Supuestos'!$C$33-'Supuestos'!$C$34))-((IF($B25=0,0,'Supuestos'!$C$8/$B25))*'Supuestos'!$C$35)-'Supuestos'!$C$36-'Supuestos'!$C$8)</f>
        <v/>
      </c>
      <c r="F25" s="26">
        <f>(((((((IF($B25=0,0,'Supuestos'!$C$8/$B25))*'Supuestos'!$C$14)+(((IF($B25=0,0,'Supuestos'!$C$8/$B25))*'Supuestos'!$C$16)*'Supuestos'!$C$15))+((((((IF($B25=0,0,'Supuestos'!$C$8/$B25))*'Supuestos'!$C$20)*F$19)+(((IF($B25=0,0,'Supuestos'!$C$8/$B25))*'Supuestos'!$C$21)*'Supuestos'!$C$26))*'Supuestos'!$C$27)*'Supuestos'!$C$24)+(((((((IF($B25=0,0,'Supuestos'!$C$8/$B25))*'Supuestos'!$C$20)*F$19)+(((IF($B25=0,0,'Supuestos'!$C$8/$B25))*'Supuestos'!$C$21)*'Supuestos'!$C$26))*'Supuestos'!$C$27)*'Supuestos'!$C$29)*'Supuestos'!$C$28))*('Supuestos'!$C$39+'Supuestos'!$C$40+'Supuestos'!$C$41))*(1-'Supuestos'!$C$32-'Supuestos'!$C$33-'Supuestos'!$C$34))-((IF($B25=0,0,'Supuestos'!$C$8/$B25))*'Supuestos'!$C$35)-'Supuestos'!$C$36-'Supuestos'!$C$8)</f>
        <v/>
      </c>
      <c r="G25" s="26">
        <f>(((((((IF($B25=0,0,'Supuestos'!$C$8/$B25))*'Supuestos'!$C$14)+(((IF($B25=0,0,'Supuestos'!$C$8/$B25))*'Supuestos'!$C$16)*'Supuestos'!$C$15))+((((((IF($B25=0,0,'Supuestos'!$C$8/$B25))*'Supuestos'!$C$20)*G$19)+(((IF($B25=0,0,'Supuestos'!$C$8/$B25))*'Supuestos'!$C$21)*'Supuestos'!$C$26))*'Supuestos'!$C$27)*'Supuestos'!$C$24)+(((((((IF($B25=0,0,'Supuestos'!$C$8/$B25))*'Supuestos'!$C$20)*G$19)+(((IF($B25=0,0,'Supuestos'!$C$8/$B25))*'Supuestos'!$C$21)*'Supuestos'!$C$26))*'Supuestos'!$C$27)*'Supuestos'!$C$29)*'Supuestos'!$C$28))*('Supuestos'!$C$39+'Supuestos'!$C$40+'Supuestos'!$C$41))*(1-'Supuestos'!$C$32-'Supuestos'!$C$33-'Supuestos'!$C$34))-((IF($B25=0,0,'Supuestos'!$C$8/$B25))*'Supuestos'!$C$35)-'Supuestos'!$C$36-'Supuestos'!$C$8)</f>
        <v/>
      </c>
    </row>
    <row r="28">
      <c r="B28" s="4" t="inlineStr">
        <is>
          <t>Cuánto invertir para una facturación objetivo por lanzamiento, según el ROAS que querés</t>
        </is>
      </c>
    </row>
    <row r="29">
      <c r="B29" s="3" t="inlineStr">
        <is>
          <t>Inversión = facturación ÷ ROAS. Debajo: cuántas entradas hacen falta y cuánto podés pagar por cada una.</t>
        </is>
      </c>
    </row>
    <row r="30">
      <c r="B30" s="4" t="inlineStr">
        <is>
          <t>Facturación objetivo ↓ / ROAS objetivo →</t>
        </is>
      </c>
      <c r="C30" s="33" t="n">
        <v>1.5</v>
      </c>
      <c r="D30" s="33" t="n">
        <v>2</v>
      </c>
      <c r="E30" s="33" t="n">
        <v>2.5</v>
      </c>
      <c r="F30" s="33" t="n">
        <v>3</v>
      </c>
      <c r="G30" s="33" t="n">
        <v>4</v>
      </c>
    </row>
    <row r="31">
      <c r="B31" s="31" t="n">
        <v>5000</v>
      </c>
      <c r="C31" s="26">
        <f>$B31/C$30</f>
        <v/>
      </c>
      <c r="D31" s="26">
        <f>$B31/D$30</f>
        <v/>
      </c>
      <c r="E31" s="26">
        <f>$B31/E$30</f>
        <v/>
      </c>
      <c r="F31" s="26">
        <f>$B31/F$30</f>
        <v/>
      </c>
      <c r="G31" s="26">
        <f>$B31/G$30</f>
        <v/>
      </c>
    </row>
    <row r="32">
      <c r="B32" s="31" t="n">
        <v>10000</v>
      </c>
      <c r="C32" s="26">
        <f>$B32/C$30</f>
        <v/>
      </c>
      <c r="D32" s="26">
        <f>$B32/D$30</f>
        <v/>
      </c>
      <c r="E32" s="26">
        <f>$B32/E$30</f>
        <v/>
      </c>
      <c r="F32" s="26">
        <f>$B32/F$30</f>
        <v/>
      </c>
      <c r="G32" s="26">
        <f>$B32/G$30</f>
        <v/>
      </c>
    </row>
    <row r="33">
      <c r="B33" s="31" t="n">
        <v>20000</v>
      </c>
      <c r="C33" s="26">
        <f>$B33/C$30</f>
        <v/>
      </c>
      <c r="D33" s="26">
        <f>$B33/D$30</f>
        <v/>
      </c>
      <c r="E33" s="26">
        <f>$B33/E$30</f>
        <v/>
      </c>
      <c r="F33" s="26">
        <f>$B33/F$30</f>
        <v/>
      </c>
      <c r="G33" s="26">
        <f>$B33/G$30</f>
        <v/>
      </c>
    </row>
    <row r="34">
      <c r="B34" s="31" t="n">
        <v>30000</v>
      </c>
      <c r="C34" s="26">
        <f>$B34/C$30</f>
        <v/>
      </c>
      <c r="D34" s="26">
        <f>$B34/D$30</f>
        <v/>
      </c>
      <c r="E34" s="26">
        <f>$B34/E$30</f>
        <v/>
      </c>
      <c r="F34" s="26">
        <f>$B34/F$30</f>
        <v/>
      </c>
      <c r="G34" s="26">
        <f>$B34/G$30</f>
        <v/>
      </c>
    </row>
    <row r="35">
      <c r="B35" s="31" t="n">
        <v>50000</v>
      </c>
      <c r="C35" s="26">
        <f>$B35/C$30</f>
        <v/>
      </c>
      <c r="D35" s="26">
        <f>$B35/D$30</f>
        <v/>
      </c>
      <c r="E35" s="26">
        <f>$B35/E$30</f>
        <v/>
      </c>
      <c r="F35" s="26">
        <f>$B35/F$30</f>
        <v/>
      </c>
      <c r="G35" s="26">
        <f>$B35/G$30</f>
        <v/>
      </c>
    </row>
    <row r="36">
      <c r="B36" s="4" t="inlineStr">
        <is>
          <t>Cantidad de entradas necesaria para esa facturación</t>
        </is>
      </c>
    </row>
    <row r="37">
      <c r="B37" s="34">
        <f>$B31</f>
        <v/>
      </c>
      <c r="C37" s="17">
        <f>IF('Modelo'!$C$36=0,"inalcanzable",$B31/'Modelo'!$C$36)</f>
        <v/>
      </c>
    </row>
    <row r="38">
      <c r="B38" s="34">
        <f>$B32</f>
        <v/>
      </c>
      <c r="C38" s="17">
        <f>IF('Modelo'!$C$36=0,"inalcanzable",$B32/'Modelo'!$C$36)</f>
        <v/>
      </c>
    </row>
    <row r="39">
      <c r="B39" s="34">
        <f>$B33</f>
        <v/>
      </c>
      <c r="C39" s="17">
        <f>IF('Modelo'!$C$36=0,"inalcanzable",$B33/'Modelo'!$C$36)</f>
        <v/>
      </c>
    </row>
    <row r="40">
      <c r="B40" s="34">
        <f>$B34</f>
        <v/>
      </c>
      <c r="C40" s="17">
        <f>IF('Modelo'!$C$36=0,"inalcanzable",$B34/'Modelo'!$C$36)</f>
        <v/>
      </c>
    </row>
    <row r="41">
      <c r="B41" s="34">
        <f>$B35</f>
        <v/>
      </c>
      <c r="C41" s="17">
        <f>IF('Modelo'!$C$36=0,"inalcanzable",$B35/'Modelo'!$C$36)</f>
        <v/>
      </c>
    </row>
    <row r="43">
      <c r="B43" s="4" t="inlineStr">
        <is>
          <t>Costo máximo por entrada para cumplir cada ROAS (sobre facturado)</t>
        </is>
      </c>
    </row>
    <row r="44">
      <c r="C44" s="35" t="n">
        <v>1.5</v>
      </c>
      <c r="D44" s="35" t="n">
        <v>2</v>
      </c>
      <c r="E44" s="35" t="n">
        <v>2.5</v>
      </c>
      <c r="F44" s="35" t="n">
        <v>3</v>
      </c>
      <c r="G44" s="35" t="n">
        <v>4</v>
      </c>
    </row>
    <row r="45">
      <c r="B45" t="inlineStr">
        <is>
          <t>Costo máximo (facturado por unidad ÷ ROAS)</t>
        </is>
      </c>
      <c r="C45" s="20">
        <f>IF(C44=0,0,'Modelo'!$C$36/C44)</f>
        <v/>
      </c>
      <c r="D45" s="20">
        <f>IF(D44=0,0,'Modelo'!$C$36/D44)</f>
        <v/>
      </c>
      <c r="E45" s="20">
        <f>IF(E44=0,0,'Modelo'!$C$36/E44)</f>
        <v/>
      </c>
      <c r="F45" s="20">
        <f>IF(F44=0,0,'Modelo'!$C$36/F44)</f>
        <v/>
      </c>
      <c r="G45" s="20">
        <f>IF(G44=0,0,'Modelo'!$C$36/G44)</f>
        <v/>
      </c>
    </row>
    <row r="46">
      <c r="B46" s="3" t="inlineStr">
        <is>
          <t>Sobre cash neto, el techo real está en Modelo (ya descuenta comisiones y reembolsos).</t>
        </is>
      </c>
    </row>
    <row r="49">
      <c r="B49" s="4" t="inlineStr">
        <is>
          <t>Guardarraíl: el ROAS mínimo que tiene que dar cada nivel de inversión para que subir valga la pena</t>
        </is>
      </c>
    </row>
    <row r="50">
      <c r="B50" s="3" t="inlineStr">
        <is>
          <t>Parte de tu inversión y tu ROAS actuales. Cada dólar extra tiene que devolver al menos 1,3 neto. Si al subir un escalón el ROAS real queda por debajo del mínimo de esa fila, volvé al escalón anterior.</t>
        </is>
      </c>
    </row>
    <row r="51">
      <c r="B51" s="6" t="inlineStr">
        <is>
          <t>Nivel de inversión</t>
        </is>
      </c>
      <c r="C51" s="6" t="inlineStr">
        <is>
          <t>Inversión del período</t>
        </is>
      </c>
      <c r="D51" s="6" t="inlineStr">
        <is>
          <t>ROAS mínimo (cash neto)</t>
        </is>
      </c>
      <c r="E51" s="6" t="inlineStr">
        <is>
          <t>Ganancia mínima</t>
        </is>
      </c>
    </row>
    <row r="52">
      <c r="B52" t="inlineStr">
        <is>
          <t>actual</t>
        </is>
      </c>
      <c r="C52" s="26">
        <f>'Supuestos'!$C$8*1.0</f>
        <v/>
      </c>
      <c r="D52" s="28">
        <f>IF(C52=0,0,('Supuestos'!$C$8*'Modelo'!$C$46+1.3*(C52-'Supuestos'!$C$8))/C52)</f>
        <v/>
      </c>
      <c r="E52" s="26">
        <f>C52*(D52-1)</f>
        <v/>
      </c>
    </row>
    <row r="53">
      <c r="B53" t="inlineStr">
        <is>
          <t>× 1.25</t>
        </is>
      </c>
      <c r="C53" s="26">
        <f>'Supuestos'!$C$8*1.25</f>
        <v/>
      </c>
      <c r="D53" s="28">
        <f>IF(C53=0,0,('Supuestos'!$C$8*'Modelo'!$C$46+1.3*(C53-'Supuestos'!$C$8))/C53)</f>
        <v/>
      </c>
      <c r="E53" s="26">
        <f>C53*(D53-1)</f>
        <v/>
      </c>
    </row>
    <row r="54">
      <c r="B54" t="inlineStr">
        <is>
          <t>× 1.5</t>
        </is>
      </c>
      <c r="C54" s="26">
        <f>'Supuestos'!$C$8*1.5</f>
        <v/>
      </c>
      <c r="D54" s="28">
        <f>IF(C54=0,0,('Supuestos'!$C$8*'Modelo'!$C$46+1.3*(C54-'Supuestos'!$C$8))/C54)</f>
        <v/>
      </c>
      <c r="E54" s="26">
        <f>C54*(D54-1)</f>
        <v/>
      </c>
    </row>
    <row r="55">
      <c r="B55" t="inlineStr">
        <is>
          <t>× 2</t>
        </is>
      </c>
      <c r="C55" s="26">
        <f>'Supuestos'!$C$8*2.0</f>
        <v/>
      </c>
      <c r="D55" s="28">
        <f>IF(C55=0,0,('Supuestos'!$C$8*'Modelo'!$C$46+1.3*(C55-'Supuestos'!$C$8))/C55)</f>
        <v/>
      </c>
      <c r="E55" s="26">
        <f>C55*(D55-1)</f>
        <v/>
      </c>
    </row>
    <row r="56">
      <c r="B56" t="inlineStr">
        <is>
          <t>× 3</t>
        </is>
      </c>
      <c r="C56" s="26">
        <f>'Supuestos'!$C$8*3.0</f>
        <v/>
      </c>
      <c r="D56" s="28">
        <f>IF(C56=0,0,('Supuestos'!$C$8*'Modelo'!$C$46+1.3*(C56-'Supuestos'!$C$8))/C56)</f>
        <v/>
      </c>
      <c r="E56" s="26">
        <f>C56*(D56-1)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G25">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'Modelo'!$C$44</f>
        <v/>
      </c>
    </row>
    <row r="7">
      <c r="B7" t="inlineStr">
        <is>
          <t>Costo por visita 10 % más barato</t>
        </is>
      </c>
      <c r="C7" t="inlineStr">
        <is>
          <t>−10 %</t>
        </is>
      </c>
      <c r="D7" s="26">
        <f>(((((((IF((IF('Supuestos'!$C$13=0,0,('Supuestos'!$C$10*0.9)/'Supuestos'!$C$13))=0,0,'Supuestos'!$C$8/(IF('Supuestos'!$C$13=0,0,('Supuestos'!$C$10*0.9)/'Supuestos'!$C$13))))*'Supuestos'!$C$14)+(((IF((IF('Supuestos'!$C$13=0,0,('Supuestos'!$C$10*0.9)/'Supuestos'!$C$13))=0,0,'Supuestos'!$C$8/(IF('Supuestos'!$C$13=0,0,('Supuestos'!$C$10*0.9)/'Supuestos'!$C$13))))*'Supuestos'!$C$16)*'Supuestos'!$C$15))+((((((IF((IF('Supuestos'!$C$13=0,0,('Supuestos'!$C$10*0.9)/'Supuestos'!$C$13))=0,0,'Supuestos'!$C$8/(IF('Supuestos'!$C$13=0,0,('Supuestos'!$C$10*0.9)/'Supuestos'!$C$13))))*'Supuestos'!$C$20)*'Supuestos'!$C$25)+(((IF((IF('Supuestos'!$C$13=0,0,('Supuestos'!$C$10*0.9)/'Supuestos'!$C$13))=0,0,'Supuestos'!$C$8/(IF('Supuestos'!$C$13=0,0,('Supuestos'!$C$10*0.9)/'Supuestos'!$C$13))))*'Supuestos'!$C$21)*'Supuestos'!$C$26))*'Supuestos'!$C$27)*'Supuestos'!$C$24)+(((((((IF((IF('Supuestos'!$C$13=0,0,('Supuestos'!$C$10*0.9)/'Supuestos'!$C$13))=0,0,'Supuestos'!$C$8/(IF('Supuestos'!$C$13=0,0,('Supuestos'!$C$10*0.9)/'Supuestos'!$C$13))))*'Supuestos'!$C$20)*'Supuestos'!$C$25)+(((IF((IF('Supuestos'!$C$13=0,0,('Supuestos'!$C$10*0.9)/'Supuestos'!$C$13))=0,0,'Supuestos'!$C$8/(IF('Supuestos'!$C$13=0,0,('Supuestos'!$C$10*0.9)/'Supuestos'!$C$13))))*'Supuestos'!$C$21)*'Supuestos'!$C$26))*'Supuestos'!$C$27)*'Supuestos'!$C$29)*'Supuestos'!$C$28))*('Supuestos'!$C$39+'Supuestos'!$C$40+'Supuestos'!$C$41))*(1-'Supuestos'!$C$32-'Supuestos'!$C$33-'Supuestos'!$C$34))-((IF((IF('Supuestos'!$C$13=0,0,('Supuestos'!$C$10*0.9)/'Supuestos'!$C$13))=0,0,'Supuestos'!$C$8/(IF('Supuestos'!$C$13=0,0,('Supuestos'!$C$10*0.9)/'Supuestos'!$C$13))))*'Supuestos'!$C$35)-'Supuestos'!$C$36-'Supuestos'!$C$8)</f>
        <v/>
      </c>
      <c r="E7" s="26">
        <f>D7-$D$6</f>
        <v/>
      </c>
      <c r="F7" s="18">
        <f>IF($D$6=0,0,E7/ABS($D$6))</f>
        <v/>
      </c>
      <c r="G7" s="17">
        <f>RANK(E7,$E$7:$E$15)</f>
        <v/>
      </c>
    </row>
    <row r="8">
      <c r="B8" t="inlineStr">
        <is>
          <t>Página de la entrada 10 % más conversión</t>
        </is>
      </c>
      <c r="C8" t="inlineStr">
        <is>
          <t>+10 %</t>
        </is>
      </c>
      <c r="D8" s="26">
        <f>(((((((IF((IF(('Supuestos'!$C$13*1.1)=0,0,'Supuestos'!$C$10/('Supuestos'!$C$13*1.1)))=0,0,'Supuestos'!$C$8/(IF(('Supuestos'!$C$13*1.1)=0,0,'Supuestos'!$C$10/('Supuestos'!$C$13*1.1)))))*'Supuestos'!$C$14)+(((IF((IF(('Supuestos'!$C$13*1.1)=0,0,'Supuestos'!$C$10/('Supuestos'!$C$13*1.1)))=0,0,'Supuestos'!$C$8/(IF(('Supuestos'!$C$13*1.1)=0,0,'Supuestos'!$C$10/('Supuestos'!$C$13*1.1)))))*'Supuestos'!$C$16)*'Supuestos'!$C$15))+((((((IF((IF(('Supuestos'!$C$13*1.1)=0,0,'Supuestos'!$C$10/('Supuestos'!$C$13*1.1)))=0,0,'Supuestos'!$C$8/(IF(('Supuestos'!$C$13*1.1)=0,0,'Supuestos'!$C$10/('Supuestos'!$C$13*1.1)))))*'Supuestos'!$C$20)*'Supuestos'!$C$25)+(((IF((IF(('Supuestos'!$C$13*1.1)=0,0,'Supuestos'!$C$10/('Supuestos'!$C$13*1.1)))=0,0,'Supuestos'!$C$8/(IF(('Supuestos'!$C$13*1.1)=0,0,'Supuestos'!$C$10/('Supuestos'!$C$13*1.1)))))*'Supuestos'!$C$21)*'Supuestos'!$C$26))*'Supuestos'!$C$27)*'Supuestos'!$C$24)+(((((((IF((IF(('Supuestos'!$C$13*1.1)=0,0,'Supuestos'!$C$10/('Supuestos'!$C$13*1.1)))=0,0,'Supuestos'!$C$8/(IF(('Supuestos'!$C$13*1.1)=0,0,'Supuestos'!$C$10/('Supuestos'!$C$13*1.1)))))*'Supuestos'!$C$20)*'Supuestos'!$C$25)+(((IF((IF(('Supuestos'!$C$13*1.1)=0,0,'Supuestos'!$C$10/('Supuestos'!$C$13*1.1)))=0,0,'Supuestos'!$C$8/(IF(('Supuestos'!$C$13*1.1)=0,0,'Supuestos'!$C$10/('Supuestos'!$C$13*1.1)))))*'Supuestos'!$C$21)*'Supuestos'!$C$26))*'Supuestos'!$C$27)*'Supuestos'!$C$29)*'Supuestos'!$C$28))*('Supuestos'!$C$39+'Supuestos'!$C$40+'Supuestos'!$C$41))*(1-'Supuestos'!$C$32-'Supuestos'!$C$33-'Supuestos'!$C$34))-((IF((IF(('Supuestos'!$C$13*1.1)=0,0,'Supuestos'!$C$10/('Supuestos'!$C$13*1.1)))=0,0,'Supuestos'!$C$8/(IF(('Supuestos'!$C$13*1.1)=0,0,'Supuestos'!$C$10/('Supuestos'!$C$13*1.1)))))*'Supuestos'!$C$35)-'Supuestos'!$C$36-'Supuestos'!$C$8)</f>
        <v/>
      </c>
      <c r="E8" s="26">
        <f>D8-$D$6</f>
        <v/>
      </c>
      <c r="F8" s="18">
        <f>IF($D$6=0,0,E8/ABS($D$6))</f>
        <v/>
      </c>
      <c r="G8" s="17">
        <f>RANK(E8,$E$7:$E$15)</f>
        <v/>
      </c>
    </row>
    <row r="9">
      <c r="B9" t="inlineStr">
        <is>
          <t>Precio de la entrada 10 % más alto (misma conversión)</t>
        </is>
      </c>
      <c r="C9" t="inlineStr">
        <is>
          <t>+10 %</t>
        </is>
      </c>
      <c r="D9" s="26">
        <f>(((((((IF((IF('Supuestos'!$C$13=0,0,'Supuestos'!$C$10/'Supuestos'!$C$13))=0,0,'Supuestos'!$C$8/(IF('Supuestos'!$C$13=0,0,'Supuestos'!$C$10/'Supuestos'!$C$13))))*('Supuestos'!$C$14*1.1))+(((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9" s="26">
        <f>D9-$D$6</f>
        <v/>
      </c>
      <c r="F9" s="18">
        <f>IF($D$6=0,0,E9/ABS($D$6))</f>
        <v/>
      </c>
      <c r="G9" s="17">
        <f>RANK(E9,$E$7:$E$15)</f>
        <v/>
      </c>
    </row>
    <row r="10">
      <c r="B10" t="inlineStr">
        <is>
          <t>Asistencia en vivo 10 % más alta</t>
        </is>
      </c>
      <c r="C10" t="inlineStr">
        <is>
          <t>+10 %</t>
        </is>
      </c>
      <c r="D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1.1))*'Supuestos'!$C$25)+(((IF((IF('Supuestos'!$C$13=0,0,'Supuestos'!$C$10/'Supuestos'!$C$13))=0,0,'Supuestos'!$C$8/(IF('Supuestos'!$C$13=0,0,'Supuestos'!$C$10/'Supuestos'!$C$13))))*'Supuestos'!$C$21)*'Supuestos'!$C$26))*'Supuestos'!$C$27)*'Supuestos'!$C$24)+(((((((IF((IF('Supuestos'!$C$13=0,0,'Supuestos'!$C$10/'Supuestos'!$C$13))=0,0,'Supuestos'!$C$8/(IF('Supuestos'!$C$13=0,0,'Supuestos'!$C$10/'Supuestos'!$C$13))))*('Supuestos'!$C$20*1.1))*'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0" s="26">
        <f>D10-$D$6</f>
        <v/>
      </c>
      <c r="F10" s="18">
        <f>IF($D$6=0,0,E10/ABS($D$6))</f>
        <v/>
      </c>
      <c r="G10" s="17">
        <f>RANK(E10,$E$7:$E$15)</f>
        <v/>
      </c>
    </row>
    <row r="11">
      <c r="B11" t="inlineStr">
        <is>
          <t>10 % más asistentes en vivo que solicitan (oferta, pitch)</t>
        </is>
      </c>
      <c r="C11" t="inlineStr">
        <is>
          <t>+10 %</t>
        </is>
      </c>
      <c r="D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1.1))+(((IF((IF('Supuestos'!$C$13=0,0,'Supuestos'!$C$10/'Supuestos'!$C$13))=0,0,'Supuestos'!$C$8/(IF('Supuestos'!$C$13=0,0,'Supuestos'!$C$10/'Supuestos'!$C$13))))*'Supuestos'!$C$21)*'Supuestos'!$C$26))*'Supuestos'!$C$27)*'Supuestos'!$C$24)+(((((((IF((IF('Supuestos'!$C$13=0,0,'Supuestos'!$C$10/'Supuestos'!$C$13))=0,0,'Supuestos'!$C$8/(IF('Supuestos'!$C$13=0,0,'Supuestos'!$C$10/'Supuestos'!$C$13))))*'Supuestos'!$C$20)*('Supuestos'!$C$25*1.1))+(((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1" s="26">
        <f>D11-$D$6</f>
        <v/>
      </c>
      <c r="F11" s="18">
        <f>IF($D$6=0,0,E11/ABS($D$6))</f>
        <v/>
      </c>
      <c r="G11" s="17">
        <f>RANK(E11,$E$7:$E$15)</f>
        <v/>
      </c>
    </row>
    <row r="12">
      <c r="B12" t="inlineStr">
        <is>
          <t>10 % más solicitudes que terminan en compra (seguimiento, vendedor)</t>
        </is>
      </c>
      <c r="C12" t="inlineStr">
        <is>
          <t>+10 %</t>
        </is>
      </c>
      <c r="D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1.1))*'Supuestos'!$C$24)+(((((((IF((IF('Supuestos'!$C$13=0,0,'Supuestos'!$C$10/'Supuestos'!$C$13))=0,0,'Supuestos'!$C$8/(IF('Supuestos'!$C$13=0,0,'Supuestos'!$C$10/'Supuestos'!$C$13))))*'Supuestos'!$C$20)*'Supuestos'!$C$25)+(((IF((IF('Supuestos'!$C$13=0,0,'Supuestos'!$C$10/'Supuestos'!$C$13))=0,0,'Supuestos'!$C$8/(IF('Supuestos'!$C$13=0,0,'Supuestos'!$C$10/'Supuestos'!$C$13))))*'Supuestos'!$C$21)*'Supuestos'!$C$26))*('Supuestos'!$C$27*1.1))*'Supuestos'!$C$29)*'Supuestos'!$C$28))*('Supuestos'!$C$39+'Supuestos'!$C$40+'Supuestos'!$C$41))*(1-'Supuestos'!$C$32-'Supuestos'!$C$33-'Supuestos'!$C$34))-((IF((IF('Supuestos'!$C$13=0,0,'Supuestos'!$C$10/'Supuestos'!$C$13))=0,0,'Supuestos'!$C$8/(IF('Supuestos'!$C$13=0,0,'Supuestos'!$C$10/'Supuestos'!$C$13))))*'Supuestos'!$C$35)-'Supuestos'!$C$36-'Supuestos'!$C$8)</f>
        <v/>
      </c>
      <c r="E12" s="26">
        <f>D12-$D$6</f>
        <v/>
      </c>
      <c r="F12" s="18">
        <f>IF($D$6=0,0,E12/ABS($D$6))</f>
        <v/>
      </c>
      <c r="G12" s="17">
        <f>RANK(E12,$E$7:$E$15)</f>
        <v/>
      </c>
    </row>
    <row r="13">
      <c r="B13" t="inlineStr">
        <is>
          <t>Precio de la oferta 10 % más alto (misma conversión)</t>
        </is>
      </c>
      <c r="C13" t="inlineStr">
        <is>
          <t>+10 %</t>
        </is>
      </c>
      <c r="D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1.1))+(((((((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3" s="26">
        <f>D13-$D$6</f>
        <v/>
      </c>
      <c r="F13" s="18">
        <f>IF($D$6=0,0,E13/ABS($D$6))</f>
        <v/>
      </c>
      <c r="G13" s="17">
        <f>RANK(E13,$E$7:$E$15)</f>
        <v/>
      </c>
    </row>
    <row r="14">
      <c r="B14" t="inlineStr">
        <is>
          <t>Programa superior 10 % más tomado</t>
        </is>
      </c>
      <c r="C14" t="inlineStr">
        <is>
          <t>+10 %</t>
        </is>
      </c>
      <c r="D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1.1))*'Supuestos'!$C$28))*('Supuestos'!$C$39+'Supuestos'!$C$40+'Supuestos'!$C$41))*(1-'Supuestos'!$C$32-'Supuestos'!$C$33-'Supuestos'!$C$34))-((IF((IF('Supuestos'!$C$13=0,0,'Supuestos'!$C$10/'Supuestos'!$C$13))=0,0,'Supuestos'!$C$8/(IF('Supuestos'!$C$13=0,0,'Supuestos'!$C$10/'Supuestos'!$C$13))))*'Supuestos'!$C$35)-'Supuestos'!$C$36-'Supuestos'!$C$8)</f>
        <v/>
      </c>
      <c r="E14" s="26">
        <f>D14-$D$6</f>
        <v/>
      </c>
      <c r="F14" s="18">
        <f>IF($D$6=0,0,E14/ABS($D$6))</f>
        <v/>
      </c>
      <c r="G14" s="17">
        <f>RANK(E14,$E$7:$E$15)</f>
        <v/>
      </c>
    </row>
    <row r="15">
      <c r="B15" t="inlineStr">
        <is>
          <t>Bump de la entrada 10 % más tomado</t>
        </is>
      </c>
      <c r="C15" t="inlineStr">
        <is>
          <t>+10 %</t>
        </is>
      </c>
      <c r="D15" s="26">
        <f>(((((((IF((IF('Supuestos'!$C$13=0,0,'Supuestos'!$C$10/'Supuestos'!$C$13))=0,0,'Supuestos'!$C$8/(IF('Supuestos'!$C$13=0,0,'Supuestos'!$C$10/'Supuestos'!$C$13))))*'Supuestos'!$C$14)+(((IF((IF('Supuestos'!$C$13=0,0,'Supuestos'!$C$10/'Supuestos'!$C$13))=0,0,'Supuestos'!$C$8/(IF('Supuestos'!$C$13=0,0,'Supuestos'!$C$10/'Supuestos'!$C$13))))*('Supuestos'!$C$16*1.1))*'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5" s="26">
        <f>D15-$D$6</f>
        <v/>
      </c>
      <c r="F15" s="18">
        <f>IF($D$6=0,0,E15/ABS($D$6))</f>
        <v/>
      </c>
      <c r="G15" s="17">
        <f>RANK(E15,$E$7:$E$15)</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6">
        <f>'Supuestos'!$C$8*'Supuestos'!$C$9</f>
        <v/>
      </c>
      <c r="D6" s="26">
        <f>C6*(1+'Supuestos'!$C$47)</f>
        <v/>
      </c>
      <c r="E6" s="26">
        <f>D6*(1+'Supuestos'!$C$47)</f>
        <v/>
      </c>
      <c r="F6" s="26">
        <f>E6*(1+'Supuestos'!$C$47)</f>
        <v/>
      </c>
      <c r="G6" s="26">
        <f>F6*(1+'Supuestos'!$C$47)</f>
        <v/>
      </c>
      <c r="H6" s="26">
        <f>G6*(1+'Supuestos'!$C$47)</f>
        <v/>
      </c>
      <c r="I6" s="26">
        <f>H6*(1+'Supuestos'!$C$47)</f>
        <v/>
      </c>
      <c r="J6" s="26">
        <f>I6*(1+'Supuestos'!$C$47)</f>
        <v/>
      </c>
      <c r="K6" s="26">
        <f>J6*(1+'Supuestos'!$C$47)</f>
        <v/>
      </c>
      <c r="L6" s="26">
        <f>K6*(1+'Supuestos'!$C$47)</f>
        <v/>
      </c>
      <c r="M6" s="26">
        <f>L6*(1+'Supuestos'!$C$47)</f>
        <v/>
      </c>
      <c r="N6" s="26">
        <f>M6*(1+'Supuestos'!$C$47)</f>
        <v/>
      </c>
      <c r="O6" s="9">
        <f>SUM(C6:N6)</f>
        <v/>
      </c>
    </row>
    <row r="7">
      <c r="B7" t="inlineStr">
        <is>
          <t>Entradas compradas</t>
        </is>
      </c>
      <c r="C7" s="17">
        <f>IF('Modelo'!$C$8=0,0,C6/'Modelo'!$C$8)</f>
        <v/>
      </c>
      <c r="D7" s="17">
        <f>IF('Modelo'!$C$8=0,0,D6/'Modelo'!$C$8)</f>
        <v/>
      </c>
      <c r="E7" s="17">
        <f>IF('Modelo'!$C$8=0,0,E6/'Modelo'!$C$8)</f>
        <v/>
      </c>
      <c r="F7" s="17">
        <f>IF('Modelo'!$C$8=0,0,F6/'Modelo'!$C$8)</f>
        <v/>
      </c>
      <c r="G7" s="17">
        <f>IF('Modelo'!$C$8=0,0,G6/'Modelo'!$C$8)</f>
        <v/>
      </c>
      <c r="H7" s="17">
        <f>IF('Modelo'!$C$8=0,0,H6/'Modelo'!$C$8)</f>
        <v/>
      </c>
      <c r="I7" s="17">
        <f>IF('Modelo'!$C$8=0,0,I6/'Modelo'!$C$8)</f>
        <v/>
      </c>
      <c r="J7" s="17">
        <f>IF('Modelo'!$C$8=0,0,J6/'Modelo'!$C$8)</f>
        <v/>
      </c>
      <c r="K7" s="17">
        <f>IF('Modelo'!$C$8=0,0,K6/'Modelo'!$C$8)</f>
        <v/>
      </c>
      <c r="L7" s="17">
        <f>IF('Modelo'!$C$8=0,0,L6/'Modelo'!$C$8)</f>
        <v/>
      </c>
      <c r="M7" s="17">
        <f>IF('Modelo'!$C$8=0,0,M6/'Modelo'!$C$8)</f>
        <v/>
      </c>
      <c r="N7" s="17">
        <f>IF('Modelo'!$C$8=0,0,N6/'Modelo'!$C$8)</f>
        <v/>
      </c>
      <c r="O7" s="11">
        <f>SUM(C7:N7)</f>
        <v/>
      </c>
    </row>
    <row r="8">
      <c r="B8" t="inlineStr">
        <is>
          <t>Ventas del producto principal</t>
        </is>
      </c>
      <c r="C8" s="27">
        <f>C7*'Modelo'!$C$35</f>
        <v/>
      </c>
      <c r="D8" s="27">
        <f>D7*'Modelo'!$C$35</f>
        <v/>
      </c>
      <c r="E8" s="27">
        <f>E7*'Modelo'!$C$35</f>
        <v/>
      </c>
      <c r="F8" s="27">
        <f>F7*'Modelo'!$C$35</f>
        <v/>
      </c>
      <c r="G8" s="27">
        <f>G7*'Modelo'!$C$35</f>
        <v/>
      </c>
      <c r="H8" s="27">
        <f>H7*'Modelo'!$C$35</f>
        <v/>
      </c>
      <c r="I8" s="27">
        <f>I7*'Modelo'!$C$35</f>
        <v/>
      </c>
      <c r="J8" s="27">
        <f>J7*'Modelo'!$C$35</f>
        <v/>
      </c>
      <c r="K8" s="27">
        <f>K7*'Modelo'!$C$35</f>
        <v/>
      </c>
      <c r="L8" s="27">
        <f>L7*'Modelo'!$C$35</f>
        <v/>
      </c>
      <c r="M8" s="27">
        <f>M7*'Modelo'!$C$35</f>
        <v/>
      </c>
      <c r="N8" s="27">
        <f>N7*'Modelo'!$C$35</f>
        <v/>
      </c>
      <c r="O8" s="12">
        <f>SUM(C8:N8)</f>
        <v/>
      </c>
    </row>
    <row r="9">
      <c r="B9" t="inlineStr">
        <is>
          <t>Facturado (todos los productos)</t>
        </is>
      </c>
      <c r="C9" s="26">
        <f>C7*'Modelo'!$C$36</f>
        <v/>
      </c>
      <c r="D9" s="26">
        <f>D7*'Modelo'!$C$36</f>
        <v/>
      </c>
      <c r="E9" s="26">
        <f>E7*'Modelo'!$C$36</f>
        <v/>
      </c>
      <c r="F9" s="26">
        <f>F7*'Modelo'!$C$36</f>
        <v/>
      </c>
      <c r="G9" s="26">
        <f>G7*'Modelo'!$C$36</f>
        <v/>
      </c>
      <c r="H9" s="26">
        <f>H7*'Modelo'!$C$36</f>
        <v/>
      </c>
      <c r="I9" s="26">
        <f>I7*'Modelo'!$C$36</f>
        <v/>
      </c>
      <c r="J9" s="26">
        <f>J7*'Modelo'!$C$36</f>
        <v/>
      </c>
      <c r="K9" s="26">
        <f>K7*'Modelo'!$C$36</f>
        <v/>
      </c>
      <c r="L9" s="26">
        <f>L7*'Modelo'!$C$36</f>
        <v/>
      </c>
      <c r="M9" s="26">
        <f>M7*'Modelo'!$C$36</f>
        <v/>
      </c>
      <c r="N9" s="26">
        <f>N7*'Modelo'!$C$36</f>
        <v/>
      </c>
      <c r="O9" s="9">
        <f>SUM(C9:N9)</f>
        <v/>
      </c>
    </row>
    <row r="10">
      <c r="B10" t="inlineStr">
        <is>
          <t>Cash cobrado en el mes</t>
        </is>
      </c>
      <c r="C10" s="26">
        <f>C9*'Supuestos'!$C$39</f>
        <v/>
      </c>
      <c r="D10" s="26">
        <f>D9*'Supuestos'!$C$39+C9*'Supuestos'!$C$40</f>
        <v/>
      </c>
      <c r="E10" s="26">
        <f>E9*'Supuestos'!$C$39+D9*'Supuestos'!$C$40+C9*'Supuestos'!$C$41</f>
        <v/>
      </c>
      <c r="F10" s="26">
        <f>F9*'Supuestos'!$C$39+E9*'Supuestos'!$C$40+D9*'Supuestos'!$C$41</f>
        <v/>
      </c>
      <c r="G10" s="26">
        <f>G9*'Supuestos'!$C$39+F9*'Supuestos'!$C$40+E9*'Supuestos'!$C$41</f>
        <v/>
      </c>
      <c r="H10" s="26">
        <f>H9*'Supuestos'!$C$39+G9*'Supuestos'!$C$40+F9*'Supuestos'!$C$41</f>
        <v/>
      </c>
      <c r="I10" s="26">
        <f>I9*'Supuestos'!$C$39+H9*'Supuestos'!$C$40+G9*'Supuestos'!$C$41</f>
        <v/>
      </c>
      <c r="J10" s="26">
        <f>J9*'Supuestos'!$C$39+I9*'Supuestos'!$C$40+H9*'Supuestos'!$C$41</f>
        <v/>
      </c>
      <c r="K10" s="26">
        <f>K9*'Supuestos'!$C$39+J9*'Supuestos'!$C$40+I9*'Supuestos'!$C$41</f>
        <v/>
      </c>
      <c r="L10" s="26">
        <f>L9*'Supuestos'!$C$39+K9*'Supuestos'!$C$40+J9*'Supuestos'!$C$41</f>
        <v/>
      </c>
      <c r="M10" s="26">
        <f>M9*'Supuestos'!$C$39+L9*'Supuestos'!$C$40+K9*'Supuestos'!$C$41</f>
        <v/>
      </c>
      <c r="N10" s="26">
        <f>N9*'Supuestos'!$C$39+M9*'Supuestos'!$C$40+L9*'Supuestos'!$C$41</f>
        <v/>
      </c>
      <c r="O10" s="9">
        <f>SUM(C10:N10)</f>
        <v/>
      </c>
    </row>
    <row r="11">
      <c r="B11" t="inlineStr">
        <is>
          <t>Comisiones y reembolsos</t>
        </is>
      </c>
      <c r="C11" s="26">
        <f>C10*('Supuestos'!$C$32+'Supuestos'!$C$33+'Supuestos'!$C$34)</f>
        <v/>
      </c>
      <c r="D11" s="26">
        <f>D10*('Supuestos'!$C$32+'Supuestos'!$C$33+'Supuestos'!$C$34)</f>
        <v/>
      </c>
      <c r="E11" s="26">
        <f>E10*('Supuestos'!$C$32+'Supuestos'!$C$33+'Supuestos'!$C$34)</f>
        <v/>
      </c>
      <c r="F11" s="26">
        <f>F10*('Supuestos'!$C$32+'Supuestos'!$C$33+'Supuestos'!$C$34)</f>
        <v/>
      </c>
      <c r="G11" s="26">
        <f>G10*('Supuestos'!$C$32+'Supuestos'!$C$33+'Supuestos'!$C$34)</f>
        <v/>
      </c>
      <c r="H11" s="26">
        <f>H10*('Supuestos'!$C$32+'Supuestos'!$C$33+'Supuestos'!$C$34)</f>
        <v/>
      </c>
      <c r="I11" s="26">
        <f>I10*('Supuestos'!$C$32+'Supuestos'!$C$33+'Supuestos'!$C$34)</f>
        <v/>
      </c>
      <c r="J11" s="26">
        <f>J10*('Supuestos'!$C$32+'Supuestos'!$C$33+'Supuestos'!$C$34)</f>
        <v/>
      </c>
      <c r="K11" s="26">
        <f>K10*('Supuestos'!$C$32+'Supuestos'!$C$33+'Supuestos'!$C$34)</f>
        <v/>
      </c>
      <c r="L11" s="26">
        <f>L10*('Supuestos'!$C$32+'Supuestos'!$C$33+'Supuestos'!$C$34)</f>
        <v/>
      </c>
      <c r="M11" s="26">
        <f>M10*('Supuestos'!$C$32+'Supuestos'!$C$33+'Supuestos'!$C$34)</f>
        <v/>
      </c>
      <c r="N11" s="26">
        <f>N10*('Supuestos'!$C$32+'Supuestos'!$C$33+'Supuestos'!$C$34)</f>
        <v/>
      </c>
      <c r="O11" s="9">
        <f>SUM(C11:N11)</f>
        <v/>
      </c>
    </row>
    <row r="12">
      <c r="B12" t="inlineStr">
        <is>
          <t>Costos por unidad (herramientas, WhatsApp, IA)</t>
        </is>
      </c>
      <c r="C12" s="26">
        <f>C7*'Supuestos'!$C$35</f>
        <v/>
      </c>
      <c r="D12" s="26">
        <f>D7*'Supuestos'!$C$35</f>
        <v/>
      </c>
      <c r="E12" s="26">
        <f>E7*'Supuestos'!$C$35</f>
        <v/>
      </c>
      <c r="F12" s="26">
        <f>F7*'Supuestos'!$C$35</f>
        <v/>
      </c>
      <c r="G12" s="26">
        <f>G7*'Supuestos'!$C$35</f>
        <v/>
      </c>
      <c r="H12" s="26">
        <f>H7*'Supuestos'!$C$35</f>
        <v/>
      </c>
      <c r="I12" s="26">
        <f>I7*'Supuestos'!$C$35</f>
        <v/>
      </c>
      <c r="J12" s="26">
        <f>J7*'Supuestos'!$C$35</f>
        <v/>
      </c>
      <c r="K12" s="26">
        <f>K7*'Supuestos'!$C$35</f>
        <v/>
      </c>
      <c r="L12" s="26">
        <f>L7*'Supuestos'!$C$35</f>
        <v/>
      </c>
      <c r="M12" s="26">
        <f>M7*'Supuestos'!$C$35</f>
        <v/>
      </c>
      <c r="N12" s="26">
        <f>N7*'Supuestos'!$C$35</f>
        <v/>
      </c>
      <c r="O12" s="9">
        <f>SUM(C12:N12)</f>
        <v/>
      </c>
    </row>
    <row r="13">
      <c r="B13" t="inlineStr">
        <is>
          <t>Costos fijos del mes</t>
        </is>
      </c>
      <c r="C13" s="26">
        <f>'Supuestos'!$C$36*'Supuestos'!$C$9</f>
        <v/>
      </c>
      <c r="D13" s="26">
        <f>'Supuestos'!$C$36*'Supuestos'!$C$9</f>
        <v/>
      </c>
      <c r="E13" s="26">
        <f>'Supuestos'!$C$36*'Supuestos'!$C$9</f>
        <v/>
      </c>
      <c r="F13" s="26">
        <f>'Supuestos'!$C$36*'Supuestos'!$C$9</f>
        <v/>
      </c>
      <c r="G13" s="26">
        <f>'Supuestos'!$C$36*'Supuestos'!$C$9</f>
        <v/>
      </c>
      <c r="H13" s="26">
        <f>'Supuestos'!$C$36*'Supuestos'!$C$9</f>
        <v/>
      </c>
      <c r="I13" s="26">
        <f>'Supuestos'!$C$36*'Supuestos'!$C$9</f>
        <v/>
      </c>
      <c r="J13" s="26">
        <f>'Supuestos'!$C$36*'Supuestos'!$C$9</f>
        <v/>
      </c>
      <c r="K13" s="26">
        <f>'Supuestos'!$C$36*'Supuestos'!$C$9</f>
        <v/>
      </c>
      <c r="L13" s="26">
        <f>'Supuestos'!$C$36*'Supuestos'!$C$9</f>
        <v/>
      </c>
      <c r="M13" s="26">
        <f>'Supuestos'!$C$36*'Supuestos'!$C$9</f>
        <v/>
      </c>
      <c r="N13" s="26">
        <f>'Supuestos'!$C$36*'Supuestos'!$C$9</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6">
        <f>'Supuestos'!$C$48+C15</f>
        <v/>
      </c>
      <c r="D16" s="26">
        <f>'Supuestos'!$C$48+D15</f>
        <v/>
      </c>
      <c r="E16" s="26">
        <f>'Supuestos'!$C$48+E15</f>
        <v/>
      </c>
      <c r="F16" s="26">
        <f>'Supuestos'!$C$48+F15</f>
        <v/>
      </c>
      <c r="G16" s="26">
        <f>'Supuestos'!$C$48+G15</f>
        <v/>
      </c>
      <c r="H16" s="26">
        <f>'Supuestos'!$C$48+H15</f>
        <v/>
      </c>
      <c r="I16" s="26">
        <f>'Supuestos'!$C$48+I15</f>
        <v/>
      </c>
      <c r="J16" s="26">
        <f>'Supuestos'!$C$48+J15</f>
        <v/>
      </c>
      <c r="K16" s="26">
        <f>'Supuestos'!$C$48+K15</f>
        <v/>
      </c>
      <c r="L16" s="26">
        <f>'Supuestos'!$C$48+L15</f>
        <v/>
      </c>
      <c r="M16" s="26">
        <f>'Supuestos'!$C$48+M15</f>
        <v/>
      </c>
      <c r="N16" s="26">
        <f>'Supuestos'!$C$48+N15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Q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lanzamiento</t>
        </is>
      </c>
    </row>
    <row r="3">
      <c r="B3" s="3" t="inlineStr">
        <is>
          <t>Cargá los datos reales en las celdas amarillas. El semáforo compara tu costo real por entrada con el techo móvil (lo que rindieron tus últimas 4 columnas) y con el techo del modelo.</t>
        </is>
      </c>
    </row>
    <row r="5">
      <c r="B5" s="6" t="inlineStr">
        <is>
          <t>Dato</t>
        </is>
      </c>
      <c r="C5" s="6" t="inlineStr">
        <is>
          <t>Lanzamiento 1</t>
        </is>
      </c>
      <c r="D5" s="6" t="inlineStr">
        <is>
          <t>Lanzamiento 2</t>
        </is>
      </c>
      <c r="E5" s="6" t="inlineStr">
        <is>
          <t>Lanzamiento 3</t>
        </is>
      </c>
      <c r="F5" s="6" t="inlineStr">
        <is>
          <t>Lanzamiento 4</t>
        </is>
      </c>
      <c r="G5" s="6" t="inlineStr">
        <is>
          <t>Lanzamiento 5</t>
        </is>
      </c>
      <c r="H5" s="6" t="inlineStr">
        <is>
          <t>Lanzamiento 6</t>
        </is>
      </c>
      <c r="I5" s="6" t="inlineStr">
        <is>
          <t>Lanzamiento 7</t>
        </is>
      </c>
      <c r="J5" s="6" t="inlineStr">
        <is>
          <t>Lanzamiento 8</t>
        </is>
      </c>
      <c r="K5" s="6" t="inlineStr">
        <is>
          <t>Lanzamiento 9</t>
        </is>
      </c>
      <c r="L5" s="6" t="inlineStr">
        <is>
          <t>Lanzamiento 10</t>
        </is>
      </c>
      <c r="M5" s="6" t="inlineStr">
        <is>
          <t>Lanzamiento 11</t>
        </is>
      </c>
      <c r="N5" s="6" t="inlineStr">
        <is>
          <t>Lanzamiento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2" t="n">
        <v>3000</v>
      </c>
      <c r="D7" s="22" t="n">
        <v>3200</v>
      </c>
      <c r="E7" s="22" t="n">
        <v>3600</v>
      </c>
      <c r="F7" s="22" t="n"/>
      <c r="G7" s="22" t="n"/>
      <c r="H7" s="22" t="n"/>
      <c r="I7" s="22" t="n"/>
      <c r="J7" s="22" t="n"/>
      <c r="K7" s="22" t="n"/>
      <c r="L7" s="22" t="n"/>
      <c r="M7" s="22" t="n"/>
      <c r="N7" s="22" t="n"/>
      <c r="O7" s="26">
        <f>IF(COUNT(C7:N7)=0,"",AVERAGE(C7:N7))</f>
        <v/>
      </c>
      <c r="P7" s="26">
        <f>IF(COUNT(C7:N7)=0,"",MAX(C7:N7))</f>
        <v/>
      </c>
      <c r="Q7" s="26">
        <f>IF(COUNT(C7:N7)=0,"",MIN(C7:N7))</f>
        <v/>
      </c>
    </row>
    <row r="8">
      <c r="B8" t="inlineStr">
        <is>
          <t>Visitas a la página de ventas</t>
        </is>
      </c>
      <c r="C8" s="21" t="n">
        <v>8600</v>
      </c>
      <c r="D8" s="21" t="n">
        <v>8900</v>
      </c>
      <c r="E8" s="21" t="n">
        <v>9700</v>
      </c>
      <c r="F8" s="21" t="n"/>
      <c r="G8" s="21" t="n"/>
      <c r="H8" s="21" t="n"/>
      <c r="I8" s="21" t="n"/>
      <c r="J8" s="21" t="n"/>
      <c r="K8" s="21" t="n"/>
      <c r="L8" s="21" t="n"/>
      <c r="M8" s="21" t="n"/>
      <c r="N8" s="21" t="n"/>
      <c r="O8" s="17">
        <f>IF(COUNT(C8:N8)=0,"",AVERAGE(C8:N8))</f>
        <v/>
      </c>
      <c r="P8" s="17">
        <f>IF(COUNT(C8:N8)=0,"",MAX(C8:N8))</f>
        <v/>
      </c>
      <c r="Q8" s="17">
        <f>IF(COUNT(C8:N8)=0,"",MIN(C8:N8))</f>
        <v/>
      </c>
    </row>
    <row r="9">
      <c r="B9" t="inlineStr">
        <is>
          <t>Entradas vendidas</t>
        </is>
      </c>
      <c r="C9" s="21" t="n">
        <v>214</v>
      </c>
      <c r="D9" s="21" t="n">
        <v>220</v>
      </c>
      <c r="E9" s="21" t="n">
        <v>235</v>
      </c>
      <c r="F9" s="21" t="n"/>
      <c r="G9" s="21" t="n"/>
      <c r="H9" s="21" t="n"/>
      <c r="I9" s="21" t="n"/>
      <c r="J9" s="21" t="n"/>
      <c r="K9" s="21" t="n"/>
      <c r="L9" s="21" t="n"/>
      <c r="M9" s="21" t="n"/>
      <c r="N9" s="21" t="n"/>
      <c r="O9" s="17">
        <f>IF(COUNT(C9:N9)=0,"",AVERAGE(C9:N9))</f>
        <v/>
      </c>
      <c r="P9" s="17">
        <f>IF(COUNT(C9:N9)=0,"",MAX(C9:N9))</f>
        <v/>
      </c>
      <c r="Q9" s="17">
        <f>IF(COUNT(C9:N9)=0,"",MIN(C9:N9))</f>
        <v/>
      </c>
    </row>
    <row r="10">
      <c r="B10" t="inlineStr">
        <is>
          <t>Bumps de la entrada</t>
        </is>
      </c>
      <c r="C10" s="21" t="n">
        <v>43</v>
      </c>
      <c r="D10" s="21" t="n">
        <v>40</v>
      </c>
      <c r="E10" s="21" t="n">
        <v>50</v>
      </c>
      <c r="F10" s="21" t="n"/>
      <c r="G10" s="21" t="n"/>
      <c r="H10" s="21" t="n"/>
      <c r="I10" s="21" t="n"/>
      <c r="J10" s="21" t="n"/>
      <c r="K10" s="21" t="n"/>
      <c r="L10" s="21" t="n"/>
      <c r="M10" s="21" t="n"/>
      <c r="N10" s="21" t="n"/>
      <c r="O10" s="17">
        <f>IF(COUNT(C10:N10)=0,"",AVERAGE(C10:N10))</f>
        <v/>
      </c>
      <c r="P10" s="17">
        <f>IF(COUNT(C10:N10)=0,"",MAX(C10:N10))</f>
        <v/>
      </c>
      <c r="Q10" s="17">
        <f>IF(COUNT(C10:N10)=0,"",MIN(C10:N10))</f>
        <v/>
      </c>
    </row>
    <row r="11">
      <c r="B11" t="inlineStr">
        <is>
          <t>Entraron al grupo</t>
        </is>
      </c>
      <c r="C11" s="21" t="n">
        <v>182</v>
      </c>
      <c r="D11" s="21" t="n">
        <v>190</v>
      </c>
      <c r="E11" s="21" t="n">
        <v>200</v>
      </c>
      <c r="F11" s="21" t="n"/>
      <c r="G11" s="21" t="n"/>
      <c r="H11" s="21" t="n"/>
      <c r="I11" s="21" t="n"/>
      <c r="J11" s="21" t="n"/>
      <c r="K11" s="21" t="n"/>
      <c r="L11" s="21" t="n"/>
      <c r="M11" s="21" t="n"/>
      <c r="N11" s="21" t="n"/>
      <c r="O11" s="17">
        <f>IF(COUNT(C11:N11)=0,"",AVERAGE(C11:N11))</f>
        <v/>
      </c>
      <c r="P11" s="17">
        <f>IF(COUNT(C11:N11)=0,"",MAX(C11:N11))</f>
        <v/>
      </c>
      <c r="Q11" s="17">
        <f>IF(COUNT(C11:N11)=0,"",MIN(C11:N11))</f>
        <v/>
      </c>
    </row>
    <row r="12">
      <c r="B12" t="inlineStr">
        <is>
          <t>Asistentes en vivo</t>
        </is>
      </c>
      <c r="C12" s="21" t="n">
        <v>118</v>
      </c>
      <c r="D12" s="21" t="n">
        <v>115</v>
      </c>
      <c r="E12" s="21" t="n">
        <v>135</v>
      </c>
      <c r="F12" s="21" t="n"/>
      <c r="G12" s="21" t="n"/>
      <c r="H12" s="21" t="n"/>
      <c r="I12" s="21" t="n"/>
      <c r="J12" s="21" t="n"/>
      <c r="K12" s="21" t="n"/>
      <c r="L12" s="21" t="n"/>
      <c r="M12" s="21" t="n"/>
      <c r="N12" s="21" t="n"/>
      <c r="O12" s="17">
        <f>IF(COUNT(C12:N12)=0,"",AVERAGE(C12:N12))</f>
        <v/>
      </c>
      <c r="P12" s="17">
        <f>IF(COUNT(C12:N12)=0,"",MAX(C12:N12))</f>
        <v/>
      </c>
      <c r="Q12" s="17">
        <f>IF(COUNT(C12:N12)=0,"",MIN(C12:N12))</f>
        <v/>
      </c>
    </row>
    <row r="13">
      <c r="B13" t="inlineStr">
        <is>
          <t>Vieron el replay</t>
        </is>
      </c>
      <c r="C13" s="21" t="n">
        <v>54</v>
      </c>
      <c r="D13" s="21" t="n">
        <v>60</v>
      </c>
      <c r="E13" s="21" t="n">
        <v>58</v>
      </c>
      <c r="F13" s="21" t="n"/>
      <c r="G13" s="21" t="n"/>
      <c r="H13" s="21" t="n"/>
      <c r="I13" s="21" t="n"/>
      <c r="J13" s="21" t="n"/>
      <c r="K13" s="21" t="n"/>
      <c r="L13" s="21" t="n"/>
      <c r="M13" s="21" t="n"/>
      <c r="N13" s="21" t="n"/>
      <c r="O13" s="17">
        <f>IF(COUNT(C13:N13)=0,"",AVERAGE(C13:N13))</f>
        <v/>
      </c>
      <c r="P13" s="17">
        <f>IF(COUNT(C13:N13)=0,"",MAX(C13:N13))</f>
        <v/>
      </c>
      <c r="Q13" s="17">
        <f>IF(COUNT(C13:N13)=0,"",MIN(C13:N13))</f>
        <v/>
      </c>
    </row>
    <row r="14">
      <c r="B14" t="inlineStr">
        <is>
          <t>Solicitudes (formulario de compra, aplicación o vendedor)</t>
        </is>
      </c>
      <c r="C14" s="21" t="n">
        <v>22</v>
      </c>
      <c r="D14" s="21" t="n">
        <v>19</v>
      </c>
      <c r="E14" s="21" t="n">
        <v>26</v>
      </c>
      <c r="F14" s="21" t="n"/>
      <c r="G14" s="21" t="n"/>
      <c r="H14" s="21" t="n"/>
      <c r="I14" s="21" t="n"/>
      <c r="J14" s="21" t="n"/>
      <c r="K14" s="21" t="n"/>
      <c r="L14" s="21" t="n"/>
      <c r="M14" s="21" t="n"/>
      <c r="N14" s="21" t="n"/>
      <c r="O14" s="17">
        <f>IF(COUNT(C14:N14)=0,"",AVERAGE(C14:N14))</f>
        <v/>
      </c>
      <c r="P14" s="17">
        <f>IF(COUNT(C14:N14)=0,"",MAX(C14:N14))</f>
        <v/>
      </c>
      <c r="Q14" s="17">
        <f>IF(COUNT(C14:N14)=0,"",MIN(C14:N14))</f>
        <v/>
      </c>
    </row>
    <row r="15">
      <c r="B15" t="inlineStr">
        <is>
          <t>Ventas de la oferta</t>
        </is>
      </c>
      <c r="C15" s="21" t="n">
        <v>11</v>
      </c>
      <c r="D15" s="21" t="n">
        <v>9</v>
      </c>
      <c r="E15" s="21" t="n">
        <v>13</v>
      </c>
      <c r="F15" s="21" t="n"/>
      <c r="G15" s="21" t="n"/>
      <c r="H15" s="21" t="n"/>
      <c r="I15" s="21" t="n"/>
      <c r="J15" s="21" t="n"/>
      <c r="K15" s="21" t="n"/>
      <c r="L15" s="21" t="n"/>
      <c r="M15" s="21" t="n"/>
      <c r="N15" s="21" t="n"/>
      <c r="O15" s="17">
        <f>IF(COUNT(C15:N15)=0,"",AVERAGE(C15:N15))</f>
        <v/>
      </c>
      <c r="P15" s="17">
        <f>IF(COUNT(C15:N15)=0,"",MAX(C15:N15))</f>
        <v/>
      </c>
      <c r="Q15" s="17">
        <f>IF(COUNT(C15:N15)=0,"",MIN(C15:N15))</f>
        <v/>
      </c>
    </row>
    <row r="16">
      <c r="B16" t="inlineStr">
        <is>
          <t>Ventas del programa superior</t>
        </is>
      </c>
      <c r="C16" s="21" t="n">
        <v>1</v>
      </c>
      <c r="D16" s="21" t="n">
        <v>1</v>
      </c>
      <c r="E16" s="21" t="n">
        <v>2</v>
      </c>
      <c r="F16" s="21" t="n"/>
      <c r="G16" s="21" t="n"/>
      <c r="H16" s="21" t="n"/>
      <c r="I16" s="21" t="n"/>
      <c r="J16" s="21" t="n"/>
      <c r="K16" s="21" t="n"/>
      <c r="L16" s="21" t="n"/>
      <c r="M16" s="21" t="n"/>
      <c r="N16" s="21" t="n"/>
      <c r="O16" s="17">
        <f>IF(COUNT(C16:N16)=0,"",AVERAGE(C16:N16))</f>
        <v/>
      </c>
      <c r="P16" s="17">
        <f>IF(COUNT(C16:N16)=0,"",MAX(C16:N16))</f>
        <v/>
      </c>
      <c r="Q16" s="17">
        <f>IF(COUNT(C16:N16)=0,"",MIN(C16:N16))</f>
        <v/>
      </c>
    </row>
    <row r="17">
      <c r="B17" t="inlineStr">
        <is>
          <t>Facturado del lanzamiento (a precio de lista, con cuotas por cobrar)</t>
        </is>
      </c>
      <c r="C17" s="22" t="n">
        <v>10400</v>
      </c>
      <c r="D17" s="22" t="n">
        <v>9000</v>
      </c>
      <c r="E17" s="22" t="n">
        <v>12300</v>
      </c>
      <c r="F17" s="22" t="n"/>
      <c r="G17" s="22" t="n"/>
      <c r="H17" s="22" t="n"/>
      <c r="I17" s="22" t="n"/>
      <c r="J17" s="22" t="n"/>
      <c r="K17" s="22" t="n"/>
      <c r="L17" s="22" t="n"/>
      <c r="M17" s="22" t="n"/>
      <c r="N17" s="22" t="n"/>
      <c r="O17" s="26">
        <f>IF(COUNT(C17:N17)=0,"",AVERAGE(C17:N17))</f>
        <v/>
      </c>
      <c r="P17" s="26">
        <f>IF(COUNT(C17:N17)=0,"",MAX(C17:N17))</f>
        <v/>
      </c>
      <c r="Q17" s="26">
        <f>IF(COUNT(C17:N17)=0,"",MIN(C17:N17))</f>
        <v/>
      </c>
    </row>
    <row r="18">
      <c r="B18" t="inlineStr">
        <is>
          <t>Cash cobrado hasta ahora de ese lanzamiento</t>
        </is>
      </c>
      <c r="C18" s="22" t="n">
        <v>6900</v>
      </c>
      <c r="D18" s="22" t="n">
        <v>6300</v>
      </c>
      <c r="E18" s="22" t="n">
        <v>8200</v>
      </c>
      <c r="F18" s="22" t="n"/>
      <c r="G18" s="22" t="n"/>
      <c r="H18" s="22" t="n"/>
      <c r="I18" s="22" t="n"/>
      <c r="J18" s="22" t="n"/>
      <c r="K18" s="22" t="n"/>
      <c r="L18" s="22" t="n"/>
      <c r="M18" s="22" t="n"/>
      <c r="N18" s="22" t="n"/>
      <c r="O18" s="26">
        <f>IF(COUNT(C18:N18)=0,"",AVERAGE(C18:N18))</f>
        <v/>
      </c>
      <c r="P18" s="26">
        <f>IF(COUNT(C18:N18)=0,"",MAX(C18:N18))</f>
        <v/>
      </c>
      <c r="Q18" s="26">
        <f>IF(COUNT(C18:N18)=0,"",MIN(C18:N18))</f>
        <v/>
      </c>
    </row>
    <row r="19">
      <c r="B19" s="7" t="inlineStr">
        <is>
          <t>Lo que calcula el modelo</t>
        </is>
      </c>
      <c r="C19" s="8" t="n"/>
      <c r="D19" s="8" t="n"/>
      <c r="E19" s="8" t="n"/>
      <c r="F19" s="8" t="n"/>
      <c r="G19" s="8" t="n"/>
      <c r="H19" s="8" t="n"/>
      <c r="I19" s="8" t="n"/>
      <c r="J19" s="8" t="n"/>
      <c r="K19" s="8" t="n"/>
      <c r="L19" s="8" t="n"/>
      <c r="M19" s="8" t="n"/>
      <c r="N19" s="8" t="n"/>
    </row>
    <row r="20">
      <c r="B20" s="4" t="inlineStr">
        <is>
          <t>Costo por entrada real</t>
        </is>
      </c>
      <c r="C20" s="13">
        <f>IF(COUNT(C7:C18)&lt;12,"",IF(C9=0,0,C7/C9))</f>
        <v/>
      </c>
      <c r="D20" s="13">
        <f>IF(COUNT(D7:D18)&lt;12,"",IF(D9=0,0,D7/D9))</f>
        <v/>
      </c>
      <c r="E20" s="13">
        <f>IF(COUNT(E7:E18)&lt;12,"",IF(E9=0,0,E7/E9))</f>
        <v/>
      </c>
      <c r="F20" s="13">
        <f>IF(COUNT(F7:F18)&lt;12,"",IF(F9=0,0,F7/F9))</f>
        <v/>
      </c>
      <c r="G20" s="13">
        <f>IF(COUNT(G7:G18)&lt;12,"",IF(G9=0,0,G7/G9))</f>
        <v/>
      </c>
      <c r="H20" s="13">
        <f>IF(COUNT(H7:H18)&lt;12,"",IF(H9=0,0,H7/H9))</f>
        <v/>
      </c>
      <c r="I20" s="13">
        <f>IF(COUNT(I7:I18)&lt;12,"",IF(I9=0,0,I7/I9))</f>
        <v/>
      </c>
      <c r="J20" s="13">
        <f>IF(COUNT(J7:J18)&lt;12,"",IF(J9=0,0,J7/J9))</f>
        <v/>
      </c>
      <c r="K20" s="13">
        <f>IF(COUNT(K7:K18)&lt;12,"",IF(K9=0,0,K7/K9))</f>
        <v/>
      </c>
      <c r="L20" s="13">
        <f>IF(COUNT(L7:L18)&lt;12,"",IF(L9=0,0,L7/L9))</f>
        <v/>
      </c>
      <c r="M20" s="13">
        <f>IF(COUNT(M7:M18)&lt;12,"",IF(M9=0,0,M7/M9))</f>
        <v/>
      </c>
      <c r="N20" s="13">
        <f>IF(COUNT(N7:N18)&lt;12,"",IF(N9=0,0,N7/N9))</f>
        <v/>
      </c>
      <c r="O20" s="20">
        <f>IF(COUNT(C20:N20)=0,"",AVERAGE(C20:N20))</f>
        <v/>
      </c>
      <c r="P20" s="20">
        <f>IF(COUNT(C20:N20)=0,"",MAX(C20:N20))</f>
        <v/>
      </c>
      <c r="Q20" s="20">
        <f>IF(COUNT(C20:N20)=0,"",MIN(C20:N20))</f>
        <v/>
      </c>
    </row>
    <row r="21">
      <c r="B21" t="inlineStr">
        <is>
          <t>% visita → entrada</t>
        </is>
      </c>
      <c r="C21" s="18">
        <f>IF(COUNT(C7:C18)&lt;12,"",IF(C8=0,0,C9/C8))</f>
        <v/>
      </c>
      <c r="D21" s="18">
        <f>IF(COUNT(D7:D18)&lt;12,"",IF(D8=0,0,D9/D8))</f>
        <v/>
      </c>
      <c r="E21" s="18">
        <f>IF(COUNT(E7:E18)&lt;12,"",IF(E8=0,0,E9/E8))</f>
        <v/>
      </c>
      <c r="F21" s="18">
        <f>IF(COUNT(F7:F18)&lt;12,"",IF(F8=0,0,F9/F8))</f>
        <v/>
      </c>
      <c r="G21" s="18">
        <f>IF(COUNT(G7:G18)&lt;12,"",IF(G8=0,0,G9/G8))</f>
        <v/>
      </c>
      <c r="H21" s="18">
        <f>IF(COUNT(H7:H18)&lt;12,"",IF(H8=0,0,H9/H8))</f>
        <v/>
      </c>
      <c r="I21" s="18">
        <f>IF(COUNT(I7:I18)&lt;12,"",IF(I8=0,0,I9/I8))</f>
        <v/>
      </c>
      <c r="J21" s="18">
        <f>IF(COUNT(J7:J18)&lt;12,"",IF(J8=0,0,J9/J8))</f>
        <v/>
      </c>
      <c r="K21" s="18">
        <f>IF(COUNT(K7:K18)&lt;12,"",IF(K8=0,0,K9/K8))</f>
        <v/>
      </c>
      <c r="L21" s="18">
        <f>IF(COUNT(L7:L18)&lt;12,"",IF(L8=0,0,L9/L8))</f>
        <v/>
      </c>
      <c r="M21" s="18">
        <f>IF(COUNT(M7:M18)&lt;12,"",IF(M8=0,0,M9/M8))</f>
        <v/>
      </c>
      <c r="N21" s="18">
        <f>IF(COUNT(N7:N18)&lt;12,"",IF(N8=0,0,N9/N8))</f>
        <v/>
      </c>
      <c r="O21" s="18">
        <f>IF(COUNT(C21:N21)=0,"",AVERAGE(C21:N21))</f>
        <v/>
      </c>
      <c r="P21" s="18">
        <f>IF(COUNT(C21:N21)=0,"",MAX(C21:N21))</f>
        <v/>
      </c>
      <c r="Q21" s="18">
        <f>IF(COUNT(C21:N21)=0,"",MIN(C21:N21))</f>
        <v/>
      </c>
    </row>
    <row r="22">
      <c r="B22" s="4" t="inlineStr">
        <is>
          <t>ROAS del front (entradas × precio + bumps × precio ÷ inversión)</t>
        </is>
      </c>
      <c r="C22" s="10">
        <f>IF(COUNT(C7:C18)&lt;12,"",(C9*'Supuestos'!$C$14+C10*'Supuestos'!$C$15)/C7)</f>
        <v/>
      </c>
      <c r="D22" s="10">
        <f>IF(COUNT(D7:D18)&lt;12,"",(D9*'Supuestos'!$C$14+D10*'Supuestos'!$C$15)/D7)</f>
        <v/>
      </c>
      <c r="E22" s="10">
        <f>IF(COUNT(E7:E18)&lt;12,"",(E9*'Supuestos'!$C$14+E10*'Supuestos'!$C$15)/E7)</f>
        <v/>
      </c>
      <c r="F22" s="10">
        <f>IF(COUNT(F7:F18)&lt;12,"",(F9*'Supuestos'!$C$14+F10*'Supuestos'!$C$15)/F7)</f>
        <v/>
      </c>
      <c r="G22" s="10">
        <f>IF(COUNT(G7:G18)&lt;12,"",(G9*'Supuestos'!$C$14+G10*'Supuestos'!$C$15)/G7)</f>
        <v/>
      </c>
      <c r="H22" s="10">
        <f>IF(COUNT(H7:H18)&lt;12,"",(H9*'Supuestos'!$C$14+H10*'Supuestos'!$C$15)/H7)</f>
        <v/>
      </c>
      <c r="I22" s="10">
        <f>IF(COUNT(I7:I18)&lt;12,"",(I9*'Supuestos'!$C$14+I10*'Supuestos'!$C$15)/I7)</f>
        <v/>
      </c>
      <c r="J22" s="10">
        <f>IF(COUNT(J7:J18)&lt;12,"",(J9*'Supuestos'!$C$14+J10*'Supuestos'!$C$15)/J7)</f>
        <v/>
      </c>
      <c r="K22" s="10">
        <f>IF(COUNT(K7:K18)&lt;12,"",(K9*'Supuestos'!$C$14+K10*'Supuestos'!$C$15)/K7)</f>
        <v/>
      </c>
      <c r="L22" s="10">
        <f>IF(COUNT(L7:L18)&lt;12,"",(L9*'Supuestos'!$C$14+L10*'Supuestos'!$C$15)/L7)</f>
        <v/>
      </c>
      <c r="M22" s="10">
        <f>IF(COUNT(M7:M18)&lt;12,"",(M9*'Supuestos'!$C$14+M10*'Supuestos'!$C$15)/M7)</f>
        <v/>
      </c>
      <c r="N22" s="10">
        <f>IF(COUNT(N7:N18)&lt;12,"",(N9*'Supuestos'!$C$14+N10*'Supuestos'!$C$15)/N7)</f>
        <v/>
      </c>
      <c r="O22" s="28">
        <f>IF(COUNT(C22:N22)=0,"",AVERAGE(C22:N22))</f>
        <v/>
      </c>
      <c r="P22" s="28">
        <f>IF(COUNT(C22:N22)=0,"",MAX(C22:N22))</f>
        <v/>
      </c>
      <c r="Q22" s="28">
        <f>IF(COUNT(C22:N22)=0,"",MIN(C22:N22))</f>
        <v/>
      </c>
    </row>
    <row r="23">
      <c r="B23" t="inlineStr">
        <is>
          <t>% entrada → en vivo</t>
        </is>
      </c>
      <c r="C23" s="18">
        <f>IF(COUNT(C7:C18)&lt;12,"",IF(C9=0,0,C12/C9))</f>
        <v/>
      </c>
      <c r="D23" s="18">
        <f>IF(COUNT(D7:D18)&lt;12,"",IF(D9=0,0,D12/D9))</f>
        <v/>
      </c>
      <c r="E23" s="18">
        <f>IF(COUNT(E7:E18)&lt;12,"",IF(E9=0,0,E12/E9))</f>
        <v/>
      </c>
      <c r="F23" s="18">
        <f>IF(COUNT(F7:F18)&lt;12,"",IF(F9=0,0,F12/F9))</f>
        <v/>
      </c>
      <c r="G23" s="18">
        <f>IF(COUNT(G7:G18)&lt;12,"",IF(G9=0,0,G12/G9))</f>
        <v/>
      </c>
      <c r="H23" s="18">
        <f>IF(COUNT(H7:H18)&lt;12,"",IF(H9=0,0,H12/H9))</f>
        <v/>
      </c>
      <c r="I23" s="18">
        <f>IF(COUNT(I7:I18)&lt;12,"",IF(I9=0,0,I12/I9))</f>
        <v/>
      </c>
      <c r="J23" s="18">
        <f>IF(COUNT(J7:J18)&lt;12,"",IF(J9=0,0,J12/J9))</f>
        <v/>
      </c>
      <c r="K23" s="18">
        <f>IF(COUNT(K7:K18)&lt;12,"",IF(K9=0,0,K12/K9))</f>
        <v/>
      </c>
      <c r="L23" s="18">
        <f>IF(COUNT(L7:L18)&lt;12,"",IF(L9=0,0,L12/L9))</f>
        <v/>
      </c>
      <c r="M23" s="18">
        <f>IF(COUNT(M7:M18)&lt;12,"",IF(M9=0,0,M12/M9))</f>
        <v/>
      </c>
      <c r="N23" s="18">
        <f>IF(COUNT(N7:N18)&lt;12,"",IF(N9=0,0,N12/N9))</f>
        <v/>
      </c>
      <c r="O23" s="18">
        <f>IF(COUNT(C23:N23)=0,"",AVERAGE(C23:N23))</f>
        <v/>
      </c>
      <c r="P23" s="18">
        <f>IF(COUNT(C23:N23)=0,"",MAX(C23:N23))</f>
        <v/>
      </c>
      <c r="Q23" s="18">
        <f>IF(COUNT(C23:N23)=0,"",MIN(C23:N23))</f>
        <v/>
      </c>
    </row>
    <row r="24">
      <c r="B24" t="inlineStr">
        <is>
          <t>Ventas ÷ asistentes en vivo</t>
        </is>
      </c>
      <c r="C24" s="18">
        <f>IF(COUNT(C7:C18)&lt;12,"",IF(C12=0,0,C15/C12))</f>
        <v/>
      </c>
      <c r="D24" s="18">
        <f>IF(COUNT(D7:D18)&lt;12,"",IF(D12=0,0,D15/D12))</f>
        <v/>
      </c>
      <c r="E24" s="18">
        <f>IF(COUNT(E7:E18)&lt;12,"",IF(E12=0,0,E15/E12))</f>
        <v/>
      </c>
      <c r="F24" s="18">
        <f>IF(COUNT(F7:F18)&lt;12,"",IF(F12=0,0,F15/F12))</f>
        <v/>
      </c>
      <c r="G24" s="18">
        <f>IF(COUNT(G7:G18)&lt;12,"",IF(G12=0,0,G15/G12))</f>
        <v/>
      </c>
      <c r="H24" s="18">
        <f>IF(COUNT(H7:H18)&lt;12,"",IF(H12=0,0,H15/H12))</f>
        <v/>
      </c>
      <c r="I24" s="18">
        <f>IF(COUNT(I7:I18)&lt;12,"",IF(I12=0,0,I15/I12))</f>
        <v/>
      </c>
      <c r="J24" s="18">
        <f>IF(COUNT(J7:J18)&lt;12,"",IF(J12=0,0,J15/J12))</f>
        <v/>
      </c>
      <c r="K24" s="18">
        <f>IF(COUNT(K7:K18)&lt;12,"",IF(K12=0,0,K15/K12))</f>
        <v/>
      </c>
      <c r="L24" s="18">
        <f>IF(COUNT(L7:L18)&lt;12,"",IF(L12=0,0,L15/L12))</f>
        <v/>
      </c>
      <c r="M24" s="18">
        <f>IF(COUNT(M7:M18)&lt;12,"",IF(M12=0,0,M15/M12))</f>
        <v/>
      </c>
      <c r="N24" s="18">
        <f>IF(COUNT(N7:N18)&lt;12,"",IF(N12=0,0,N15/N12))</f>
        <v/>
      </c>
      <c r="O24" s="18">
        <f>IF(COUNT(C24:N24)=0,"",AVERAGE(C24:N24))</f>
        <v/>
      </c>
      <c r="P24" s="18">
        <f>IF(COUNT(C24:N24)=0,"",MAX(C24:N24))</f>
        <v/>
      </c>
      <c r="Q24" s="18">
        <f>IF(COUNT(C24:N24)=0,"",MIN(C24:N24))</f>
        <v/>
      </c>
    </row>
    <row r="25">
      <c r="B25" t="inlineStr">
        <is>
          <t>Costo por comprador de la oferta</t>
        </is>
      </c>
      <c r="C25" s="20">
        <f>IF(COUNT(C7:C18)&lt;12,"",IF(C15=0,0,C7/C15))</f>
        <v/>
      </c>
      <c r="D25" s="20">
        <f>IF(COUNT(D7:D18)&lt;12,"",IF(D15=0,0,D7/D15))</f>
        <v/>
      </c>
      <c r="E25" s="20">
        <f>IF(COUNT(E7:E18)&lt;12,"",IF(E15=0,0,E7/E15))</f>
        <v/>
      </c>
      <c r="F25" s="20">
        <f>IF(COUNT(F7:F18)&lt;12,"",IF(F15=0,0,F7/F15))</f>
        <v/>
      </c>
      <c r="G25" s="20">
        <f>IF(COUNT(G7:G18)&lt;12,"",IF(G15=0,0,G7/G15))</f>
        <v/>
      </c>
      <c r="H25" s="20">
        <f>IF(COUNT(H7:H18)&lt;12,"",IF(H15=0,0,H7/H15))</f>
        <v/>
      </c>
      <c r="I25" s="20">
        <f>IF(COUNT(I7:I18)&lt;12,"",IF(I15=0,0,I7/I15))</f>
        <v/>
      </c>
      <c r="J25" s="20">
        <f>IF(COUNT(J7:J18)&lt;12,"",IF(J15=0,0,J7/J15))</f>
        <v/>
      </c>
      <c r="K25" s="20">
        <f>IF(COUNT(K7:K18)&lt;12,"",IF(K15=0,0,K7/K15))</f>
        <v/>
      </c>
      <c r="L25" s="20">
        <f>IF(COUNT(L7:L18)&lt;12,"",IF(L15=0,0,L7/L15))</f>
        <v/>
      </c>
      <c r="M25" s="20">
        <f>IF(COUNT(M7:M18)&lt;12,"",IF(M15=0,0,M7/M15))</f>
        <v/>
      </c>
      <c r="N25" s="20">
        <f>IF(COUNT(N7:N18)&lt;12,"",IF(N15=0,0,N7/N15))</f>
        <v/>
      </c>
      <c r="O25" s="20">
        <f>IF(COUNT(C25:N25)=0,"",AVERAGE(C25:N25))</f>
        <v/>
      </c>
      <c r="P25" s="20">
        <f>IF(COUNT(C25:N25)=0,"",MAX(C25:N25))</f>
        <v/>
      </c>
      <c r="Q25" s="20">
        <f>IF(COUNT(C25:N25)=0,"",MIN(C25:N25))</f>
        <v/>
      </c>
    </row>
    <row r="26">
      <c r="B26" t="inlineStr">
        <is>
          <t>Costo por persona en el grupo</t>
        </is>
      </c>
      <c r="C26" s="20">
        <f>IF(COUNT(C7:C18)&lt;12,"",IF(C11=0,0,C7/C11))</f>
        <v/>
      </c>
      <c r="D26" s="20">
        <f>IF(COUNT(D7:D18)&lt;12,"",IF(D11=0,0,D7/D11))</f>
        <v/>
      </c>
      <c r="E26" s="20">
        <f>IF(COUNT(E7:E18)&lt;12,"",IF(E11=0,0,E7/E11))</f>
        <v/>
      </c>
      <c r="F26" s="20">
        <f>IF(COUNT(F7:F18)&lt;12,"",IF(F11=0,0,F7/F11))</f>
        <v/>
      </c>
      <c r="G26" s="20">
        <f>IF(COUNT(G7:G18)&lt;12,"",IF(G11=0,0,G7/G11))</f>
        <v/>
      </c>
      <c r="H26" s="20">
        <f>IF(COUNT(H7:H18)&lt;12,"",IF(H11=0,0,H7/H11))</f>
        <v/>
      </c>
      <c r="I26" s="20">
        <f>IF(COUNT(I7:I18)&lt;12,"",IF(I11=0,0,I7/I11))</f>
        <v/>
      </c>
      <c r="J26" s="20">
        <f>IF(COUNT(J7:J18)&lt;12,"",IF(J11=0,0,J7/J11))</f>
        <v/>
      </c>
      <c r="K26" s="20">
        <f>IF(COUNT(K7:K18)&lt;12,"",IF(K11=0,0,K7/K11))</f>
        <v/>
      </c>
      <c r="L26" s="20">
        <f>IF(COUNT(L7:L18)&lt;12,"",IF(L11=0,0,L7/L11))</f>
        <v/>
      </c>
      <c r="M26" s="20">
        <f>IF(COUNT(M7:M18)&lt;12,"",IF(M11=0,0,M7/M11))</f>
        <v/>
      </c>
      <c r="N26" s="20">
        <f>IF(COUNT(N7:N18)&lt;12,"",IF(N11=0,0,N7/N11))</f>
        <v/>
      </c>
      <c r="O26" s="20">
        <f>IF(COUNT(C26:N26)=0,"",AVERAGE(C26:N26))</f>
        <v/>
      </c>
      <c r="P26" s="20">
        <f>IF(COUNT(C26:N26)=0,"",MAX(C26:N26))</f>
        <v/>
      </c>
      <c r="Q26" s="20">
        <f>IF(COUNT(C26:N26)=0,"",MIN(C26:N26))</f>
        <v/>
      </c>
    </row>
    <row r="27">
      <c r="B27" t="inlineStr">
        <is>
          <t>% en vivo → solicitud</t>
        </is>
      </c>
      <c r="C27" s="18">
        <f>IF(COUNT(C7:C18)&lt;12,"",IF(C12=0,0,C14/C12))</f>
        <v/>
      </c>
      <c r="D27" s="18">
        <f>IF(COUNT(D7:D18)&lt;12,"",IF(D12=0,0,D14/D12))</f>
        <v/>
      </c>
      <c r="E27" s="18">
        <f>IF(COUNT(E7:E18)&lt;12,"",IF(E12=0,0,E14/E12))</f>
        <v/>
      </c>
      <c r="F27" s="18">
        <f>IF(COUNT(F7:F18)&lt;12,"",IF(F12=0,0,F14/F12))</f>
        <v/>
      </c>
      <c r="G27" s="18">
        <f>IF(COUNT(G7:G18)&lt;12,"",IF(G12=0,0,G14/G12))</f>
        <v/>
      </c>
      <c r="H27" s="18">
        <f>IF(COUNT(H7:H18)&lt;12,"",IF(H12=0,0,H14/H12))</f>
        <v/>
      </c>
      <c r="I27" s="18">
        <f>IF(COUNT(I7:I18)&lt;12,"",IF(I12=0,0,I14/I12))</f>
        <v/>
      </c>
      <c r="J27" s="18">
        <f>IF(COUNT(J7:J18)&lt;12,"",IF(J12=0,0,J14/J12))</f>
        <v/>
      </c>
      <c r="K27" s="18">
        <f>IF(COUNT(K7:K18)&lt;12,"",IF(K12=0,0,K14/K12))</f>
        <v/>
      </c>
      <c r="L27" s="18">
        <f>IF(COUNT(L7:L18)&lt;12,"",IF(L12=0,0,L14/L12))</f>
        <v/>
      </c>
      <c r="M27" s="18">
        <f>IF(COUNT(M7:M18)&lt;12,"",IF(M12=0,0,M14/M12))</f>
        <v/>
      </c>
      <c r="N27" s="18">
        <f>IF(COUNT(N7:N18)&lt;12,"",IF(N12=0,0,N14/N12))</f>
        <v/>
      </c>
      <c r="O27" s="18">
        <f>IF(COUNT(C27:N27)=0,"",AVERAGE(C27:N27))</f>
        <v/>
      </c>
      <c r="P27" s="18">
        <f>IF(COUNT(C27:N27)=0,"",MAX(C27:N27))</f>
        <v/>
      </c>
      <c r="Q27" s="18">
        <f>IF(COUNT(C27:N27)=0,"",MIN(C27:N27))</f>
        <v/>
      </c>
    </row>
    <row r="28">
      <c r="B28" s="4" t="inlineStr">
        <is>
          <t>Costo por solicitud</t>
        </is>
      </c>
      <c r="C28" s="13">
        <f>IF(COUNT(C7:C18)&lt;12,"",IF(C14=0,0,C7/C14))</f>
        <v/>
      </c>
      <c r="D28" s="13">
        <f>IF(COUNT(D7:D18)&lt;12,"",IF(D14=0,0,D7/D14))</f>
        <v/>
      </c>
      <c r="E28" s="13">
        <f>IF(COUNT(E7:E18)&lt;12,"",IF(E14=0,0,E7/E14))</f>
        <v/>
      </c>
      <c r="F28" s="13">
        <f>IF(COUNT(F7:F18)&lt;12,"",IF(F14=0,0,F7/F14))</f>
        <v/>
      </c>
      <c r="G28" s="13">
        <f>IF(COUNT(G7:G18)&lt;12,"",IF(G14=0,0,G7/G14))</f>
        <v/>
      </c>
      <c r="H28" s="13">
        <f>IF(COUNT(H7:H18)&lt;12,"",IF(H14=0,0,H7/H14))</f>
        <v/>
      </c>
      <c r="I28" s="13">
        <f>IF(COUNT(I7:I18)&lt;12,"",IF(I14=0,0,I7/I14))</f>
        <v/>
      </c>
      <c r="J28" s="13">
        <f>IF(COUNT(J7:J18)&lt;12,"",IF(J14=0,0,J7/J14))</f>
        <v/>
      </c>
      <c r="K28" s="13">
        <f>IF(COUNT(K7:K18)&lt;12,"",IF(K14=0,0,K7/K14))</f>
        <v/>
      </c>
      <c r="L28" s="13">
        <f>IF(COUNT(L7:L18)&lt;12,"",IF(L14=0,0,L7/L14))</f>
        <v/>
      </c>
      <c r="M28" s="13">
        <f>IF(COUNT(M7:M18)&lt;12,"",IF(M14=0,0,M7/M14))</f>
        <v/>
      </c>
      <c r="N28" s="13">
        <f>IF(COUNT(N7:N18)&lt;12,"",IF(N14=0,0,N7/N14))</f>
        <v/>
      </c>
      <c r="O28" s="20">
        <f>IF(COUNT(C28:N28)=0,"",AVERAGE(C28:N28))</f>
        <v/>
      </c>
      <c r="P28" s="20">
        <f>IF(COUNT(C28:N28)=0,"",MAX(C28:N28))</f>
        <v/>
      </c>
      <c r="Q28" s="20">
        <f>IF(COUNT(C28:N28)=0,"",MIN(C28:N28))</f>
        <v/>
      </c>
    </row>
    <row r="29">
      <c r="B29" t="inlineStr">
        <is>
          <t>% solicitud → compra</t>
        </is>
      </c>
      <c r="C29" s="18">
        <f>IF(COUNT(C7:C18)&lt;12,"",IF(C14=0,0,C15/C14))</f>
        <v/>
      </c>
      <c r="D29" s="18">
        <f>IF(COUNT(D7:D18)&lt;12,"",IF(D14=0,0,D15/D14))</f>
        <v/>
      </c>
      <c r="E29" s="18">
        <f>IF(COUNT(E7:E18)&lt;12,"",IF(E14=0,0,E15/E14))</f>
        <v/>
      </c>
      <c r="F29" s="18">
        <f>IF(COUNT(F7:F18)&lt;12,"",IF(F14=0,0,F15/F14))</f>
        <v/>
      </c>
      <c r="G29" s="18">
        <f>IF(COUNT(G7:G18)&lt;12,"",IF(G14=0,0,G15/G14))</f>
        <v/>
      </c>
      <c r="H29" s="18">
        <f>IF(COUNT(H7:H18)&lt;12,"",IF(H14=0,0,H15/H14))</f>
        <v/>
      </c>
      <c r="I29" s="18">
        <f>IF(COUNT(I7:I18)&lt;12,"",IF(I14=0,0,I15/I14))</f>
        <v/>
      </c>
      <c r="J29" s="18">
        <f>IF(COUNT(J7:J18)&lt;12,"",IF(J14=0,0,J15/J14))</f>
        <v/>
      </c>
      <c r="K29" s="18">
        <f>IF(COUNT(K7:K18)&lt;12,"",IF(K14=0,0,K15/K14))</f>
        <v/>
      </c>
      <c r="L29" s="18">
        <f>IF(COUNT(L7:L18)&lt;12,"",IF(L14=0,0,L15/L14))</f>
        <v/>
      </c>
      <c r="M29" s="18">
        <f>IF(COUNT(M7:M18)&lt;12,"",IF(M14=0,0,M15/M14))</f>
        <v/>
      </c>
      <c r="N29" s="18">
        <f>IF(COUNT(N7:N18)&lt;12,"",IF(N14=0,0,N15/N14))</f>
        <v/>
      </c>
      <c r="O29" s="18">
        <f>IF(COUNT(C29:N29)=0,"",AVERAGE(C29:N29))</f>
        <v/>
      </c>
      <c r="P29" s="18">
        <f>IF(COUNT(C29:N29)=0,"",MAX(C29:N29))</f>
        <v/>
      </c>
      <c r="Q29" s="18">
        <f>IF(COUNT(C29:N29)=0,"",MIN(C29:N29))</f>
        <v/>
      </c>
    </row>
    <row r="30">
      <c r="B30" s="4" t="inlineStr">
        <is>
          <t>Valor neto por unidad real (sobre facturado, cobranza completa)</t>
        </is>
      </c>
      <c r="C30" s="13">
        <f>IF(COUNT(C7:C18)&lt;12,"",IF(C9=0,0,(C17*(1-'Supuestos'!$C$32-'Supuestos'!$C$33-'Supuestos'!$C$34)-C9*'Supuestos'!$C$35)/C9))</f>
        <v/>
      </c>
      <c r="D30" s="13">
        <f>IF(COUNT(D7:D18)&lt;12,"",IF(D9=0,0,(D17*(1-'Supuestos'!$C$32-'Supuestos'!$C$33-'Supuestos'!$C$34)-D9*'Supuestos'!$C$35)/D9))</f>
        <v/>
      </c>
      <c r="E30" s="13">
        <f>IF(COUNT(E7:E18)&lt;12,"",IF(E9=0,0,(E17*(1-'Supuestos'!$C$32-'Supuestos'!$C$33-'Supuestos'!$C$34)-E9*'Supuestos'!$C$35)/E9))</f>
        <v/>
      </c>
      <c r="F30" s="13">
        <f>IF(COUNT(F7:F18)&lt;12,"",IF(F9=0,0,(F17*(1-'Supuestos'!$C$32-'Supuestos'!$C$33-'Supuestos'!$C$34)-F9*'Supuestos'!$C$35)/F9))</f>
        <v/>
      </c>
      <c r="G30" s="13">
        <f>IF(COUNT(G7:G18)&lt;12,"",IF(G9=0,0,(G17*(1-'Supuestos'!$C$32-'Supuestos'!$C$33-'Supuestos'!$C$34)-G9*'Supuestos'!$C$35)/G9))</f>
        <v/>
      </c>
      <c r="H30" s="13">
        <f>IF(COUNT(H7:H18)&lt;12,"",IF(H9=0,0,(H17*(1-'Supuestos'!$C$32-'Supuestos'!$C$33-'Supuestos'!$C$34)-H9*'Supuestos'!$C$35)/H9))</f>
        <v/>
      </c>
      <c r="I30" s="13">
        <f>IF(COUNT(I7:I18)&lt;12,"",IF(I9=0,0,(I17*(1-'Supuestos'!$C$32-'Supuestos'!$C$33-'Supuestos'!$C$34)-I9*'Supuestos'!$C$35)/I9))</f>
        <v/>
      </c>
      <c r="J30" s="13">
        <f>IF(COUNT(J7:J18)&lt;12,"",IF(J9=0,0,(J17*(1-'Supuestos'!$C$32-'Supuestos'!$C$33-'Supuestos'!$C$34)-J9*'Supuestos'!$C$35)/J9))</f>
        <v/>
      </c>
      <c r="K30" s="13">
        <f>IF(COUNT(K7:K18)&lt;12,"",IF(K9=0,0,(K17*(1-'Supuestos'!$C$32-'Supuestos'!$C$33-'Supuestos'!$C$34)-K9*'Supuestos'!$C$35)/K9))</f>
        <v/>
      </c>
      <c r="L30" s="13">
        <f>IF(COUNT(L7:L18)&lt;12,"",IF(L9=0,0,(L17*(1-'Supuestos'!$C$32-'Supuestos'!$C$33-'Supuestos'!$C$34)-L9*'Supuestos'!$C$35)/L9))</f>
        <v/>
      </c>
      <c r="M30" s="13">
        <f>IF(COUNT(M7:M18)&lt;12,"",IF(M9=0,0,(M17*(1-'Supuestos'!$C$32-'Supuestos'!$C$33-'Supuestos'!$C$34)-M9*'Supuestos'!$C$35)/M9))</f>
        <v/>
      </c>
      <c r="N30" s="13">
        <f>IF(COUNT(N7:N18)&lt;12,"",IF(N9=0,0,(N17*(1-'Supuestos'!$C$32-'Supuestos'!$C$33-'Supuestos'!$C$34)-N9*'Supuestos'!$C$35)/N9))</f>
        <v/>
      </c>
      <c r="O30" s="20">
        <f>IF(COUNT(C30:N30)=0,"",AVERAGE(C30:N30))</f>
        <v/>
      </c>
      <c r="P30" s="20">
        <f>IF(COUNT(C30:N30)=0,"",MAX(C30:N30))</f>
        <v/>
      </c>
      <c r="Q30" s="20">
        <f>IF(COUNT(C30:N30)=0,"",MIN(C30:N30))</f>
        <v/>
      </c>
    </row>
    <row r="31">
      <c r="B31" s="4" t="inlineStr">
        <is>
          <t>Ganancia del período al completar la cobranza</t>
        </is>
      </c>
      <c r="C31" s="9">
        <f>IF(COUNT(C7:C18)&lt;12,"",C17*(1-'Supuestos'!$C$32-'Supuestos'!$C$33-'Supuestos'!$C$34)-C9*'Supuestos'!$C$35-'Supuestos'!$C$36-C7)</f>
        <v/>
      </c>
      <c r="D31" s="9">
        <f>IF(COUNT(D7:D18)&lt;12,"",D17*(1-'Supuestos'!$C$32-'Supuestos'!$C$33-'Supuestos'!$C$34)-D9*'Supuestos'!$C$35-'Supuestos'!$C$36-D7)</f>
        <v/>
      </c>
      <c r="E31" s="9">
        <f>IF(COUNT(E7:E18)&lt;12,"",E17*(1-'Supuestos'!$C$32-'Supuestos'!$C$33-'Supuestos'!$C$34)-E9*'Supuestos'!$C$35-'Supuestos'!$C$36-E7)</f>
        <v/>
      </c>
      <c r="F31" s="9">
        <f>IF(COUNT(F7:F18)&lt;12,"",F17*(1-'Supuestos'!$C$32-'Supuestos'!$C$33-'Supuestos'!$C$34)-F9*'Supuestos'!$C$35-'Supuestos'!$C$36-F7)</f>
        <v/>
      </c>
      <c r="G31" s="9">
        <f>IF(COUNT(G7:G18)&lt;12,"",G17*(1-'Supuestos'!$C$32-'Supuestos'!$C$33-'Supuestos'!$C$34)-G9*'Supuestos'!$C$35-'Supuestos'!$C$36-G7)</f>
        <v/>
      </c>
      <c r="H31" s="9">
        <f>IF(COUNT(H7:H18)&lt;12,"",H17*(1-'Supuestos'!$C$32-'Supuestos'!$C$33-'Supuestos'!$C$34)-H9*'Supuestos'!$C$35-'Supuestos'!$C$36-H7)</f>
        <v/>
      </c>
      <c r="I31" s="9">
        <f>IF(COUNT(I7:I18)&lt;12,"",I17*(1-'Supuestos'!$C$32-'Supuestos'!$C$33-'Supuestos'!$C$34)-I9*'Supuestos'!$C$35-'Supuestos'!$C$36-I7)</f>
        <v/>
      </c>
      <c r="J31" s="9">
        <f>IF(COUNT(J7:J18)&lt;12,"",J17*(1-'Supuestos'!$C$32-'Supuestos'!$C$33-'Supuestos'!$C$34)-J9*'Supuestos'!$C$35-'Supuestos'!$C$36-J7)</f>
        <v/>
      </c>
      <c r="K31" s="9">
        <f>IF(COUNT(K7:K18)&lt;12,"",K17*(1-'Supuestos'!$C$32-'Supuestos'!$C$33-'Supuestos'!$C$34)-K9*'Supuestos'!$C$35-'Supuestos'!$C$36-K7)</f>
        <v/>
      </c>
      <c r="L31" s="9">
        <f>IF(COUNT(L7:L18)&lt;12,"",L17*(1-'Supuestos'!$C$32-'Supuestos'!$C$33-'Supuestos'!$C$34)-L9*'Supuestos'!$C$35-'Supuestos'!$C$36-L7)</f>
        <v/>
      </c>
      <c r="M31" s="9">
        <f>IF(COUNT(M7:M18)&lt;12,"",M17*(1-'Supuestos'!$C$32-'Supuestos'!$C$33-'Supuestos'!$C$34)-M9*'Supuestos'!$C$35-'Supuestos'!$C$36-M7)</f>
        <v/>
      </c>
      <c r="N31" s="9">
        <f>IF(COUNT(N7:N18)&lt;12,"",N17*(1-'Supuestos'!$C$32-'Supuestos'!$C$33-'Supuestos'!$C$34)-N9*'Supuestos'!$C$35-'Supuestos'!$C$36-N7)</f>
        <v/>
      </c>
      <c r="O31" s="26">
        <f>IF(COUNT(C31:N31)=0,"",AVERAGE(C31:N31))</f>
        <v/>
      </c>
      <c r="P31" s="26">
        <f>IF(COUNT(C31:N31)=0,"",MAX(C31:N31))</f>
        <v/>
      </c>
      <c r="Q31" s="26">
        <f>IF(COUNT(C31:N31)=0,"",MIN(C31:N31))</f>
        <v/>
      </c>
    </row>
    <row r="32">
      <c r="B32" t="inlineStr">
        <is>
          <t>Ganancia de caja del período (con lo cobrado hasta ahora)</t>
        </is>
      </c>
      <c r="C32" s="26">
        <f>IF(COUNT(C7:C18)&lt;12,"",C18*(1-'Supuestos'!$C$32-'Supuestos'!$C$33-'Supuestos'!$C$34)-C9*'Supuestos'!$C$35-'Supuestos'!$C$36-C7)</f>
        <v/>
      </c>
      <c r="D32" s="26">
        <f>IF(COUNT(D7:D18)&lt;12,"",D18*(1-'Supuestos'!$C$32-'Supuestos'!$C$33-'Supuestos'!$C$34)-D9*'Supuestos'!$C$35-'Supuestos'!$C$36-D7)</f>
        <v/>
      </c>
      <c r="E32" s="26">
        <f>IF(COUNT(E7:E18)&lt;12,"",E18*(1-'Supuestos'!$C$32-'Supuestos'!$C$33-'Supuestos'!$C$34)-E9*'Supuestos'!$C$35-'Supuestos'!$C$36-E7)</f>
        <v/>
      </c>
      <c r="F32" s="26">
        <f>IF(COUNT(F7:F18)&lt;12,"",F18*(1-'Supuestos'!$C$32-'Supuestos'!$C$33-'Supuestos'!$C$34)-F9*'Supuestos'!$C$35-'Supuestos'!$C$36-F7)</f>
        <v/>
      </c>
      <c r="G32" s="26">
        <f>IF(COUNT(G7:G18)&lt;12,"",G18*(1-'Supuestos'!$C$32-'Supuestos'!$C$33-'Supuestos'!$C$34)-G9*'Supuestos'!$C$35-'Supuestos'!$C$36-G7)</f>
        <v/>
      </c>
      <c r="H32" s="26">
        <f>IF(COUNT(H7:H18)&lt;12,"",H18*(1-'Supuestos'!$C$32-'Supuestos'!$C$33-'Supuestos'!$C$34)-H9*'Supuestos'!$C$35-'Supuestos'!$C$36-H7)</f>
        <v/>
      </c>
      <c r="I32" s="26">
        <f>IF(COUNT(I7:I18)&lt;12,"",I18*(1-'Supuestos'!$C$32-'Supuestos'!$C$33-'Supuestos'!$C$34)-I9*'Supuestos'!$C$35-'Supuestos'!$C$36-I7)</f>
        <v/>
      </c>
      <c r="J32" s="26">
        <f>IF(COUNT(J7:J18)&lt;12,"",J18*(1-'Supuestos'!$C$32-'Supuestos'!$C$33-'Supuestos'!$C$34)-J9*'Supuestos'!$C$35-'Supuestos'!$C$36-J7)</f>
        <v/>
      </c>
      <c r="K32" s="26">
        <f>IF(COUNT(K7:K18)&lt;12,"",K18*(1-'Supuestos'!$C$32-'Supuestos'!$C$33-'Supuestos'!$C$34)-K9*'Supuestos'!$C$35-'Supuestos'!$C$36-K7)</f>
        <v/>
      </c>
      <c r="L32" s="26">
        <f>IF(COUNT(L7:L18)&lt;12,"",L18*(1-'Supuestos'!$C$32-'Supuestos'!$C$33-'Supuestos'!$C$34)-L9*'Supuestos'!$C$35-'Supuestos'!$C$36-L7)</f>
        <v/>
      </c>
      <c r="M32" s="26">
        <f>IF(COUNT(M7:M18)&lt;12,"",M18*(1-'Supuestos'!$C$32-'Supuestos'!$C$33-'Supuestos'!$C$34)-M9*'Supuestos'!$C$35-'Supuestos'!$C$36-M7)</f>
        <v/>
      </c>
      <c r="N32" s="26">
        <f>IF(COUNT(N7:N18)&lt;12,"",N18*(1-'Supuestos'!$C$32-'Supuestos'!$C$33-'Supuestos'!$C$34)-N9*'Supuestos'!$C$35-'Supuestos'!$C$36-N7)</f>
        <v/>
      </c>
      <c r="O32" s="26">
        <f>IF(COUNT(C32:N32)=0,"",AVERAGE(C32:N32))</f>
        <v/>
      </c>
      <c r="P32" s="26">
        <f>IF(COUNT(C32:N32)=0,"",MAX(C32:N32))</f>
        <v/>
      </c>
      <c r="Q32" s="26">
        <f>IF(COUNT(C32:N32)=0,"",MIN(C32:N32))</f>
        <v/>
      </c>
    </row>
    <row r="33">
      <c r="B33" s="4" t="inlineStr">
        <is>
          <t>Ganancia por unidad real (ganancia ÷ unidades)</t>
        </is>
      </c>
      <c r="C33" s="13">
        <f>IF(COUNT(C7:C18)&lt;12,"",IF(C9=0,0,(C17*(1-'Supuestos'!$C$32-'Supuestos'!$C$33-'Supuestos'!$C$34)-C9*'Supuestos'!$C$35-'Supuestos'!$C$36-C7)/C9))</f>
        <v/>
      </c>
      <c r="D33" s="13">
        <f>IF(COUNT(D7:D18)&lt;12,"",IF(D9=0,0,(D17*(1-'Supuestos'!$C$32-'Supuestos'!$C$33-'Supuestos'!$C$34)-D9*'Supuestos'!$C$35-'Supuestos'!$C$36-D7)/D9))</f>
        <v/>
      </c>
      <c r="E33" s="13">
        <f>IF(COUNT(E7:E18)&lt;12,"",IF(E9=0,0,(E17*(1-'Supuestos'!$C$32-'Supuestos'!$C$33-'Supuestos'!$C$34)-E9*'Supuestos'!$C$35-'Supuestos'!$C$36-E7)/E9))</f>
        <v/>
      </c>
      <c r="F33" s="13">
        <f>IF(COUNT(F7:F18)&lt;12,"",IF(F9=0,0,(F17*(1-'Supuestos'!$C$32-'Supuestos'!$C$33-'Supuestos'!$C$34)-F9*'Supuestos'!$C$35-'Supuestos'!$C$36-F7)/F9))</f>
        <v/>
      </c>
      <c r="G33" s="13">
        <f>IF(COUNT(G7:G18)&lt;12,"",IF(G9=0,0,(G17*(1-'Supuestos'!$C$32-'Supuestos'!$C$33-'Supuestos'!$C$34)-G9*'Supuestos'!$C$35-'Supuestos'!$C$36-G7)/G9))</f>
        <v/>
      </c>
      <c r="H33" s="13">
        <f>IF(COUNT(H7:H18)&lt;12,"",IF(H9=0,0,(H17*(1-'Supuestos'!$C$32-'Supuestos'!$C$33-'Supuestos'!$C$34)-H9*'Supuestos'!$C$35-'Supuestos'!$C$36-H7)/H9))</f>
        <v/>
      </c>
      <c r="I33" s="13">
        <f>IF(COUNT(I7:I18)&lt;12,"",IF(I9=0,0,(I17*(1-'Supuestos'!$C$32-'Supuestos'!$C$33-'Supuestos'!$C$34)-I9*'Supuestos'!$C$35-'Supuestos'!$C$36-I7)/I9))</f>
        <v/>
      </c>
      <c r="J33" s="13">
        <f>IF(COUNT(J7:J18)&lt;12,"",IF(J9=0,0,(J17*(1-'Supuestos'!$C$32-'Supuestos'!$C$33-'Supuestos'!$C$34)-J9*'Supuestos'!$C$35-'Supuestos'!$C$36-J7)/J9))</f>
        <v/>
      </c>
      <c r="K33" s="13">
        <f>IF(COUNT(K7:K18)&lt;12,"",IF(K9=0,0,(K17*(1-'Supuestos'!$C$32-'Supuestos'!$C$33-'Supuestos'!$C$34)-K9*'Supuestos'!$C$35-'Supuestos'!$C$36-K7)/K9))</f>
        <v/>
      </c>
      <c r="L33" s="13">
        <f>IF(COUNT(L7:L18)&lt;12,"",IF(L9=0,0,(L17*(1-'Supuestos'!$C$32-'Supuestos'!$C$33-'Supuestos'!$C$34)-L9*'Supuestos'!$C$35-'Supuestos'!$C$36-L7)/L9))</f>
        <v/>
      </c>
      <c r="M33" s="13">
        <f>IF(COUNT(M7:M18)&lt;12,"",IF(M9=0,0,(M17*(1-'Supuestos'!$C$32-'Supuestos'!$C$33-'Supuestos'!$C$34)-M9*'Supuestos'!$C$35-'Supuestos'!$C$36-M7)/M9))</f>
        <v/>
      </c>
      <c r="N33" s="13">
        <f>IF(COUNT(N7:N18)&lt;12,"",IF(N9=0,0,(N17*(1-'Supuestos'!$C$32-'Supuestos'!$C$33-'Supuestos'!$C$34)-N9*'Supuestos'!$C$35-'Supuestos'!$C$36-N7)/N9))</f>
        <v/>
      </c>
      <c r="O33" s="20">
        <f>IF(COUNT(C33:N33)=0,"",AVERAGE(C33:N33))</f>
        <v/>
      </c>
      <c r="P33" s="20">
        <f>IF(COUNT(C33:N33)=0,"",MAX(C33:N33))</f>
        <v/>
      </c>
      <c r="Q33" s="20">
        <f>IF(COUNT(C33:N33)=0,"",MIN(C33:N33))</f>
        <v/>
      </c>
    </row>
    <row r="34">
      <c r="B34" s="4" t="inlineStr">
        <is>
          <t>ROAS sobre cash neto (cobranza completa)</t>
        </is>
      </c>
      <c r="C34" s="10">
        <f>IF(COUNT(C7:C18)&lt;12,"",IF(C7=0,0,C17*(1-'Supuestos'!$C$32-'Supuestos'!$C$33-'Supuestos'!$C$34)/C7))</f>
        <v/>
      </c>
      <c r="D34" s="10">
        <f>IF(COUNT(D7:D18)&lt;12,"",IF(D7=0,0,D17*(1-'Supuestos'!$C$32-'Supuestos'!$C$33-'Supuestos'!$C$34)/D7))</f>
        <v/>
      </c>
      <c r="E34" s="10">
        <f>IF(COUNT(E7:E18)&lt;12,"",IF(E7=0,0,E17*(1-'Supuestos'!$C$32-'Supuestos'!$C$33-'Supuestos'!$C$34)/E7))</f>
        <v/>
      </c>
      <c r="F34" s="10">
        <f>IF(COUNT(F7:F18)&lt;12,"",IF(F7=0,0,F17*(1-'Supuestos'!$C$32-'Supuestos'!$C$33-'Supuestos'!$C$34)/F7))</f>
        <v/>
      </c>
      <c r="G34" s="10">
        <f>IF(COUNT(G7:G18)&lt;12,"",IF(G7=0,0,G17*(1-'Supuestos'!$C$32-'Supuestos'!$C$33-'Supuestos'!$C$34)/G7))</f>
        <v/>
      </c>
      <c r="H34" s="10">
        <f>IF(COUNT(H7:H18)&lt;12,"",IF(H7=0,0,H17*(1-'Supuestos'!$C$32-'Supuestos'!$C$33-'Supuestos'!$C$34)/H7))</f>
        <v/>
      </c>
      <c r="I34" s="10">
        <f>IF(COUNT(I7:I18)&lt;12,"",IF(I7=0,0,I17*(1-'Supuestos'!$C$32-'Supuestos'!$C$33-'Supuestos'!$C$34)/I7))</f>
        <v/>
      </c>
      <c r="J34" s="10">
        <f>IF(COUNT(J7:J18)&lt;12,"",IF(J7=0,0,J17*(1-'Supuestos'!$C$32-'Supuestos'!$C$33-'Supuestos'!$C$34)/J7))</f>
        <v/>
      </c>
      <c r="K34" s="10">
        <f>IF(COUNT(K7:K18)&lt;12,"",IF(K7=0,0,K17*(1-'Supuestos'!$C$32-'Supuestos'!$C$33-'Supuestos'!$C$34)/K7))</f>
        <v/>
      </c>
      <c r="L34" s="10">
        <f>IF(COUNT(L7:L18)&lt;12,"",IF(L7=0,0,L17*(1-'Supuestos'!$C$32-'Supuestos'!$C$33-'Supuestos'!$C$34)/L7))</f>
        <v/>
      </c>
      <c r="M34" s="10">
        <f>IF(COUNT(M7:M18)&lt;12,"",IF(M7=0,0,M17*(1-'Supuestos'!$C$32-'Supuestos'!$C$33-'Supuestos'!$C$34)/M7))</f>
        <v/>
      </c>
      <c r="N34" s="10">
        <f>IF(COUNT(N7:N18)&lt;12,"",IF(N7=0,0,N17*(1-'Supuestos'!$C$32-'Supuestos'!$C$33-'Supuestos'!$C$34)/N7))</f>
        <v/>
      </c>
      <c r="O34" s="28">
        <f>IF(COUNT(C34:N34)=0,"",AVERAGE(C34:N34))</f>
        <v/>
      </c>
      <c r="P34" s="28">
        <f>IF(COUNT(C34:N34)=0,"",MAX(C34:N34))</f>
        <v/>
      </c>
      <c r="Q34" s="28">
        <f>IF(COUNT(C34:N34)=0,"",MIN(C34:N34))</f>
        <v/>
      </c>
    </row>
    <row r="35">
      <c r="B35" t="inlineStr">
        <is>
          <t>ROAS de caja (cobrado hasta ahora)</t>
        </is>
      </c>
      <c r="C35" s="28">
        <f>IF(COUNT(C7:C18)&lt;12,"",IF(C7=0,0,C18*(1-'Supuestos'!$C$32-'Supuestos'!$C$33-'Supuestos'!$C$34)/C7))</f>
        <v/>
      </c>
      <c r="D35" s="28">
        <f>IF(COUNT(D7:D18)&lt;12,"",IF(D7=0,0,D18*(1-'Supuestos'!$C$32-'Supuestos'!$C$33-'Supuestos'!$C$34)/D7))</f>
        <v/>
      </c>
      <c r="E35" s="28">
        <f>IF(COUNT(E7:E18)&lt;12,"",IF(E7=0,0,E18*(1-'Supuestos'!$C$32-'Supuestos'!$C$33-'Supuestos'!$C$34)/E7))</f>
        <v/>
      </c>
      <c r="F35" s="28">
        <f>IF(COUNT(F7:F18)&lt;12,"",IF(F7=0,0,F18*(1-'Supuestos'!$C$32-'Supuestos'!$C$33-'Supuestos'!$C$34)/F7))</f>
        <v/>
      </c>
      <c r="G35" s="28">
        <f>IF(COUNT(G7:G18)&lt;12,"",IF(G7=0,0,G18*(1-'Supuestos'!$C$32-'Supuestos'!$C$33-'Supuestos'!$C$34)/G7))</f>
        <v/>
      </c>
      <c r="H35" s="28">
        <f>IF(COUNT(H7:H18)&lt;12,"",IF(H7=0,0,H18*(1-'Supuestos'!$C$32-'Supuestos'!$C$33-'Supuestos'!$C$34)/H7))</f>
        <v/>
      </c>
      <c r="I35" s="28">
        <f>IF(COUNT(I7:I18)&lt;12,"",IF(I7=0,0,I18*(1-'Supuestos'!$C$32-'Supuestos'!$C$33-'Supuestos'!$C$34)/I7))</f>
        <v/>
      </c>
      <c r="J35" s="28">
        <f>IF(COUNT(J7:J18)&lt;12,"",IF(J7=0,0,J18*(1-'Supuestos'!$C$32-'Supuestos'!$C$33-'Supuestos'!$C$34)/J7))</f>
        <v/>
      </c>
      <c r="K35" s="28">
        <f>IF(COUNT(K7:K18)&lt;12,"",IF(K7=0,0,K18*(1-'Supuestos'!$C$32-'Supuestos'!$C$33-'Supuestos'!$C$34)/K7))</f>
        <v/>
      </c>
      <c r="L35" s="28">
        <f>IF(COUNT(L7:L18)&lt;12,"",IF(L7=0,0,L18*(1-'Supuestos'!$C$32-'Supuestos'!$C$33-'Supuestos'!$C$34)/L7))</f>
        <v/>
      </c>
      <c r="M35" s="28">
        <f>IF(COUNT(M7:M18)&lt;12,"",IF(M7=0,0,M18*(1-'Supuestos'!$C$32-'Supuestos'!$C$33-'Supuestos'!$C$34)/M7))</f>
        <v/>
      </c>
      <c r="N35" s="28">
        <f>IF(COUNT(N7:N18)&lt;12,"",IF(N7=0,0,N18*(1-'Supuestos'!$C$32-'Supuestos'!$C$33-'Supuestos'!$C$34)/N7))</f>
        <v/>
      </c>
      <c r="O35" s="28">
        <f>IF(COUNT(C35:N35)=0,"",AVERAGE(C35:N35))</f>
        <v/>
      </c>
      <c r="P35" s="28">
        <f>IF(COUNT(C35:N35)=0,"",MAX(C35:N35))</f>
        <v/>
      </c>
      <c r="Q35" s="28">
        <f>IF(COUNT(C35:N35)=0,"",MIN(C35:N35))</f>
        <v/>
      </c>
    </row>
    <row r="36">
      <c r="B36" t="inlineStr">
        <is>
          <t>Techo móvil (mediana de tus últimas 4 columnas; al inicio, el del modelo)</t>
        </is>
      </c>
      <c r="C36" s="20">
        <f>IF(COUNT(C7:C18)&lt;12,"",'Modelo'!$C$51)</f>
        <v/>
      </c>
      <c r="D36" s="20">
        <f>IF(COUNT(D7:D18)&lt;12,"",IF(COUNT(C30:C30)&gt;0,MEDIAN(C30:C30),'Modelo'!$C$51))</f>
        <v/>
      </c>
      <c r="E36" s="20">
        <f>IF(COUNT(E7:E18)&lt;12,"",IF(COUNT(C30:D30)&gt;0,MEDIAN(C30:D30),'Modelo'!$C$51))</f>
        <v/>
      </c>
      <c r="F36" s="20">
        <f>IF(COUNT(F7:F18)&lt;12,"",IF(COUNT(C30:E30)&gt;0,MEDIAN(C30:E30),'Modelo'!$C$51))</f>
        <v/>
      </c>
      <c r="G36" s="20">
        <f>IF(COUNT(G7:G18)&lt;12,"",IF(COUNT(C30:F30)&gt;0,MEDIAN(C30:F30),'Modelo'!$C$51))</f>
        <v/>
      </c>
      <c r="H36" s="20">
        <f>IF(COUNT(H7:H18)&lt;12,"",IF(COUNT(D30:G30)&gt;0,MEDIAN(D30:G30),'Modelo'!$C$51))</f>
        <v/>
      </c>
      <c r="I36" s="20">
        <f>IF(COUNT(I7:I18)&lt;12,"",IF(COUNT(E30:H30)&gt;0,MEDIAN(E30:H30),'Modelo'!$C$51))</f>
        <v/>
      </c>
      <c r="J36" s="20">
        <f>IF(COUNT(J7:J18)&lt;12,"",IF(COUNT(F30:I30)&gt;0,MEDIAN(F30:I30),'Modelo'!$C$51))</f>
        <v/>
      </c>
      <c r="K36" s="20">
        <f>IF(COUNT(K7:K18)&lt;12,"",IF(COUNT(G30:J30)&gt;0,MEDIAN(G30:J30),'Modelo'!$C$51))</f>
        <v/>
      </c>
      <c r="L36" s="20">
        <f>IF(COUNT(L7:L18)&lt;12,"",IF(COUNT(H30:K30)&gt;0,MEDIAN(H30:K30),'Modelo'!$C$51))</f>
        <v/>
      </c>
      <c r="M36" s="20">
        <f>IF(COUNT(M7:M18)&lt;12,"",IF(COUNT(I30:L30)&gt;0,MEDIAN(I30:L30),'Modelo'!$C$51))</f>
        <v/>
      </c>
      <c r="N36" s="20">
        <f>IF(COUNT(N7:N18)&lt;12,"",IF(COUNT(J30:M30)&gt;0,MEDIAN(J30:M30),'Modelo'!$C$51))</f>
        <v/>
      </c>
      <c r="O36" s="20">
        <f>IF(COUNT(C36:N36)=0,"",AVERAGE(C36:N36))</f>
        <v/>
      </c>
      <c r="P36" s="20">
        <f>IF(COUNT(C36:N36)=0,"",MAX(C36:N36))</f>
        <v/>
      </c>
      <c r="Q36" s="20">
        <f>IF(COUNT(C36:N36)=0,"",MIN(C36:N36))</f>
        <v/>
      </c>
    </row>
    <row r="37">
      <c r="B37" s="4" t="inlineStr">
        <is>
          <t>Semáforo (costo por unidad contra el techo móvil, y ROAS contra el objetivo)</t>
        </is>
      </c>
      <c r="C37" s="14">
        <f>IF(COUNT(C7:C18)&lt;12,"",IF(C20&gt;C36,"ROJO",IF(AND(C20&lt;=C36/(1+'Supuestos'!$C$45),C34&gt;='Supuestos'!$C$44),"VERDE","AMARILLO")))</f>
        <v/>
      </c>
      <c r="D37" s="14">
        <f>IF(COUNT(D7:D18)&lt;12,"",IF(D20&gt;D36,"ROJO",IF(AND(D20&lt;=D36/(1+'Supuestos'!$C$45),D34&gt;='Supuestos'!$C$44),"VERDE","AMARILLO")))</f>
        <v/>
      </c>
      <c r="E37" s="14">
        <f>IF(COUNT(E7:E18)&lt;12,"",IF(E20&gt;E36,"ROJO",IF(AND(E20&lt;=E36/(1+'Supuestos'!$C$45),E34&gt;='Supuestos'!$C$44),"VERDE","AMARILLO")))</f>
        <v/>
      </c>
      <c r="F37" s="14">
        <f>IF(COUNT(F7:F18)&lt;12,"",IF(F20&gt;F36,"ROJO",IF(AND(F20&lt;=F36/(1+'Supuestos'!$C$45),F34&gt;='Supuestos'!$C$44),"VERDE","AMARILLO")))</f>
        <v/>
      </c>
      <c r="G37" s="14">
        <f>IF(COUNT(G7:G18)&lt;12,"",IF(G20&gt;G36,"ROJO",IF(AND(G20&lt;=G36/(1+'Supuestos'!$C$45),G34&gt;='Supuestos'!$C$44),"VERDE","AMARILLO")))</f>
        <v/>
      </c>
      <c r="H37" s="14">
        <f>IF(COUNT(H7:H18)&lt;12,"",IF(H20&gt;H36,"ROJO",IF(AND(H20&lt;=H36/(1+'Supuestos'!$C$45),H34&gt;='Supuestos'!$C$44),"VERDE","AMARILLO")))</f>
        <v/>
      </c>
      <c r="I37" s="14">
        <f>IF(COUNT(I7:I18)&lt;12,"",IF(I20&gt;I36,"ROJO",IF(AND(I20&lt;=I36/(1+'Supuestos'!$C$45),I34&gt;='Supuestos'!$C$44),"VERDE","AMARILLO")))</f>
        <v/>
      </c>
      <c r="J37" s="14">
        <f>IF(COUNT(J7:J18)&lt;12,"",IF(J20&gt;J36,"ROJO",IF(AND(J20&lt;=J36/(1+'Supuestos'!$C$45),J34&gt;='Supuestos'!$C$44),"VERDE","AMARILLO")))</f>
        <v/>
      </c>
      <c r="K37" s="14">
        <f>IF(COUNT(K7:K18)&lt;12,"",IF(K20&gt;K36,"ROJO",IF(AND(K20&lt;=K36/(1+'Supuestos'!$C$45),K34&gt;='Supuestos'!$C$44),"VERDE","AMARILLO")))</f>
        <v/>
      </c>
      <c r="L37" s="14">
        <f>IF(COUNT(L7:L18)&lt;12,"",IF(L20&gt;L36,"ROJO",IF(AND(L20&lt;=L36/(1+'Supuestos'!$C$45),L34&gt;='Supuestos'!$C$44),"VERDE","AMARILLO")))</f>
        <v/>
      </c>
      <c r="M37" s="14">
        <f>IF(COUNT(M7:M18)&lt;12,"",IF(M20&gt;M36,"ROJO",IF(AND(M20&lt;=M36/(1+'Supuestos'!$C$45),M34&gt;='Supuestos'!$C$44),"VERDE","AMARILLO")))</f>
        <v/>
      </c>
      <c r="N37" s="14">
        <f>IF(COUNT(N7:N18)&lt;12,"",IF(N20&gt;N36,"ROJO",IF(AND(N20&lt;=N36/(1+'Supuestos'!$C$45),N34&gt;='Supuestos'!$C$44),"VERDE","AMARILLO")))</f>
        <v/>
      </c>
    </row>
  </sheetData>
  <conditionalFormatting sqref="C5:N3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ROAS del front (entradas + bump ÷ inversión)</t>
        </is>
      </c>
      <c r="C6" t="inlineStr">
        <is>
          <t>&lt;0,5</t>
        </is>
      </c>
      <c r="D6" t="inlineStr">
        <is>
          <t>0,5 a 0,8</t>
        </is>
      </c>
      <c r="E6" t="inlineStr">
        <is>
          <t>0,8 a 1,2</t>
        </is>
      </c>
      <c r="F6" t="inlineStr">
        <is>
          <t>&gt;1,2</t>
        </is>
      </c>
      <c r="G6" s="28">
        <f>'Modelo'!$C$14</f>
        <v/>
      </c>
      <c r="H6" s="5" t="inlineStr">
        <is>
          <t>Eventos pagos hispanos, 2025 a 2026. Cerca de 1 el evento se paga solo.</t>
        </is>
      </c>
    </row>
    <row r="7">
      <c r="B7" t="inlineStr">
        <is>
          <t>% visitas → entrada</t>
        </is>
      </c>
      <c r="C7" t="inlineStr">
        <is>
          <t>&lt;1 %</t>
        </is>
      </c>
      <c r="D7" t="inlineStr">
        <is>
          <t>1 a 2 %</t>
        </is>
      </c>
      <c r="E7" t="inlineStr">
        <is>
          <t>2 a 3,5 %</t>
        </is>
      </c>
      <c r="F7" t="inlineStr">
        <is>
          <t>&gt;3,5 %</t>
        </is>
      </c>
      <c r="G7" s="18">
        <f>'Supuestos'!$C$13</f>
        <v/>
      </c>
      <c r="H7" s="5" t="inlineStr">
        <is>
          <t>Página de ventas de 5 a 15 USD.</t>
        </is>
      </c>
    </row>
    <row r="8">
      <c r="B8" t="inlineStr">
        <is>
          <t>Costo por entrada (USD)</t>
        </is>
      </c>
      <c r="C8" t="inlineStr">
        <is>
          <t>&gt;25</t>
        </is>
      </c>
      <c r="D8" t="inlineStr">
        <is>
          <t>15 a 25</t>
        </is>
      </c>
      <c r="E8" t="inlineStr">
        <is>
          <t>8 a 15</t>
        </is>
      </c>
      <c r="F8" t="inlineStr">
        <is>
          <t>&lt;8</t>
        </is>
      </c>
      <c r="G8" s="20">
        <f>'Modelo'!$C$8</f>
        <v/>
      </c>
      <c r="H8" s="5" t="inlineStr">
        <is>
          <t>Depende del precio: compará contra tu precio de entrada.</t>
        </is>
      </c>
    </row>
    <row r="9">
      <c r="B9" t="inlineStr">
        <is>
          <t>% entrada → en vivo</t>
        </is>
      </c>
      <c r="C9" t="inlineStr">
        <is>
          <t>&lt;35 %</t>
        </is>
      </c>
      <c r="D9" t="inlineStr">
        <is>
          <t>35 a 50 %</t>
        </is>
      </c>
      <c r="E9" t="inlineStr">
        <is>
          <t>50 a 65 %</t>
        </is>
      </c>
      <c r="F9" t="inlineStr">
        <is>
          <t>&gt;65 %</t>
        </is>
      </c>
      <c r="G9" s="18">
        <f>'Supuestos'!$C$20</f>
        <v/>
      </c>
      <c r="H9" s="5" t="inlineStr">
        <is>
          <t>Pagaron: asisten mucho más que en gratuito (10 a 20 %).</t>
        </is>
      </c>
    </row>
    <row r="10">
      <c r="B10" t="inlineStr">
        <is>
          <t>Costo por persona en el grupo (USD)</t>
        </is>
      </c>
      <c r="C10" t="inlineStr">
        <is>
          <t>&gt;30</t>
        </is>
      </c>
      <c r="D10" t="inlineStr">
        <is>
          <t>18 a 30</t>
        </is>
      </c>
      <c r="E10" t="inlineStr">
        <is>
          <t>10 a 18</t>
        </is>
      </c>
      <c r="F10" t="inlineStr">
        <is>
          <t>&lt;10</t>
        </is>
      </c>
      <c r="G10" s="20">
        <f>'Modelo'!$C$17</f>
        <v/>
      </c>
      <c r="H10" s="5" t="inlineStr">
        <is>
          <t>Sobre compradores de entrada: casi todos entran.</t>
        </is>
      </c>
    </row>
    <row r="11">
      <c r="B11" t="inlineStr">
        <is>
          <t>% asistentes en vivo que solicitan</t>
        </is>
      </c>
      <c r="C11" t="inlineStr">
        <is>
          <t>&lt;8 %</t>
        </is>
      </c>
      <c r="D11" t="inlineStr">
        <is>
          <t>8 a 14 %</t>
        </is>
      </c>
      <c r="E11" t="inlineStr">
        <is>
          <t>14 a 22 %</t>
        </is>
      </c>
      <c r="F11" t="inlineStr">
        <is>
          <t>&gt;22 %</t>
        </is>
      </c>
      <c r="G11" s="18">
        <f>'Supuestos'!$C$25</f>
        <v/>
      </c>
      <c r="H11" s="5" t="inlineStr">
        <is>
          <t>Público que pagó por estar: solicita más que en gratuito.</t>
        </is>
      </c>
    </row>
    <row r="12">
      <c r="B12" t="inlineStr">
        <is>
          <t>Costo por solicitud (USD)</t>
        </is>
      </c>
      <c r="C12" t="inlineStr">
        <is>
          <t>&gt;250</t>
        </is>
      </c>
      <c r="D12" t="inlineStr">
        <is>
          <t>150 a 250</t>
        </is>
      </c>
      <c r="E12" t="inlineStr">
        <is>
          <t>80 a 150</t>
        </is>
      </c>
      <c r="F12" t="inlineStr">
        <is>
          <t>&lt;80</t>
        </is>
      </c>
      <c r="G12" s="20">
        <f>'Modelo'!$C$26</f>
        <v/>
      </c>
      <c r="H12" s="5" t="inlineStr">
        <is>
          <t>Oferta de 300 a 1.000.</t>
        </is>
      </c>
    </row>
    <row r="13">
      <c r="B13" t="inlineStr">
        <is>
          <t>% solicitud → compra</t>
        </is>
      </c>
      <c r="C13" t="inlineStr">
        <is>
          <t>&lt;35 %</t>
        </is>
      </c>
      <c r="D13" t="inlineStr">
        <is>
          <t>35 a 50 %</t>
        </is>
      </c>
      <c r="E13" t="inlineStr">
        <is>
          <t>50 a 65 %</t>
        </is>
      </c>
      <c r="F13" t="inlineStr">
        <is>
          <t>&gt;65 %</t>
        </is>
      </c>
      <c r="G13" s="18">
        <f>'Supuestos'!$C$27</f>
        <v/>
      </c>
      <c r="H13" s="5" t="inlineStr">
        <is>
          <t>Con vendedor: 40 a 60 %. Compra directa en el formulario: más alto.</t>
        </is>
      </c>
    </row>
    <row r="14">
      <c r="B14" t="inlineStr">
        <is>
          <t>% entrada → oferta (total)</t>
        </is>
      </c>
      <c r="C14" t="inlineStr">
        <is>
          <t>&lt;3 %</t>
        </is>
      </c>
      <c r="D14" t="inlineStr">
        <is>
          <t>3 a 6 %</t>
        </is>
      </c>
      <c r="E14" t="inlineStr">
        <is>
          <t>6 a 10 %</t>
        </is>
      </c>
      <c r="F14" t="inlineStr">
        <is>
          <t>&gt;10 %</t>
        </is>
      </c>
      <c r="G14" s="19">
        <f>'Modelo'!$C$28</f>
        <v/>
      </c>
      <c r="H14" s="5" t="inlineStr">
        <is>
          <t>Vivo + replay.</t>
        </is>
      </c>
    </row>
    <row r="15">
      <c r="B15" t="inlineStr">
        <is>
          <t>ROAS total sobre cash neto</t>
        </is>
      </c>
      <c r="C15" t="inlineStr">
        <is>
          <t>&lt;1,3</t>
        </is>
      </c>
      <c r="D15" t="inlineStr">
        <is>
          <t>1,3 a 2</t>
        </is>
      </c>
      <c r="E15" t="inlineStr">
        <is>
          <t>2 a 3</t>
        </is>
      </c>
      <c r="F15" t="inlineStr">
        <is>
          <t>&gt;3</t>
        </is>
      </c>
      <c r="G15" s="28">
        <f>'Modelo'!$C$46</f>
        <v/>
      </c>
      <c r="H15" s="5" t="inlineStr">
        <is>
          <t>Por lanzamiento, cobranza completa.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Entrada</t>
        </is>
      </c>
      <c r="C40" s="5" t="inlineStr">
        <is>
          <t>El producto barato (5 a 15 USD) que da acceso al evento. Es la unidad de adquisición de este embudo.</t>
        </is>
      </c>
      <c r="D40" t="inlineStr">
        <is>
          <t>Supuestos</t>
        </is>
      </c>
    </row>
    <row r="41" ht="30" customHeight="1">
      <c r="B41" s="4" t="inlineStr">
        <is>
          <t>ROAS del front</t>
        </is>
      </c>
      <c r="C41" s="5" t="inlineStr">
        <is>
          <t>Facturado de entradas y bump dividido por la inversión: qué parte de la pauta se recupera antes del evento.</t>
        </is>
      </c>
      <c r="D41" t="inlineStr">
        <is>
          <t>Modelo</t>
        </is>
      </c>
    </row>
    <row r="42" ht="30" customHeight="1">
      <c r="B42" s="4" t="inlineStr">
        <is>
          <t>Precio escalonado</t>
        </is>
      </c>
      <c r="C42" s="5" t="inlineStr">
        <is>
          <t>Entrada que sube de precio a medida que se acerca el evento (5 → 10 → 15). En el modelo se usa el promedio cobrado.</t>
        </is>
      </c>
      <c r="D42" t="inlineStr">
        <is>
          <t>Supuestos</t>
        </is>
      </c>
    </row>
    <row r="43" ht="45" customHeight="1">
      <c r="B43" s="4" t="inlineStr">
        <is>
          <t>Solicitud</t>
        </is>
      </c>
      <c r="C43" s="5" t="inlineStr">
        <is>
          <t>Lo que hace el asistente cuando se presenta la oferta: completa el formulario de compra, la aplicación, o pide hablar con un vendedor. Se mide en cantidad, costo por solicitud y % sobre asistentes en vivo.</t>
        </is>
      </c>
      <c r="D43" t="inlineStr">
        <is>
          <t>Modelo, Seguimiento</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6">
        <f>IF(ISERROR(SUM('Modelo'!C5:C160)),"REVISAR","OK")</f>
        <v/>
      </c>
      <c r="D6" s="5" t="inlineStr">
        <is>
          <t>Si dice REVISAR, hay un #DIV/0! o #REF!: casi siempre un supuesto en 0 o una fila borrada.</t>
        </is>
      </c>
    </row>
    <row r="7">
      <c r="B7" t="inlineStr">
        <is>
          <t>Ninguna celda con error en Embudo</t>
        </is>
      </c>
      <c r="C7" s="36">
        <f>IF(ISERROR(SUM('Embudo'!C5:H60)),"REVISAR","OK")</f>
        <v/>
      </c>
      <c r="D7" s="5" t="inlineStr">
        <is>
          <t>Si dice REVISAR, hay un #DIV/0! o #REF!: casi siempre un supuesto en 0 o una fila borrada.</t>
        </is>
      </c>
    </row>
    <row r="8">
      <c r="B8" t="inlineStr">
        <is>
          <t>Ninguna celda con error en Resumen</t>
        </is>
      </c>
      <c r="C8" s="36">
        <f>IF(ISERROR(SUM('Resumen'!C5:C60)),"REVISAR","OK")</f>
        <v/>
      </c>
      <c r="D8" s="5" t="inlineStr">
        <is>
          <t>Si dice REVISAR, hay un #DIV/0! o #REF!: casi siempre un supuesto en 0 o una fila borrada.</t>
        </is>
      </c>
    </row>
    <row r="9">
      <c r="B9" t="inlineStr">
        <is>
          <t>Ninguna celda con error en Proyección 12 meses</t>
        </is>
      </c>
      <c r="C9" s="36">
        <f>IF(ISERROR(SUM('Proyección 12 meses'!C5:O40)),"REVISAR","OK")</f>
        <v/>
      </c>
      <c r="D9" s="5" t="inlineStr">
        <is>
          <t>Si dice REVISAR, hay un #DIV/0! o #REF!: casi siempre un supuesto en 0 o una fila borrada.</t>
        </is>
      </c>
    </row>
    <row r="10">
      <c r="B10" t="inlineStr">
        <is>
          <t>Ninguna celda con error en Escenarios</t>
        </is>
      </c>
      <c r="C10" s="36">
        <f>IF(ISERROR(SUM('Escenarios'!C5:L120)),"REVISAR","OK")</f>
        <v/>
      </c>
      <c r="D10" s="5" t="inlineStr">
        <is>
          <t>Si dice REVISAR, hay un #DIV/0! o #REF!: casi siempre un supuesto en 0 o una fila borrada.</t>
        </is>
      </c>
    </row>
    <row r="11">
      <c r="B11" t="inlineStr">
        <is>
          <t>Ninguna celda con error en Seguimiento</t>
        </is>
      </c>
      <c r="C11" s="36">
        <f>IF(ISERROR(SUM('Seguimiento'!C5:Q80)),"REVISAR","OK")</f>
        <v/>
      </c>
      <c r="D11" s="5" t="inlineStr">
        <is>
          <t>Si dice REVISAR, hay un #DIV/0! o #REF!: casi siempre un supuesto en 0 o una fila borrada.</t>
        </is>
      </c>
    </row>
    <row r="12">
      <c r="B12" t="inlineStr">
        <is>
          <t>Los supuestos de tráfico son mayores a cero</t>
        </is>
      </c>
      <c r="C12" s="36">
        <f>IF(AND('Supuestos'!$C$10&gt;0,'Supuestos'!$C$13&gt;0),"OK","REVISAR")</f>
        <v/>
      </c>
      <c r="D12" s="5" t="inlineStr">
        <is>
          <t>Con un 0 en el tráfico o en la conversión de la página no hay unidades y el modelo no dice nada.</t>
        </is>
      </c>
    </row>
    <row r="13">
      <c r="B13" t="inlineStr">
        <is>
          <t>La curva de cobranza suma 100 %</t>
        </is>
      </c>
      <c r="C13" s="36">
        <f>IF(ABS('Supuestos'!$C$39+'Supuestos'!$C$40+'Supuestos'!$C$41-1)&lt;0.001,"OK","REVISAR")</f>
        <v/>
      </c>
      <c r="D13" s="5" t="inlineStr">
        <is>
          <t>Supuestos → cobranza mes 1 + mes 2 + mes 3 = 100 %.</t>
        </is>
      </c>
    </row>
    <row r="14">
      <c r="B14" t="inlineStr">
        <is>
          <t>Comisiones + reembolsos menores al 60 %</t>
        </is>
      </c>
      <c r="C14" s="36">
        <f>IF(('Supuestos'!$C$32+'Supuestos'!$C$33+'Supuestos'!$C$34)&lt;0.6,"OK","REVISAR")</f>
        <v/>
      </c>
      <c r="D14" s="5" t="inlineStr">
        <is>
          <t>Si suman más, revisá los porcentajes.</t>
        </is>
      </c>
    </row>
    <row r="15">
      <c r="B15" t="inlineStr">
        <is>
          <t>El escenario en uso es 1, 2 o 3</t>
        </is>
      </c>
      <c r="C15" s="36">
        <f>IF(OR('Supuestos'!$C$6=1,'Supuestos'!$C$6=2,'Supuestos'!$C$6=3),"OK","REVISAR")</f>
        <v/>
      </c>
      <c r="D15" s="5" t="inlineStr">
        <is>
          <t>Supuestos → celda 'Escenario en uso'.</t>
        </is>
      </c>
    </row>
    <row r="16">
      <c r="B16" t="inlineStr">
        <is>
          <t>La inversión es mayor a cero</t>
        </is>
      </c>
      <c r="C16" s="36">
        <f>IF('Supuestos'!$C$8&gt;0,"OK","REVISAR")</f>
        <v/>
      </c>
      <c r="D16" s="5" t="inlineStr"/>
    </row>
    <row r="17">
      <c r="B17" t="inlineStr">
        <is>
          <t>La meta de ventas es alcanzable (hay conversión a venta)</t>
        </is>
      </c>
      <c r="C17" s="36">
        <f>IF('Modelo'!$C$28&gt;0,"OK","REVISAR")</f>
        <v/>
      </c>
      <c r="D17" s="5" t="inlineStr">
        <is>
          <t>Con conversión a venta en 0, la inversión para la meta dice 'inalcanzable con estos supuestos'.</t>
        </is>
      </c>
    </row>
    <row r="18">
      <c r="B18" t="inlineStr">
        <is>
          <t>Las conversiones están entre 0 y 100 %</t>
        </is>
      </c>
      <c r="C18" s="36">
        <f>IF(AND('Supuestos'!$C$13&gt;=0,'Supuestos'!$C$13&lt;=1,'Supuestos'!$C$16&gt;=0,'Supuestos'!$C$16&lt;=1,'Supuestos'!$C$19&gt;=0,'Supuestos'!$C$19&lt;=1,'Supuestos'!$C$20&gt;=0,'Supuestos'!$C$20&lt;=1,'Supuestos'!$C$21&gt;=0,'Supuestos'!$C$21&lt;=1,'Supuestos'!$C$25&gt;=0,'Supuestos'!$C$25&lt;=1,'Supuestos'!$C$26&gt;=0,'Supuestos'!$C$26&lt;=1,'Supuestos'!$C$27&gt;=0,'Supuestos'!$C$27&lt;=1,'Supuestos'!$C$29&gt;=0,'Supuestos'!$C$29&lt;=1),"OK","REVISAR")</f>
        <v/>
      </c>
      <c r="D18" s="5" t="inlineStr">
        <is>
          <t>Un 25 % se escribe 25 % (o 0,25), no 25.</t>
        </is>
      </c>
    </row>
    <row r="19">
      <c r="B19" t="inlineStr">
        <is>
          <t>El margen de seguridad está entre 0 y 100 %</t>
        </is>
      </c>
      <c r="C19" s="36">
        <f>IF(AND('Supuestos'!$C$45&gt;=0,'Supuestos'!$C$45&lt;=1),"OK","REVISAR")</f>
        <v/>
      </c>
      <c r="D19" s="5" t="inlineStr"/>
    </row>
    <row r="20">
      <c r="B20" t="inlineStr">
        <is>
          <t>El crecimiento mensual está entre −50 % y 100 %</t>
        </is>
      </c>
      <c r="C20" s="36">
        <f>IF(AND('Supuestos'!$C$47&gt;=-0.5,'Supuestos'!$C$47&lt;=1),"OK","REVISAR")</f>
        <v/>
      </c>
      <c r="D20" s="5" t="inlineStr">
        <is>
          <t>Más de 100 % por mes no es realista para una proyección.</t>
        </is>
      </c>
    </row>
    <row r="21">
      <c r="B21" t="inlineStr">
        <is>
          <t>La cadena es decreciente (cada etapa tiene menos gente que la anterior)</t>
        </is>
      </c>
      <c r="C21" s="36">
        <f>IF(AND('Modelo'!$C$9&lt;='Modelo'!$C$7,'Modelo'!$C$18&lt;='Modelo'!$C$9,'Modelo'!$C$22&lt;='Modelo'!$C$18,'Modelo'!$C$23&lt;='Modelo'!$C$19,'Modelo'!$C$27&lt;='Modelo'!$C$24),"OK","REVISAR")</f>
        <v/>
      </c>
      <c r="D21" s="5" t="inlineStr">
        <is>
          <t>Si falla, alguna conversión está por encima de 100 %.</t>
        </is>
      </c>
    </row>
    <row r="22">
      <c r="B22" t="inlineStr">
        <is>
          <t>En vivo + replay no superan el 100 % de los compradores</t>
        </is>
      </c>
      <c r="C22" s="36">
        <f>IF(('Supuestos'!$C$20+'Supuestos'!$C$21)&lt;=1,"OK","REVISAR")</f>
        <v/>
      </c>
      <c r="D22" s="5" t="inlineStr">
        <is>
          <t>El replay se cuenta sin los que fueron en vivo.</t>
        </is>
      </c>
    </row>
    <row r="24">
      <c r="B24" s="4" t="inlineStr">
        <is>
          <t>Estado general del modelo</t>
        </is>
      </c>
      <c r="C24" s="37">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webinar pago (evento pago)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pago (evento pago)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2026-10-02T16:53:57Z</dcterms:created>
  <dcterms:modified xmlns:dcterms="http://purl.org/dc/terms/" xmlns:xsi="http://www.w3.org/2001/XMLSchema-instance" xsi:type="dcterms:W3CDTF">2026-10-02T16:53:57Z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