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Diario" sheetId="3" state="visible" r:id="rId3"/>
    <sheet xmlns:r="http://schemas.openxmlformats.org/officeDocument/2006/relationships" name="Semanal" sheetId="4" state="visible" r:id="rId4"/>
    <sheet xmlns:r="http://schemas.openxmlformats.org/officeDocument/2006/relationships" name="Resumen" sheetId="5" state="visible" r:id="rId5"/>
    <sheet xmlns:r="http://schemas.openxmlformats.org/officeDocument/2006/relationships" name="Licencia" sheetId="6" state="visible" r:id="rId6"/>
  </sheets>
  <definedNames>
    <definedName name="Autor_Jesus_Tassarolo">"Modelo financiero de embudos · creado por Jesús Tassarolo · TooAudience · youtube.com/@JesusTassaroloSinFiltro"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&quot;$&quot;#,##0.00"/>
    <numFmt numFmtId="167" formatCode="0.0%"/>
    <numFmt numFmtId="168" formatCode="&quot;$&quot;#,##0"/>
    <numFmt numFmtId="169" formatCode="0.00&quot;x&quot;"/>
    <numFmt numFmtId="170" formatCode="0.0"/>
    <numFmt numFmtId="171" formatCode="&quot;SEM &quot;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  <font>
      <i val="1"/>
      <color rgb="008C8C8C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5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8" fontId="0" fillId="3" borderId="1" pivotButton="0" quotePrefix="0" xfId="0"/>
    <xf numFmtId="169" fontId="0" fillId="3" borderId="1" pivotButton="0" quotePrefix="0" xfId="0"/>
    <xf numFmtId="165" fontId="0" fillId="4" borderId="1" pivotButton="0" quotePrefix="0" xfId="0"/>
    <xf numFmtId="3" fontId="0" fillId="4" borderId="1" pivotButton="0" quotePrefix="0" xfId="0"/>
    <xf numFmtId="3" fontId="0" fillId="3" borderId="1" pivotButton="0" quotePrefix="0" xfId="0"/>
    <xf numFmtId="166" fontId="0" fillId="4" borderId="1" pivotButton="0" quotePrefix="0" xfId="0"/>
    <xf numFmtId="2" fontId="0" fillId="4" borderId="1" pivotButton="0" quotePrefix="0" xfId="0"/>
    <xf numFmtId="10" fontId="0" fillId="4" borderId="1" pivotButton="0" quotePrefix="0" xfId="0"/>
    <xf numFmtId="167" fontId="0" fillId="4" borderId="1" pivotButton="0" quotePrefix="0" xfId="0"/>
    <xf numFmtId="170" fontId="0" fillId="4" borderId="1" pivotButton="0" quotePrefix="0" xfId="0"/>
    <xf numFmtId="168" fontId="0" fillId="4" borderId="1" pivotButton="0" quotePrefix="0" xfId="0"/>
    <xf numFmtId="169" fontId="0" fillId="4" borderId="1" pivotButton="0" quotePrefix="0" xfId="0"/>
    <xf numFmtId="171" fontId="3" fillId="2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5" borderId="0" pivotButton="0" quotePrefix="0" xfId="0"/>
    <xf numFmtId="0" fontId="4" fillId="0" borderId="0" applyAlignment="1" pivotButton="0" quotePrefix="0" xfId="0">
      <alignment vertical="top" wrapText="1"/>
    </xf>
    <xf numFmtId="0" fontId="0" fillId="4" borderId="1" pivotButton="0" quotePrefix="0" xfId="0"/>
    <xf numFmtId="49" fontId="4" fillId="4" borderId="1" pivotButton="0" quotePrefix="0" xfId="0"/>
    <xf numFmtId="168" fontId="4" fillId="4" borderId="1" pivotButton="0" quotePrefix="0" xfId="0"/>
    <xf numFmtId="3" fontId="4" fillId="4" borderId="1" pivotButton="0" quotePrefix="0" xfId="0"/>
    <xf numFmtId="166" fontId="4" fillId="4" borderId="1" pivotButton="0" quotePrefix="0" xfId="0"/>
    <xf numFmtId="167" fontId="4" fillId="4" borderId="1" pivotButton="0" quotePrefix="0" xfId="0"/>
    <xf numFmtId="169" fontId="4" fillId="4" borderId="1" pivotButton="0" quotePrefix="0" xfId="0"/>
    <xf numFmtId="10" fontId="4" fillId="4" borderId="1" pivotButton="0" quotePrefix="0" xfId="0"/>
    <xf numFmtId="10" fontId="0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© Jesús Tassarolo · TooAudience · youtube.com/@JesusTassaroloSinFiltro · uso personal; no redistribuir modificado</t>
        </is>
      </c>
    </row>
    <row r="2">
      <c r="B2" s="2" t="inlineStr">
        <is>
          <t>Métricas diarias · Embudo low-ticket con VSL, bumps y OTOs</t>
        </is>
      </c>
    </row>
    <row r="3">
      <c r="B3" s="3" t="inlineStr">
        <is>
          <t>Las métricas diarias de todo el embudo, para saber cómo estás con tus propios números. Acompaña al modelo financiero del mismo embudo.</t>
        </is>
      </c>
    </row>
    <row r="5">
      <c r="B5" s="4" t="inlineStr">
        <is>
          <t>Qué es</t>
        </is>
      </c>
    </row>
    <row r="6" ht="45" customHeight="1">
      <c r="B6" s="5" t="inlineStr">
        <is>
          <t>Un registro diario de cada paso del embudo (anuncios, página, unidades, etapas, ventas, cash) que se convierte solo en un comparativo semanal y en un resumen con semáforo. El semáforo no usa números de mercado: compara cada semana con la mediana de tus 4 semanas anteriores, con una tolerancia del 25 % (la cambiás en Config).</t>
        </is>
      </c>
    </row>
    <row r="8">
      <c r="B8" s="4" t="inlineStr">
        <is>
          <t>1. Config</t>
        </is>
      </c>
    </row>
    <row r="9" ht="30" customHeight="1">
      <c r="B9" s="5" t="inlineStr">
        <is>
          <t>Poné tus precios, comisiones, reembolsos, costos fijos por día y la fecha de inicio (un lunes). Todo lo demás se calcula con eso.</t>
        </is>
      </c>
    </row>
    <row r="11">
      <c r="B11" s="4" t="inlineStr">
        <is>
          <t>2. Diario (todos los días, 3 minutos)</t>
        </is>
      </c>
    </row>
    <row r="12" ht="45" customHeight="1">
      <c r="B12" s="5" t="inlineStr">
        <is>
          <t>Una fila por día. Cargá las celdas amarillas con lo que hubo: inversión, impresiones, alcance, clics en el enlace, visitas y cada paso del embudo. Si un día no hubo evento, dejá vacío. Las celdas azules se calculan solas (CPM, CTR, costo por visita, CPL, conversiones, facturado, cash neto, ganancia, ROAS y la ganancia por visita).</t>
        </is>
      </c>
    </row>
    <row r="14">
      <c r="B14" s="4" t="inlineStr">
        <is>
          <t>3. Semanal (los lunes, 10 minutos)</t>
        </is>
      </c>
    </row>
    <row r="15" ht="45" customHeight="1">
      <c r="B15" s="5" t="inlineStr">
        <is>
          <t>No se carga nada: suma Diario por semana y calcula las conversiones y los costos de la semana, el promedio, la mediana, la mejor y la peor. Abajo, el bloque «contra tu promedio» marca en verde, amarillo o rojo cada métrica clave contra la mediana de tus 4 semanas anteriores.</t>
        </is>
      </c>
    </row>
    <row r="17">
      <c r="B17" s="4" t="inlineStr">
        <is>
          <t>4. Resumen</t>
        </is>
      </c>
    </row>
    <row r="18" ht="45" customHeight="1">
      <c r="B18" s="5" t="inlineStr">
        <is>
          <t>La semana elegida (por defecto la última con datos) contra la anterior, contra tu mediana y contra la meta que vos escribas. Las filas van en el orden en que se mira un embudo: primero el tráfico y la ganancia por visita, después la página, después las etapas, después las ventas y la caja.</t>
        </is>
      </c>
    </row>
    <row r="20">
      <c r="B20" s="4" t="inlineStr">
        <is>
          <t>5. Decidir</t>
        </is>
      </c>
    </row>
    <row r="21" ht="30" customHeight="1">
      <c r="B21" s="5" t="inlineStr">
        <is>
          <t>Una sola decisión por semana y a los 7 días mirar qué pasó. Se para en el primer rojo de arriba hacia abajo. Nunca se decide por un día, y en llamada se juzga con 3 o 4 eventos.</t>
        </is>
      </c>
    </row>
    <row r="23">
      <c r="B23" s="4" t="inlineStr">
        <is>
          <t>6. Conectar con el modelo financiero</t>
        </is>
      </c>
    </row>
    <row r="24" ht="45" customHeight="1">
      <c r="B24" s="5" t="inlineStr">
        <is>
          <t>Copiá la fila semanal (inversión, cantidades por paso, ventas, facturado, cash cobrado) en la hoja Seguimiento del modelo financiero de este embudo: ahí está el techo (hasta cuánto pagar por cada unidad), el objetivo y el guardarraíl para subir o bajar la inversión.</t>
        </is>
      </c>
    </row>
    <row r="26">
      <c r="B26" s="4" t="inlineStr">
        <is>
          <t>Lo que manda en este embudo</t>
        </is>
      </c>
    </row>
    <row r="27" ht="15" customHeight="1">
      <c r="B27" s="5" t="inlineStr">
        <is>
          <t>AOV neto contra CPA: cada comprador tiene que dejar más de lo que costó traerlo.</t>
        </is>
      </c>
    </row>
    <row r="29">
      <c r="B29" s="4" t="inlineStr">
        <is>
          <t>Regla de los umbrales</t>
        </is>
      </c>
    </row>
    <row r="30" ht="45" customHeight="1">
      <c r="B30" s="5" t="inlineStr">
        <is>
          <t>Tu promedio es el umbral: igual o mejor, verde; hasta 25 % peor, amarillo; más, rojo. Y los costos dependen del nicho: el CPL se lee también como porcentaje del CPM. Los primeros 28 días del ejemplo están cargados para que veas cómo funciona: borralos y cargá los tuyos.</t>
        </is>
      </c>
    </row>
    <row r="32">
      <c r="B32" s="4" t="inlineStr">
        <is>
          <t>Compatibilidad</t>
        </is>
      </c>
    </row>
    <row r="33" ht="30" customHeight="1">
      <c r="B33" s="5" t="inlineStr">
        <is>
          <t>Funciona en Excel, Google Sheets y Numbers (solo funciones básicas). Si lo subís a Drive, abrilo con Google Sheets: las fórmulas se conservan.</t>
        </is>
      </c>
    </row>
    <row r="35">
      <c r="B35" s="4" t="inlineStr">
        <is>
          <t>Autor y versión</t>
        </is>
      </c>
    </row>
    <row r="36">
      <c r="B36" s="3" t="inlineStr">
        <is>
          <t>Modelo financiero de embudos · creado por Jesús Tassarolo · TooAudience · youtube.com/@JesusTassaroloSinFiltro · v1.2 · octubre 2026</t>
        </is>
      </c>
    </row>
  </sheetData>
  <pageMargins left="0.75" right="0.75" top="1" bottom="1" header="0.5" footer="0.5"/>
  <headerFooter>
    <oddHeader>&amp;CJesús Tassarolo · TooAudience&amp;R&amp;D</oddHeader>
    <oddFooter>&amp;LModelo financiero de embudos · creado por Jesús Tassarolo · TooAudience · youtube.com/@JesusTassaroloSinFiltro&amp;RPágina &amp;P de &amp;N</oddFooter>
    <evenHeader>&amp;CJesús Tassarolo · TooAudience</evenHeader>
    <evenFooter>&amp;LModelo financiero de embudos · creado por Jesús Tassarolo · TooAudience · youtube.com/@JesusTassaroloSinFiltro&amp;RPágina &amp;P de &amp;N</evenFooter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16" customWidth="1" min="3" max="3"/>
    <col width="70" customWidth="1" min="4" max="4"/>
  </cols>
  <sheetData>
    <row r="1">
      <c r="B1" s="1" t="inlineStr">
        <is>
          <t>© Jesús Tassarolo · TooAudience · youtube.com/@JesusTassaroloSinFiltro · uso personal; no redistribuir modificado</t>
        </is>
      </c>
    </row>
    <row r="2">
      <c r="B2" s="2" t="inlineStr">
        <is>
          <t>Config: tus precios, comisiones y la fecha de inicio</t>
        </is>
      </c>
    </row>
    <row r="3">
      <c r="B3" s="3" t="inlineStr">
        <is>
          <t>Amarillo = podés cambiarlo. Todo lo demás del libro se calcula con esto.</t>
        </is>
      </c>
    </row>
    <row r="5">
      <c r="A5" s="6" t="inlineStr"/>
      <c r="B5" s="6" t="inlineStr">
        <is>
          <t>Dato</t>
        </is>
      </c>
      <c r="C5" s="6" t="inlineStr">
        <is>
          <t>Valor</t>
        </is>
      </c>
      <c r="D5" s="6" t="inlineStr">
        <is>
          <t>Nota</t>
        </is>
      </c>
    </row>
    <row r="6">
      <c r="B6" t="inlineStr">
        <is>
          <t>Fecha de inicio del registro (un lunes)</t>
        </is>
      </c>
      <c r="C6" s="7" t="n">
        <v>46272</v>
      </c>
      <c r="D6" s="5" t="inlineStr">
        <is>
          <t>Desde este día se numeran las semanas en Diario y Semanal. Elegí un lunes.</t>
        </is>
      </c>
    </row>
    <row r="7">
      <c r="B7" t="inlineStr">
        <is>
          <t>Precio del producto principal</t>
        </is>
      </c>
      <c r="C7" s="8" t="n">
        <v>37</v>
      </c>
      <c r="D7" s="5" t="inlineStr"/>
    </row>
    <row r="8">
      <c r="B8" t="inlineStr">
        <is>
          <t>Precio del bump 1</t>
        </is>
      </c>
      <c r="C8" s="8" t="n">
        <v>17</v>
      </c>
      <c r="D8" s="5" t="inlineStr"/>
    </row>
    <row r="9">
      <c r="B9" t="inlineStr">
        <is>
          <t>Precio del bump 2</t>
        </is>
      </c>
      <c r="C9" s="8" t="n">
        <v>17</v>
      </c>
      <c r="D9" s="5" t="inlineStr"/>
    </row>
    <row r="10">
      <c r="B10" t="inlineStr">
        <is>
          <t>Precio de la OTO 1</t>
        </is>
      </c>
      <c r="C10" s="8" t="n">
        <v>47</v>
      </c>
      <c r="D10" s="5" t="inlineStr"/>
    </row>
    <row r="11">
      <c r="B11" t="inlineStr">
        <is>
          <t>Precio de la OTO 2</t>
        </is>
      </c>
      <c r="C11" s="8" t="n">
        <v>17</v>
      </c>
      <c r="D11" s="5" t="inlineStr"/>
    </row>
    <row r="12">
      <c r="B12" t="inlineStr">
        <is>
          <t>Precio de la OTO 3</t>
        </is>
      </c>
      <c r="C12" s="8" t="n">
        <v>97</v>
      </c>
      <c r="D12" s="5" t="inlineStr"/>
    </row>
    <row r="13">
      <c r="B13" t="inlineStr">
        <is>
          <t>Precio de la OTO 4</t>
        </is>
      </c>
      <c r="C13" s="8" t="n">
        <v>27</v>
      </c>
      <c r="D13" s="5" t="inlineStr"/>
    </row>
    <row r="14">
      <c r="B14" t="inlineStr">
        <is>
          <t>Precio del programa (ascensión)</t>
        </is>
      </c>
      <c r="C14" s="8" t="n">
        <v>297</v>
      </c>
      <c r="D14" s="5" t="inlineStr"/>
    </row>
    <row r="15">
      <c r="B15" t="inlineStr">
        <is>
          <t>Comisión de la pasarela de pago</t>
        </is>
      </c>
      <c r="C15" s="9" t="n">
        <v>0.1</v>
      </c>
      <c r="D15" s="5" t="inlineStr">
        <is>
          <t>Lo que se queda la plataforma de cobro.</t>
        </is>
      </c>
    </row>
    <row r="16">
      <c r="B16" t="inlineStr">
        <is>
          <t>Comisión del equipo de ventas</t>
        </is>
      </c>
      <c r="C16" s="9" t="n">
        <v>0</v>
      </c>
      <c r="D16" s="5" t="inlineStr">
        <is>
          <t>Si vendés por llamada: lo que cobra el closer sobre lo cobrado.</t>
        </is>
      </c>
    </row>
    <row r="17">
      <c r="B17" t="inlineStr">
        <is>
          <t>Reembolsos y contracargos</t>
        </is>
      </c>
      <c r="C17" s="9" t="n">
        <v>0.05</v>
      </c>
      <c r="D17" s="5" t="inlineStr">
        <is>
          <t>Promedio histórico. 5 % es normal en productos digitales.</t>
        </is>
      </c>
    </row>
    <row r="18">
      <c r="B18" t="inlineStr">
        <is>
          <t>Costos fijos por día (USD)</t>
        </is>
      </c>
      <c r="C18" s="10" t="n">
        <v>50</v>
      </c>
      <c r="D18" s="5" t="inlineStr">
        <is>
          <t>Equipo, herramientas, edición: lo que pagás aunque no vendas, dividido por 30.</t>
        </is>
      </c>
    </row>
    <row r="19">
      <c r="B19" t="inlineStr">
        <is>
          <t>ROAS objetivo sobre cash neto</t>
        </is>
      </c>
      <c r="C19" s="11" t="n">
        <v>2</v>
      </c>
      <c r="D19" s="5" t="inlineStr">
        <is>
          <t>El retorno mínimo que querés por cada dólar, ya neto.</t>
        </is>
      </c>
    </row>
    <row r="20">
      <c r="B20" t="inlineStr">
        <is>
          <t>Tolerancia del semáforo contra tu promedio</t>
        </is>
      </c>
      <c r="C20" s="9" t="n">
        <v>0.25</v>
      </c>
      <c r="D20" s="5" t="inlineStr">
        <is>
          <t>Igual o mejor que tu mediana = verde; hasta esta distancia peor = amarillo; más = rojo. 20 a 30 %.</t>
        </is>
      </c>
    </row>
    <row r="23">
      <c r="A23" s="3" t="inlineStr">
        <is>
          <t>Modelo financiero de embudos · creado por Jesús Tassarolo · TooAudience · youtube.com/@JesusTassaroloSinFiltro · v1.2 · octubre 2026</t>
        </is>
      </c>
    </row>
  </sheetData>
  <pageMargins left="0.75" right="0.75" top="1" bottom="1" header="0.5" footer="0.5"/>
  <headerFooter>
    <oddHeader>&amp;CJesús Tassarolo · TooAudience&amp;R&amp;D</oddHeader>
    <oddFooter>&amp;LModelo financiero de embudos · creado por Jesús Tassarolo · TooAudience · youtube.com/@JesusTassaroloSinFiltro&amp;RPágina &amp;P de &amp;N</oddFooter>
    <evenHeader>&amp;CJesús Tassarolo · TooAudience</evenHeader>
    <evenFooter>&amp;LModelo financiero de embudos · creado por Jesús Tassarolo · TooAudience · youtube.com/@JesusTassaroloSinFiltro&amp;RPágina &amp;P de &amp;N</evenFooter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© Jesús Tassarolo · TooAudience · youtube.com/@JesusTassaroloSinFiltro · uso personal; no redistribuir modificado</t>
        </is>
      </c>
    </row>
    <row r="2">
      <c r="A2" s="2" t="inlineStr">
        <is>
          <t>Diario: una fila por día. Amarillo = lo que cargás; azul = lo que calcula el libro</t>
        </is>
      </c>
    </row>
    <row r="3">
      <c r="A3" s="3" t="inlineStr">
        <is>
          <t>Cargá cada día lo que hubo (vacío si no hubo). Los porcentajes de un solo día pueden ser raros en embudos con evento semanal: la lectura buena está en Semanal.</t>
        </is>
      </c>
    </row>
    <row r="5" ht="60" customHeight="1">
      <c r="A5" s="6" t="inlineStr">
        <is>
          <t>Fecha</t>
        </is>
      </c>
      <c r="B5" s="6" t="inlineStr">
        <is>
          <t>Semana</t>
        </is>
      </c>
      <c r="C5" s="6" t="inlineStr">
        <is>
          <t>Inversión en publicidad (USD)</t>
        </is>
      </c>
      <c r="D5" s="6" t="inlineStr">
        <is>
          <t>Impresiones</t>
        </is>
      </c>
      <c r="E5" s="6" t="inlineStr">
        <is>
          <t>Alcance (personas únicas)</t>
        </is>
      </c>
      <c r="F5" s="6" t="inlineStr">
        <is>
          <t>Clics en el enlace</t>
        </is>
      </c>
      <c r="G5" s="6" t="inlineStr">
        <is>
          <t>Visitas a la página</t>
        </is>
      </c>
      <c r="H5" s="6" t="inlineStr">
        <is>
          <t>Inician el checkout</t>
        </is>
      </c>
      <c r="I5" s="6" t="inlineStr">
        <is>
          <t>Compran el producto principal</t>
        </is>
      </c>
      <c r="J5" s="6" t="inlineStr">
        <is>
          <t>Toman el bump 1</t>
        </is>
      </c>
      <c r="K5" s="6" t="inlineStr">
        <is>
          <t>Toman el bump 2</t>
        </is>
      </c>
      <c r="L5" s="6" t="inlineStr">
        <is>
          <t>Toman la OTO 1</t>
        </is>
      </c>
      <c r="M5" s="6" t="inlineStr">
        <is>
          <t>Toman la OTO 2</t>
        </is>
      </c>
      <c r="N5" s="6" t="inlineStr">
        <is>
          <t>Toman la OTO 3</t>
        </is>
      </c>
      <c r="O5" s="6" t="inlineStr">
        <is>
          <t>Toman la OTO 4</t>
        </is>
      </c>
      <c r="P5" s="6" t="inlineStr">
        <is>
          <t>Ascienden al programa</t>
        </is>
      </c>
      <c r="Q5" s="6" t="inlineStr">
        <is>
          <t>CPM</t>
        </is>
      </c>
      <c r="R5" s="6" t="inlineStr">
        <is>
          <t>Frecuencia</t>
        </is>
      </c>
      <c r="S5" s="6" t="inlineStr">
        <is>
          <t>CTR al enlace</t>
        </is>
      </c>
      <c r="T5" s="6" t="inlineStr">
        <is>
          <t>CPC (por clic en el enlace)</t>
        </is>
      </c>
      <c r="U5" s="6" t="inlineStr">
        <is>
          <t>% clic → visita</t>
        </is>
      </c>
      <c r="V5" s="6" t="inlineStr">
        <is>
          <t>Costo por visita</t>
        </is>
      </c>
      <c r="W5" s="6" t="inlineStr">
        <is>
          <t>Visitas por cada 1.000 impresiones</t>
        </is>
      </c>
      <c r="X5" s="6" t="inlineStr">
        <is>
          <t>% visita → checkout</t>
        </is>
      </c>
      <c r="Y5" s="6" t="inlineStr">
        <is>
          <t>% checkout → compra</t>
        </is>
      </c>
      <c r="Z5" s="6" t="inlineStr">
        <is>
          <t>% visita → compra</t>
        </is>
      </c>
      <c r="AA5" s="6" t="inlineStr">
        <is>
          <t>CPA (costo por comprador)</t>
        </is>
      </c>
      <c r="AB5" s="6" t="inlineStr">
        <is>
          <t>% toman el bump 1</t>
        </is>
      </c>
      <c r="AC5" s="6" t="inlineStr">
        <is>
          <t>% toman el bump 2</t>
        </is>
      </c>
      <c r="AD5" s="6" t="inlineStr">
        <is>
          <t>% toman la OTO 1</t>
        </is>
      </c>
      <c r="AE5" s="6" t="inlineStr">
        <is>
          <t>% ascienden</t>
        </is>
      </c>
      <c r="AF5" s="6" t="inlineStr">
        <is>
          <t>Facturado (toda la escalera)</t>
        </is>
      </c>
      <c r="AG5" s="6" t="inlineStr">
        <is>
          <t>Order value (facturado por comprador)</t>
        </is>
      </c>
      <c r="AH5" s="6" t="inlineStr">
        <is>
          <t>Cash neto (después de comisiones y reembolsos)</t>
        </is>
      </c>
      <c r="AI5" s="6" t="inlineStr">
        <is>
          <t>Ganancia (cash neto − pauta − fijos)</t>
        </is>
      </c>
      <c r="AJ5" s="6" t="inlineStr">
        <is>
          <t>ROAS sobre cash neto</t>
        </is>
      </c>
      <c r="AK5" s="6" t="inlineStr">
        <is>
          <t>Ganancia por visita (la métrica más valiosa)</t>
        </is>
      </c>
      <c r="AL5" s="6" t="inlineStr">
        <is>
          <t>Margen por visita (ganancia por visita ÷ costo por visita)</t>
        </is>
      </c>
      <c r="AM5" s="6" t="inlineStr">
        <is>
          <t>Ganancia por comprador</t>
        </is>
      </c>
      <c r="AN5" s="6" t="inlineStr">
        <is>
          <t>AOV neto − CPA (lo que queda por comprador)</t>
        </is>
      </c>
    </row>
    <row r="6">
      <c r="A6" s="12">
        <f>Config!$C$6+0</f>
        <v/>
      </c>
      <c r="B6" s="13">
        <f>INT((A6-Config!$C$6)/7)+1</f>
        <v/>
      </c>
      <c r="C6" s="10" t="n">
        <v>297</v>
      </c>
      <c r="D6" s="14" t="n">
        <v>69614</v>
      </c>
      <c r="E6" s="14" t="n">
        <v>39488</v>
      </c>
      <c r="F6" s="14" t="n">
        <v>1070</v>
      </c>
      <c r="G6" s="14" t="n">
        <v>965</v>
      </c>
      <c r="H6" s="14" t="n">
        <v>34</v>
      </c>
      <c r="I6" s="14" t="n">
        <v>8</v>
      </c>
      <c r="J6" s="14" t="n">
        <v>2</v>
      </c>
      <c r="K6" s="14" t="n">
        <v>1</v>
      </c>
      <c r="L6" s="14" t="n">
        <v>1</v>
      </c>
      <c r="M6" s="14" t="n">
        <v>0</v>
      </c>
      <c r="N6" s="14" t="n">
        <v>0</v>
      </c>
      <c r="O6" s="14" t="n">
        <v>0</v>
      </c>
      <c r="P6" s="14" t="n">
        <v>0</v>
      </c>
      <c r="Q6" s="15">
        <f>IF(COUNT(C6:P6)=0,"",IFERROR(C6/D6*1000,0))</f>
        <v/>
      </c>
      <c r="R6" s="16">
        <f>IF(COUNT(C6:P6)=0,"",IFERROR(D6/E6,0))</f>
        <v/>
      </c>
      <c r="S6" s="17">
        <f>IF(COUNT(C6:P6)=0,"",IFERROR(F6/D6,0))</f>
        <v/>
      </c>
      <c r="T6" s="15">
        <f>IF(COUNT(C6:P6)=0,"",IFERROR(C6/F6,0))</f>
        <v/>
      </c>
      <c r="U6" s="18">
        <f>IF(COUNT(C6:P6)=0,"",IFERROR(G6/F6,0))</f>
        <v/>
      </c>
      <c r="V6" s="15">
        <f>IF(COUNT(C6:P6)=0,"",IFERROR(C6/G6,0))</f>
        <v/>
      </c>
      <c r="W6" s="19">
        <f>IF(COUNT(C6:P6)=0,"",IFERROR(G6/D6*1000,0))</f>
        <v/>
      </c>
      <c r="X6" s="18">
        <f>IF(COUNT(C6:P6)=0,"",IFERROR(H6/G6,0))</f>
        <v/>
      </c>
      <c r="Y6" s="18">
        <f>IF(COUNT(C6:P6)=0,"",IFERROR(I6/H6,0))</f>
        <v/>
      </c>
      <c r="Z6" s="17">
        <f>IF(COUNT(C6:P6)=0,"",IFERROR(I6/G6,0))</f>
        <v/>
      </c>
      <c r="AA6" s="15">
        <f>IF(COUNT(C6:P6)=0,"",IFERROR(C6/I6,0))</f>
        <v/>
      </c>
      <c r="AB6" s="18">
        <f>IF(COUNT(C6:P6)=0,"",IFERROR(J6/I6,0))</f>
        <v/>
      </c>
      <c r="AC6" s="18">
        <f>IF(COUNT(C6:P6)=0,"",IFERROR(K6/I6,0))</f>
        <v/>
      </c>
      <c r="AD6" s="18">
        <f>IF(COUNT(C6:P6)=0,"",IFERROR(L6/I6,0))</f>
        <v/>
      </c>
      <c r="AE6" s="18">
        <f>IF(COUNT(C6:P6)=0,"",IFERROR(P6/I6,0))</f>
        <v/>
      </c>
      <c r="AF6" s="20">
        <f>IF(COUNT(C6:P6)=0,"",IFERROR(I6*Config!$C$7+J6*Config!$C$8+K6*Config!$C$9+L6*Config!$C$10+M6*Config!$C$11+N6*Config!$C$12+O6*Config!$C$13+P6*Config!$C$14,0))</f>
        <v/>
      </c>
      <c r="AG6" s="15">
        <f>IF(COUNT(C6:P6)=0,"",IFERROR(AF6/I6,0))</f>
        <v/>
      </c>
      <c r="AH6" s="20">
        <f>IF(COUNT(C6:P6)=0,"",IFERROR(AF6*(1-Config!$C$15-Config!$C$16-Config!$C$17),0))</f>
        <v/>
      </c>
      <c r="AI6" s="20">
        <f>IF(COUNT(C6:P6)=0,"",IFERROR(AH6-C6-Config!$C$18,0))</f>
        <v/>
      </c>
      <c r="AJ6" s="21">
        <f>IF(COUNT(C6:P6)=0,"",IFERROR(AH6/C6,0))</f>
        <v/>
      </c>
      <c r="AK6" s="15">
        <f>IF(COUNT(C6:P6)=0,"",IFERROR(AI6/G6,0))</f>
        <v/>
      </c>
      <c r="AL6" s="21">
        <f>IF(COUNT(C6:P6)=0,"",IFERROR(AK6/V6,0))</f>
        <v/>
      </c>
      <c r="AM6" s="15">
        <f>IF(COUNT(C6:P6)=0,"",IFERROR(AI6/I6,0))</f>
        <v/>
      </c>
      <c r="AN6" s="15">
        <f>IF(COUNT(C6:P6)=0,"",IFERROR(AH6/I6-AA6,0))</f>
        <v/>
      </c>
    </row>
    <row r="7">
      <c r="A7" s="12">
        <f>Config!$C$6+1</f>
        <v/>
      </c>
      <c r="B7" s="13">
        <f>INT((A7-Config!$C$6)/7)+1</f>
        <v/>
      </c>
      <c r="C7" s="10" t="n">
        <v>301</v>
      </c>
      <c r="D7" s="14" t="n">
        <v>69467</v>
      </c>
      <c r="E7" s="14" t="n">
        <v>40565</v>
      </c>
      <c r="F7" s="14" t="n">
        <v>972</v>
      </c>
      <c r="G7" s="14" t="n">
        <v>833</v>
      </c>
      <c r="H7" s="14" t="n">
        <v>26</v>
      </c>
      <c r="I7" s="14" t="n">
        <v>7</v>
      </c>
      <c r="J7" s="14" t="n">
        <v>2</v>
      </c>
      <c r="K7" s="14" t="n">
        <v>1</v>
      </c>
      <c r="L7" s="14" t="n">
        <v>1</v>
      </c>
      <c r="M7" s="14" t="n">
        <v>0</v>
      </c>
      <c r="N7" s="14" t="n">
        <v>0</v>
      </c>
      <c r="O7" s="14" t="n">
        <v>0</v>
      </c>
      <c r="P7" s="14" t="n">
        <v>0</v>
      </c>
      <c r="Q7" s="15">
        <f>IF(COUNT(C7:P7)=0,"",IFERROR(C7/D7*1000,0))</f>
        <v/>
      </c>
      <c r="R7" s="16">
        <f>IF(COUNT(C7:P7)=0,"",IFERROR(D7/E7,0))</f>
        <v/>
      </c>
      <c r="S7" s="17">
        <f>IF(COUNT(C7:P7)=0,"",IFERROR(F7/D7,0))</f>
        <v/>
      </c>
      <c r="T7" s="15">
        <f>IF(COUNT(C7:P7)=0,"",IFERROR(C7/F7,0))</f>
        <v/>
      </c>
      <c r="U7" s="18">
        <f>IF(COUNT(C7:P7)=0,"",IFERROR(G7/F7,0))</f>
        <v/>
      </c>
      <c r="V7" s="15">
        <f>IF(COUNT(C7:P7)=0,"",IFERROR(C7/G7,0))</f>
        <v/>
      </c>
      <c r="W7" s="19">
        <f>IF(COUNT(C7:P7)=0,"",IFERROR(G7/D7*1000,0))</f>
        <v/>
      </c>
      <c r="X7" s="18">
        <f>IF(COUNT(C7:P7)=0,"",IFERROR(H7/G7,0))</f>
        <v/>
      </c>
      <c r="Y7" s="18">
        <f>IF(COUNT(C7:P7)=0,"",IFERROR(I7/H7,0))</f>
        <v/>
      </c>
      <c r="Z7" s="17">
        <f>IF(COUNT(C7:P7)=0,"",IFERROR(I7/G7,0))</f>
        <v/>
      </c>
      <c r="AA7" s="15">
        <f>IF(COUNT(C7:P7)=0,"",IFERROR(C7/I7,0))</f>
        <v/>
      </c>
      <c r="AB7" s="18">
        <f>IF(COUNT(C7:P7)=0,"",IFERROR(J7/I7,0))</f>
        <v/>
      </c>
      <c r="AC7" s="18">
        <f>IF(COUNT(C7:P7)=0,"",IFERROR(K7/I7,0))</f>
        <v/>
      </c>
      <c r="AD7" s="18">
        <f>IF(COUNT(C7:P7)=0,"",IFERROR(L7/I7,0))</f>
        <v/>
      </c>
      <c r="AE7" s="18">
        <f>IF(COUNT(C7:P7)=0,"",IFERROR(P7/I7,0))</f>
        <v/>
      </c>
      <c r="AF7" s="20">
        <f>IF(COUNT(C7:P7)=0,"",IFERROR(I7*Config!$C$7+J7*Config!$C$8+K7*Config!$C$9+L7*Config!$C$10+M7*Config!$C$11+N7*Config!$C$12+O7*Config!$C$13+P7*Config!$C$14,0))</f>
        <v/>
      </c>
      <c r="AG7" s="15">
        <f>IF(COUNT(C7:P7)=0,"",IFERROR(AF7/I7,0))</f>
        <v/>
      </c>
      <c r="AH7" s="20">
        <f>IF(COUNT(C7:P7)=0,"",IFERROR(AF7*(1-Config!$C$15-Config!$C$16-Config!$C$17),0))</f>
        <v/>
      </c>
      <c r="AI7" s="20">
        <f>IF(COUNT(C7:P7)=0,"",IFERROR(AH7-C7-Config!$C$18,0))</f>
        <v/>
      </c>
      <c r="AJ7" s="21">
        <f>IF(COUNT(C7:P7)=0,"",IFERROR(AH7/C7,0))</f>
        <v/>
      </c>
      <c r="AK7" s="15">
        <f>IF(COUNT(C7:P7)=0,"",IFERROR(AI7/G7,0))</f>
        <v/>
      </c>
      <c r="AL7" s="21">
        <f>IF(COUNT(C7:P7)=0,"",IFERROR(AK7/V7,0))</f>
        <v/>
      </c>
      <c r="AM7" s="15">
        <f>IF(COUNT(C7:P7)=0,"",IFERROR(AI7/I7,0))</f>
        <v/>
      </c>
      <c r="AN7" s="15">
        <f>IF(COUNT(C7:P7)=0,"",IFERROR(AH7/I7-AA7,0))</f>
        <v/>
      </c>
    </row>
    <row r="8">
      <c r="A8" s="12">
        <f>Config!$C$6+2</f>
        <v/>
      </c>
      <c r="B8" s="13">
        <f>INT((A8-Config!$C$6)/7)+1</f>
        <v/>
      </c>
      <c r="C8" s="10" t="n">
        <v>314</v>
      </c>
      <c r="D8" s="14" t="n">
        <v>83978</v>
      </c>
      <c r="E8" s="14" t="n">
        <v>47042</v>
      </c>
      <c r="F8" s="14" t="n">
        <v>1447</v>
      </c>
      <c r="G8" s="14" t="n">
        <v>1350</v>
      </c>
      <c r="H8" s="14" t="n">
        <v>49</v>
      </c>
      <c r="I8" s="14" t="n">
        <v>12</v>
      </c>
      <c r="J8" s="14" t="n">
        <v>3</v>
      </c>
      <c r="K8" s="14" t="n">
        <v>2</v>
      </c>
      <c r="L8" s="14" t="n">
        <v>1</v>
      </c>
      <c r="M8" s="14" t="n">
        <v>1</v>
      </c>
      <c r="N8" s="14" t="n">
        <v>0</v>
      </c>
      <c r="O8" s="14" t="n">
        <v>0</v>
      </c>
      <c r="P8" s="14" t="n">
        <v>0</v>
      </c>
      <c r="Q8" s="15">
        <f>IF(COUNT(C8:P8)=0,"",IFERROR(C8/D8*1000,0))</f>
        <v/>
      </c>
      <c r="R8" s="16">
        <f>IF(COUNT(C8:P8)=0,"",IFERROR(D8/E8,0))</f>
        <v/>
      </c>
      <c r="S8" s="17">
        <f>IF(COUNT(C8:P8)=0,"",IFERROR(F8/D8,0))</f>
        <v/>
      </c>
      <c r="T8" s="15">
        <f>IF(COUNT(C8:P8)=0,"",IFERROR(C8/F8,0))</f>
        <v/>
      </c>
      <c r="U8" s="18">
        <f>IF(COUNT(C8:P8)=0,"",IFERROR(G8/F8,0))</f>
        <v/>
      </c>
      <c r="V8" s="15">
        <f>IF(COUNT(C8:P8)=0,"",IFERROR(C8/G8,0))</f>
        <v/>
      </c>
      <c r="W8" s="19">
        <f>IF(COUNT(C8:P8)=0,"",IFERROR(G8/D8*1000,0))</f>
        <v/>
      </c>
      <c r="X8" s="18">
        <f>IF(COUNT(C8:P8)=0,"",IFERROR(H8/G8,0))</f>
        <v/>
      </c>
      <c r="Y8" s="18">
        <f>IF(COUNT(C8:P8)=0,"",IFERROR(I8/H8,0))</f>
        <v/>
      </c>
      <c r="Z8" s="17">
        <f>IF(COUNT(C8:P8)=0,"",IFERROR(I8/G8,0))</f>
        <v/>
      </c>
      <c r="AA8" s="15">
        <f>IF(COUNT(C8:P8)=0,"",IFERROR(C8/I8,0))</f>
        <v/>
      </c>
      <c r="AB8" s="18">
        <f>IF(COUNT(C8:P8)=0,"",IFERROR(J8/I8,0))</f>
        <v/>
      </c>
      <c r="AC8" s="18">
        <f>IF(COUNT(C8:P8)=0,"",IFERROR(K8/I8,0))</f>
        <v/>
      </c>
      <c r="AD8" s="18">
        <f>IF(COUNT(C8:P8)=0,"",IFERROR(L8/I8,0))</f>
        <v/>
      </c>
      <c r="AE8" s="18">
        <f>IF(COUNT(C8:P8)=0,"",IFERROR(P8/I8,0))</f>
        <v/>
      </c>
      <c r="AF8" s="20">
        <f>IF(COUNT(C8:P8)=0,"",IFERROR(I8*Config!$C$7+J8*Config!$C$8+K8*Config!$C$9+L8*Config!$C$10+M8*Config!$C$11+N8*Config!$C$12+O8*Config!$C$13+P8*Config!$C$14,0))</f>
        <v/>
      </c>
      <c r="AG8" s="15">
        <f>IF(COUNT(C8:P8)=0,"",IFERROR(AF8/I8,0))</f>
        <v/>
      </c>
      <c r="AH8" s="20">
        <f>IF(COUNT(C8:P8)=0,"",IFERROR(AF8*(1-Config!$C$15-Config!$C$16-Config!$C$17),0))</f>
        <v/>
      </c>
      <c r="AI8" s="20">
        <f>IF(COUNT(C8:P8)=0,"",IFERROR(AH8-C8-Config!$C$18,0))</f>
        <v/>
      </c>
      <c r="AJ8" s="21">
        <f>IF(COUNT(C8:P8)=0,"",IFERROR(AH8/C8,0))</f>
        <v/>
      </c>
      <c r="AK8" s="15">
        <f>IF(COUNT(C8:P8)=0,"",IFERROR(AI8/G8,0))</f>
        <v/>
      </c>
      <c r="AL8" s="21">
        <f>IF(COUNT(C8:P8)=0,"",IFERROR(AK8/V8,0))</f>
        <v/>
      </c>
      <c r="AM8" s="15">
        <f>IF(COUNT(C8:P8)=0,"",IFERROR(AI8/I8,0))</f>
        <v/>
      </c>
      <c r="AN8" s="15">
        <f>IF(COUNT(C8:P8)=0,"",IFERROR(AH8/I8-AA8,0))</f>
        <v/>
      </c>
    </row>
    <row r="9">
      <c r="A9" s="12">
        <f>Config!$C$6+3</f>
        <v/>
      </c>
      <c r="B9" s="13">
        <f>INT((A9-Config!$C$6)/7)+1</f>
        <v/>
      </c>
      <c r="C9" s="10" t="n">
        <v>265</v>
      </c>
      <c r="D9" s="14" t="n">
        <v>62687</v>
      </c>
      <c r="E9" s="14" t="n">
        <v>43811</v>
      </c>
      <c r="F9" s="14" t="n">
        <v>899</v>
      </c>
      <c r="G9" s="14" t="n">
        <v>759</v>
      </c>
      <c r="H9" s="14" t="n">
        <v>24</v>
      </c>
      <c r="I9" s="14" t="n">
        <v>6</v>
      </c>
      <c r="J9" s="14" t="n">
        <v>2</v>
      </c>
      <c r="K9" s="14" t="n">
        <v>1</v>
      </c>
      <c r="L9" s="14" t="n">
        <v>1</v>
      </c>
      <c r="M9" s="14" t="n">
        <v>0</v>
      </c>
      <c r="N9" s="14" t="n">
        <v>0</v>
      </c>
      <c r="O9" s="14" t="n">
        <v>0</v>
      </c>
      <c r="P9" s="14" t="n">
        <v>0</v>
      </c>
      <c r="Q9" s="15">
        <f>IF(COUNT(C9:P9)=0,"",IFERROR(C9/D9*1000,0))</f>
        <v/>
      </c>
      <c r="R9" s="16">
        <f>IF(COUNT(C9:P9)=0,"",IFERROR(D9/E9,0))</f>
        <v/>
      </c>
      <c r="S9" s="17">
        <f>IF(COUNT(C9:P9)=0,"",IFERROR(F9/D9,0))</f>
        <v/>
      </c>
      <c r="T9" s="15">
        <f>IF(COUNT(C9:P9)=0,"",IFERROR(C9/F9,0))</f>
        <v/>
      </c>
      <c r="U9" s="18">
        <f>IF(COUNT(C9:P9)=0,"",IFERROR(G9/F9,0))</f>
        <v/>
      </c>
      <c r="V9" s="15">
        <f>IF(COUNT(C9:P9)=0,"",IFERROR(C9/G9,0))</f>
        <v/>
      </c>
      <c r="W9" s="19">
        <f>IF(COUNT(C9:P9)=0,"",IFERROR(G9/D9*1000,0))</f>
        <v/>
      </c>
      <c r="X9" s="18">
        <f>IF(COUNT(C9:P9)=0,"",IFERROR(H9/G9,0))</f>
        <v/>
      </c>
      <c r="Y9" s="18">
        <f>IF(COUNT(C9:P9)=0,"",IFERROR(I9/H9,0))</f>
        <v/>
      </c>
      <c r="Z9" s="17">
        <f>IF(COUNT(C9:P9)=0,"",IFERROR(I9/G9,0))</f>
        <v/>
      </c>
      <c r="AA9" s="15">
        <f>IF(COUNT(C9:P9)=0,"",IFERROR(C9/I9,0))</f>
        <v/>
      </c>
      <c r="AB9" s="18">
        <f>IF(COUNT(C9:P9)=0,"",IFERROR(J9/I9,0))</f>
        <v/>
      </c>
      <c r="AC9" s="18">
        <f>IF(COUNT(C9:P9)=0,"",IFERROR(K9/I9,0))</f>
        <v/>
      </c>
      <c r="AD9" s="18">
        <f>IF(COUNT(C9:P9)=0,"",IFERROR(L9/I9,0))</f>
        <v/>
      </c>
      <c r="AE9" s="18">
        <f>IF(COUNT(C9:P9)=0,"",IFERROR(P9/I9,0))</f>
        <v/>
      </c>
      <c r="AF9" s="20">
        <f>IF(COUNT(C9:P9)=0,"",IFERROR(I9*Config!$C$7+J9*Config!$C$8+K9*Config!$C$9+L9*Config!$C$10+M9*Config!$C$11+N9*Config!$C$12+O9*Config!$C$13+P9*Config!$C$14,0))</f>
        <v/>
      </c>
      <c r="AG9" s="15">
        <f>IF(COUNT(C9:P9)=0,"",IFERROR(AF9/I9,0))</f>
        <v/>
      </c>
      <c r="AH9" s="20">
        <f>IF(COUNT(C9:P9)=0,"",IFERROR(AF9*(1-Config!$C$15-Config!$C$16-Config!$C$17),0))</f>
        <v/>
      </c>
      <c r="AI9" s="20">
        <f>IF(COUNT(C9:P9)=0,"",IFERROR(AH9-C9-Config!$C$18,0))</f>
        <v/>
      </c>
      <c r="AJ9" s="21">
        <f>IF(COUNT(C9:P9)=0,"",IFERROR(AH9/C9,0))</f>
        <v/>
      </c>
      <c r="AK9" s="15">
        <f>IF(COUNT(C9:P9)=0,"",IFERROR(AI9/G9,0))</f>
        <v/>
      </c>
      <c r="AL9" s="21">
        <f>IF(COUNT(C9:P9)=0,"",IFERROR(AK9/V9,0))</f>
        <v/>
      </c>
      <c r="AM9" s="15">
        <f>IF(COUNT(C9:P9)=0,"",IFERROR(AI9/I9,0))</f>
        <v/>
      </c>
      <c r="AN9" s="15">
        <f>IF(COUNT(C9:P9)=0,"",IFERROR(AH9/I9-AA9,0))</f>
        <v/>
      </c>
    </row>
    <row r="10">
      <c r="A10" s="12">
        <f>Config!$C$6+4</f>
        <v/>
      </c>
      <c r="B10" s="13">
        <f>INT((A10-Config!$C$6)/7)+1</f>
        <v/>
      </c>
      <c r="C10" s="10" t="n">
        <v>296</v>
      </c>
      <c r="D10" s="14" t="n">
        <v>65062</v>
      </c>
      <c r="E10" s="14" t="n">
        <v>40478</v>
      </c>
      <c r="F10" s="14" t="n">
        <v>1042</v>
      </c>
      <c r="G10" s="14" t="n">
        <v>938</v>
      </c>
      <c r="H10" s="14" t="n">
        <v>34</v>
      </c>
      <c r="I10" s="14" t="n">
        <v>9</v>
      </c>
      <c r="J10" s="14" t="n">
        <v>2</v>
      </c>
      <c r="K10" s="14" t="n">
        <v>2</v>
      </c>
      <c r="L10" s="14" t="n">
        <v>1</v>
      </c>
      <c r="M10" s="14" t="n">
        <v>1</v>
      </c>
      <c r="N10" s="14" t="n">
        <v>0</v>
      </c>
      <c r="O10" s="14" t="n">
        <v>0</v>
      </c>
      <c r="P10" s="14" t="n">
        <v>0</v>
      </c>
      <c r="Q10" s="15">
        <f>IF(COUNT(C10:P10)=0,"",IFERROR(C10/D10*1000,0))</f>
        <v/>
      </c>
      <c r="R10" s="16">
        <f>IF(COUNT(C10:P10)=0,"",IFERROR(D10/E10,0))</f>
        <v/>
      </c>
      <c r="S10" s="17">
        <f>IF(COUNT(C10:P10)=0,"",IFERROR(F10/D10,0))</f>
        <v/>
      </c>
      <c r="T10" s="15">
        <f>IF(COUNT(C10:P10)=0,"",IFERROR(C10/F10,0))</f>
        <v/>
      </c>
      <c r="U10" s="18">
        <f>IF(COUNT(C10:P10)=0,"",IFERROR(G10/F10,0))</f>
        <v/>
      </c>
      <c r="V10" s="15">
        <f>IF(COUNT(C10:P10)=0,"",IFERROR(C10/G10,0))</f>
        <v/>
      </c>
      <c r="W10" s="19">
        <f>IF(COUNT(C10:P10)=0,"",IFERROR(G10/D10*1000,0))</f>
        <v/>
      </c>
      <c r="X10" s="18">
        <f>IF(COUNT(C10:P10)=0,"",IFERROR(H10/G10,0))</f>
        <v/>
      </c>
      <c r="Y10" s="18">
        <f>IF(COUNT(C10:P10)=0,"",IFERROR(I10/H10,0))</f>
        <v/>
      </c>
      <c r="Z10" s="17">
        <f>IF(COUNT(C10:P10)=0,"",IFERROR(I10/G10,0))</f>
        <v/>
      </c>
      <c r="AA10" s="15">
        <f>IF(COUNT(C10:P10)=0,"",IFERROR(C10/I10,0))</f>
        <v/>
      </c>
      <c r="AB10" s="18">
        <f>IF(COUNT(C10:P10)=0,"",IFERROR(J10/I10,0))</f>
        <v/>
      </c>
      <c r="AC10" s="18">
        <f>IF(COUNT(C10:P10)=0,"",IFERROR(K10/I10,0))</f>
        <v/>
      </c>
      <c r="AD10" s="18">
        <f>IF(COUNT(C10:P10)=0,"",IFERROR(L10/I10,0))</f>
        <v/>
      </c>
      <c r="AE10" s="18">
        <f>IF(COUNT(C10:P10)=0,"",IFERROR(P10/I10,0))</f>
        <v/>
      </c>
      <c r="AF10" s="20">
        <f>IF(COUNT(C10:P10)=0,"",IFERROR(I10*Config!$C$7+J10*Config!$C$8+K10*Config!$C$9+L10*Config!$C$10+M10*Config!$C$11+N10*Config!$C$12+O10*Config!$C$13+P10*Config!$C$14,0))</f>
        <v/>
      </c>
      <c r="AG10" s="15">
        <f>IF(COUNT(C10:P10)=0,"",IFERROR(AF10/I10,0))</f>
        <v/>
      </c>
      <c r="AH10" s="20">
        <f>IF(COUNT(C10:P10)=0,"",IFERROR(AF10*(1-Config!$C$15-Config!$C$16-Config!$C$17),0))</f>
        <v/>
      </c>
      <c r="AI10" s="20">
        <f>IF(COUNT(C10:P10)=0,"",IFERROR(AH10-C10-Config!$C$18,0))</f>
        <v/>
      </c>
      <c r="AJ10" s="21">
        <f>IF(COUNT(C10:P10)=0,"",IFERROR(AH10/C10,0))</f>
        <v/>
      </c>
      <c r="AK10" s="15">
        <f>IF(COUNT(C10:P10)=0,"",IFERROR(AI10/G10,0))</f>
        <v/>
      </c>
      <c r="AL10" s="21">
        <f>IF(COUNT(C10:P10)=0,"",IFERROR(AK10/V10,0))</f>
        <v/>
      </c>
      <c r="AM10" s="15">
        <f>IF(COUNT(C10:P10)=0,"",IFERROR(AI10/I10,0))</f>
        <v/>
      </c>
      <c r="AN10" s="15">
        <f>IF(COUNT(C10:P10)=0,"",IFERROR(AH10/I10-AA10,0))</f>
        <v/>
      </c>
    </row>
    <row r="11">
      <c r="A11" s="12">
        <f>Config!$C$6+5</f>
        <v/>
      </c>
      <c r="B11" s="13">
        <f>INT((A11-Config!$C$6)/7)+1</f>
        <v/>
      </c>
      <c r="C11" s="10" t="n">
        <v>284</v>
      </c>
      <c r="D11" s="14" t="n">
        <v>60410</v>
      </c>
      <c r="E11" s="14" t="n">
        <v>33742</v>
      </c>
      <c r="F11" s="14" t="n">
        <v>1013</v>
      </c>
      <c r="G11" s="14" t="n">
        <v>957</v>
      </c>
      <c r="H11" s="14" t="n">
        <v>32</v>
      </c>
      <c r="I11" s="14" t="n">
        <v>8</v>
      </c>
      <c r="J11" s="14" t="n">
        <v>2</v>
      </c>
      <c r="K11" s="14" t="n">
        <v>1</v>
      </c>
      <c r="L11" s="14" t="n">
        <v>1</v>
      </c>
      <c r="M11" s="14" t="n">
        <v>0</v>
      </c>
      <c r="N11" s="14" t="n">
        <v>0</v>
      </c>
      <c r="O11" s="14" t="n">
        <v>0</v>
      </c>
      <c r="P11" s="14" t="n">
        <v>0</v>
      </c>
      <c r="Q11" s="15">
        <f>IF(COUNT(C11:P11)=0,"",IFERROR(C11/D11*1000,0))</f>
        <v/>
      </c>
      <c r="R11" s="16">
        <f>IF(COUNT(C11:P11)=0,"",IFERROR(D11/E11,0))</f>
        <v/>
      </c>
      <c r="S11" s="17">
        <f>IF(COUNT(C11:P11)=0,"",IFERROR(F11/D11,0))</f>
        <v/>
      </c>
      <c r="T11" s="15">
        <f>IF(COUNT(C11:P11)=0,"",IFERROR(C11/F11,0))</f>
        <v/>
      </c>
      <c r="U11" s="18">
        <f>IF(COUNT(C11:P11)=0,"",IFERROR(G11/F11,0))</f>
        <v/>
      </c>
      <c r="V11" s="15">
        <f>IF(COUNT(C11:P11)=0,"",IFERROR(C11/G11,0))</f>
        <v/>
      </c>
      <c r="W11" s="19">
        <f>IF(COUNT(C11:P11)=0,"",IFERROR(G11/D11*1000,0))</f>
        <v/>
      </c>
      <c r="X11" s="18">
        <f>IF(COUNT(C11:P11)=0,"",IFERROR(H11/G11,0))</f>
        <v/>
      </c>
      <c r="Y11" s="18">
        <f>IF(COUNT(C11:P11)=0,"",IFERROR(I11/H11,0))</f>
        <v/>
      </c>
      <c r="Z11" s="17">
        <f>IF(COUNT(C11:P11)=0,"",IFERROR(I11/G11,0))</f>
        <v/>
      </c>
      <c r="AA11" s="15">
        <f>IF(COUNT(C11:P11)=0,"",IFERROR(C11/I11,0))</f>
        <v/>
      </c>
      <c r="AB11" s="18">
        <f>IF(COUNT(C11:P11)=0,"",IFERROR(J11/I11,0))</f>
        <v/>
      </c>
      <c r="AC11" s="18">
        <f>IF(COUNT(C11:P11)=0,"",IFERROR(K11/I11,0))</f>
        <v/>
      </c>
      <c r="AD11" s="18">
        <f>IF(COUNT(C11:P11)=0,"",IFERROR(L11/I11,0))</f>
        <v/>
      </c>
      <c r="AE11" s="18">
        <f>IF(COUNT(C11:P11)=0,"",IFERROR(P11/I11,0))</f>
        <v/>
      </c>
      <c r="AF11" s="20">
        <f>IF(COUNT(C11:P11)=0,"",IFERROR(I11*Config!$C$7+J11*Config!$C$8+K11*Config!$C$9+L11*Config!$C$10+M11*Config!$C$11+N11*Config!$C$12+O11*Config!$C$13+P11*Config!$C$14,0))</f>
        <v/>
      </c>
      <c r="AG11" s="15">
        <f>IF(COUNT(C11:P11)=0,"",IFERROR(AF11/I11,0))</f>
        <v/>
      </c>
      <c r="AH11" s="20">
        <f>IF(COUNT(C11:P11)=0,"",IFERROR(AF11*(1-Config!$C$15-Config!$C$16-Config!$C$17),0))</f>
        <v/>
      </c>
      <c r="AI11" s="20">
        <f>IF(COUNT(C11:P11)=0,"",IFERROR(AH11-C11-Config!$C$18,0))</f>
        <v/>
      </c>
      <c r="AJ11" s="21">
        <f>IF(COUNT(C11:P11)=0,"",IFERROR(AH11/C11,0))</f>
        <v/>
      </c>
      <c r="AK11" s="15">
        <f>IF(COUNT(C11:P11)=0,"",IFERROR(AI11/G11,0))</f>
        <v/>
      </c>
      <c r="AL11" s="21">
        <f>IF(COUNT(C11:P11)=0,"",IFERROR(AK11/V11,0))</f>
        <v/>
      </c>
      <c r="AM11" s="15">
        <f>IF(COUNT(C11:P11)=0,"",IFERROR(AI11/I11,0))</f>
        <v/>
      </c>
      <c r="AN11" s="15">
        <f>IF(COUNT(C11:P11)=0,"",IFERROR(AH11/I11-AA11,0))</f>
        <v/>
      </c>
    </row>
    <row r="12">
      <c r="A12" s="12">
        <f>Config!$C$6+6</f>
        <v/>
      </c>
      <c r="B12" s="13">
        <f>INT((A12-Config!$C$6)/7)+1</f>
        <v/>
      </c>
      <c r="C12" s="10" t="n">
        <v>285</v>
      </c>
      <c r="D12" s="14" t="n">
        <v>75611</v>
      </c>
      <c r="E12" s="14" t="n">
        <v>44418</v>
      </c>
      <c r="F12" s="14" t="n">
        <v>1144</v>
      </c>
      <c r="G12" s="14" t="n">
        <v>1115</v>
      </c>
      <c r="H12" s="14" t="n">
        <v>38</v>
      </c>
      <c r="I12" s="14" t="n">
        <v>11</v>
      </c>
      <c r="J12" s="14" t="n">
        <v>3</v>
      </c>
      <c r="K12" s="14" t="n">
        <v>2</v>
      </c>
      <c r="L12" s="14" t="n">
        <v>1</v>
      </c>
      <c r="M12" s="14" t="n">
        <v>1</v>
      </c>
      <c r="N12" s="14" t="n">
        <v>0</v>
      </c>
      <c r="O12" s="14" t="n">
        <v>0</v>
      </c>
      <c r="P12" s="14" t="n">
        <v>0</v>
      </c>
      <c r="Q12" s="15">
        <f>IF(COUNT(C12:P12)=0,"",IFERROR(C12/D12*1000,0))</f>
        <v/>
      </c>
      <c r="R12" s="16">
        <f>IF(COUNT(C12:P12)=0,"",IFERROR(D12/E12,0))</f>
        <v/>
      </c>
      <c r="S12" s="17">
        <f>IF(COUNT(C12:P12)=0,"",IFERROR(F12/D12,0))</f>
        <v/>
      </c>
      <c r="T12" s="15">
        <f>IF(COUNT(C12:P12)=0,"",IFERROR(C12/F12,0))</f>
        <v/>
      </c>
      <c r="U12" s="18">
        <f>IF(COUNT(C12:P12)=0,"",IFERROR(G12/F12,0))</f>
        <v/>
      </c>
      <c r="V12" s="15">
        <f>IF(COUNT(C12:P12)=0,"",IFERROR(C12/G12,0))</f>
        <v/>
      </c>
      <c r="W12" s="19">
        <f>IF(COUNT(C12:P12)=0,"",IFERROR(G12/D12*1000,0))</f>
        <v/>
      </c>
      <c r="X12" s="18">
        <f>IF(COUNT(C12:P12)=0,"",IFERROR(H12/G12,0))</f>
        <v/>
      </c>
      <c r="Y12" s="18">
        <f>IF(COUNT(C12:P12)=0,"",IFERROR(I12/H12,0))</f>
        <v/>
      </c>
      <c r="Z12" s="17">
        <f>IF(COUNT(C12:P12)=0,"",IFERROR(I12/G12,0))</f>
        <v/>
      </c>
      <c r="AA12" s="15">
        <f>IF(COUNT(C12:P12)=0,"",IFERROR(C12/I12,0))</f>
        <v/>
      </c>
      <c r="AB12" s="18">
        <f>IF(COUNT(C12:P12)=0,"",IFERROR(J12/I12,0))</f>
        <v/>
      </c>
      <c r="AC12" s="18">
        <f>IF(COUNT(C12:P12)=0,"",IFERROR(K12/I12,0))</f>
        <v/>
      </c>
      <c r="AD12" s="18">
        <f>IF(COUNT(C12:P12)=0,"",IFERROR(L12/I12,0))</f>
        <v/>
      </c>
      <c r="AE12" s="18">
        <f>IF(COUNT(C12:P12)=0,"",IFERROR(P12/I12,0))</f>
        <v/>
      </c>
      <c r="AF12" s="20">
        <f>IF(COUNT(C12:P12)=0,"",IFERROR(I12*Config!$C$7+J12*Config!$C$8+K12*Config!$C$9+L12*Config!$C$10+M12*Config!$C$11+N12*Config!$C$12+O12*Config!$C$13+P12*Config!$C$14,0))</f>
        <v/>
      </c>
      <c r="AG12" s="15">
        <f>IF(COUNT(C12:P12)=0,"",IFERROR(AF12/I12,0))</f>
        <v/>
      </c>
      <c r="AH12" s="20">
        <f>IF(COUNT(C12:P12)=0,"",IFERROR(AF12*(1-Config!$C$15-Config!$C$16-Config!$C$17),0))</f>
        <v/>
      </c>
      <c r="AI12" s="20">
        <f>IF(COUNT(C12:P12)=0,"",IFERROR(AH12-C12-Config!$C$18,0))</f>
        <v/>
      </c>
      <c r="AJ12" s="21">
        <f>IF(COUNT(C12:P12)=0,"",IFERROR(AH12/C12,0))</f>
        <v/>
      </c>
      <c r="AK12" s="15">
        <f>IF(COUNT(C12:P12)=0,"",IFERROR(AI12/G12,0))</f>
        <v/>
      </c>
      <c r="AL12" s="21">
        <f>IF(COUNT(C12:P12)=0,"",IFERROR(AK12/V12,0))</f>
        <v/>
      </c>
      <c r="AM12" s="15">
        <f>IF(COUNT(C12:P12)=0,"",IFERROR(AI12/I12,0))</f>
        <v/>
      </c>
      <c r="AN12" s="15">
        <f>IF(COUNT(C12:P12)=0,"",IFERROR(AH12/I12-AA12,0))</f>
        <v/>
      </c>
    </row>
    <row r="13">
      <c r="A13" s="12">
        <f>Config!$C$6+7</f>
        <v/>
      </c>
      <c r="B13" s="13">
        <f>INT((A13-Config!$C$6)/7)+1</f>
        <v/>
      </c>
      <c r="C13" s="10" t="n">
        <v>325</v>
      </c>
      <c r="D13" s="14" t="n">
        <v>87922</v>
      </c>
      <c r="E13" s="14" t="n">
        <v>59066</v>
      </c>
      <c r="F13" s="14" t="n">
        <v>1497</v>
      </c>
      <c r="G13" s="14" t="n">
        <v>1338</v>
      </c>
      <c r="H13" s="14" t="n">
        <v>52</v>
      </c>
      <c r="I13" s="14" t="n">
        <v>13</v>
      </c>
      <c r="J13" s="14" t="n">
        <v>3</v>
      </c>
      <c r="K13" s="14" t="n">
        <v>2</v>
      </c>
      <c r="L13" s="14" t="n">
        <v>1</v>
      </c>
      <c r="M13" s="14" t="n">
        <v>1</v>
      </c>
      <c r="N13" s="14" t="n">
        <v>0</v>
      </c>
      <c r="O13" s="14" t="n">
        <v>1</v>
      </c>
      <c r="P13" s="14" t="n">
        <v>0</v>
      </c>
      <c r="Q13" s="15">
        <f>IF(COUNT(C13:P13)=0,"",IFERROR(C13/D13*1000,0))</f>
        <v/>
      </c>
      <c r="R13" s="16">
        <f>IF(COUNT(C13:P13)=0,"",IFERROR(D13/E13,0))</f>
        <v/>
      </c>
      <c r="S13" s="17">
        <f>IF(COUNT(C13:P13)=0,"",IFERROR(F13/D13,0))</f>
        <v/>
      </c>
      <c r="T13" s="15">
        <f>IF(COUNT(C13:P13)=0,"",IFERROR(C13/F13,0))</f>
        <v/>
      </c>
      <c r="U13" s="18">
        <f>IF(COUNT(C13:P13)=0,"",IFERROR(G13/F13,0))</f>
        <v/>
      </c>
      <c r="V13" s="15">
        <f>IF(COUNT(C13:P13)=0,"",IFERROR(C13/G13,0))</f>
        <v/>
      </c>
      <c r="W13" s="19">
        <f>IF(COUNT(C13:P13)=0,"",IFERROR(G13/D13*1000,0))</f>
        <v/>
      </c>
      <c r="X13" s="18">
        <f>IF(COUNT(C13:P13)=0,"",IFERROR(H13/G13,0))</f>
        <v/>
      </c>
      <c r="Y13" s="18">
        <f>IF(COUNT(C13:P13)=0,"",IFERROR(I13/H13,0))</f>
        <v/>
      </c>
      <c r="Z13" s="17">
        <f>IF(COUNT(C13:P13)=0,"",IFERROR(I13/G13,0))</f>
        <v/>
      </c>
      <c r="AA13" s="15">
        <f>IF(COUNT(C13:P13)=0,"",IFERROR(C13/I13,0))</f>
        <v/>
      </c>
      <c r="AB13" s="18">
        <f>IF(COUNT(C13:P13)=0,"",IFERROR(J13/I13,0))</f>
        <v/>
      </c>
      <c r="AC13" s="18">
        <f>IF(COUNT(C13:P13)=0,"",IFERROR(K13/I13,0))</f>
        <v/>
      </c>
      <c r="AD13" s="18">
        <f>IF(COUNT(C13:P13)=0,"",IFERROR(L13/I13,0))</f>
        <v/>
      </c>
      <c r="AE13" s="18">
        <f>IF(COUNT(C13:P13)=0,"",IFERROR(P13/I13,0))</f>
        <v/>
      </c>
      <c r="AF13" s="20">
        <f>IF(COUNT(C13:P13)=0,"",IFERROR(I13*Config!$C$7+J13*Config!$C$8+K13*Config!$C$9+L13*Config!$C$10+M13*Config!$C$11+N13*Config!$C$12+O13*Config!$C$13+P13*Config!$C$14,0))</f>
        <v/>
      </c>
      <c r="AG13" s="15">
        <f>IF(COUNT(C13:P13)=0,"",IFERROR(AF13/I13,0))</f>
        <v/>
      </c>
      <c r="AH13" s="20">
        <f>IF(COUNT(C13:P13)=0,"",IFERROR(AF13*(1-Config!$C$15-Config!$C$16-Config!$C$17),0))</f>
        <v/>
      </c>
      <c r="AI13" s="20">
        <f>IF(COUNT(C13:P13)=0,"",IFERROR(AH13-C13-Config!$C$18,0))</f>
        <v/>
      </c>
      <c r="AJ13" s="21">
        <f>IF(COUNT(C13:P13)=0,"",IFERROR(AH13/C13,0))</f>
        <v/>
      </c>
      <c r="AK13" s="15">
        <f>IF(COUNT(C13:P13)=0,"",IFERROR(AI13/G13,0))</f>
        <v/>
      </c>
      <c r="AL13" s="21">
        <f>IF(COUNT(C13:P13)=0,"",IFERROR(AK13/V13,0))</f>
        <v/>
      </c>
      <c r="AM13" s="15">
        <f>IF(COUNT(C13:P13)=0,"",IFERROR(AI13/I13,0))</f>
        <v/>
      </c>
      <c r="AN13" s="15">
        <f>IF(COUNT(C13:P13)=0,"",IFERROR(AH13/I13-AA13,0))</f>
        <v/>
      </c>
    </row>
    <row r="14">
      <c r="A14" s="12">
        <f>Config!$C$6+8</f>
        <v/>
      </c>
      <c r="B14" s="13">
        <f>INT((A14-Config!$C$6)/7)+1</f>
        <v/>
      </c>
      <c r="C14" s="10" t="n">
        <v>269</v>
      </c>
      <c r="D14" s="14" t="n">
        <v>62177</v>
      </c>
      <c r="E14" s="14" t="n">
        <v>36426</v>
      </c>
      <c r="F14" s="14" t="n">
        <v>910</v>
      </c>
      <c r="G14" s="14" t="n">
        <v>738</v>
      </c>
      <c r="H14" s="14" t="n">
        <v>25</v>
      </c>
      <c r="I14" s="14" t="n">
        <v>7</v>
      </c>
      <c r="J14" s="14" t="n">
        <v>2</v>
      </c>
      <c r="K14" s="14" t="n">
        <v>1</v>
      </c>
      <c r="L14" s="14" t="n">
        <v>1</v>
      </c>
      <c r="M14" s="14" t="n">
        <v>0</v>
      </c>
      <c r="N14" s="14" t="n">
        <v>0</v>
      </c>
      <c r="O14" s="14" t="n">
        <v>0</v>
      </c>
      <c r="P14" s="14" t="n">
        <v>0</v>
      </c>
      <c r="Q14" s="15">
        <f>IF(COUNT(C14:P14)=0,"",IFERROR(C14/D14*1000,0))</f>
        <v/>
      </c>
      <c r="R14" s="16">
        <f>IF(COUNT(C14:P14)=0,"",IFERROR(D14/E14,0))</f>
        <v/>
      </c>
      <c r="S14" s="17">
        <f>IF(COUNT(C14:P14)=0,"",IFERROR(F14/D14,0))</f>
        <v/>
      </c>
      <c r="T14" s="15">
        <f>IF(COUNT(C14:P14)=0,"",IFERROR(C14/F14,0))</f>
        <v/>
      </c>
      <c r="U14" s="18">
        <f>IF(COUNT(C14:P14)=0,"",IFERROR(G14/F14,0))</f>
        <v/>
      </c>
      <c r="V14" s="15">
        <f>IF(COUNT(C14:P14)=0,"",IFERROR(C14/G14,0))</f>
        <v/>
      </c>
      <c r="W14" s="19">
        <f>IF(COUNT(C14:P14)=0,"",IFERROR(G14/D14*1000,0))</f>
        <v/>
      </c>
      <c r="X14" s="18">
        <f>IF(COUNT(C14:P14)=0,"",IFERROR(H14/G14,0))</f>
        <v/>
      </c>
      <c r="Y14" s="18">
        <f>IF(COUNT(C14:P14)=0,"",IFERROR(I14/H14,0))</f>
        <v/>
      </c>
      <c r="Z14" s="17">
        <f>IF(COUNT(C14:P14)=0,"",IFERROR(I14/G14,0))</f>
        <v/>
      </c>
      <c r="AA14" s="15">
        <f>IF(COUNT(C14:P14)=0,"",IFERROR(C14/I14,0))</f>
        <v/>
      </c>
      <c r="AB14" s="18">
        <f>IF(COUNT(C14:P14)=0,"",IFERROR(J14/I14,0))</f>
        <v/>
      </c>
      <c r="AC14" s="18">
        <f>IF(COUNT(C14:P14)=0,"",IFERROR(K14/I14,0))</f>
        <v/>
      </c>
      <c r="AD14" s="18">
        <f>IF(COUNT(C14:P14)=0,"",IFERROR(L14/I14,0))</f>
        <v/>
      </c>
      <c r="AE14" s="18">
        <f>IF(COUNT(C14:P14)=0,"",IFERROR(P14/I14,0))</f>
        <v/>
      </c>
      <c r="AF14" s="20">
        <f>IF(COUNT(C14:P14)=0,"",IFERROR(I14*Config!$C$7+J14*Config!$C$8+K14*Config!$C$9+L14*Config!$C$10+M14*Config!$C$11+N14*Config!$C$12+O14*Config!$C$13+P14*Config!$C$14,0))</f>
        <v/>
      </c>
      <c r="AG14" s="15">
        <f>IF(COUNT(C14:P14)=0,"",IFERROR(AF14/I14,0))</f>
        <v/>
      </c>
      <c r="AH14" s="20">
        <f>IF(COUNT(C14:P14)=0,"",IFERROR(AF14*(1-Config!$C$15-Config!$C$16-Config!$C$17),0))</f>
        <v/>
      </c>
      <c r="AI14" s="20">
        <f>IF(COUNT(C14:P14)=0,"",IFERROR(AH14-C14-Config!$C$18,0))</f>
        <v/>
      </c>
      <c r="AJ14" s="21">
        <f>IF(COUNT(C14:P14)=0,"",IFERROR(AH14/C14,0))</f>
        <v/>
      </c>
      <c r="AK14" s="15">
        <f>IF(COUNT(C14:P14)=0,"",IFERROR(AI14/G14,0))</f>
        <v/>
      </c>
      <c r="AL14" s="21">
        <f>IF(COUNT(C14:P14)=0,"",IFERROR(AK14/V14,0))</f>
        <v/>
      </c>
      <c r="AM14" s="15">
        <f>IF(COUNT(C14:P14)=0,"",IFERROR(AI14/I14,0))</f>
        <v/>
      </c>
      <c r="AN14" s="15">
        <f>IF(COUNT(C14:P14)=0,"",IFERROR(AH14/I14-AA14,0))</f>
        <v/>
      </c>
    </row>
    <row r="15">
      <c r="A15" s="12">
        <f>Config!$C$6+9</f>
        <v/>
      </c>
      <c r="B15" s="13">
        <f>INT((A15-Config!$C$6)/7)+1</f>
        <v/>
      </c>
      <c r="C15" s="10" t="n">
        <v>319</v>
      </c>
      <c r="D15" s="14" t="n">
        <v>83508</v>
      </c>
      <c r="E15" s="14" t="n">
        <v>55575</v>
      </c>
      <c r="F15" s="14" t="n">
        <v>1170</v>
      </c>
      <c r="G15" s="14" t="n">
        <v>942</v>
      </c>
      <c r="H15" s="14" t="n">
        <v>35</v>
      </c>
      <c r="I15" s="14" t="n">
        <v>8</v>
      </c>
      <c r="J15" s="14" t="n">
        <v>2</v>
      </c>
      <c r="K15" s="14" t="n">
        <v>2</v>
      </c>
      <c r="L15" s="14" t="n">
        <v>1</v>
      </c>
      <c r="M15" s="14" t="n">
        <v>1</v>
      </c>
      <c r="N15" s="14" t="n">
        <v>0</v>
      </c>
      <c r="O15" s="14" t="n">
        <v>0</v>
      </c>
      <c r="P15" s="14" t="n">
        <v>0</v>
      </c>
      <c r="Q15" s="15">
        <f>IF(COUNT(C15:P15)=0,"",IFERROR(C15/D15*1000,0))</f>
        <v/>
      </c>
      <c r="R15" s="16">
        <f>IF(COUNT(C15:P15)=0,"",IFERROR(D15/E15,0))</f>
        <v/>
      </c>
      <c r="S15" s="17">
        <f>IF(COUNT(C15:P15)=0,"",IFERROR(F15/D15,0))</f>
        <v/>
      </c>
      <c r="T15" s="15">
        <f>IF(COUNT(C15:P15)=0,"",IFERROR(C15/F15,0))</f>
        <v/>
      </c>
      <c r="U15" s="18">
        <f>IF(COUNT(C15:P15)=0,"",IFERROR(G15/F15,0))</f>
        <v/>
      </c>
      <c r="V15" s="15">
        <f>IF(COUNT(C15:P15)=0,"",IFERROR(C15/G15,0))</f>
        <v/>
      </c>
      <c r="W15" s="19">
        <f>IF(COUNT(C15:P15)=0,"",IFERROR(G15/D15*1000,0))</f>
        <v/>
      </c>
      <c r="X15" s="18">
        <f>IF(COUNT(C15:P15)=0,"",IFERROR(H15/G15,0))</f>
        <v/>
      </c>
      <c r="Y15" s="18">
        <f>IF(COUNT(C15:P15)=0,"",IFERROR(I15/H15,0))</f>
        <v/>
      </c>
      <c r="Z15" s="17">
        <f>IF(COUNT(C15:P15)=0,"",IFERROR(I15/G15,0))</f>
        <v/>
      </c>
      <c r="AA15" s="15">
        <f>IF(COUNT(C15:P15)=0,"",IFERROR(C15/I15,0))</f>
        <v/>
      </c>
      <c r="AB15" s="18">
        <f>IF(COUNT(C15:P15)=0,"",IFERROR(J15/I15,0))</f>
        <v/>
      </c>
      <c r="AC15" s="18">
        <f>IF(COUNT(C15:P15)=0,"",IFERROR(K15/I15,0))</f>
        <v/>
      </c>
      <c r="AD15" s="18">
        <f>IF(COUNT(C15:P15)=0,"",IFERROR(L15/I15,0))</f>
        <v/>
      </c>
      <c r="AE15" s="18">
        <f>IF(COUNT(C15:P15)=0,"",IFERROR(P15/I15,0))</f>
        <v/>
      </c>
      <c r="AF15" s="20">
        <f>IF(COUNT(C15:P15)=0,"",IFERROR(I15*Config!$C$7+J15*Config!$C$8+K15*Config!$C$9+L15*Config!$C$10+M15*Config!$C$11+N15*Config!$C$12+O15*Config!$C$13+P15*Config!$C$14,0))</f>
        <v/>
      </c>
      <c r="AG15" s="15">
        <f>IF(COUNT(C15:P15)=0,"",IFERROR(AF15/I15,0))</f>
        <v/>
      </c>
      <c r="AH15" s="20">
        <f>IF(COUNT(C15:P15)=0,"",IFERROR(AF15*(1-Config!$C$15-Config!$C$16-Config!$C$17),0))</f>
        <v/>
      </c>
      <c r="AI15" s="20">
        <f>IF(COUNT(C15:P15)=0,"",IFERROR(AH15-C15-Config!$C$18,0))</f>
        <v/>
      </c>
      <c r="AJ15" s="21">
        <f>IF(COUNT(C15:P15)=0,"",IFERROR(AH15/C15,0))</f>
        <v/>
      </c>
      <c r="AK15" s="15">
        <f>IF(COUNT(C15:P15)=0,"",IFERROR(AI15/G15,0))</f>
        <v/>
      </c>
      <c r="AL15" s="21">
        <f>IF(COUNT(C15:P15)=0,"",IFERROR(AK15/V15,0))</f>
        <v/>
      </c>
      <c r="AM15" s="15">
        <f>IF(COUNT(C15:P15)=0,"",IFERROR(AI15/I15,0))</f>
        <v/>
      </c>
      <c r="AN15" s="15">
        <f>IF(COUNT(C15:P15)=0,"",IFERROR(AH15/I15-AA15,0))</f>
        <v/>
      </c>
    </row>
    <row r="16">
      <c r="A16" s="12">
        <f>Config!$C$6+10</f>
        <v/>
      </c>
      <c r="B16" s="13">
        <f>INT((A16-Config!$C$6)/7)+1</f>
        <v/>
      </c>
      <c r="C16" s="10" t="n">
        <v>304</v>
      </c>
      <c r="D16" s="14" t="n">
        <v>73371</v>
      </c>
      <c r="E16" s="14" t="n">
        <v>49534</v>
      </c>
      <c r="F16" s="14" t="n">
        <v>1201</v>
      </c>
      <c r="G16" s="14" t="n">
        <v>985</v>
      </c>
      <c r="H16" s="14" t="n">
        <v>36</v>
      </c>
      <c r="I16" s="14" t="n">
        <v>8</v>
      </c>
      <c r="J16" s="14" t="n">
        <v>2</v>
      </c>
      <c r="K16" s="14" t="n">
        <v>2</v>
      </c>
      <c r="L16" s="14" t="n">
        <v>1</v>
      </c>
      <c r="M16" s="14" t="n">
        <v>1</v>
      </c>
      <c r="N16" s="14" t="n">
        <v>0</v>
      </c>
      <c r="O16" s="14" t="n">
        <v>0</v>
      </c>
      <c r="P16" s="14" t="n">
        <v>0</v>
      </c>
      <c r="Q16" s="15">
        <f>IF(COUNT(C16:P16)=0,"",IFERROR(C16/D16*1000,0))</f>
        <v/>
      </c>
      <c r="R16" s="16">
        <f>IF(COUNT(C16:P16)=0,"",IFERROR(D16/E16,0))</f>
        <v/>
      </c>
      <c r="S16" s="17">
        <f>IF(COUNT(C16:P16)=0,"",IFERROR(F16/D16,0))</f>
        <v/>
      </c>
      <c r="T16" s="15">
        <f>IF(COUNT(C16:P16)=0,"",IFERROR(C16/F16,0))</f>
        <v/>
      </c>
      <c r="U16" s="18">
        <f>IF(COUNT(C16:P16)=0,"",IFERROR(G16/F16,0))</f>
        <v/>
      </c>
      <c r="V16" s="15">
        <f>IF(COUNT(C16:P16)=0,"",IFERROR(C16/G16,0))</f>
        <v/>
      </c>
      <c r="W16" s="19">
        <f>IF(COUNT(C16:P16)=0,"",IFERROR(G16/D16*1000,0))</f>
        <v/>
      </c>
      <c r="X16" s="18">
        <f>IF(COUNT(C16:P16)=0,"",IFERROR(H16/G16,0))</f>
        <v/>
      </c>
      <c r="Y16" s="18">
        <f>IF(COUNT(C16:P16)=0,"",IFERROR(I16/H16,0))</f>
        <v/>
      </c>
      <c r="Z16" s="17">
        <f>IF(COUNT(C16:P16)=0,"",IFERROR(I16/G16,0))</f>
        <v/>
      </c>
      <c r="AA16" s="15">
        <f>IF(COUNT(C16:P16)=0,"",IFERROR(C16/I16,0))</f>
        <v/>
      </c>
      <c r="AB16" s="18">
        <f>IF(COUNT(C16:P16)=0,"",IFERROR(J16/I16,0))</f>
        <v/>
      </c>
      <c r="AC16" s="18">
        <f>IF(COUNT(C16:P16)=0,"",IFERROR(K16/I16,0))</f>
        <v/>
      </c>
      <c r="AD16" s="18">
        <f>IF(COUNT(C16:P16)=0,"",IFERROR(L16/I16,0))</f>
        <v/>
      </c>
      <c r="AE16" s="18">
        <f>IF(COUNT(C16:P16)=0,"",IFERROR(P16/I16,0))</f>
        <v/>
      </c>
      <c r="AF16" s="20">
        <f>IF(COUNT(C16:P16)=0,"",IFERROR(I16*Config!$C$7+J16*Config!$C$8+K16*Config!$C$9+L16*Config!$C$10+M16*Config!$C$11+N16*Config!$C$12+O16*Config!$C$13+P16*Config!$C$14,0))</f>
        <v/>
      </c>
      <c r="AG16" s="15">
        <f>IF(COUNT(C16:P16)=0,"",IFERROR(AF16/I16,0))</f>
        <v/>
      </c>
      <c r="AH16" s="20">
        <f>IF(COUNT(C16:P16)=0,"",IFERROR(AF16*(1-Config!$C$15-Config!$C$16-Config!$C$17),0))</f>
        <v/>
      </c>
      <c r="AI16" s="20">
        <f>IF(COUNT(C16:P16)=0,"",IFERROR(AH16-C16-Config!$C$18,0))</f>
        <v/>
      </c>
      <c r="AJ16" s="21">
        <f>IF(COUNT(C16:P16)=0,"",IFERROR(AH16/C16,0))</f>
        <v/>
      </c>
      <c r="AK16" s="15">
        <f>IF(COUNT(C16:P16)=0,"",IFERROR(AI16/G16,0))</f>
        <v/>
      </c>
      <c r="AL16" s="21">
        <f>IF(COUNT(C16:P16)=0,"",IFERROR(AK16/V16,0))</f>
        <v/>
      </c>
      <c r="AM16" s="15">
        <f>IF(COUNT(C16:P16)=0,"",IFERROR(AI16/I16,0))</f>
        <v/>
      </c>
      <c r="AN16" s="15">
        <f>IF(COUNT(C16:P16)=0,"",IFERROR(AH16/I16-AA16,0))</f>
        <v/>
      </c>
    </row>
    <row r="17">
      <c r="A17" s="12">
        <f>Config!$C$6+11</f>
        <v/>
      </c>
      <c r="B17" s="13">
        <f>INT((A17-Config!$C$6)/7)+1</f>
        <v/>
      </c>
      <c r="C17" s="10" t="n">
        <v>294</v>
      </c>
      <c r="D17" s="14" t="n">
        <v>75256</v>
      </c>
      <c r="E17" s="14" t="n">
        <v>49786</v>
      </c>
      <c r="F17" s="14" t="n">
        <v>1298</v>
      </c>
      <c r="G17" s="14" t="n">
        <v>1254</v>
      </c>
      <c r="H17" s="14" t="n">
        <v>42</v>
      </c>
      <c r="I17" s="14" t="n">
        <v>12</v>
      </c>
      <c r="J17" s="14" t="n">
        <v>3</v>
      </c>
      <c r="K17" s="14" t="n">
        <v>2</v>
      </c>
      <c r="L17" s="14" t="n">
        <v>1</v>
      </c>
      <c r="M17" s="14" t="n">
        <v>1</v>
      </c>
      <c r="N17" s="14" t="n">
        <v>0</v>
      </c>
      <c r="O17" s="14" t="n">
        <v>0</v>
      </c>
      <c r="P17" s="14" t="n">
        <v>0</v>
      </c>
      <c r="Q17" s="15">
        <f>IF(COUNT(C17:P17)=0,"",IFERROR(C17/D17*1000,0))</f>
        <v/>
      </c>
      <c r="R17" s="16">
        <f>IF(COUNT(C17:P17)=0,"",IFERROR(D17/E17,0))</f>
        <v/>
      </c>
      <c r="S17" s="17">
        <f>IF(COUNT(C17:P17)=0,"",IFERROR(F17/D17,0))</f>
        <v/>
      </c>
      <c r="T17" s="15">
        <f>IF(COUNT(C17:P17)=0,"",IFERROR(C17/F17,0))</f>
        <v/>
      </c>
      <c r="U17" s="18">
        <f>IF(COUNT(C17:P17)=0,"",IFERROR(G17/F17,0))</f>
        <v/>
      </c>
      <c r="V17" s="15">
        <f>IF(COUNT(C17:P17)=0,"",IFERROR(C17/G17,0))</f>
        <v/>
      </c>
      <c r="W17" s="19">
        <f>IF(COUNT(C17:P17)=0,"",IFERROR(G17/D17*1000,0))</f>
        <v/>
      </c>
      <c r="X17" s="18">
        <f>IF(COUNT(C17:P17)=0,"",IFERROR(H17/G17,0))</f>
        <v/>
      </c>
      <c r="Y17" s="18">
        <f>IF(COUNT(C17:P17)=0,"",IFERROR(I17/H17,0))</f>
        <v/>
      </c>
      <c r="Z17" s="17">
        <f>IF(COUNT(C17:P17)=0,"",IFERROR(I17/G17,0))</f>
        <v/>
      </c>
      <c r="AA17" s="15">
        <f>IF(COUNT(C17:P17)=0,"",IFERROR(C17/I17,0))</f>
        <v/>
      </c>
      <c r="AB17" s="18">
        <f>IF(COUNT(C17:P17)=0,"",IFERROR(J17/I17,0))</f>
        <v/>
      </c>
      <c r="AC17" s="18">
        <f>IF(COUNT(C17:P17)=0,"",IFERROR(K17/I17,0))</f>
        <v/>
      </c>
      <c r="AD17" s="18">
        <f>IF(COUNT(C17:P17)=0,"",IFERROR(L17/I17,0))</f>
        <v/>
      </c>
      <c r="AE17" s="18">
        <f>IF(COUNT(C17:P17)=0,"",IFERROR(P17/I17,0))</f>
        <v/>
      </c>
      <c r="AF17" s="20">
        <f>IF(COUNT(C17:P17)=0,"",IFERROR(I17*Config!$C$7+J17*Config!$C$8+K17*Config!$C$9+L17*Config!$C$10+M17*Config!$C$11+N17*Config!$C$12+O17*Config!$C$13+P17*Config!$C$14,0))</f>
        <v/>
      </c>
      <c r="AG17" s="15">
        <f>IF(COUNT(C17:P17)=0,"",IFERROR(AF17/I17,0))</f>
        <v/>
      </c>
      <c r="AH17" s="20">
        <f>IF(COUNT(C17:P17)=0,"",IFERROR(AF17*(1-Config!$C$15-Config!$C$16-Config!$C$17),0))</f>
        <v/>
      </c>
      <c r="AI17" s="20">
        <f>IF(COUNT(C17:P17)=0,"",IFERROR(AH17-C17-Config!$C$18,0))</f>
        <v/>
      </c>
      <c r="AJ17" s="21">
        <f>IF(COUNT(C17:P17)=0,"",IFERROR(AH17/C17,0))</f>
        <v/>
      </c>
      <c r="AK17" s="15">
        <f>IF(COUNT(C17:P17)=0,"",IFERROR(AI17/G17,0))</f>
        <v/>
      </c>
      <c r="AL17" s="21">
        <f>IF(COUNT(C17:P17)=0,"",IFERROR(AK17/V17,0))</f>
        <v/>
      </c>
      <c r="AM17" s="15">
        <f>IF(COUNT(C17:P17)=0,"",IFERROR(AI17/I17,0))</f>
        <v/>
      </c>
      <c r="AN17" s="15">
        <f>IF(COUNT(C17:P17)=0,"",IFERROR(AH17/I17-AA17,0))</f>
        <v/>
      </c>
    </row>
    <row r="18">
      <c r="A18" s="12">
        <f>Config!$C$6+12</f>
        <v/>
      </c>
      <c r="B18" s="13">
        <f>INT((A18-Config!$C$6)/7)+1</f>
        <v/>
      </c>
      <c r="C18" s="10" t="n">
        <v>279</v>
      </c>
      <c r="D18" s="14" t="n">
        <v>68200</v>
      </c>
      <c r="E18" s="14" t="n">
        <v>39284</v>
      </c>
      <c r="F18" s="14" t="n">
        <v>1093</v>
      </c>
      <c r="G18" s="14" t="n">
        <v>889</v>
      </c>
      <c r="H18" s="14" t="n">
        <v>35</v>
      </c>
      <c r="I18" s="14" t="n">
        <v>8</v>
      </c>
      <c r="J18" s="14" t="n">
        <v>2</v>
      </c>
      <c r="K18" s="14" t="n">
        <v>2</v>
      </c>
      <c r="L18" s="14" t="n">
        <v>1</v>
      </c>
      <c r="M18" s="14" t="n">
        <v>1</v>
      </c>
      <c r="N18" s="14" t="n">
        <v>0</v>
      </c>
      <c r="O18" s="14" t="n">
        <v>0</v>
      </c>
      <c r="P18" s="14" t="n">
        <v>0</v>
      </c>
      <c r="Q18" s="15">
        <f>IF(COUNT(C18:P18)=0,"",IFERROR(C18/D18*1000,0))</f>
        <v/>
      </c>
      <c r="R18" s="16">
        <f>IF(COUNT(C18:P18)=0,"",IFERROR(D18/E18,0))</f>
        <v/>
      </c>
      <c r="S18" s="17">
        <f>IF(COUNT(C18:P18)=0,"",IFERROR(F18/D18,0))</f>
        <v/>
      </c>
      <c r="T18" s="15">
        <f>IF(COUNT(C18:P18)=0,"",IFERROR(C18/F18,0))</f>
        <v/>
      </c>
      <c r="U18" s="18">
        <f>IF(COUNT(C18:P18)=0,"",IFERROR(G18/F18,0))</f>
        <v/>
      </c>
      <c r="V18" s="15">
        <f>IF(COUNT(C18:P18)=0,"",IFERROR(C18/G18,0))</f>
        <v/>
      </c>
      <c r="W18" s="19">
        <f>IF(COUNT(C18:P18)=0,"",IFERROR(G18/D18*1000,0))</f>
        <v/>
      </c>
      <c r="X18" s="18">
        <f>IF(COUNT(C18:P18)=0,"",IFERROR(H18/G18,0))</f>
        <v/>
      </c>
      <c r="Y18" s="18">
        <f>IF(COUNT(C18:P18)=0,"",IFERROR(I18/H18,0))</f>
        <v/>
      </c>
      <c r="Z18" s="17">
        <f>IF(COUNT(C18:P18)=0,"",IFERROR(I18/G18,0))</f>
        <v/>
      </c>
      <c r="AA18" s="15">
        <f>IF(COUNT(C18:P18)=0,"",IFERROR(C18/I18,0))</f>
        <v/>
      </c>
      <c r="AB18" s="18">
        <f>IF(COUNT(C18:P18)=0,"",IFERROR(J18/I18,0))</f>
        <v/>
      </c>
      <c r="AC18" s="18">
        <f>IF(COUNT(C18:P18)=0,"",IFERROR(K18/I18,0))</f>
        <v/>
      </c>
      <c r="AD18" s="18">
        <f>IF(COUNT(C18:P18)=0,"",IFERROR(L18/I18,0))</f>
        <v/>
      </c>
      <c r="AE18" s="18">
        <f>IF(COUNT(C18:P18)=0,"",IFERROR(P18/I18,0))</f>
        <v/>
      </c>
      <c r="AF18" s="20">
        <f>IF(COUNT(C18:P18)=0,"",IFERROR(I18*Config!$C$7+J18*Config!$C$8+K18*Config!$C$9+L18*Config!$C$10+M18*Config!$C$11+N18*Config!$C$12+O18*Config!$C$13+P18*Config!$C$14,0))</f>
        <v/>
      </c>
      <c r="AG18" s="15">
        <f>IF(COUNT(C18:P18)=0,"",IFERROR(AF18/I18,0))</f>
        <v/>
      </c>
      <c r="AH18" s="20">
        <f>IF(COUNT(C18:P18)=0,"",IFERROR(AF18*(1-Config!$C$15-Config!$C$16-Config!$C$17),0))</f>
        <v/>
      </c>
      <c r="AI18" s="20">
        <f>IF(COUNT(C18:P18)=0,"",IFERROR(AH18-C18-Config!$C$18,0))</f>
        <v/>
      </c>
      <c r="AJ18" s="21">
        <f>IF(COUNT(C18:P18)=0,"",IFERROR(AH18/C18,0))</f>
        <v/>
      </c>
      <c r="AK18" s="15">
        <f>IF(COUNT(C18:P18)=0,"",IFERROR(AI18/G18,0))</f>
        <v/>
      </c>
      <c r="AL18" s="21">
        <f>IF(COUNT(C18:P18)=0,"",IFERROR(AK18/V18,0))</f>
        <v/>
      </c>
      <c r="AM18" s="15">
        <f>IF(COUNT(C18:P18)=0,"",IFERROR(AI18/I18,0))</f>
        <v/>
      </c>
      <c r="AN18" s="15">
        <f>IF(COUNT(C18:P18)=0,"",IFERROR(AH18/I18-AA18,0))</f>
        <v/>
      </c>
    </row>
    <row r="19">
      <c r="A19" s="12">
        <f>Config!$C$6+13</f>
        <v/>
      </c>
      <c r="B19" s="13">
        <f>INT((A19-Config!$C$6)/7)+1</f>
        <v/>
      </c>
      <c r="C19" s="10" t="n">
        <v>283</v>
      </c>
      <c r="D19" s="14" t="n">
        <v>63152</v>
      </c>
      <c r="E19" s="14" t="n">
        <v>41159</v>
      </c>
      <c r="F19" s="14" t="n">
        <v>931</v>
      </c>
      <c r="G19" s="14" t="n">
        <v>752</v>
      </c>
      <c r="H19" s="14" t="n">
        <v>24</v>
      </c>
      <c r="I19" s="14" t="n">
        <v>6</v>
      </c>
      <c r="J19" s="14" t="n">
        <v>2</v>
      </c>
      <c r="K19" s="14" t="n">
        <v>1</v>
      </c>
      <c r="L19" s="14" t="n">
        <v>1</v>
      </c>
      <c r="M19" s="14" t="n">
        <v>0</v>
      </c>
      <c r="N19" s="14" t="n">
        <v>0</v>
      </c>
      <c r="O19" s="14" t="n">
        <v>0</v>
      </c>
      <c r="P19" s="14" t="n">
        <v>0</v>
      </c>
      <c r="Q19" s="15">
        <f>IF(COUNT(C19:P19)=0,"",IFERROR(C19/D19*1000,0))</f>
        <v/>
      </c>
      <c r="R19" s="16">
        <f>IF(COUNT(C19:P19)=0,"",IFERROR(D19/E19,0))</f>
        <v/>
      </c>
      <c r="S19" s="17">
        <f>IF(COUNT(C19:P19)=0,"",IFERROR(F19/D19,0))</f>
        <v/>
      </c>
      <c r="T19" s="15">
        <f>IF(COUNT(C19:P19)=0,"",IFERROR(C19/F19,0))</f>
        <v/>
      </c>
      <c r="U19" s="18">
        <f>IF(COUNT(C19:P19)=0,"",IFERROR(G19/F19,0))</f>
        <v/>
      </c>
      <c r="V19" s="15">
        <f>IF(COUNT(C19:P19)=0,"",IFERROR(C19/G19,0))</f>
        <v/>
      </c>
      <c r="W19" s="19">
        <f>IF(COUNT(C19:P19)=0,"",IFERROR(G19/D19*1000,0))</f>
        <v/>
      </c>
      <c r="X19" s="18">
        <f>IF(COUNT(C19:P19)=0,"",IFERROR(H19/G19,0))</f>
        <v/>
      </c>
      <c r="Y19" s="18">
        <f>IF(COUNT(C19:P19)=0,"",IFERROR(I19/H19,0))</f>
        <v/>
      </c>
      <c r="Z19" s="17">
        <f>IF(COUNT(C19:P19)=0,"",IFERROR(I19/G19,0))</f>
        <v/>
      </c>
      <c r="AA19" s="15">
        <f>IF(COUNT(C19:P19)=0,"",IFERROR(C19/I19,0))</f>
        <v/>
      </c>
      <c r="AB19" s="18">
        <f>IF(COUNT(C19:P19)=0,"",IFERROR(J19/I19,0))</f>
        <v/>
      </c>
      <c r="AC19" s="18">
        <f>IF(COUNT(C19:P19)=0,"",IFERROR(K19/I19,0))</f>
        <v/>
      </c>
      <c r="AD19" s="18">
        <f>IF(COUNT(C19:P19)=0,"",IFERROR(L19/I19,0))</f>
        <v/>
      </c>
      <c r="AE19" s="18">
        <f>IF(COUNT(C19:P19)=0,"",IFERROR(P19/I19,0))</f>
        <v/>
      </c>
      <c r="AF19" s="20">
        <f>IF(COUNT(C19:P19)=0,"",IFERROR(I19*Config!$C$7+J19*Config!$C$8+K19*Config!$C$9+L19*Config!$C$10+M19*Config!$C$11+N19*Config!$C$12+O19*Config!$C$13+P19*Config!$C$14,0))</f>
        <v/>
      </c>
      <c r="AG19" s="15">
        <f>IF(COUNT(C19:P19)=0,"",IFERROR(AF19/I19,0))</f>
        <v/>
      </c>
      <c r="AH19" s="20">
        <f>IF(COUNT(C19:P19)=0,"",IFERROR(AF19*(1-Config!$C$15-Config!$C$16-Config!$C$17),0))</f>
        <v/>
      </c>
      <c r="AI19" s="20">
        <f>IF(COUNT(C19:P19)=0,"",IFERROR(AH19-C19-Config!$C$18,0))</f>
        <v/>
      </c>
      <c r="AJ19" s="21">
        <f>IF(COUNT(C19:P19)=0,"",IFERROR(AH19/C19,0))</f>
        <v/>
      </c>
      <c r="AK19" s="15">
        <f>IF(COUNT(C19:P19)=0,"",IFERROR(AI19/G19,0))</f>
        <v/>
      </c>
      <c r="AL19" s="21">
        <f>IF(COUNT(C19:P19)=0,"",IFERROR(AK19/V19,0))</f>
        <v/>
      </c>
      <c r="AM19" s="15">
        <f>IF(COUNT(C19:P19)=0,"",IFERROR(AI19/I19,0))</f>
        <v/>
      </c>
      <c r="AN19" s="15">
        <f>IF(COUNT(C19:P19)=0,"",IFERROR(AH19/I19-AA19,0))</f>
        <v/>
      </c>
    </row>
    <row r="20">
      <c r="A20" s="12">
        <f>Config!$C$6+14</f>
        <v/>
      </c>
      <c r="B20" s="13">
        <f>INT((A20-Config!$C$6)/7)+1</f>
        <v/>
      </c>
      <c r="C20" s="10" t="n">
        <v>281</v>
      </c>
      <c r="D20" s="14" t="n">
        <v>65433</v>
      </c>
      <c r="E20" s="14" t="n">
        <v>42195</v>
      </c>
      <c r="F20" s="14" t="n">
        <v>1003</v>
      </c>
      <c r="G20" s="14" t="n">
        <v>1002</v>
      </c>
      <c r="H20" s="14" t="n">
        <v>35</v>
      </c>
      <c r="I20" s="14" t="n">
        <v>9</v>
      </c>
      <c r="J20" s="14" t="n">
        <v>2</v>
      </c>
      <c r="K20" s="14" t="n">
        <v>2</v>
      </c>
      <c r="L20" s="14" t="n">
        <v>1</v>
      </c>
      <c r="M20" s="14" t="n">
        <v>1</v>
      </c>
      <c r="N20" s="14" t="n">
        <v>0</v>
      </c>
      <c r="O20" s="14" t="n">
        <v>0</v>
      </c>
      <c r="P20" s="14" t="n">
        <v>0</v>
      </c>
      <c r="Q20" s="15">
        <f>IF(COUNT(C20:P20)=0,"",IFERROR(C20/D20*1000,0))</f>
        <v/>
      </c>
      <c r="R20" s="16">
        <f>IF(COUNT(C20:P20)=0,"",IFERROR(D20/E20,0))</f>
        <v/>
      </c>
      <c r="S20" s="17">
        <f>IF(COUNT(C20:P20)=0,"",IFERROR(F20/D20,0))</f>
        <v/>
      </c>
      <c r="T20" s="15">
        <f>IF(COUNT(C20:P20)=0,"",IFERROR(C20/F20,0))</f>
        <v/>
      </c>
      <c r="U20" s="18">
        <f>IF(COUNT(C20:P20)=0,"",IFERROR(G20/F20,0))</f>
        <v/>
      </c>
      <c r="V20" s="15">
        <f>IF(COUNT(C20:P20)=0,"",IFERROR(C20/G20,0))</f>
        <v/>
      </c>
      <c r="W20" s="19">
        <f>IF(COUNT(C20:P20)=0,"",IFERROR(G20/D20*1000,0))</f>
        <v/>
      </c>
      <c r="X20" s="18">
        <f>IF(COUNT(C20:P20)=0,"",IFERROR(H20/G20,0))</f>
        <v/>
      </c>
      <c r="Y20" s="18">
        <f>IF(COUNT(C20:P20)=0,"",IFERROR(I20/H20,0))</f>
        <v/>
      </c>
      <c r="Z20" s="17">
        <f>IF(COUNT(C20:P20)=0,"",IFERROR(I20/G20,0))</f>
        <v/>
      </c>
      <c r="AA20" s="15">
        <f>IF(COUNT(C20:P20)=0,"",IFERROR(C20/I20,0))</f>
        <v/>
      </c>
      <c r="AB20" s="18">
        <f>IF(COUNT(C20:P20)=0,"",IFERROR(J20/I20,0))</f>
        <v/>
      </c>
      <c r="AC20" s="18">
        <f>IF(COUNT(C20:P20)=0,"",IFERROR(K20/I20,0))</f>
        <v/>
      </c>
      <c r="AD20" s="18">
        <f>IF(COUNT(C20:P20)=0,"",IFERROR(L20/I20,0))</f>
        <v/>
      </c>
      <c r="AE20" s="18">
        <f>IF(COUNT(C20:P20)=0,"",IFERROR(P20/I20,0))</f>
        <v/>
      </c>
      <c r="AF20" s="20">
        <f>IF(COUNT(C20:P20)=0,"",IFERROR(I20*Config!$C$7+J20*Config!$C$8+K20*Config!$C$9+L20*Config!$C$10+M20*Config!$C$11+N20*Config!$C$12+O20*Config!$C$13+P20*Config!$C$14,0))</f>
        <v/>
      </c>
      <c r="AG20" s="15">
        <f>IF(COUNT(C20:P20)=0,"",IFERROR(AF20/I20,0))</f>
        <v/>
      </c>
      <c r="AH20" s="20">
        <f>IF(COUNT(C20:P20)=0,"",IFERROR(AF20*(1-Config!$C$15-Config!$C$16-Config!$C$17),0))</f>
        <v/>
      </c>
      <c r="AI20" s="20">
        <f>IF(COUNT(C20:P20)=0,"",IFERROR(AH20-C20-Config!$C$18,0))</f>
        <v/>
      </c>
      <c r="AJ20" s="21">
        <f>IF(COUNT(C20:P20)=0,"",IFERROR(AH20/C20,0))</f>
        <v/>
      </c>
      <c r="AK20" s="15">
        <f>IF(COUNT(C20:P20)=0,"",IFERROR(AI20/G20,0))</f>
        <v/>
      </c>
      <c r="AL20" s="21">
        <f>IF(COUNT(C20:P20)=0,"",IFERROR(AK20/V20,0))</f>
        <v/>
      </c>
      <c r="AM20" s="15">
        <f>IF(COUNT(C20:P20)=0,"",IFERROR(AI20/I20,0))</f>
        <v/>
      </c>
      <c r="AN20" s="15">
        <f>IF(COUNT(C20:P20)=0,"",IFERROR(AH20/I20-AA20,0))</f>
        <v/>
      </c>
    </row>
    <row r="21">
      <c r="A21" s="12">
        <f>Config!$C$6+15</f>
        <v/>
      </c>
      <c r="B21" s="13">
        <f>INT((A21-Config!$C$6)/7)+1</f>
        <v/>
      </c>
      <c r="C21" s="10" t="n">
        <v>326</v>
      </c>
      <c r="D21" s="14" t="n">
        <v>84115</v>
      </c>
      <c r="E21" s="14" t="n">
        <v>57331</v>
      </c>
      <c r="F21" s="14" t="n">
        <v>1432</v>
      </c>
      <c r="G21" s="14" t="n">
        <v>1387</v>
      </c>
      <c r="H21" s="14" t="n">
        <v>46</v>
      </c>
      <c r="I21" s="14" t="n">
        <v>11</v>
      </c>
      <c r="J21" s="14" t="n">
        <v>3</v>
      </c>
      <c r="K21" s="14" t="n">
        <v>2</v>
      </c>
      <c r="L21" s="14" t="n">
        <v>1</v>
      </c>
      <c r="M21" s="14" t="n">
        <v>1</v>
      </c>
      <c r="N21" s="14" t="n">
        <v>0</v>
      </c>
      <c r="O21" s="14" t="n">
        <v>0</v>
      </c>
      <c r="P21" s="14" t="n">
        <v>0</v>
      </c>
      <c r="Q21" s="15">
        <f>IF(COUNT(C21:P21)=0,"",IFERROR(C21/D21*1000,0))</f>
        <v/>
      </c>
      <c r="R21" s="16">
        <f>IF(COUNT(C21:P21)=0,"",IFERROR(D21/E21,0))</f>
        <v/>
      </c>
      <c r="S21" s="17">
        <f>IF(COUNT(C21:P21)=0,"",IFERROR(F21/D21,0))</f>
        <v/>
      </c>
      <c r="T21" s="15">
        <f>IF(COUNT(C21:P21)=0,"",IFERROR(C21/F21,0))</f>
        <v/>
      </c>
      <c r="U21" s="18">
        <f>IF(COUNT(C21:P21)=0,"",IFERROR(G21/F21,0))</f>
        <v/>
      </c>
      <c r="V21" s="15">
        <f>IF(COUNT(C21:P21)=0,"",IFERROR(C21/G21,0))</f>
        <v/>
      </c>
      <c r="W21" s="19">
        <f>IF(COUNT(C21:P21)=0,"",IFERROR(G21/D21*1000,0))</f>
        <v/>
      </c>
      <c r="X21" s="18">
        <f>IF(COUNT(C21:P21)=0,"",IFERROR(H21/G21,0))</f>
        <v/>
      </c>
      <c r="Y21" s="18">
        <f>IF(COUNT(C21:P21)=0,"",IFERROR(I21/H21,0))</f>
        <v/>
      </c>
      <c r="Z21" s="17">
        <f>IF(COUNT(C21:P21)=0,"",IFERROR(I21/G21,0))</f>
        <v/>
      </c>
      <c r="AA21" s="15">
        <f>IF(COUNT(C21:P21)=0,"",IFERROR(C21/I21,0))</f>
        <v/>
      </c>
      <c r="AB21" s="18">
        <f>IF(COUNT(C21:P21)=0,"",IFERROR(J21/I21,0))</f>
        <v/>
      </c>
      <c r="AC21" s="18">
        <f>IF(COUNT(C21:P21)=0,"",IFERROR(K21/I21,0))</f>
        <v/>
      </c>
      <c r="AD21" s="18">
        <f>IF(COUNT(C21:P21)=0,"",IFERROR(L21/I21,0))</f>
        <v/>
      </c>
      <c r="AE21" s="18">
        <f>IF(COUNT(C21:P21)=0,"",IFERROR(P21/I21,0))</f>
        <v/>
      </c>
      <c r="AF21" s="20">
        <f>IF(COUNT(C21:P21)=0,"",IFERROR(I21*Config!$C$7+J21*Config!$C$8+K21*Config!$C$9+L21*Config!$C$10+M21*Config!$C$11+N21*Config!$C$12+O21*Config!$C$13+P21*Config!$C$14,0))</f>
        <v/>
      </c>
      <c r="AG21" s="15">
        <f>IF(COUNT(C21:P21)=0,"",IFERROR(AF21/I21,0))</f>
        <v/>
      </c>
      <c r="AH21" s="20">
        <f>IF(COUNT(C21:P21)=0,"",IFERROR(AF21*(1-Config!$C$15-Config!$C$16-Config!$C$17),0))</f>
        <v/>
      </c>
      <c r="AI21" s="20">
        <f>IF(COUNT(C21:P21)=0,"",IFERROR(AH21-C21-Config!$C$18,0))</f>
        <v/>
      </c>
      <c r="AJ21" s="21">
        <f>IF(COUNT(C21:P21)=0,"",IFERROR(AH21/C21,0))</f>
        <v/>
      </c>
      <c r="AK21" s="15">
        <f>IF(COUNT(C21:P21)=0,"",IFERROR(AI21/G21,0))</f>
        <v/>
      </c>
      <c r="AL21" s="21">
        <f>IF(COUNT(C21:P21)=0,"",IFERROR(AK21/V21,0))</f>
        <v/>
      </c>
      <c r="AM21" s="15">
        <f>IF(COUNT(C21:P21)=0,"",IFERROR(AI21/I21,0))</f>
        <v/>
      </c>
      <c r="AN21" s="15">
        <f>IF(COUNT(C21:P21)=0,"",IFERROR(AH21/I21-AA21,0))</f>
        <v/>
      </c>
    </row>
    <row r="22">
      <c r="A22" s="12">
        <f>Config!$C$6+16</f>
        <v/>
      </c>
      <c r="B22" s="13">
        <f>INT((A22-Config!$C$6)/7)+1</f>
        <v/>
      </c>
      <c r="C22" s="10" t="n">
        <v>317</v>
      </c>
      <c r="D22" s="14" t="n">
        <v>68313</v>
      </c>
      <c r="E22" s="14" t="n">
        <v>46049</v>
      </c>
      <c r="F22" s="14" t="n">
        <v>1173</v>
      </c>
      <c r="G22" s="14" t="n">
        <v>1153</v>
      </c>
      <c r="H22" s="14" t="n">
        <v>41</v>
      </c>
      <c r="I22" s="14" t="n">
        <v>11</v>
      </c>
      <c r="J22" s="14" t="n">
        <v>3</v>
      </c>
      <c r="K22" s="14" t="n">
        <v>2</v>
      </c>
      <c r="L22" s="14" t="n">
        <v>1</v>
      </c>
      <c r="M22" s="14" t="n">
        <v>1</v>
      </c>
      <c r="N22" s="14" t="n">
        <v>0</v>
      </c>
      <c r="O22" s="14" t="n">
        <v>0</v>
      </c>
      <c r="P22" s="14" t="n">
        <v>0</v>
      </c>
      <c r="Q22" s="15">
        <f>IF(COUNT(C22:P22)=0,"",IFERROR(C22/D22*1000,0))</f>
        <v/>
      </c>
      <c r="R22" s="16">
        <f>IF(COUNT(C22:P22)=0,"",IFERROR(D22/E22,0))</f>
        <v/>
      </c>
      <c r="S22" s="17">
        <f>IF(COUNT(C22:P22)=0,"",IFERROR(F22/D22,0))</f>
        <v/>
      </c>
      <c r="T22" s="15">
        <f>IF(COUNT(C22:P22)=0,"",IFERROR(C22/F22,0))</f>
        <v/>
      </c>
      <c r="U22" s="18">
        <f>IF(COUNT(C22:P22)=0,"",IFERROR(G22/F22,0))</f>
        <v/>
      </c>
      <c r="V22" s="15">
        <f>IF(COUNT(C22:P22)=0,"",IFERROR(C22/G22,0))</f>
        <v/>
      </c>
      <c r="W22" s="19">
        <f>IF(COUNT(C22:P22)=0,"",IFERROR(G22/D22*1000,0))</f>
        <v/>
      </c>
      <c r="X22" s="18">
        <f>IF(COUNT(C22:P22)=0,"",IFERROR(H22/G22,0))</f>
        <v/>
      </c>
      <c r="Y22" s="18">
        <f>IF(COUNT(C22:P22)=0,"",IFERROR(I22/H22,0))</f>
        <v/>
      </c>
      <c r="Z22" s="17">
        <f>IF(COUNT(C22:P22)=0,"",IFERROR(I22/G22,0))</f>
        <v/>
      </c>
      <c r="AA22" s="15">
        <f>IF(COUNT(C22:P22)=0,"",IFERROR(C22/I22,0))</f>
        <v/>
      </c>
      <c r="AB22" s="18">
        <f>IF(COUNT(C22:P22)=0,"",IFERROR(J22/I22,0))</f>
        <v/>
      </c>
      <c r="AC22" s="18">
        <f>IF(COUNT(C22:P22)=0,"",IFERROR(K22/I22,0))</f>
        <v/>
      </c>
      <c r="AD22" s="18">
        <f>IF(COUNT(C22:P22)=0,"",IFERROR(L22/I22,0))</f>
        <v/>
      </c>
      <c r="AE22" s="18">
        <f>IF(COUNT(C22:P22)=0,"",IFERROR(P22/I22,0))</f>
        <v/>
      </c>
      <c r="AF22" s="20">
        <f>IF(COUNT(C22:P22)=0,"",IFERROR(I22*Config!$C$7+J22*Config!$C$8+K22*Config!$C$9+L22*Config!$C$10+M22*Config!$C$11+N22*Config!$C$12+O22*Config!$C$13+P22*Config!$C$14,0))</f>
        <v/>
      </c>
      <c r="AG22" s="15">
        <f>IF(COUNT(C22:P22)=0,"",IFERROR(AF22/I22,0))</f>
        <v/>
      </c>
      <c r="AH22" s="20">
        <f>IF(COUNT(C22:P22)=0,"",IFERROR(AF22*(1-Config!$C$15-Config!$C$16-Config!$C$17),0))</f>
        <v/>
      </c>
      <c r="AI22" s="20">
        <f>IF(COUNT(C22:P22)=0,"",IFERROR(AH22-C22-Config!$C$18,0))</f>
        <v/>
      </c>
      <c r="AJ22" s="21">
        <f>IF(COUNT(C22:P22)=0,"",IFERROR(AH22/C22,0))</f>
        <v/>
      </c>
      <c r="AK22" s="15">
        <f>IF(COUNT(C22:P22)=0,"",IFERROR(AI22/G22,0))</f>
        <v/>
      </c>
      <c r="AL22" s="21">
        <f>IF(COUNT(C22:P22)=0,"",IFERROR(AK22/V22,0))</f>
        <v/>
      </c>
      <c r="AM22" s="15">
        <f>IF(COUNT(C22:P22)=0,"",IFERROR(AI22/I22,0))</f>
        <v/>
      </c>
      <c r="AN22" s="15">
        <f>IF(COUNT(C22:P22)=0,"",IFERROR(AH22/I22-AA22,0))</f>
        <v/>
      </c>
    </row>
    <row r="23">
      <c r="A23" s="12">
        <f>Config!$C$6+17</f>
        <v/>
      </c>
      <c r="B23" s="13">
        <f>INT((A23-Config!$C$6)/7)+1</f>
        <v/>
      </c>
      <c r="C23" s="10" t="n">
        <v>271</v>
      </c>
      <c r="D23" s="14" t="n">
        <v>72684</v>
      </c>
      <c r="E23" s="14" t="n">
        <v>40887</v>
      </c>
      <c r="F23" s="14" t="n">
        <v>1056</v>
      </c>
      <c r="G23" s="14" t="n">
        <v>997</v>
      </c>
      <c r="H23" s="14" t="n">
        <v>33</v>
      </c>
      <c r="I23" s="14" t="n">
        <v>9</v>
      </c>
      <c r="J23" s="14" t="n">
        <v>2</v>
      </c>
      <c r="K23" s="14" t="n">
        <v>2</v>
      </c>
      <c r="L23" s="14" t="n">
        <v>1</v>
      </c>
      <c r="M23" s="14" t="n">
        <v>1</v>
      </c>
      <c r="N23" s="14" t="n">
        <v>0</v>
      </c>
      <c r="O23" s="14" t="n">
        <v>0</v>
      </c>
      <c r="P23" s="14" t="n">
        <v>0</v>
      </c>
      <c r="Q23" s="15">
        <f>IF(COUNT(C23:P23)=0,"",IFERROR(C23/D23*1000,0))</f>
        <v/>
      </c>
      <c r="R23" s="16">
        <f>IF(COUNT(C23:P23)=0,"",IFERROR(D23/E23,0))</f>
        <v/>
      </c>
      <c r="S23" s="17">
        <f>IF(COUNT(C23:P23)=0,"",IFERROR(F23/D23,0))</f>
        <v/>
      </c>
      <c r="T23" s="15">
        <f>IF(COUNT(C23:P23)=0,"",IFERROR(C23/F23,0))</f>
        <v/>
      </c>
      <c r="U23" s="18">
        <f>IF(COUNT(C23:P23)=0,"",IFERROR(G23/F23,0))</f>
        <v/>
      </c>
      <c r="V23" s="15">
        <f>IF(COUNT(C23:P23)=0,"",IFERROR(C23/G23,0))</f>
        <v/>
      </c>
      <c r="W23" s="19">
        <f>IF(COUNT(C23:P23)=0,"",IFERROR(G23/D23*1000,0))</f>
        <v/>
      </c>
      <c r="X23" s="18">
        <f>IF(COUNT(C23:P23)=0,"",IFERROR(H23/G23,0))</f>
        <v/>
      </c>
      <c r="Y23" s="18">
        <f>IF(COUNT(C23:P23)=0,"",IFERROR(I23/H23,0))</f>
        <v/>
      </c>
      <c r="Z23" s="17">
        <f>IF(COUNT(C23:P23)=0,"",IFERROR(I23/G23,0))</f>
        <v/>
      </c>
      <c r="AA23" s="15">
        <f>IF(COUNT(C23:P23)=0,"",IFERROR(C23/I23,0))</f>
        <v/>
      </c>
      <c r="AB23" s="18">
        <f>IF(COUNT(C23:P23)=0,"",IFERROR(J23/I23,0))</f>
        <v/>
      </c>
      <c r="AC23" s="18">
        <f>IF(COUNT(C23:P23)=0,"",IFERROR(K23/I23,0))</f>
        <v/>
      </c>
      <c r="AD23" s="18">
        <f>IF(COUNT(C23:P23)=0,"",IFERROR(L23/I23,0))</f>
        <v/>
      </c>
      <c r="AE23" s="18">
        <f>IF(COUNT(C23:P23)=0,"",IFERROR(P23/I23,0))</f>
        <v/>
      </c>
      <c r="AF23" s="20">
        <f>IF(COUNT(C23:P23)=0,"",IFERROR(I23*Config!$C$7+J23*Config!$C$8+K23*Config!$C$9+L23*Config!$C$10+M23*Config!$C$11+N23*Config!$C$12+O23*Config!$C$13+P23*Config!$C$14,0))</f>
        <v/>
      </c>
      <c r="AG23" s="15">
        <f>IF(COUNT(C23:P23)=0,"",IFERROR(AF23/I23,0))</f>
        <v/>
      </c>
      <c r="AH23" s="20">
        <f>IF(COUNT(C23:P23)=0,"",IFERROR(AF23*(1-Config!$C$15-Config!$C$16-Config!$C$17),0))</f>
        <v/>
      </c>
      <c r="AI23" s="20">
        <f>IF(COUNT(C23:P23)=0,"",IFERROR(AH23-C23-Config!$C$18,0))</f>
        <v/>
      </c>
      <c r="AJ23" s="21">
        <f>IF(COUNT(C23:P23)=0,"",IFERROR(AH23/C23,0))</f>
        <v/>
      </c>
      <c r="AK23" s="15">
        <f>IF(COUNT(C23:P23)=0,"",IFERROR(AI23/G23,0))</f>
        <v/>
      </c>
      <c r="AL23" s="21">
        <f>IF(COUNT(C23:P23)=0,"",IFERROR(AK23/V23,0))</f>
        <v/>
      </c>
      <c r="AM23" s="15">
        <f>IF(COUNT(C23:P23)=0,"",IFERROR(AI23/I23,0))</f>
        <v/>
      </c>
      <c r="AN23" s="15">
        <f>IF(COUNT(C23:P23)=0,"",IFERROR(AH23/I23-AA23,0))</f>
        <v/>
      </c>
    </row>
    <row r="24">
      <c r="A24" s="12">
        <f>Config!$C$6+18</f>
        <v/>
      </c>
      <c r="B24" s="13">
        <f>INT((A24-Config!$C$6)/7)+1</f>
        <v/>
      </c>
      <c r="C24" s="10" t="n">
        <v>307</v>
      </c>
      <c r="D24" s="14" t="n">
        <v>76894</v>
      </c>
      <c r="E24" s="14" t="n">
        <v>52119</v>
      </c>
      <c r="F24" s="14" t="n">
        <v>1255</v>
      </c>
      <c r="G24" s="14" t="n">
        <v>1013</v>
      </c>
      <c r="H24" s="14" t="n">
        <v>33</v>
      </c>
      <c r="I24" s="14" t="n">
        <v>9</v>
      </c>
      <c r="J24" s="14" t="n">
        <v>2</v>
      </c>
      <c r="K24" s="14" t="n">
        <v>2</v>
      </c>
      <c r="L24" s="14" t="n">
        <v>1</v>
      </c>
      <c r="M24" s="14" t="n">
        <v>1</v>
      </c>
      <c r="N24" s="14" t="n">
        <v>0</v>
      </c>
      <c r="O24" s="14" t="n">
        <v>0</v>
      </c>
      <c r="P24" s="14" t="n">
        <v>0</v>
      </c>
      <c r="Q24" s="15">
        <f>IF(COUNT(C24:P24)=0,"",IFERROR(C24/D24*1000,0))</f>
        <v/>
      </c>
      <c r="R24" s="16">
        <f>IF(COUNT(C24:P24)=0,"",IFERROR(D24/E24,0))</f>
        <v/>
      </c>
      <c r="S24" s="17">
        <f>IF(COUNT(C24:P24)=0,"",IFERROR(F24/D24,0))</f>
        <v/>
      </c>
      <c r="T24" s="15">
        <f>IF(COUNT(C24:P24)=0,"",IFERROR(C24/F24,0))</f>
        <v/>
      </c>
      <c r="U24" s="18">
        <f>IF(COUNT(C24:P24)=0,"",IFERROR(G24/F24,0))</f>
        <v/>
      </c>
      <c r="V24" s="15">
        <f>IF(COUNT(C24:P24)=0,"",IFERROR(C24/G24,0))</f>
        <v/>
      </c>
      <c r="W24" s="19">
        <f>IF(COUNT(C24:P24)=0,"",IFERROR(G24/D24*1000,0))</f>
        <v/>
      </c>
      <c r="X24" s="18">
        <f>IF(COUNT(C24:P24)=0,"",IFERROR(H24/G24,0))</f>
        <v/>
      </c>
      <c r="Y24" s="18">
        <f>IF(COUNT(C24:P24)=0,"",IFERROR(I24/H24,0))</f>
        <v/>
      </c>
      <c r="Z24" s="17">
        <f>IF(COUNT(C24:P24)=0,"",IFERROR(I24/G24,0))</f>
        <v/>
      </c>
      <c r="AA24" s="15">
        <f>IF(COUNT(C24:P24)=0,"",IFERROR(C24/I24,0))</f>
        <v/>
      </c>
      <c r="AB24" s="18">
        <f>IF(COUNT(C24:P24)=0,"",IFERROR(J24/I24,0))</f>
        <v/>
      </c>
      <c r="AC24" s="18">
        <f>IF(COUNT(C24:P24)=0,"",IFERROR(K24/I24,0))</f>
        <v/>
      </c>
      <c r="AD24" s="18">
        <f>IF(COUNT(C24:P24)=0,"",IFERROR(L24/I24,0))</f>
        <v/>
      </c>
      <c r="AE24" s="18">
        <f>IF(COUNT(C24:P24)=0,"",IFERROR(P24/I24,0))</f>
        <v/>
      </c>
      <c r="AF24" s="20">
        <f>IF(COUNT(C24:P24)=0,"",IFERROR(I24*Config!$C$7+J24*Config!$C$8+K24*Config!$C$9+L24*Config!$C$10+M24*Config!$C$11+N24*Config!$C$12+O24*Config!$C$13+P24*Config!$C$14,0))</f>
        <v/>
      </c>
      <c r="AG24" s="15">
        <f>IF(COUNT(C24:P24)=0,"",IFERROR(AF24/I24,0))</f>
        <v/>
      </c>
      <c r="AH24" s="20">
        <f>IF(COUNT(C24:P24)=0,"",IFERROR(AF24*(1-Config!$C$15-Config!$C$16-Config!$C$17),0))</f>
        <v/>
      </c>
      <c r="AI24" s="20">
        <f>IF(COUNT(C24:P24)=0,"",IFERROR(AH24-C24-Config!$C$18,0))</f>
        <v/>
      </c>
      <c r="AJ24" s="21">
        <f>IF(COUNT(C24:P24)=0,"",IFERROR(AH24/C24,0))</f>
        <v/>
      </c>
      <c r="AK24" s="15">
        <f>IF(COUNT(C24:P24)=0,"",IFERROR(AI24/G24,0))</f>
        <v/>
      </c>
      <c r="AL24" s="21">
        <f>IF(COUNT(C24:P24)=0,"",IFERROR(AK24/V24,0))</f>
        <v/>
      </c>
      <c r="AM24" s="15">
        <f>IF(COUNT(C24:P24)=0,"",IFERROR(AI24/I24,0))</f>
        <v/>
      </c>
      <c r="AN24" s="15">
        <f>IF(COUNT(C24:P24)=0,"",IFERROR(AH24/I24-AA24,0))</f>
        <v/>
      </c>
    </row>
    <row r="25">
      <c r="A25" s="12">
        <f>Config!$C$6+19</f>
        <v/>
      </c>
      <c r="B25" s="13">
        <f>INT((A25-Config!$C$6)/7)+1</f>
        <v/>
      </c>
      <c r="C25" s="10" t="n">
        <v>325</v>
      </c>
      <c r="D25" s="14" t="n">
        <v>75401</v>
      </c>
      <c r="E25" s="14" t="n">
        <v>49750</v>
      </c>
      <c r="F25" s="14" t="n">
        <v>1286</v>
      </c>
      <c r="G25" s="14" t="n">
        <v>1075</v>
      </c>
      <c r="H25" s="14" t="n">
        <v>33</v>
      </c>
      <c r="I25" s="14" t="n">
        <v>8</v>
      </c>
      <c r="J25" s="14" t="n">
        <v>2</v>
      </c>
      <c r="K25" s="14" t="n">
        <v>1</v>
      </c>
      <c r="L25" s="14" t="n">
        <v>1</v>
      </c>
      <c r="M25" s="14" t="n">
        <v>0</v>
      </c>
      <c r="N25" s="14" t="n">
        <v>0</v>
      </c>
      <c r="O25" s="14" t="n">
        <v>0</v>
      </c>
      <c r="P25" s="14" t="n">
        <v>0</v>
      </c>
      <c r="Q25" s="15">
        <f>IF(COUNT(C25:P25)=0,"",IFERROR(C25/D25*1000,0))</f>
        <v/>
      </c>
      <c r="R25" s="16">
        <f>IF(COUNT(C25:P25)=0,"",IFERROR(D25/E25,0))</f>
        <v/>
      </c>
      <c r="S25" s="17">
        <f>IF(COUNT(C25:P25)=0,"",IFERROR(F25/D25,0))</f>
        <v/>
      </c>
      <c r="T25" s="15">
        <f>IF(COUNT(C25:P25)=0,"",IFERROR(C25/F25,0))</f>
        <v/>
      </c>
      <c r="U25" s="18">
        <f>IF(COUNT(C25:P25)=0,"",IFERROR(G25/F25,0))</f>
        <v/>
      </c>
      <c r="V25" s="15">
        <f>IF(COUNT(C25:P25)=0,"",IFERROR(C25/G25,0))</f>
        <v/>
      </c>
      <c r="W25" s="19">
        <f>IF(COUNT(C25:P25)=0,"",IFERROR(G25/D25*1000,0))</f>
        <v/>
      </c>
      <c r="X25" s="18">
        <f>IF(COUNT(C25:P25)=0,"",IFERROR(H25/G25,0))</f>
        <v/>
      </c>
      <c r="Y25" s="18">
        <f>IF(COUNT(C25:P25)=0,"",IFERROR(I25/H25,0))</f>
        <v/>
      </c>
      <c r="Z25" s="17">
        <f>IF(COUNT(C25:P25)=0,"",IFERROR(I25/G25,0))</f>
        <v/>
      </c>
      <c r="AA25" s="15">
        <f>IF(COUNT(C25:P25)=0,"",IFERROR(C25/I25,0))</f>
        <v/>
      </c>
      <c r="AB25" s="18">
        <f>IF(COUNT(C25:P25)=0,"",IFERROR(J25/I25,0))</f>
        <v/>
      </c>
      <c r="AC25" s="18">
        <f>IF(COUNT(C25:P25)=0,"",IFERROR(K25/I25,0))</f>
        <v/>
      </c>
      <c r="AD25" s="18">
        <f>IF(COUNT(C25:P25)=0,"",IFERROR(L25/I25,0))</f>
        <v/>
      </c>
      <c r="AE25" s="18">
        <f>IF(COUNT(C25:P25)=0,"",IFERROR(P25/I25,0))</f>
        <v/>
      </c>
      <c r="AF25" s="20">
        <f>IF(COUNT(C25:P25)=0,"",IFERROR(I25*Config!$C$7+J25*Config!$C$8+K25*Config!$C$9+L25*Config!$C$10+M25*Config!$C$11+N25*Config!$C$12+O25*Config!$C$13+P25*Config!$C$14,0))</f>
        <v/>
      </c>
      <c r="AG25" s="15">
        <f>IF(COUNT(C25:P25)=0,"",IFERROR(AF25/I25,0))</f>
        <v/>
      </c>
      <c r="AH25" s="20">
        <f>IF(COUNT(C25:P25)=0,"",IFERROR(AF25*(1-Config!$C$15-Config!$C$16-Config!$C$17),0))</f>
        <v/>
      </c>
      <c r="AI25" s="20">
        <f>IF(COUNT(C25:P25)=0,"",IFERROR(AH25-C25-Config!$C$18,0))</f>
        <v/>
      </c>
      <c r="AJ25" s="21">
        <f>IF(COUNT(C25:P25)=0,"",IFERROR(AH25/C25,0))</f>
        <v/>
      </c>
      <c r="AK25" s="15">
        <f>IF(COUNT(C25:P25)=0,"",IFERROR(AI25/G25,0))</f>
        <v/>
      </c>
      <c r="AL25" s="21">
        <f>IF(COUNT(C25:P25)=0,"",IFERROR(AK25/V25,0))</f>
        <v/>
      </c>
      <c r="AM25" s="15">
        <f>IF(COUNT(C25:P25)=0,"",IFERROR(AI25/I25,0))</f>
        <v/>
      </c>
      <c r="AN25" s="15">
        <f>IF(COUNT(C25:P25)=0,"",IFERROR(AH25/I25-AA25,0))</f>
        <v/>
      </c>
    </row>
    <row r="26">
      <c r="A26" s="12">
        <f>Config!$C$6+20</f>
        <v/>
      </c>
      <c r="B26" s="13">
        <f>INT((A26-Config!$C$6)/7)+1</f>
        <v/>
      </c>
      <c r="C26" s="10" t="n">
        <v>296</v>
      </c>
      <c r="D26" s="14" t="n">
        <v>78812</v>
      </c>
      <c r="E26" s="14" t="n">
        <v>53407</v>
      </c>
      <c r="F26" s="14" t="n">
        <v>1183</v>
      </c>
      <c r="G26" s="14" t="n">
        <v>1083</v>
      </c>
      <c r="H26" s="14" t="n">
        <v>35</v>
      </c>
      <c r="I26" s="14" t="n">
        <v>9</v>
      </c>
      <c r="J26" s="14" t="n">
        <v>2</v>
      </c>
      <c r="K26" s="14" t="n">
        <v>2</v>
      </c>
      <c r="L26" s="14" t="n">
        <v>1</v>
      </c>
      <c r="M26" s="14" t="n">
        <v>1</v>
      </c>
      <c r="N26" s="14" t="n">
        <v>0</v>
      </c>
      <c r="O26" s="14" t="n">
        <v>0</v>
      </c>
      <c r="P26" s="14" t="n">
        <v>0</v>
      </c>
      <c r="Q26" s="15">
        <f>IF(COUNT(C26:P26)=0,"",IFERROR(C26/D26*1000,0))</f>
        <v/>
      </c>
      <c r="R26" s="16">
        <f>IF(COUNT(C26:P26)=0,"",IFERROR(D26/E26,0))</f>
        <v/>
      </c>
      <c r="S26" s="17">
        <f>IF(COUNT(C26:P26)=0,"",IFERROR(F26/D26,0))</f>
        <v/>
      </c>
      <c r="T26" s="15">
        <f>IF(COUNT(C26:P26)=0,"",IFERROR(C26/F26,0))</f>
        <v/>
      </c>
      <c r="U26" s="18">
        <f>IF(COUNT(C26:P26)=0,"",IFERROR(G26/F26,0))</f>
        <v/>
      </c>
      <c r="V26" s="15">
        <f>IF(COUNT(C26:P26)=0,"",IFERROR(C26/G26,0))</f>
        <v/>
      </c>
      <c r="W26" s="19">
        <f>IF(COUNT(C26:P26)=0,"",IFERROR(G26/D26*1000,0))</f>
        <v/>
      </c>
      <c r="X26" s="18">
        <f>IF(COUNT(C26:P26)=0,"",IFERROR(H26/G26,0))</f>
        <v/>
      </c>
      <c r="Y26" s="18">
        <f>IF(COUNT(C26:P26)=0,"",IFERROR(I26/H26,0))</f>
        <v/>
      </c>
      <c r="Z26" s="17">
        <f>IF(COUNT(C26:P26)=0,"",IFERROR(I26/G26,0))</f>
        <v/>
      </c>
      <c r="AA26" s="15">
        <f>IF(COUNT(C26:P26)=0,"",IFERROR(C26/I26,0))</f>
        <v/>
      </c>
      <c r="AB26" s="18">
        <f>IF(COUNT(C26:P26)=0,"",IFERROR(J26/I26,0))</f>
        <v/>
      </c>
      <c r="AC26" s="18">
        <f>IF(COUNT(C26:P26)=0,"",IFERROR(K26/I26,0))</f>
        <v/>
      </c>
      <c r="AD26" s="18">
        <f>IF(COUNT(C26:P26)=0,"",IFERROR(L26/I26,0))</f>
        <v/>
      </c>
      <c r="AE26" s="18">
        <f>IF(COUNT(C26:P26)=0,"",IFERROR(P26/I26,0))</f>
        <v/>
      </c>
      <c r="AF26" s="20">
        <f>IF(COUNT(C26:P26)=0,"",IFERROR(I26*Config!$C$7+J26*Config!$C$8+K26*Config!$C$9+L26*Config!$C$10+M26*Config!$C$11+N26*Config!$C$12+O26*Config!$C$13+P26*Config!$C$14,0))</f>
        <v/>
      </c>
      <c r="AG26" s="15">
        <f>IF(COUNT(C26:P26)=0,"",IFERROR(AF26/I26,0))</f>
        <v/>
      </c>
      <c r="AH26" s="20">
        <f>IF(COUNT(C26:P26)=0,"",IFERROR(AF26*(1-Config!$C$15-Config!$C$16-Config!$C$17),0))</f>
        <v/>
      </c>
      <c r="AI26" s="20">
        <f>IF(COUNT(C26:P26)=0,"",IFERROR(AH26-C26-Config!$C$18,0))</f>
        <v/>
      </c>
      <c r="AJ26" s="21">
        <f>IF(COUNT(C26:P26)=0,"",IFERROR(AH26/C26,0))</f>
        <v/>
      </c>
      <c r="AK26" s="15">
        <f>IF(COUNT(C26:P26)=0,"",IFERROR(AI26/G26,0))</f>
        <v/>
      </c>
      <c r="AL26" s="21">
        <f>IF(COUNT(C26:P26)=0,"",IFERROR(AK26/V26,0))</f>
        <v/>
      </c>
      <c r="AM26" s="15">
        <f>IF(COUNT(C26:P26)=0,"",IFERROR(AI26/I26,0))</f>
        <v/>
      </c>
      <c r="AN26" s="15">
        <f>IF(COUNT(C26:P26)=0,"",IFERROR(AH26/I26-AA26,0))</f>
        <v/>
      </c>
    </row>
    <row r="27">
      <c r="A27" s="12">
        <f>Config!$C$6+21</f>
        <v/>
      </c>
      <c r="B27" s="13">
        <f>INT((A27-Config!$C$6)/7)+1</f>
        <v/>
      </c>
      <c r="C27" s="10" t="n">
        <v>328</v>
      </c>
      <c r="D27" s="14" t="n">
        <v>70052</v>
      </c>
      <c r="E27" s="14" t="n">
        <v>42193</v>
      </c>
      <c r="F27" s="14" t="n">
        <v>1136</v>
      </c>
      <c r="G27" s="14" t="n">
        <v>1043</v>
      </c>
      <c r="H27" s="14" t="n">
        <v>33</v>
      </c>
      <c r="I27" s="14" t="n">
        <v>8</v>
      </c>
      <c r="J27" s="14" t="n">
        <v>2</v>
      </c>
      <c r="K27" s="14" t="n">
        <v>1</v>
      </c>
      <c r="L27" s="14" t="n">
        <v>1</v>
      </c>
      <c r="M27" s="14" t="n">
        <v>0</v>
      </c>
      <c r="N27" s="14" t="n">
        <v>0</v>
      </c>
      <c r="O27" s="14" t="n">
        <v>0</v>
      </c>
      <c r="P27" s="14" t="n">
        <v>0</v>
      </c>
      <c r="Q27" s="15">
        <f>IF(COUNT(C27:P27)=0,"",IFERROR(C27/D27*1000,0))</f>
        <v/>
      </c>
      <c r="R27" s="16">
        <f>IF(COUNT(C27:P27)=0,"",IFERROR(D27/E27,0))</f>
        <v/>
      </c>
      <c r="S27" s="17">
        <f>IF(COUNT(C27:P27)=0,"",IFERROR(F27/D27,0))</f>
        <v/>
      </c>
      <c r="T27" s="15">
        <f>IF(COUNT(C27:P27)=0,"",IFERROR(C27/F27,0))</f>
        <v/>
      </c>
      <c r="U27" s="18">
        <f>IF(COUNT(C27:P27)=0,"",IFERROR(G27/F27,0))</f>
        <v/>
      </c>
      <c r="V27" s="15">
        <f>IF(COUNT(C27:P27)=0,"",IFERROR(C27/G27,0))</f>
        <v/>
      </c>
      <c r="W27" s="19">
        <f>IF(COUNT(C27:P27)=0,"",IFERROR(G27/D27*1000,0))</f>
        <v/>
      </c>
      <c r="X27" s="18">
        <f>IF(COUNT(C27:P27)=0,"",IFERROR(H27/G27,0))</f>
        <v/>
      </c>
      <c r="Y27" s="18">
        <f>IF(COUNT(C27:P27)=0,"",IFERROR(I27/H27,0))</f>
        <v/>
      </c>
      <c r="Z27" s="17">
        <f>IF(COUNT(C27:P27)=0,"",IFERROR(I27/G27,0))</f>
        <v/>
      </c>
      <c r="AA27" s="15">
        <f>IF(COUNT(C27:P27)=0,"",IFERROR(C27/I27,0))</f>
        <v/>
      </c>
      <c r="AB27" s="18">
        <f>IF(COUNT(C27:P27)=0,"",IFERROR(J27/I27,0))</f>
        <v/>
      </c>
      <c r="AC27" s="18">
        <f>IF(COUNT(C27:P27)=0,"",IFERROR(K27/I27,0))</f>
        <v/>
      </c>
      <c r="AD27" s="18">
        <f>IF(COUNT(C27:P27)=0,"",IFERROR(L27/I27,0))</f>
        <v/>
      </c>
      <c r="AE27" s="18">
        <f>IF(COUNT(C27:P27)=0,"",IFERROR(P27/I27,0))</f>
        <v/>
      </c>
      <c r="AF27" s="20">
        <f>IF(COUNT(C27:P27)=0,"",IFERROR(I27*Config!$C$7+J27*Config!$C$8+K27*Config!$C$9+L27*Config!$C$10+M27*Config!$C$11+N27*Config!$C$12+O27*Config!$C$13+P27*Config!$C$14,0))</f>
        <v/>
      </c>
      <c r="AG27" s="15">
        <f>IF(COUNT(C27:P27)=0,"",IFERROR(AF27/I27,0))</f>
        <v/>
      </c>
      <c r="AH27" s="20">
        <f>IF(COUNT(C27:P27)=0,"",IFERROR(AF27*(1-Config!$C$15-Config!$C$16-Config!$C$17),0))</f>
        <v/>
      </c>
      <c r="AI27" s="20">
        <f>IF(COUNT(C27:P27)=0,"",IFERROR(AH27-C27-Config!$C$18,0))</f>
        <v/>
      </c>
      <c r="AJ27" s="21">
        <f>IF(COUNT(C27:P27)=0,"",IFERROR(AH27/C27,0))</f>
        <v/>
      </c>
      <c r="AK27" s="15">
        <f>IF(COUNT(C27:P27)=0,"",IFERROR(AI27/G27,0))</f>
        <v/>
      </c>
      <c r="AL27" s="21">
        <f>IF(COUNT(C27:P27)=0,"",IFERROR(AK27/V27,0))</f>
        <v/>
      </c>
      <c r="AM27" s="15">
        <f>IF(COUNT(C27:P27)=0,"",IFERROR(AI27/I27,0))</f>
        <v/>
      </c>
      <c r="AN27" s="15">
        <f>IF(COUNT(C27:P27)=0,"",IFERROR(AH27/I27-AA27,0))</f>
        <v/>
      </c>
    </row>
    <row r="28">
      <c r="A28" s="12">
        <f>Config!$C$6+22</f>
        <v/>
      </c>
      <c r="B28" s="13">
        <f>INT((A28-Config!$C$6)/7)+1</f>
        <v/>
      </c>
      <c r="C28" s="10" t="n">
        <v>265</v>
      </c>
      <c r="D28" s="14" t="n">
        <v>57503</v>
      </c>
      <c r="E28" s="14" t="n">
        <v>34286</v>
      </c>
      <c r="F28" s="14" t="n">
        <v>990</v>
      </c>
      <c r="G28" s="14" t="n">
        <v>789</v>
      </c>
      <c r="H28" s="14" t="n">
        <v>29</v>
      </c>
      <c r="I28" s="14" t="n">
        <v>7</v>
      </c>
      <c r="J28" s="14" t="n">
        <v>2</v>
      </c>
      <c r="K28" s="14" t="n">
        <v>1</v>
      </c>
      <c r="L28" s="14" t="n">
        <v>1</v>
      </c>
      <c r="M28" s="14" t="n">
        <v>0</v>
      </c>
      <c r="N28" s="14" t="n">
        <v>0</v>
      </c>
      <c r="O28" s="14" t="n">
        <v>0</v>
      </c>
      <c r="P28" s="14" t="n">
        <v>0</v>
      </c>
      <c r="Q28" s="15">
        <f>IF(COUNT(C28:P28)=0,"",IFERROR(C28/D28*1000,0))</f>
        <v/>
      </c>
      <c r="R28" s="16">
        <f>IF(COUNT(C28:P28)=0,"",IFERROR(D28/E28,0))</f>
        <v/>
      </c>
      <c r="S28" s="17">
        <f>IF(COUNT(C28:P28)=0,"",IFERROR(F28/D28,0))</f>
        <v/>
      </c>
      <c r="T28" s="15">
        <f>IF(COUNT(C28:P28)=0,"",IFERROR(C28/F28,0))</f>
        <v/>
      </c>
      <c r="U28" s="18">
        <f>IF(COUNT(C28:P28)=0,"",IFERROR(G28/F28,0))</f>
        <v/>
      </c>
      <c r="V28" s="15">
        <f>IF(COUNT(C28:P28)=0,"",IFERROR(C28/G28,0))</f>
        <v/>
      </c>
      <c r="W28" s="19">
        <f>IF(COUNT(C28:P28)=0,"",IFERROR(G28/D28*1000,0))</f>
        <v/>
      </c>
      <c r="X28" s="18">
        <f>IF(COUNT(C28:P28)=0,"",IFERROR(H28/G28,0))</f>
        <v/>
      </c>
      <c r="Y28" s="18">
        <f>IF(COUNT(C28:P28)=0,"",IFERROR(I28/H28,0))</f>
        <v/>
      </c>
      <c r="Z28" s="17">
        <f>IF(COUNT(C28:P28)=0,"",IFERROR(I28/G28,0))</f>
        <v/>
      </c>
      <c r="AA28" s="15">
        <f>IF(COUNT(C28:P28)=0,"",IFERROR(C28/I28,0))</f>
        <v/>
      </c>
      <c r="AB28" s="18">
        <f>IF(COUNT(C28:P28)=0,"",IFERROR(J28/I28,0))</f>
        <v/>
      </c>
      <c r="AC28" s="18">
        <f>IF(COUNT(C28:P28)=0,"",IFERROR(K28/I28,0))</f>
        <v/>
      </c>
      <c r="AD28" s="18">
        <f>IF(COUNT(C28:P28)=0,"",IFERROR(L28/I28,0))</f>
        <v/>
      </c>
      <c r="AE28" s="18">
        <f>IF(COUNT(C28:P28)=0,"",IFERROR(P28/I28,0))</f>
        <v/>
      </c>
      <c r="AF28" s="20">
        <f>IF(COUNT(C28:P28)=0,"",IFERROR(I28*Config!$C$7+J28*Config!$C$8+K28*Config!$C$9+L28*Config!$C$10+M28*Config!$C$11+N28*Config!$C$12+O28*Config!$C$13+P28*Config!$C$14,0))</f>
        <v/>
      </c>
      <c r="AG28" s="15">
        <f>IF(COUNT(C28:P28)=0,"",IFERROR(AF28/I28,0))</f>
        <v/>
      </c>
      <c r="AH28" s="20">
        <f>IF(COUNT(C28:P28)=0,"",IFERROR(AF28*(1-Config!$C$15-Config!$C$16-Config!$C$17),0))</f>
        <v/>
      </c>
      <c r="AI28" s="20">
        <f>IF(COUNT(C28:P28)=0,"",IFERROR(AH28-C28-Config!$C$18,0))</f>
        <v/>
      </c>
      <c r="AJ28" s="21">
        <f>IF(COUNT(C28:P28)=0,"",IFERROR(AH28/C28,0))</f>
        <v/>
      </c>
      <c r="AK28" s="15">
        <f>IF(COUNT(C28:P28)=0,"",IFERROR(AI28/G28,0))</f>
        <v/>
      </c>
      <c r="AL28" s="21">
        <f>IF(COUNT(C28:P28)=0,"",IFERROR(AK28/V28,0))</f>
        <v/>
      </c>
      <c r="AM28" s="15">
        <f>IF(COUNT(C28:P28)=0,"",IFERROR(AI28/I28,0))</f>
        <v/>
      </c>
      <c r="AN28" s="15">
        <f>IF(COUNT(C28:P28)=0,"",IFERROR(AH28/I28-AA28,0))</f>
        <v/>
      </c>
    </row>
    <row r="29">
      <c r="A29" s="12">
        <f>Config!$C$6+23</f>
        <v/>
      </c>
      <c r="B29" s="13">
        <f>INT((A29-Config!$C$6)/7)+1</f>
        <v/>
      </c>
      <c r="C29" s="10" t="n">
        <v>317</v>
      </c>
      <c r="D29" s="14" t="n">
        <v>78805</v>
      </c>
      <c r="E29" s="14" t="n">
        <v>43982</v>
      </c>
      <c r="F29" s="14" t="n">
        <v>1097</v>
      </c>
      <c r="G29" s="14" t="n">
        <v>998</v>
      </c>
      <c r="H29" s="14" t="n">
        <v>37</v>
      </c>
      <c r="I29" s="14" t="n">
        <v>11</v>
      </c>
      <c r="J29" s="14" t="n">
        <v>3</v>
      </c>
      <c r="K29" s="14" t="n">
        <v>2</v>
      </c>
      <c r="L29" s="14" t="n">
        <v>1</v>
      </c>
      <c r="M29" s="14" t="n">
        <v>1</v>
      </c>
      <c r="N29" s="14" t="n">
        <v>0</v>
      </c>
      <c r="O29" s="14" t="n">
        <v>0</v>
      </c>
      <c r="P29" s="14" t="n">
        <v>0</v>
      </c>
      <c r="Q29" s="15">
        <f>IF(COUNT(C29:P29)=0,"",IFERROR(C29/D29*1000,0))</f>
        <v/>
      </c>
      <c r="R29" s="16">
        <f>IF(COUNT(C29:P29)=0,"",IFERROR(D29/E29,0))</f>
        <v/>
      </c>
      <c r="S29" s="17">
        <f>IF(COUNT(C29:P29)=0,"",IFERROR(F29/D29,0))</f>
        <v/>
      </c>
      <c r="T29" s="15">
        <f>IF(COUNT(C29:P29)=0,"",IFERROR(C29/F29,0))</f>
        <v/>
      </c>
      <c r="U29" s="18">
        <f>IF(COUNT(C29:P29)=0,"",IFERROR(G29/F29,0))</f>
        <v/>
      </c>
      <c r="V29" s="15">
        <f>IF(COUNT(C29:P29)=0,"",IFERROR(C29/G29,0))</f>
        <v/>
      </c>
      <c r="W29" s="19">
        <f>IF(COUNT(C29:P29)=0,"",IFERROR(G29/D29*1000,0))</f>
        <v/>
      </c>
      <c r="X29" s="18">
        <f>IF(COUNT(C29:P29)=0,"",IFERROR(H29/G29,0))</f>
        <v/>
      </c>
      <c r="Y29" s="18">
        <f>IF(COUNT(C29:P29)=0,"",IFERROR(I29/H29,0))</f>
        <v/>
      </c>
      <c r="Z29" s="17">
        <f>IF(COUNT(C29:P29)=0,"",IFERROR(I29/G29,0))</f>
        <v/>
      </c>
      <c r="AA29" s="15">
        <f>IF(COUNT(C29:P29)=0,"",IFERROR(C29/I29,0))</f>
        <v/>
      </c>
      <c r="AB29" s="18">
        <f>IF(COUNT(C29:P29)=0,"",IFERROR(J29/I29,0))</f>
        <v/>
      </c>
      <c r="AC29" s="18">
        <f>IF(COUNT(C29:P29)=0,"",IFERROR(K29/I29,0))</f>
        <v/>
      </c>
      <c r="AD29" s="18">
        <f>IF(COUNT(C29:P29)=0,"",IFERROR(L29/I29,0))</f>
        <v/>
      </c>
      <c r="AE29" s="18">
        <f>IF(COUNT(C29:P29)=0,"",IFERROR(P29/I29,0))</f>
        <v/>
      </c>
      <c r="AF29" s="20">
        <f>IF(COUNT(C29:P29)=0,"",IFERROR(I29*Config!$C$7+J29*Config!$C$8+K29*Config!$C$9+L29*Config!$C$10+M29*Config!$C$11+N29*Config!$C$12+O29*Config!$C$13+P29*Config!$C$14,0))</f>
        <v/>
      </c>
      <c r="AG29" s="15">
        <f>IF(COUNT(C29:P29)=0,"",IFERROR(AF29/I29,0))</f>
        <v/>
      </c>
      <c r="AH29" s="20">
        <f>IF(COUNT(C29:P29)=0,"",IFERROR(AF29*(1-Config!$C$15-Config!$C$16-Config!$C$17),0))</f>
        <v/>
      </c>
      <c r="AI29" s="20">
        <f>IF(COUNT(C29:P29)=0,"",IFERROR(AH29-C29-Config!$C$18,0))</f>
        <v/>
      </c>
      <c r="AJ29" s="21">
        <f>IF(COUNT(C29:P29)=0,"",IFERROR(AH29/C29,0))</f>
        <v/>
      </c>
      <c r="AK29" s="15">
        <f>IF(COUNT(C29:P29)=0,"",IFERROR(AI29/G29,0))</f>
        <v/>
      </c>
      <c r="AL29" s="21">
        <f>IF(COUNT(C29:P29)=0,"",IFERROR(AK29/V29,0))</f>
        <v/>
      </c>
      <c r="AM29" s="15">
        <f>IF(COUNT(C29:P29)=0,"",IFERROR(AI29/I29,0))</f>
        <v/>
      </c>
      <c r="AN29" s="15">
        <f>IF(COUNT(C29:P29)=0,"",IFERROR(AH29/I29-AA29,0))</f>
        <v/>
      </c>
    </row>
    <row r="30">
      <c r="A30" s="12">
        <f>Config!$C$6+24</f>
        <v/>
      </c>
      <c r="B30" s="13">
        <f>INT((A30-Config!$C$6)/7)+1</f>
        <v/>
      </c>
      <c r="C30" s="10" t="n">
        <v>317</v>
      </c>
      <c r="D30" s="14" t="n">
        <v>71974</v>
      </c>
      <c r="E30" s="14" t="n">
        <v>42026</v>
      </c>
      <c r="F30" s="14" t="n">
        <v>1227</v>
      </c>
      <c r="G30" s="14" t="n">
        <v>1065</v>
      </c>
      <c r="H30" s="14" t="n">
        <v>39</v>
      </c>
      <c r="I30" s="14" t="n">
        <v>11</v>
      </c>
      <c r="J30" s="14" t="n">
        <v>3</v>
      </c>
      <c r="K30" s="14" t="n">
        <v>2</v>
      </c>
      <c r="L30" s="14" t="n">
        <v>1</v>
      </c>
      <c r="M30" s="14" t="n">
        <v>1</v>
      </c>
      <c r="N30" s="14" t="n">
        <v>0</v>
      </c>
      <c r="O30" s="14" t="n">
        <v>0</v>
      </c>
      <c r="P30" s="14" t="n">
        <v>0</v>
      </c>
      <c r="Q30" s="15">
        <f>IF(COUNT(C30:P30)=0,"",IFERROR(C30/D30*1000,0))</f>
        <v/>
      </c>
      <c r="R30" s="16">
        <f>IF(COUNT(C30:P30)=0,"",IFERROR(D30/E30,0))</f>
        <v/>
      </c>
      <c r="S30" s="17">
        <f>IF(COUNT(C30:P30)=0,"",IFERROR(F30/D30,0))</f>
        <v/>
      </c>
      <c r="T30" s="15">
        <f>IF(COUNT(C30:P30)=0,"",IFERROR(C30/F30,0))</f>
        <v/>
      </c>
      <c r="U30" s="18">
        <f>IF(COUNT(C30:P30)=0,"",IFERROR(G30/F30,0))</f>
        <v/>
      </c>
      <c r="V30" s="15">
        <f>IF(COUNT(C30:P30)=0,"",IFERROR(C30/G30,0))</f>
        <v/>
      </c>
      <c r="W30" s="19">
        <f>IF(COUNT(C30:P30)=0,"",IFERROR(G30/D30*1000,0))</f>
        <v/>
      </c>
      <c r="X30" s="18">
        <f>IF(COUNT(C30:P30)=0,"",IFERROR(H30/G30,0))</f>
        <v/>
      </c>
      <c r="Y30" s="18">
        <f>IF(COUNT(C30:P30)=0,"",IFERROR(I30/H30,0))</f>
        <v/>
      </c>
      <c r="Z30" s="17">
        <f>IF(COUNT(C30:P30)=0,"",IFERROR(I30/G30,0))</f>
        <v/>
      </c>
      <c r="AA30" s="15">
        <f>IF(COUNT(C30:P30)=0,"",IFERROR(C30/I30,0))</f>
        <v/>
      </c>
      <c r="AB30" s="18">
        <f>IF(COUNT(C30:P30)=0,"",IFERROR(J30/I30,0))</f>
        <v/>
      </c>
      <c r="AC30" s="18">
        <f>IF(COUNT(C30:P30)=0,"",IFERROR(K30/I30,0))</f>
        <v/>
      </c>
      <c r="AD30" s="18">
        <f>IF(COUNT(C30:P30)=0,"",IFERROR(L30/I30,0))</f>
        <v/>
      </c>
      <c r="AE30" s="18">
        <f>IF(COUNT(C30:P30)=0,"",IFERROR(P30/I30,0))</f>
        <v/>
      </c>
      <c r="AF30" s="20">
        <f>IF(COUNT(C30:P30)=0,"",IFERROR(I30*Config!$C$7+J30*Config!$C$8+K30*Config!$C$9+L30*Config!$C$10+M30*Config!$C$11+N30*Config!$C$12+O30*Config!$C$13+P30*Config!$C$14,0))</f>
        <v/>
      </c>
      <c r="AG30" s="15">
        <f>IF(COUNT(C30:P30)=0,"",IFERROR(AF30/I30,0))</f>
        <v/>
      </c>
      <c r="AH30" s="20">
        <f>IF(COUNT(C30:P30)=0,"",IFERROR(AF30*(1-Config!$C$15-Config!$C$16-Config!$C$17),0))</f>
        <v/>
      </c>
      <c r="AI30" s="20">
        <f>IF(COUNT(C30:P30)=0,"",IFERROR(AH30-C30-Config!$C$18,0))</f>
        <v/>
      </c>
      <c r="AJ30" s="21">
        <f>IF(COUNT(C30:P30)=0,"",IFERROR(AH30/C30,0))</f>
        <v/>
      </c>
      <c r="AK30" s="15">
        <f>IF(COUNT(C30:P30)=0,"",IFERROR(AI30/G30,0))</f>
        <v/>
      </c>
      <c r="AL30" s="21">
        <f>IF(COUNT(C30:P30)=0,"",IFERROR(AK30/V30,0))</f>
        <v/>
      </c>
      <c r="AM30" s="15">
        <f>IF(COUNT(C30:P30)=0,"",IFERROR(AI30/I30,0))</f>
        <v/>
      </c>
      <c r="AN30" s="15">
        <f>IF(COUNT(C30:P30)=0,"",IFERROR(AH30/I30-AA30,0))</f>
        <v/>
      </c>
    </row>
    <row r="31">
      <c r="A31" s="12">
        <f>Config!$C$6+25</f>
        <v/>
      </c>
      <c r="B31" s="13">
        <f>INT((A31-Config!$C$6)/7)+1</f>
        <v/>
      </c>
      <c r="C31" s="10" t="n">
        <v>327</v>
      </c>
      <c r="D31" s="14" t="n">
        <v>79368</v>
      </c>
      <c r="E31" s="14" t="n">
        <v>46372</v>
      </c>
      <c r="F31" s="14" t="n">
        <v>1338</v>
      </c>
      <c r="G31" s="14" t="n">
        <v>1225</v>
      </c>
      <c r="H31" s="14" t="n">
        <v>44</v>
      </c>
      <c r="I31" s="14" t="n">
        <v>11</v>
      </c>
      <c r="J31" s="14" t="n">
        <v>3</v>
      </c>
      <c r="K31" s="14" t="n">
        <v>2</v>
      </c>
      <c r="L31" s="14" t="n">
        <v>1</v>
      </c>
      <c r="M31" s="14" t="n">
        <v>1</v>
      </c>
      <c r="N31" s="14" t="n">
        <v>0</v>
      </c>
      <c r="O31" s="14" t="n">
        <v>0</v>
      </c>
      <c r="P31" s="14" t="n">
        <v>0</v>
      </c>
      <c r="Q31" s="15">
        <f>IF(COUNT(C31:P31)=0,"",IFERROR(C31/D31*1000,0))</f>
        <v/>
      </c>
      <c r="R31" s="16">
        <f>IF(COUNT(C31:P31)=0,"",IFERROR(D31/E31,0))</f>
        <v/>
      </c>
      <c r="S31" s="17">
        <f>IF(COUNT(C31:P31)=0,"",IFERROR(F31/D31,0))</f>
        <v/>
      </c>
      <c r="T31" s="15">
        <f>IF(COUNT(C31:P31)=0,"",IFERROR(C31/F31,0))</f>
        <v/>
      </c>
      <c r="U31" s="18">
        <f>IF(COUNT(C31:P31)=0,"",IFERROR(G31/F31,0))</f>
        <v/>
      </c>
      <c r="V31" s="15">
        <f>IF(COUNT(C31:P31)=0,"",IFERROR(C31/G31,0))</f>
        <v/>
      </c>
      <c r="W31" s="19">
        <f>IF(COUNT(C31:P31)=0,"",IFERROR(G31/D31*1000,0))</f>
        <v/>
      </c>
      <c r="X31" s="18">
        <f>IF(COUNT(C31:P31)=0,"",IFERROR(H31/G31,0))</f>
        <v/>
      </c>
      <c r="Y31" s="18">
        <f>IF(COUNT(C31:P31)=0,"",IFERROR(I31/H31,0))</f>
        <v/>
      </c>
      <c r="Z31" s="17">
        <f>IF(COUNT(C31:P31)=0,"",IFERROR(I31/G31,0))</f>
        <v/>
      </c>
      <c r="AA31" s="15">
        <f>IF(COUNT(C31:P31)=0,"",IFERROR(C31/I31,0))</f>
        <v/>
      </c>
      <c r="AB31" s="18">
        <f>IF(COUNT(C31:P31)=0,"",IFERROR(J31/I31,0))</f>
        <v/>
      </c>
      <c r="AC31" s="18">
        <f>IF(COUNT(C31:P31)=0,"",IFERROR(K31/I31,0))</f>
        <v/>
      </c>
      <c r="AD31" s="18">
        <f>IF(COUNT(C31:P31)=0,"",IFERROR(L31/I31,0))</f>
        <v/>
      </c>
      <c r="AE31" s="18">
        <f>IF(COUNT(C31:P31)=0,"",IFERROR(P31/I31,0))</f>
        <v/>
      </c>
      <c r="AF31" s="20">
        <f>IF(COUNT(C31:P31)=0,"",IFERROR(I31*Config!$C$7+J31*Config!$C$8+K31*Config!$C$9+L31*Config!$C$10+M31*Config!$C$11+N31*Config!$C$12+O31*Config!$C$13+P31*Config!$C$14,0))</f>
        <v/>
      </c>
      <c r="AG31" s="15">
        <f>IF(COUNT(C31:P31)=0,"",IFERROR(AF31/I31,0))</f>
        <v/>
      </c>
      <c r="AH31" s="20">
        <f>IF(COUNT(C31:P31)=0,"",IFERROR(AF31*(1-Config!$C$15-Config!$C$16-Config!$C$17),0))</f>
        <v/>
      </c>
      <c r="AI31" s="20">
        <f>IF(COUNT(C31:P31)=0,"",IFERROR(AH31-C31-Config!$C$18,0))</f>
        <v/>
      </c>
      <c r="AJ31" s="21">
        <f>IF(COUNT(C31:P31)=0,"",IFERROR(AH31/C31,0))</f>
        <v/>
      </c>
      <c r="AK31" s="15">
        <f>IF(COUNT(C31:P31)=0,"",IFERROR(AI31/G31,0))</f>
        <v/>
      </c>
      <c r="AL31" s="21">
        <f>IF(COUNT(C31:P31)=0,"",IFERROR(AK31/V31,0))</f>
        <v/>
      </c>
      <c r="AM31" s="15">
        <f>IF(COUNT(C31:P31)=0,"",IFERROR(AI31/I31,0))</f>
        <v/>
      </c>
      <c r="AN31" s="15">
        <f>IF(COUNT(C31:P31)=0,"",IFERROR(AH31/I31-AA31,0))</f>
        <v/>
      </c>
    </row>
    <row r="32">
      <c r="A32" s="12">
        <f>Config!$C$6+26</f>
        <v/>
      </c>
      <c r="B32" s="13">
        <f>INT((A32-Config!$C$6)/7)+1</f>
        <v/>
      </c>
      <c r="C32" s="10" t="n">
        <v>306</v>
      </c>
      <c r="D32" s="14" t="n">
        <v>70991</v>
      </c>
      <c r="E32" s="14" t="n">
        <v>49341</v>
      </c>
      <c r="F32" s="14" t="n">
        <v>1137</v>
      </c>
      <c r="G32" s="14" t="n">
        <v>1145</v>
      </c>
      <c r="H32" s="14" t="n">
        <v>44</v>
      </c>
      <c r="I32" s="14" t="n">
        <v>12</v>
      </c>
      <c r="J32" s="14" t="n">
        <v>3</v>
      </c>
      <c r="K32" s="14" t="n">
        <v>2</v>
      </c>
      <c r="L32" s="14" t="n">
        <v>1</v>
      </c>
      <c r="M32" s="14" t="n">
        <v>1</v>
      </c>
      <c r="N32" s="14" t="n">
        <v>0</v>
      </c>
      <c r="O32" s="14" t="n">
        <v>0</v>
      </c>
      <c r="P32" s="14" t="n">
        <v>0</v>
      </c>
      <c r="Q32" s="15">
        <f>IF(COUNT(C32:P32)=0,"",IFERROR(C32/D32*1000,0))</f>
        <v/>
      </c>
      <c r="R32" s="16">
        <f>IF(COUNT(C32:P32)=0,"",IFERROR(D32/E32,0))</f>
        <v/>
      </c>
      <c r="S32" s="17">
        <f>IF(COUNT(C32:P32)=0,"",IFERROR(F32/D32,0))</f>
        <v/>
      </c>
      <c r="T32" s="15">
        <f>IF(COUNT(C32:P32)=0,"",IFERROR(C32/F32,0))</f>
        <v/>
      </c>
      <c r="U32" s="18">
        <f>IF(COUNT(C32:P32)=0,"",IFERROR(G32/F32,0))</f>
        <v/>
      </c>
      <c r="V32" s="15">
        <f>IF(COUNT(C32:P32)=0,"",IFERROR(C32/G32,0))</f>
        <v/>
      </c>
      <c r="W32" s="19">
        <f>IF(COUNT(C32:P32)=0,"",IFERROR(G32/D32*1000,0))</f>
        <v/>
      </c>
      <c r="X32" s="18">
        <f>IF(COUNT(C32:P32)=0,"",IFERROR(H32/G32,0))</f>
        <v/>
      </c>
      <c r="Y32" s="18">
        <f>IF(COUNT(C32:P32)=0,"",IFERROR(I32/H32,0))</f>
        <v/>
      </c>
      <c r="Z32" s="17">
        <f>IF(COUNT(C32:P32)=0,"",IFERROR(I32/G32,0))</f>
        <v/>
      </c>
      <c r="AA32" s="15">
        <f>IF(COUNT(C32:P32)=0,"",IFERROR(C32/I32,0))</f>
        <v/>
      </c>
      <c r="AB32" s="18">
        <f>IF(COUNT(C32:P32)=0,"",IFERROR(J32/I32,0))</f>
        <v/>
      </c>
      <c r="AC32" s="18">
        <f>IF(COUNT(C32:P32)=0,"",IFERROR(K32/I32,0))</f>
        <v/>
      </c>
      <c r="AD32" s="18">
        <f>IF(COUNT(C32:P32)=0,"",IFERROR(L32/I32,0))</f>
        <v/>
      </c>
      <c r="AE32" s="18">
        <f>IF(COUNT(C32:P32)=0,"",IFERROR(P32/I32,0))</f>
        <v/>
      </c>
      <c r="AF32" s="20">
        <f>IF(COUNT(C32:P32)=0,"",IFERROR(I32*Config!$C$7+J32*Config!$C$8+K32*Config!$C$9+L32*Config!$C$10+M32*Config!$C$11+N32*Config!$C$12+O32*Config!$C$13+P32*Config!$C$14,0))</f>
        <v/>
      </c>
      <c r="AG32" s="15">
        <f>IF(COUNT(C32:P32)=0,"",IFERROR(AF32/I32,0))</f>
        <v/>
      </c>
      <c r="AH32" s="20">
        <f>IF(COUNT(C32:P32)=0,"",IFERROR(AF32*(1-Config!$C$15-Config!$C$16-Config!$C$17),0))</f>
        <v/>
      </c>
      <c r="AI32" s="20">
        <f>IF(COUNT(C32:P32)=0,"",IFERROR(AH32-C32-Config!$C$18,0))</f>
        <v/>
      </c>
      <c r="AJ32" s="21">
        <f>IF(COUNT(C32:P32)=0,"",IFERROR(AH32/C32,0))</f>
        <v/>
      </c>
      <c r="AK32" s="15">
        <f>IF(COUNT(C32:P32)=0,"",IFERROR(AI32/G32,0))</f>
        <v/>
      </c>
      <c r="AL32" s="21">
        <f>IF(COUNT(C32:P32)=0,"",IFERROR(AK32/V32,0))</f>
        <v/>
      </c>
      <c r="AM32" s="15">
        <f>IF(COUNT(C32:P32)=0,"",IFERROR(AI32/I32,0))</f>
        <v/>
      </c>
      <c r="AN32" s="15">
        <f>IF(COUNT(C32:P32)=0,"",IFERROR(AH32/I32-AA32,0))</f>
        <v/>
      </c>
    </row>
    <row r="33">
      <c r="A33" s="12">
        <f>Config!$C$6+27</f>
        <v/>
      </c>
      <c r="B33" s="13">
        <f>INT((A33-Config!$C$6)/7)+1</f>
        <v/>
      </c>
      <c r="C33" s="10" t="n">
        <v>292</v>
      </c>
      <c r="D33" s="14" t="n">
        <v>65804</v>
      </c>
      <c r="E33" s="14" t="n">
        <v>40344</v>
      </c>
      <c r="F33" s="14" t="n">
        <v>1005</v>
      </c>
      <c r="G33" s="14" t="n">
        <v>978</v>
      </c>
      <c r="H33" s="14" t="n">
        <v>31</v>
      </c>
      <c r="I33" s="14" t="n">
        <v>8</v>
      </c>
      <c r="J33" s="14" t="n">
        <v>2</v>
      </c>
      <c r="K33" s="14" t="n">
        <v>2</v>
      </c>
      <c r="L33" s="14" t="n">
        <v>1</v>
      </c>
      <c r="M33" s="14" t="n">
        <v>1</v>
      </c>
      <c r="N33" s="14" t="n">
        <v>0</v>
      </c>
      <c r="O33" s="14" t="n">
        <v>0</v>
      </c>
      <c r="P33" s="14" t="n">
        <v>0</v>
      </c>
      <c r="Q33" s="15">
        <f>IF(COUNT(C33:P33)=0,"",IFERROR(C33/D33*1000,0))</f>
        <v/>
      </c>
      <c r="R33" s="16">
        <f>IF(COUNT(C33:P33)=0,"",IFERROR(D33/E33,0))</f>
        <v/>
      </c>
      <c r="S33" s="17">
        <f>IF(COUNT(C33:P33)=0,"",IFERROR(F33/D33,0))</f>
        <v/>
      </c>
      <c r="T33" s="15">
        <f>IF(COUNT(C33:P33)=0,"",IFERROR(C33/F33,0))</f>
        <v/>
      </c>
      <c r="U33" s="18">
        <f>IF(COUNT(C33:P33)=0,"",IFERROR(G33/F33,0))</f>
        <v/>
      </c>
      <c r="V33" s="15">
        <f>IF(COUNT(C33:P33)=0,"",IFERROR(C33/G33,0))</f>
        <v/>
      </c>
      <c r="W33" s="19">
        <f>IF(COUNT(C33:P33)=0,"",IFERROR(G33/D33*1000,0))</f>
        <v/>
      </c>
      <c r="X33" s="18">
        <f>IF(COUNT(C33:P33)=0,"",IFERROR(H33/G33,0))</f>
        <v/>
      </c>
      <c r="Y33" s="18">
        <f>IF(COUNT(C33:P33)=0,"",IFERROR(I33/H33,0))</f>
        <v/>
      </c>
      <c r="Z33" s="17">
        <f>IF(COUNT(C33:P33)=0,"",IFERROR(I33/G33,0))</f>
        <v/>
      </c>
      <c r="AA33" s="15">
        <f>IF(COUNT(C33:P33)=0,"",IFERROR(C33/I33,0))</f>
        <v/>
      </c>
      <c r="AB33" s="18">
        <f>IF(COUNT(C33:P33)=0,"",IFERROR(J33/I33,0))</f>
        <v/>
      </c>
      <c r="AC33" s="18">
        <f>IF(COUNT(C33:P33)=0,"",IFERROR(K33/I33,0))</f>
        <v/>
      </c>
      <c r="AD33" s="18">
        <f>IF(COUNT(C33:P33)=0,"",IFERROR(L33/I33,0))</f>
        <v/>
      </c>
      <c r="AE33" s="18">
        <f>IF(COUNT(C33:P33)=0,"",IFERROR(P33/I33,0))</f>
        <v/>
      </c>
      <c r="AF33" s="20">
        <f>IF(COUNT(C33:P33)=0,"",IFERROR(I33*Config!$C$7+J33*Config!$C$8+K33*Config!$C$9+L33*Config!$C$10+M33*Config!$C$11+N33*Config!$C$12+O33*Config!$C$13+P33*Config!$C$14,0))</f>
        <v/>
      </c>
      <c r="AG33" s="15">
        <f>IF(COUNT(C33:P33)=0,"",IFERROR(AF33/I33,0))</f>
        <v/>
      </c>
      <c r="AH33" s="20">
        <f>IF(COUNT(C33:P33)=0,"",IFERROR(AF33*(1-Config!$C$15-Config!$C$16-Config!$C$17),0))</f>
        <v/>
      </c>
      <c r="AI33" s="20">
        <f>IF(COUNT(C33:P33)=0,"",IFERROR(AH33-C33-Config!$C$18,0))</f>
        <v/>
      </c>
      <c r="AJ33" s="21">
        <f>IF(COUNT(C33:P33)=0,"",IFERROR(AH33/C33,0))</f>
        <v/>
      </c>
      <c r="AK33" s="15">
        <f>IF(COUNT(C33:P33)=0,"",IFERROR(AI33/G33,0))</f>
        <v/>
      </c>
      <c r="AL33" s="21">
        <f>IF(COUNT(C33:P33)=0,"",IFERROR(AK33/V33,0))</f>
        <v/>
      </c>
      <c r="AM33" s="15">
        <f>IF(COUNT(C33:P33)=0,"",IFERROR(AI33/I33,0))</f>
        <v/>
      </c>
      <c r="AN33" s="15">
        <f>IF(COUNT(C33:P33)=0,"",IFERROR(AH33/I33-AA33,0))</f>
        <v/>
      </c>
    </row>
    <row r="34">
      <c r="A34" s="12">
        <f>Config!$C$6+28</f>
        <v/>
      </c>
      <c r="B34" s="13">
        <f>INT((A34-Config!$C$6)/7)+1</f>
        <v/>
      </c>
      <c r="C34" s="10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5">
        <f>IF(COUNT(C34:P34)=0,"",IFERROR(C34/D34*1000,0))</f>
        <v/>
      </c>
      <c r="R34" s="16">
        <f>IF(COUNT(C34:P34)=0,"",IFERROR(D34/E34,0))</f>
        <v/>
      </c>
      <c r="S34" s="17">
        <f>IF(COUNT(C34:P34)=0,"",IFERROR(F34/D34,0))</f>
        <v/>
      </c>
      <c r="T34" s="15">
        <f>IF(COUNT(C34:P34)=0,"",IFERROR(C34/F34,0))</f>
        <v/>
      </c>
      <c r="U34" s="18">
        <f>IF(COUNT(C34:P34)=0,"",IFERROR(G34/F34,0))</f>
        <v/>
      </c>
      <c r="V34" s="15">
        <f>IF(COUNT(C34:P34)=0,"",IFERROR(C34/G34,0))</f>
        <v/>
      </c>
      <c r="W34" s="19">
        <f>IF(COUNT(C34:P34)=0,"",IFERROR(G34/D34*1000,0))</f>
        <v/>
      </c>
      <c r="X34" s="18">
        <f>IF(COUNT(C34:P34)=0,"",IFERROR(H34/G34,0))</f>
        <v/>
      </c>
      <c r="Y34" s="18">
        <f>IF(COUNT(C34:P34)=0,"",IFERROR(I34/H34,0))</f>
        <v/>
      </c>
      <c r="Z34" s="17">
        <f>IF(COUNT(C34:P34)=0,"",IFERROR(I34/G34,0))</f>
        <v/>
      </c>
      <c r="AA34" s="15">
        <f>IF(COUNT(C34:P34)=0,"",IFERROR(C34/I34,0))</f>
        <v/>
      </c>
      <c r="AB34" s="18">
        <f>IF(COUNT(C34:P34)=0,"",IFERROR(J34/I34,0))</f>
        <v/>
      </c>
      <c r="AC34" s="18">
        <f>IF(COUNT(C34:P34)=0,"",IFERROR(K34/I34,0))</f>
        <v/>
      </c>
      <c r="AD34" s="18">
        <f>IF(COUNT(C34:P34)=0,"",IFERROR(L34/I34,0))</f>
        <v/>
      </c>
      <c r="AE34" s="18">
        <f>IF(COUNT(C34:P34)=0,"",IFERROR(P34/I34,0))</f>
        <v/>
      </c>
      <c r="AF34" s="20">
        <f>IF(COUNT(C34:P34)=0,"",IFERROR(I34*Config!$C$7+J34*Config!$C$8+K34*Config!$C$9+L34*Config!$C$10+M34*Config!$C$11+N34*Config!$C$12+O34*Config!$C$13+P34*Config!$C$14,0))</f>
        <v/>
      </c>
      <c r="AG34" s="15">
        <f>IF(COUNT(C34:P34)=0,"",IFERROR(AF34/I34,0))</f>
        <v/>
      </c>
      <c r="AH34" s="20">
        <f>IF(COUNT(C34:P34)=0,"",IFERROR(AF34*(1-Config!$C$15-Config!$C$16-Config!$C$17),0))</f>
        <v/>
      </c>
      <c r="AI34" s="20">
        <f>IF(COUNT(C34:P34)=0,"",IFERROR(AH34-C34-Config!$C$18,0))</f>
        <v/>
      </c>
      <c r="AJ34" s="21">
        <f>IF(COUNT(C34:P34)=0,"",IFERROR(AH34/C34,0))</f>
        <v/>
      </c>
      <c r="AK34" s="15">
        <f>IF(COUNT(C34:P34)=0,"",IFERROR(AI34/G34,0))</f>
        <v/>
      </c>
      <c r="AL34" s="21">
        <f>IF(COUNT(C34:P34)=0,"",IFERROR(AK34/V34,0))</f>
        <v/>
      </c>
      <c r="AM34" s="15">
        <f>IF(COUNT(C34:P34)=0,"",IFERROR(AI34/I34,0))</f>
        <v/>
      </c>
      <c r="AN34" s="15">
        <f>IF(COUNT(C34:P34)=0,"",IFERROR(AH34/I34-AA34,0))</f>
        <v/>
      </c>
    </row>
    <row r="35">
      <c r="A35" s="12">
        <f>Config!$C$6+29</f>
        <v/>
      </c>
      <c r="B35" s="13">
        <f>INT((A35-Config!$C$6)/7)+1</f>
        <v/>
      </c>
      <c r="C35" s="10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5">
        <f>IF(COUNT(C35:P35)=0,"",IFERROR(C35/D35*1000,0))</f>
        <v/>
      </c>
      <c r="R35" s="16">
        <f>IF(COUNT(C35:P35)=0,"",IFERROR(D35/E35,0))</f>
        <v/>
      </c>
      <c r="S35" s="17">
        <f>IF(COUNT(C35:P35)=0,"",IFERROR(F35/D35,0))</f>
        <v/>
      </c>
      <c r="T35" s="15">
        <f>IF(COUNT(C35:P35)=0,"",IFERROR(C35/F35,0))</f>
        <v/>
      </c>
      <c r="U35" s="18">
        <f>IF(COUNT(C35:P35)=0,"",IFERROR(G35/F35,0))</f>
        <v/>
      </c>
      <c r="V35" s="15">
        <f>IF(COUNT(C35:P35)=0,"",IFERROR(C35/G35,0))</f>
        <v/>
      </c>
      <c r="W35" s="19">
        <f>IF(COUNT(C35:P35)=0,"",IFERROR(G35/D35*1000,0))</f>
        <v/>
      </c>
      <c r="X35" s="18">
        <f>IF(COUNT(C35:P35)=0,"",IFERROR(H35/G35,0))</f>
        <v/>
      </c>
      <c r="Y35" s="18">
        <f>IF(COUNT(C35:P35)=0,"",IFERROR(I35/H35,0))</f>
        <v/>
      </c>
      <c r="Z35" s="17">
        <f>IF(COUNT(C35:P35)=0,"",IFERROR(I35/G35,0))</f>
        <v/>
      </c>
      <c r="AA35" s="15">
        <f>IF(COUNT(C35:P35)=0,"",IFERROR(C35/I35,0))</f>
        <v/>
      </c>
      <c r="AB35" s="18">
        <f>IF(COUNT(C35:P35)=0,"",IFERROR(J35/I35,0))</f>
        <v/>
      </c>
      <c r="AC35" s="18">
        <f>IF(COUNT(C35:P35)=0,"",IFERROR(K35/I35,0))</f>
        <v/>
      </c>
      <c r="AD35" s="18">
        <f>IF(COUNT(C35:P35)=0,"",IFERROR(L35/I35,0))</f>
        <v/>
      </c>
      <c r="AE35" s="18">
        <f>IF(COUNT(C35:P35)=0,"",IFERROR(P35/I35,0))</f>
        <v/>
      </c>
      <c r="AF35" s="20">
        <f>IF(COUNT(C35:P35)=0,"",IFERROR(I35*Config!$C$7+J35*Config!$C$8+K35*Config!$C$9+L35*Config!$C$10+M35*Config!$C$11+N35*Config!$C$12+O35*Config!$C$13+P35*Config!$C$14,0))</f>
        <v/>
      </c>
      <c r="AG35" s="15">
        <f>IF(COUNT(C35:P35)=0,"",IFERROR(AF35/I35,0))</f>
        <v/>
      </c>
      <c r="AH35" s="20">
        <f>IF(COUNT(C35:P35)=0,"",IFERROR(AF35*(1-Config!$C$15-Config!$C$16-Config!$C$17),0))</f>
        <v/>
      </c>
      <c r="AI35" s="20">
        <f>IF(COUNT(C35:P35)=0,"",IFERROR(AH35-C35-Config!$C$18,0))</f>
        <v/>
      </c>
      <c r="AJ35" s="21">
        <f>IF(COUNT(C35:P35)=0,"",IFERROR(AH35/C35,0))</f>
        <v/>
      </c>
      <c r="AK35" s="15">
        <f>IF(COUNT(C35:P35)=0,"",IFERROR(AI35/G35,0))</f>
        <v/>
      </c>
      <c r="AL35" s="21">
        <f>IF(COUNT(C35:P35)=0,"",IFERROR(AK35/V35,0))</f>
        <v/>
      </c>
      <c r="AM35" s="15">
        <f>IF(COUNT(C35:P35)=0,"",IFERROR(AI35/I35,0))</f>
        <v/>
      </c>
      <c r="AN35" s="15">
        <f>IF(COUNT(C35:P35)=0,"",IFERROR(AH35/I35-AA35,0))</f>
        <v/>
      </c>
    </row>
    <row r="36">
      <c r="A36" s="12">
        <f>Config!$C$6+30</f>
        <v/>
      </c>
      <c r="B36" s="13">
        <f>INT((A36-Config!$C$6)/7)+1</f>
        <v/>
      </c>
      <c r="C36" s="10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5">
        <f>IF(COUNT(C36:P36)=0,"",IFERROR(C36/D36*1000,0))</f>
        <v/>
      </c>
      <c r="R36" s="16">
        <f>IF(COUNT(C36:P36)=0,"",IFERROR(D36/E36,0))</f>
        <v/>
      </c>
      <c r="S36" s="17">
        <f>IF(COUNT(C36:P36)=0,"",IFERROR(F36/D36,0))</f>
        <v/>
      </c>
      <c r="T36" s="15">
        <f>IF(COUNT(C36:P36)=0,"",IFERROR(C36/F36,0))</f>
        <v/>
      </c>
      <c r="U36" s="18">
        <f>IF(COUNT(C36:P36)=0,"",IFERROR(G36/F36,0))</f>
        <v/>
      </c>
      <c r="V36" s="15">
        <f>IF(COUNT(C36:P36)=0,"",IFERROR(C36/G36,0))</f>
        <v/>
      </c>
      <c r="W36" s="19">
        <f>IF(COUNT(C36:P36)=0,"",IFERROR(G36/D36*1000,0))</f>
        <v/>
      </c>
      <c r="X36" s="18">
        <f>IF(COUNT(C36:P36)=0,"",IFERROR(H36/G36,0))</f>
        <v/>
      </c>
      <c r="Y36" s="18">
        <f>IF(COUNT(C36:P36)=0,"",IFERROR(I36/H36,0))</f>
        <v/>
      </c>
      <c r="Z36" s="17">
        <f>IF(COUNT(C36:P36)=0,"",IFERROR(I36/G36,0))</f>
        <v/>
      </c>
      <c r="AA36" s="15">
        <f>IF(COUNT(C36:P36)=0,"",IFERROR(C36/I36,0))</f>
        <v/>
      </c>
      <c r="AB36" s="18">
        <f>IF(COUNT(C36:P36)=0,"",IFERROR(J36/I36,0))</f>
        <v/>
      </c>
      <c r="AC36" s="18">
        <f>IF(COUNT(C36:P36)=0,"",IFERROR(K36/I36,0))</f>
        <v/>
      </c>
      <c r="AD36" s="18">
        <f>IF(COUNT(C36:P36)=0,"",IFERROR(L36/I36,0))</f>
        <v/>
      </c>
      <c r="AE36" s="18">
        <f>IF(COUNT(C36:P36)=0,"",IFERROR(P36/I36,0))</f>
        <v/>
      </c>
      <c r="AF36" s="20">
        <f>IF(COUNT(C36:P36)=0,"",IFERROR(I36*Config!$C$7+J36*Config!$C$8+K36*Config!$C$9+L36*Config!$C$10+M36*Config!$C$11+N36*Config!$C$12+O36*Config!$C$13+P36*Config!$C$14,0))</f>
        <v/>
      </c>
      <c r="AG36" s="15">
        <f>IF(COUNT(C36:P36)=0,"",IFERROR(AF36/I36,0))</f>
        <v/>
      </c>
      <c r="AH36" s="20">
        <f>IF(COUNT(C36:P36)=0,"",IFERROR(AF36*(1-Config!$C$15-Config!$C$16-Config!$C$17),0))</f>
        <v/>
      </c>
      <c r="AI36" s="20">
        <f>IF(COUNT(C36:P36)=0,"",IFERROR(AH36-C36-Config!$C$18,0))</f>
        <v/>
      </c>
      <c r="AJ36" s="21">
        <f>IF(COUNT(C36:P36)=0,"",IFERROR(AH36/C36,0))</f>
        <v/>
      </c>
      <c r="AK36" s="15">
        <f>IF(COUNT(C36:P36)=0,"",IFERROR(AI36/G36,0))</f>
        <v/>
      </c>
      <c r="AL36" s="21">
        <f>IF(COUNT(C36:P36)=0,"",IFERROR(AK36/V36,0))</f>
        <v/>
      </c>
      <c r="AM36" s="15">
        <f>IF(COUNT(C36:P36)=0,"",IFERROR(AI36/I36,0))</f>
        <v/>
      </c>
      <c r="AN36" s="15">
        <f>IF(COUNT(C36:P36)=0,"",IFERROR(AH36/I36-AA36,0))</f>
        <v/>
      </c>
    </row>
    <row r="37">
      <c r="A37" s="12">
        <f>Config!$C$6+31</f>
        <v/>
      </c>
      <c r="B37" s="13">
        <f>INT((A37-Config!$C$6)/7)+1</f>
        <v/>
      </c>
      <c r="C37" s="10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5">
        <f>IF(COUNT(C37:P37)=0,"",IFERROR(C37/D37*1000,0))</f>
        <v/>
      </c>
      <c r="R37" s="16">
        <f>IF(COUNT(C37:P37)=0,"",IFERROR(D37/E37,0))</f>
        <v/>
      </c>
      <c r="S37" s="17">
        <f>IF(COUNT(C37:P37)=0,"",IFERROR(F37/D37,0))</f>
        <v/>
      </c>
      <c r="T37" s="15">
        <f>IF(COUNT(C37:P37)=0,"",IFERROR(C37/F37,0))</f>
        <v/>
      </c>
      <c r="U37" s="18">
        <f>IF(COUNT(C37:P37)=0,"",IFERROR(G37/F37,0))</f>
        <v/>
      </c>
      <c r="V37" s="15">
        <f>IF(COUNT(C37:P37)=0,"",IFERROR(C37/G37,0))</f>
        <v/>
      </c>
      <c r="W37" s="19">
        <f>IF(COUNT(C37:P37)=0,"",IFERROR(G37/D37*1000,0))</f>
        <v/>
      </c>
      <c r="X37" s="18">
        <f>IF(COUNT(C37:P37)=0,"",IFERROR(H37/G37,0))</f>
        <v/>
      </c>
      <c r="Y37" s="18">
        <f>IF(COUNT(C37:P37)=0,"",IFERROR(I37/H37,0))</f>
        <v/>
      </c>
      <c r="Z37" s="17">
        <f>IF(COUNT(C37:P37)=0,"",IFERROR(I37/G37,0))</f>
        <v/>
      </c>
      <c r="AA37" s="15">
        <f>IF(COUNT(C37:P37)=0,"",IFERROR(C37/I37,0))</f>
        <v/>
      </c>
      <c r="AB37" s="18">
        <f>IF(COUNT(C37:P37)=0,"",IFERROR(J37/I37,0))</f>
        <v/>
      </c>
      <c r="AC37" s="18">
        <f>IF(COUNT(C37:P37)=0,"",IFERROR(K37/I37,0))</f>
        <v/>
      </c>
      <c r="AD37" s="18">
        <f>IF(COUNT(C37:P37)=0,"",IFERROR(L37/I37,0))</f>
        <v/>
      </c>
      <c r="AE37" s="18">
        <f>IF(COUNT(C37:P37)=0,"",IFERROR(P37/I37,0))</f>
        <v/>
      </c>
      <c r="AF37" s="20">
        <f>IF(COUNT(C37:P37)=0,"",IFERROR(I37*Config!$C$7+J37*Config!$C$8+K37*Config!$C$9+L37*Config!$C$10+M37*Config!$C$11+N37*Config!$C$12+O37*Config!$C$13+P37*Config!$C$14,0))</f>
        <v/>
      </c>
      <c r="AG37" s="15">
        <f>IF(COUNT(C37:P37)=0,"",IFERROR(AF37/I37,0))</f>
        <v/>
      </c>
      <c r="AH37" s="20">
        <f>IF(COUNT(C37:P37)=0,"",IFERROR(AF37*(1-Config!$C$15-Config!$C$16-Config!$C$17),0))</f>
        <v/>
      </c>
      <c r="AI37" s="20">
        <f>IF(COUNT(C37:P37)=0,"",IFERROR(AH37-C37-Config!$C$18,0))</f>
        <v/>
      </c>
      <c r="AJ37" s="21">
        <f>IF(COUNT(C37:P37)=0,"",IFERROR(AH37/C37,0))</f>
        <v/>
      </c>
      <c r="AK37" s="15">
        <f>IF(COUNT(C37:P37)=0,"",IFERROR(AI37/G37,0))</f>
        <v/>
      </c>
      <c r="AL37" s="21">
        <f>IF(COUNT(C37:P37)=0,"",IFERROR(AK37/V37,0))</f>
        <v/>
      </c>
      <c r="AM37" s="15">
        <f>IF(COUNT(C37:P37)=0,"",IFERROR(AI37/I37,0))</f>
        <v/>
      </c>
      <c r="AN37" s="15">
        <f>IF(COUNT(C37:P37)=0,"",IFERROR(AH37/I37-AA37,0))</f>
        <v/>
      </c>
    </row>
    <row r="38">
      <c r="A38" s="12">
        <f>Config!$C$6+32</f>
        <v/>
      </c>
      <c r="B38" s="13">
        <f>INT((A38-Config!$C$6)/7)+1</f>
        <v/>
      </c>
      <c r="C38" s="10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5">
        <f>IF(COUNT(C38:P38)=0,"",IFERROR(C38/D38*1000,0))</f>
        <v/>
      </c>
      <c r="R38" s="16">
        <f>IF(COUNT(C38:P38)=0,"",IFERROR(D38/E38,0))</f>
        <v/>
      </c>
      <c r="S38" s="17">
        <f>IF(COUNT(C38:P38)=0,"",IFERROR(F38/D38,0))</f>
        <v/>
      </c>
      <c r="T38" s="15">
        <f>IF(COUNT(C38:P38)=0,"",IFERROR(C38/F38,0))</f>
        <v/>
      </c>
      <c r="U38" s="18">
        <f>IF(COUNT(C38:P38)=0,"",IFERROR(G38/F38,0))</f>
        <v/>
      </c>
      <c r="V38" s="15">
        <f>IF(COUNT(C38:P38)=0,"",IFERROR(C38/G38,0))</f>
        <v/>
      </c>
      <c r="W38" s="19">
        <f>IF(COUNT(C38:P38)=0,"",IFERROR(G38/D38*1000,0))</f>
        <v/>
      </c>
      <c r="X38" s="18">
        <f>IF(COUNT(C38:P38)=0,"",IFERROR(H38/G38,0))</f>
        <v/>
      </c>
      <c r="Y38" s="18">
        <f>IF(COUNT(C38:P38)=0,"",IFERROR(I38/H38,0))</f>
        <v/>
      </c>
      <c r="Z38" s="17">
        <f>IF(COUNT(C38:P38)=0,"",IFERROR(I38/G38,0))</f>
        <v/>
      </c>
      <c r="AA38" s="15">
        <f>IF(COUNT(C38:P38)=0,"",IFERROR(C38/I38,0))</f>
        <v/>
      </c>
      <c r="AB38" s="18">
        <f>IF(COUNT(C38:P38)=0,"",IFERROR(J38/I38,0))</f>
        <v/>
      </c>
      <c r="AC38" s="18">
        <f>IF(COUNT(C38:P38)=0,"",IFERROR(K38/I38,0))</f>
        <v/>
      </c>
      <c r="AD38" s="18">
        <f>IF(COUNT(C38:P38)=0,"",IFERROR(L38/I38,0))</f>
        <v/>
      </c>
      <c r="AE38" s="18">
        <f>IF(COUNT(C38:P38)=0,"",IFERROR(P38/I38,0))</f>
        <v/>
      </c>
      <c r="AF38" s="20">
        <f>IF(COUNT(C38:P38)=0,"",IFERROR(I38*Config!$C$7+J38*Config!$C$8+K38*Config!$C$9+L38*Config!$C$10+M38*Config!$C$11+N38*Config!$C$12+O38*Config!$C$13+P38*Config!$C$14,0))</f>
        <v/>
      </c>
      <c r="AG38" s="15">
        <f>IF(COUNT(C38:P38)=0,"",IFERROR(AF38/I38,0))</f>
        <v/>
      </c>
      <c r="AH38" s="20">
        <f>IF(COUNT(C38:P38)=0,"",IFERROR(AF38*(1-Config!$C$15-Config!$C$16-Config!$C$17),0))</f>
        <v/>
      </c>
      <c r="AI38" s="20">
        <f>IF(COUNT(C38:P38)=0,"",IFERROR(AH38-C38-Config!$C$18,0))</f>
        <v/>
      </c>
      <c r="AJ38" s="21">
        <f>IF(COUNT(C38:P38)=0,"",IFERROR(AH38/C38,0))</f>
        <v/>
      </c>
      <c r="AK38" s="15">
        <f>IF(COUNT(C38:P38)=0,"",IFERROR(AI38/G38,0))</f>
        <v/>
      </c>
      <c r="AL38" s="21">
        <f>IF(COUNT(C38:P38)=0,"",IFERROR(AK38/V38,0))</f>
        <v/>
      </c>
      <c r="AM38" s="15">
        <f>IF(COUNT(C38:P38)=0,"",IFERROR(AI38/I38,0))</f>
        <v/>
      </c>
      <c r="AN38" s="15">
        <f>IF(COUNT(C38:P38)=0,"",IFERROR(AH38/I38-AA38,0))</f>
        <v/>
      </c>
    </row>
    <row r="39">
      <c r="A39" s="12">
        <f>Config!$C$6+33</f>
        <v/>
      </c>
      <c r="B39" s="13">
        <f>INT((A39-Config!$C$6)/7)+1</f>
        <v/>
      </c>
      <c r="C39" s="10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5">
        <f>IF(COUNT(C39:P39)=0,"",IFERROR(C39/D39*1000,0))</f>
        <v/>
      </c>
      <c r="R39" s="16">
        <f>IF(COUNT(C39:P39)=0,"",IFERROR(D39/E39,0))</f>
        <v/>
      </c>
      <c r="S39" s="17">
        <f>IF(COUNT(C39:P39)=0,"",IFERROR(F39/D39,0))</f>
        <v/>
      </c>
      <c r="T39" s="15">
        <f>IF(COUNT(C39:P39)=0,"",IFERROR(C39/F39,0))</f>
        <v/>
      </c>
      <c r="U39" s="18">
        <f>IF(COUNT(C39:P39)=0,"",IFERROR(G39/F39,0))</f>
        <v/>
      </c>
      <c r="V39" s="15">
        <f>IF(COUNT(C39:P39)=0,"",IFERROR(C39/G39,0))</f>
        <v/>
      </c>
      <c r="W39" s="19">
        <f>IF(COUNT(C39:P39)=0,"",IFERROR(G39/D39*1000,0))</f>
        <v/>
      </c>
      <c r="X39" s="18">
        <f>IF(COUNT(C39:P39)=0,"",IFERROR(H39/G39,0))</f>
        <v/>
      </c>
      <c r="Y39" s="18">
        <f>IF(COUNT(C39:P39)=0,"",IFERROR(I39/H39,0))</f>
        <v/>
      </c>
      <c r="Z39" s="17">
        <f>IF(COUNT(C39:P39)=0,"",IFERROR(I39/G39,0))</f>
        <v/>
      </c>
      <c r="AA39" s="15">
        <f>IF(COUNT(C39:P39)=0,"",IFERROR(C39/I39,0))</f>
        <v/>
      </c>
      <c r="AB39" s="18">
        <f>IF(COUNT(C39:P39)=0,"",IFERROR(J39/I39,0))</f>
        <v/>
      </c>
      <c r="AC39" s="18">
        <f>IF(COUNT(C39:P39)=0,"",IFERROR(K39/I39,0))</f>
        <v/>
      </c>
      <c r="AD39" s="18">
        <f>IF(COUNT(C39:P39)=0,"",IFERROR(L39/I39,0))</f>
        <v/>
      </c>
      <c r="AE39" s="18">
        <f>IF(COUNT(C39:P39)=0,"",IFERROR(P39/I39,0))</f>
        <v/>
      </c>
      <c r="AF39" s="20">
        <f>IF(COUNT(C39:P39)=0,"",IFERROR(I39*Config!$C$7+J39*Config!$C$8+K39*Config!$C$9+L39*Config!$C$10+M39*Config!$C$11+N39*Config!$C$12+O39*Config!$C$13+P39*Config!$C$14,0))</f>
        <v/>
      </c>
      <c r="AG39" s="15">
        <f>IF(COUNT(C39:P39)=0,"",IFERROR(AF39/I39,0))</f>
        <v/>
      </c>
      <c r="AH39" s="20">
        <f>IF(COUNT(C39:P39)=0,"",IFERROR(AF39*(1-Config!$C$15-Config!$C$16-Config!$C$17),0))</f>
        <v/>
      </c>
      <c r="AI39" s="20">
        <f>IF(COUNT(C39:P39)=0,"",IFERROR(AH39-C39-Config!$C$18,0))</f>
        <v/>
      </c>
      <c r="AJ39" s="21">
        <f>IF(COUNT(C39:P39)=0,"",IFERROR(AH39/C39,0))</f>
        <v/>
      </c>
      <c r="AK39" s="15">
        <f>IF(COUNT(C39:P39)=0,"",IFERROR(AI39/G39,0))</f>
        <v/>
      </c>
      <c r="AL39" s="21">
        <f>IF(COUNT(C39:P39)=0,"",IFERROR(AK39/V39,0))</f>
        <v/>
      </c>
      <c r="AM39" s="15">
        <f>IF(COUNT(C39:P39)=0,"",IFERROR(AI39/I39,0))</f>
        <v/>
      </c>
      <c r="AN39" s="15">
        <f>IF(COUNT(C39:P39)=0,"",IFERROR(AH39/I39-AA39,0))</f>
        <v/>
      </c>
    </row>
    <row r="40">
      <c r="A40" s="12">
        <f>Config!$C$6+34</f>
        <v/>
      </c>
      <c r="B40" s="13">
        <f>INT((A40-Config!$C$6)/7)+1</f>
        <v/>
      </c>
      <c r="C40" s="10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5">
        <f>IF(COUNT(C40:P40)=0,"",IFERROR(C40/D40*1000,0))</f>
        <v/>
      </c>
      <c r="R40" s="16">
        <f>IF(COUNT(C40:P40)=0,"",IFERROR(D40/E40,0))</f>
        <v/>
      </c>
      <c r="S40" s="17">
        <f>IF(COUNT(C40:P40)=0,"",IFERROR(F40/D40,0))</f>
        <v/>
      </c>
      <c r="T40" s="15">
        <f>IF(COUNT(C40:P40)=0,"",IFERROR(C40/F40,0))</f>
        <v/>
      </c>
      <c r="U40" s="18">
        <f>IF(COUNT(C40:P40)=0,"",IFERROR(G40/F40,0))</f>
        <v/>
      </c>
      <c r="V40" s="15">
        <f>IF(COUNT(C40:P40)=0,"",IFERROR(C40/G40,0))</f>
        <v/>
      </c>
      <c r="W40" s="19">
        <f>IF(COUNT(C40:P40)=0,"",IFERROR(G40/D40*1000,0))</f>
        <v/>
      </c>
      <c r="X40" s="18">
        <f>IF(COUNT(C40:P40)=0,"",IFERROR(H40/G40,0))</f>
        <v/>
      </c>
      <c r="Y40" s="18">
        <f>IF(COUNT(C40:P40)=0,"",IFERROR(I40/H40,0))</f>
        <v/>
      </c>
      <c r="Z40" s="17">
        <f>IF(COUNT(C40:P40)=0,"",IFERROR(I40/G40,0))</f>
        <v/>
      </c>
      <c r="AA40" s="15">
        <f>IF(COUNT(C40:P40)=0,"",IFERROR(C40/I40,0))</f>
        <v/>
      </c>
      <c r="AB40" s="18">
        <f>IF(COUNT(C40:P40)=0,"",IFERROR(J40/I40,0))</f>
        <v/>
      </c>
      <c r="AC40" s="18">
        <f>IF(COUNT(C40:P40)=0,"",IFERROR(K40/I40,0))</f>
        <v/>
      </c>
      <c r="AD40" s="18">
        <f>IF(COUNT(C40:P40)=0,"",IFERROR(L40/I40,0))</f>
        <v/>
      </c>
      <c r="AE40" s="18">
        <f>IF(COUNT(C40:P40)=0,"",IFERROR(P40/I40,0))</f>
        <v/>
      </c>
      <c r="AF40" s="20">
        <f>IF(COUNT(C40:P40)=0,"",IFERROR(I40*Config!$C$7+J40*Config!$C$8+K40*Config!$C$9+L40*Config!$C$10+M40*Config!$C$11+N40*Config!$C$12+O40*Config!$C$13+P40*Config!$C$14,0))</f>
        <v/>
      </c>
      <c r="AG40" s="15">
        <f>IF(COUNT(C40:P40)=0,"",IFERROR(AF40/I40,0))</f>
        <v/>
      </c>
      <c r="AH40" s="20">
        <f>IF(COUNT(C40:P40)=0,"",IFERROR(AF40*(1-Config!$C$15-Config!$C$16-Config!$C$17),0))</f>
        <v/>
      </c>
      <c r="AI40" s="20">
        <f>IF(COUNT(C40:P40)=0,"",IFERROR(AH40-C40-Config!$C$18,0))</f>
        <v/>
      </c>
      <c r="AJ40" s="21">
        <f>IF(COUNT(C40:P40)=0,"",IFERROR(AH40/C40,0))</f>
        <v/>
      </c>
      <c r="AK40" s="15">
        <f>IF(COUNT(C40:P40)=0,"",IFERROR(AI40/G40,0))</f>
        <v/>
      </c>
      <c r="AL40" s="21">
        <f>IF(COUNT(C40:P40)=0,"",IFERROR(AK40/V40,0))</f>
        <v/>
      </c>
      <c r="AM40" s="15">
        <f>IF(COUNT(C40:P40)=0,"",IFERROR(AI40/I40,0))</f>
        <v/>
      </c>
      <c r="AN40" s="15">
        <f>IF(COUNT(C40:P40)=0,"",IFERROR(AH40/I40-AA40,0))</f>
        <v/>
      </c>
    </row>
    <row r="41">
      <c r="A41" s="12">
        <f>Config!$C$6+35</f>
        <v/>
      </c>
      <c r="B41" s="13">
        <f>INT((A41-Config!$C$6)/7)+1</f>
        <v/>
      </c>
      <c r="C41" s="10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5">
        <f>IF(COUNT(C41:P41)=0,"",IFERROR(C41/D41*1000,0))</f>
        <v/>
      </c>
      <c r="R41" s="16">
        <f>IF(COUNT(C41:P41)=0,"",IFERROR(D41/E41,0))</f>
        <v/>
      </c>
      <c r="S41" s="17">
        <f>IF(COUNT(C41:P41)=0,"",IFERROR(F41/D41,0))</f>
        <v/>
      </c>
      <c r="T41" s="15">
        <f>IF(COUNT(C41:P41)=0,"",IFERROR(C41/F41,0))</f>
        <v/>
      </c>
      <c r="U41" s="18">
        <f>IF(COUNT(C41:P41)=0,"",IFERROR(G41/F41,0))</f>
        <v/>
      </c>
      <c r="V41" s="15">
        <f>IF(COUNT(C41:P41)=0,"",IFERROR(C41/G41,0))</f>
        <v/>
      </c>
      <c r="W41" s="19">
        <f>IF(COUNT(C41:P41)=0,"",IFERROR(G41/D41*1000,0))</f>
        <v/>
      </c>
      <c r="X41" s="18">
        <f>IF(COUNT(C41:P41)=0,"",IFERROR(H41/G41,0))</f>
        <v/>
      </c>
      <c r="Y41" s="18">
        <f>IF(COUNT(C41:P41)=0,"",IFERROR(I41/H41,0))</f>
        <v/>
      </c>
      <c r="Z41" s="17">
        <f>IF(COUNT(C41:P41)=0,"",IFERROR(I41/G41,0))</f>
        <v/>
      </c>
      <c r="AA41" s="15">
        <f>IF(COUNT(C41:P41)=0,"",IFERROR(C41/I41,0))</f>
        <v/>
      </c>
      <c r="AB41" s="18">
        <f>IF(COUNT(C41:P41)=0,"",IFERROR(J41/I41,0))</f>
        <v/>
      </c>
      <c r="AC41" s="18">
        <f>IF(COUNT(C41:P41)=0,"",IFERROR(K41/I41,0))</f>
        <v/>
      </c>
      <c r="AD41" s="18">
        <f>IF(COUNT(C41:P41)=0,"",IFERROR(L41/I41,0))</f>
        <v/>
      </c>
      <c r="AE41" s="18">
        <f>IF(COUNT(C41:P41)=0,"",IFERROR(P41/I41,0))</f>
        <v/>
      </c>
      <c r="AF41" s="20">
        <f>IF(COUNT(C41:P41)=0,"",IFERROR(I41*Config!$C$7+J41*Config!$C$8+K41*Config!$C$9+L41*Config!$C$10+M41*Config!$C$11+N41*Config!$C$12+O41*Config!$C$13+P41*Config!$C$14,0))</f>
        <v/>
      </c>
      <c r="AG41" s="15">
        <f>IF(COUNT(C41:P41)=0,"",IFERROR(AF41/I41,0))</f>
        <v/>
      </c>
      <c r="AH41" s="20">
        <f>IF(COUNT(C41:P41)=0,"",IFERROR(AF41*(1-Config!$C$15-Config!$C$16-Config!$C$17),0))</f>
        <v/>
      </c>
      <c r="AI41" s="20">
        <f>IF(COUNT(C41:P41)=0,"",IFERROR(AH41-C41-Config!$C$18,0))</f>
        <v/>
      </c>
      <c r="AJ41" s="21">
        <f>IF(COUNT(C41:P41)=0,"",IFERROR(AH41/C41,0))</f>
        <v/>
      </c>
      <c r="AK41" s="15">
        <f>IF(COUNT(C41:P41)=0,"",IFERROR(AI41/G41,0))</f>
        <v/>
      </c>
      <c r="AL41" s="21">
        <f>IF(COUNT(C41:P41)=0,"",IFERROR(AK41/V41,0))</f>
        <v/>
      </c>
      <c r="AM41" s="15">
        <f>IF(COUNT(C41:P41)=0,"",IFERROR(AI41/I41,0))</f>
        <v/>
      </c>
      <c r="AN41" s="15">
        <f>IF(COUNT(C41:P41)=0,"",IFERROR(AH41/I41-AA41,0))</f>
        <v/>
      </c>
    </row>
    <row r="42">
      <c r="A42" s="12">
        <f>Config!$C$6+36</f>
        <v/>
      </c>
      <c r="B42" s="13">
        <f>INT((A42-Config!$C$6)/7)+1</f>
        <v/>
      </c>
      <c r="C42" s="10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5">
        <f>IF(COUNT(C42:P42)=0,"",IFERROR(C42/D42*1000,0))</f>
        <v/>
      </c>
      <c r="R42" s="16">
        <f>IF(COUNT(C42:P42)=0,"",IFERROR(D42/E42,0))</f>
        <v/>
      </c>
      <c r="S42" s="17">
        <f>IF(COUNT(C42:P42)=0,"",IFERROR(F42/D42,0))</f>
        <v/>
      </c>
      <c r="T42" s="15">
        <f>IF(COUNT(C42:P42)=0,"",IFERROR(C42/F42,0))</f>
        <v/>
      </c>
      <c r="U42" s="18">
        <f>IF(COUNT(C42:P42)=0,"",IFERROR(G42/F42,0))</f>
        <v/>
      </c>
      <c r="V42" s="15">
        <f>IF(COUNT(C42:P42)=0,"",IFERROR(C42/G42,0))</f>
        <v/>
      </c>
      <c r="W42" s="19">
        <f>IF(COUNT(C42:P42)=0,"",IFERROR(G42/D42*1000,0))</f>
        <v/>
      </c>
      <c r="X42" s="18">
        <f>IF(COUNT(C42:P42)=0,"",IFERROR(H42/G42,0))</f>
        <v/>
      </c>
      <c r="Y42" s="18">
        <f>IF(COUNT(C42:P42)=0,"",IFERROR(I42/H42,0))</f>
        <v/>
      </c>
      <c r="Z42" s="17">
        <f>IF(COUNT(C42:P42)=0,"",IFERROR(I42/G42,0))</f>
        <v/>
      </c>
      <c r="AA42" s="15">
        <f>IF(COUNT(C42:P42)=0,"",IFERROR(C42/I42,0))</f>
        <v/>
      </c>
      <c r="AB42" s="18">
        <f>IF(COUNT(C42:P42)=0,"",IFERROR(J42/I42,0))</f>
        <v/>
      </c>
      <c r="AC42" s="18">
        <f>IF(COUNT(C42:P42)=0,"",IFERROR(K42/I42,0))</f>
        <v/>
      </c>
      <c r="AD42" s="18">
        <f>IF(COUNT(C42:P42)=0,"",IFERROR(L42/I42,0))</f>
        <v/>
      </c>
      <c r="AE42" s="18">
        <f>IF(COUNT(C42:P42)=0,"",IFERROR(P42/I42,0))</f>
        <v/>
      </c>
      <c r="AF42" s="20">
        <f>IF(COUNT(C42:P42)=0,"",IFERROR(I42*Config!$C$7+J42*Config!$C$8+K42*Config!$C$9+L42*Config!$C$10+M42*Config!$C$11+N42*Config!$C$12+O42*Config!$C$13+P42*Config!$C$14,0))</f>
        <v/>
      </c>
      <c r="AG42" s="15">
        <f>IF(COUNT(C42:P42)=0,"",IFERROR(AF42/I42,0))</f>
        <v/>
      </c>
      <c r="AH42" s="20">
        <f>IF(COUNT(C42:P42)=0,"",IFERROR(AF42*(1-Config!$C$15-Config!$C$16-Config!$C$17),0))</f>
        <v/>
      </c>
      <c r="AI42" s="20">
        <f>IF(COUNT(C42:P42)=0,"",IFERROR(AH42-C42-Config!$C$18,0))</f>
        <v/>
      </c>
      <c r="AJ42" s="21">
        <f>IF(COUNT(C42:P42)=0,"",IFERROR(AH42/C42,0))</f>
        <v/>
      </c>
      <c r="AK42" s="15">
        <f>IF(COUNT(C42:P42)=0,"",IFERROR(AI42/G42,0))</f>
        <v/>
      </c>
      <c r="AL42" s="21">
        <f>IF(COUNT(C42:P42)=0,"",IFERROR(AK42/V42,0))</f>
        <v/>
      </c>
      <c r="AM42" s="15">
        <f>IF(COUNT(C42:P42)=0,"",IFERROR(AI42/I42,0))</f>
        <v/>
      </c>
      <c r="AN42" s="15">
        <f>IF(COUNT(C42:P42)=0,"",IFERROR(AH42/I42-AA42,0))</f>
        <v/>
      </c>
    </row>
    <row r="43">
      <c r="A43" s="12">
        <f>Config!$C$6+37</f>
        <v/>
      </c>
      <c r="B43" s="13">
        <f>INT((A43-Config!$C$6)/7)+1</f>
        <v/>
      </c>
      <c r="C43" s="10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5">
        <f>IF(COUNT(C43:P43)=0,"",IFERROR(C43/D43*1000,0))</f>
        <v/>
      </c>
      <c r="R43" s="16">
        <f>IF(COUNT(C43:P43)=0,"",IFERROR(D43/E43,0))</f>
        <v/>
      </c>
      <c r="S43" s="17">
        <f>IF(COUNT(C43:P43)=0,"",IFERROR(F43/D43,0))</f>
        <v/>
      </c>
      <c r="T43" s="15">
        <f>IF(COUNT(C43:P43)=0,"",IFERROR(C43/F43,0))</f>
        <v/>
      </c>
      <c r="U43" s="18">
        <f>IF(COUNT(C43:P43)=0,"",IFERROR(G43/F43,0))</f>
        <v/>
      </c>
      <c r="V43" s="15">
        <f>IF(COUNT(C43:P43)=0,"",IFERROR(C43/G43,0))</f>
        <v/>
      </c>
      <c r="W43" s="19">
        <f>IF(COUNT(C43:P43)=0,"",IFERROR(G43/D43*1000,0))</f>
        <v/>
      </c>
      <c r="X43" s="18">
        <f>IF(COUNT(C43:P43)=0,"",IFERROR(H43/G43,0))</f>
        <v/>
      </c>
      <c r="Y43" s="18">
        <f>IF(COUNT(C43:P43)=0,"",IFERROR(I43/H43,0))</f>
        <v/>
      </c>
      <c r="Z43" s="17">
        <f>IF(COUNT(C43:P43)=0,"",IFERROR(I43/G43,0))</f>
        <v/>
      </c>
      <c r="AA43" s="15">
        <f>IF(COUNT(C43:P43)=0,"",IFERROR(C43/I43,0))</f>
        <v/>
      </c>
      <c r="AB43" s="18">
        <f>IF(COUNT(C43:P43)=0,"",IFERROR(J43/I43,0))</f>
        <v/>
      </c>
      <c r="AC43" s="18">
        <f>IF(COUNT(C43:P43)=0,"",IFERROR(K43/I43,0))</f>
        <v/>
      </c>
      <c r="AD43" s="18">
        <f>IF(COUNT(C43:P43)=0,"",IFERROR(L43/I43,0))</f>
        <v/>
      </c>
      <c r="AE43" s="18">
        <f>IF(COUNT(C43:P43)=0,"",IFERROR(P43/I43,0))</f>
        <v/>
      </c>
      <c r="AF43" s="20">
        <f>IF(COUNT(C43:P43)=0,"",IFERROR(I43*Config!$C$7+J43*Config!$C$8+K43*Config!$C$9+L43*Config!$C$10+M43*Config!$C$11+N43*Config!$C$12+O43*Config!$C$13+P43*Config!$C$14,0))</f>
        <v/>
      </c>
      <c r="AG43" s="15">
        <f>IF(COUNT(C43:P43)=0,"",IFERROR(AF43/I43,0))</f>
        <v/>
      </c>
      <c r="AH43" s="20">
        <f>IF(COUNT(C43:P43)=0,"",IFERROR(AF43*(1-Config!$C$15-Config!$C$16-Config!$C$17),0))</f>
        <v/>
      </c>
      <c r="AI43" s="20">
        <f>IF(COUNT(C43:P43)=0,"",IFERROR(AH43-C43-Config!$C$18,0))</f>
        <v/>
      </c>
      <c r="AJ43" s="21">
        <f>IF(COUNT(C43:P43)=0,"",IFERROR(AH43/C43,0))</f>
        <v/>
      </c>
      <c r="AK43" s="15">
        <f>IF(COUNT(C43:P43)=0,"",IFERROR(AI43/G43,0))</f>
        <v/>
      </c>
      <c r="AL43" s="21">
        <f>IF(COUNT(C43:P43)=0,"",IFERROR(AK43/V43,0))</f>
        <v/>
      </c>
      <c r="AM43" s="15">
        <f>IF(COUNT(C43:P43)=0,"",IFERROR(AI43/I43,0))</f>
        <v/>
      </c>
      <c r="AN43" s="15">
        <f>IF(COUNT(C43:P43)=0,"",IFERROR(AH43/I43-AA43,0))</f>
        <v/>
      </c>
    </row>
    <row r="44">
      <c r="A44" s="12">
        <f>Config!$C$6+38</f>
        <v/>
      </c>
      <c r="B44" s="13">
        <f>INT((A44-Config!$C$6)/7)+1</f>
        <v/>
      </c>
      <c r="C44" s="10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5">
        <f>IF(COUNT(C44:P44)=0,"",IFERROR(C44/D44*1000,0))</f>
        <v/>
      </c>
      <c r="R44" s="16">
        <f>IF(COUNT(C44:P44)=0,"",IFERROR(D44/E44,0))</f>
        <v/>
      </c>
      <c r="S44" s="17">
        <f>IF(COUNT(C44:P44)=0,"",IFERROR(F44/D44,0))</f>
        <v/>
      </c>
      <c r="T44" s="15">
        <f>IF(COUNT(C44:P44)=0,"",IFERROR(C44/F44,0))</f>
        <v/>
      </c>
      <c r="U44" s="18">
        <f>IF(COUNT(C44:P44)=0,"",IFERROR(G44/F44,0))</f>
        <v/>
      </c>
      <c r="V44" s="15">
        <f>IF(COUNT(C44:P44)=0,"",IFERROR(C44/G44,0))</f>
        <v/>
      </c>
      <c r="W44" s="19">
        <f>IF(COUNT(C44:P44)=0,"",IFERROR(G44/D44*1000,0))</f>
        <v/>
      </c>
      <c r="X44" s="18">
        <f>IF(COUNT(C44:P44)=0,"",IFERROR(H44/G44,0))</f>
        <v/>
      </c>
      <c r="Y44" s="18">
        <f>IF(COUNT(C44:P44)=0,"",IFERROR(I44/H44,0))</f>
        <v/>
      </c>
      <c r="Z44" s="17">
        <f>IF(COUNT(C44:P44)=0,"",IFERROR(I44/G44,0))</f>
        <v/>
      </c>
      <c r="AA44" s="15">
        <f>IF(COUNT(C44:P44)=0,"",IFERROR(C44/I44,0))</f>
        <v/>
      </c>
      <c r="AB44" s="18">
        <f>IF(COUNT(C44:P44)=0,"",IFERROR(J44/I44,0))</f>
        <v/>
      </c>
      <c r="AC44" s="18">
        <f>IF(COUNT(C44:P44)=0,"",IFERROR(K44/I44,0))</f>
        <v/>
      </c>
      <c r="AD44" s="18">
        <f>IF(COUNT(C44:P44)=0,"",IFERROR(L44/I44,0))</f>
        <v/>
      </c>
      <c r="AE44" s="18">
        <f>IF(COUNT(C44:P44)=0,"",IFERROR(P44/I44,0))</f>
        <v/>
      </c>
      <c r="AF44" s="20">
        <f>IF(COUNT(C44:P44)=0,"",IFERROR(I44*Config!$C$7+J44*Config!$C$8+K44*Config!$C$9+L44*Config!$C$10+M44*Config!$C$11+N44*Config!$C$12+O44*Config!$C$13+P44*Config!$C$14,0))</f>
        <v/>
      </c>
      <c r="AG44" s="15">
        <f>IF(COUNT(C44:P44)=0,"",IFERROR(AF44/I44,0))</f>
        <v/>
      </c>
      <c r="AH44" s="20">
        <f>IF(COUNT(C44:P44)=0,"",IFERROR(AF44*(1-Config!$C$15-Config!$C$16-Config!$C$17),0))</f>
        <v/>
      </c>
      <c r="AI44" s="20">
        <f>IF(COUNT(C44:P44)=0,"",IFERROR(AH44-C44-Config!$C$18,0))</f>
        <v/>
      </c>
      <c r="AJ44" s="21">
        <f>IF(COUNT(C44:P44)=0,"",IFERROR(AH44/C44,0))</f>
        <v/>
      </c>
      <c r="AK44" s="15">
        <f>IF(COUNT(C44:P44)=0,"",IFERROR(AI44/G44,0))</f>
        <v/>
      </c>
      <c r="AL44" s="21">
        <f>IF(COUNT(C44:P44)=0,"",IFERROR(AK44/V44,0))</f>
        <v/>
      </c>
      <c r="AM44" s="15">
        <f>IF(COUNT(C44:P44)=0,"",IFERROR(AI44/I44,0))</f>
        <v/>
      </c>
      <c r="AN44" s="15">
        <f>IF(COUNT(C44:P44)=0,"",IFERROR(AH44/I44-AA44,0))</f>
        <v/>
      </c>
    </row>
    <row r="45">
      <c r="A45" s="12">
        <f>Config!$C$6+39</f>
        <v/>
      </c>
      <c r="B45" s="13">
        <f>INT((A45-Config!$C$6)/7)+1</f>
        <v/>
      </c>
      <c r="C45" s="10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5">
        <f>IF(COUNT(C45:P45)=0,"",IFERROR(C45/D45*1000,0))</f>
        <v/>
      </c>
      <c r="R45" s="16">
        <f>IF(COUNT(C45:P45)=0,"",IFERROR(D45/E45,0))</f>
        <v/>
      </c>
      <c r="S45" s="17">
        <f>IF(COUNT(C45:P45)=0,"",IFERROR(F45/D45,0))</f>
        <v/>
      </c>
      <c r="T45" s="15">
        <f>IF(COUNT(C45:P45)=0,"",IFERROR(C45/F45,0))</f>
        <v/>
      </c>
      <c r="U45" s="18">
        <f>IF(COUNT(C45:P45)=0,"",IFERROR(G45/F45,0))</f>
        <v/>
      </c>
      <c r="V45" s="15">
        <f>IF(COUNT(C45:P45)=0,"",IFERROR(C45/G45,0))</f>
        <v/>
      </c>
      <c r="W45" s="19">
        <f>IF(COUNT(C45:P45)=0,"",IFERROR(G45/D45*1000,0))</f>
        <v/>
      </c>
      <c r="X45" s="18">
        <f>IF(COUNT(C45:P45)=0,"",IFERROR(H45/G45,0))</f>
        <v/>
      </c>
      <c r="Y45" s="18">
        <f>IF(COUNT(C45:P45)=0,"",IFERROR(I45/H45,0))</f>
        <v/>
      </c>
      <c r="Z45" s="17">
        <f>IF(COUNT(C45:P45)=0,"",IFERROR(I45/G45,0))</f>
        <v/>
      </c>
      <c r="AA45" s="15">
        <f>IF(COUNT(C45:P45)=0,"",IFERROR(C45/I45,0))</f>
        <v/>
      </c>
      <c r="AB45" s="18">
        <f>IF(COUNT(C45:P45)=0,"",IFERROR(J45/I45,0))</f>
        <v/>
      </c>
      <c r="AC45" s="18">
        <f>IF(COUNT(C45:P45)=0,"",IFERROR(K45/I45,0))</f>
        <v/>
      </c>
      <c r="AD45" s="18">
        <f>IF(COUNT(C45:P45)=0,"",IFERROR(L45/I45,0))</f>
        <v/>
      </c>
      <c r="AE45" s="18">
        <f>IF(COUNT(C45:P45)=0,"",IFERROR(P45/I45,0))</f>
        <v/>
      </c>
      <c r="AF45" s="20">
        <f>IF(COUNT(C45:P45)=0,"",IFERROR(I45*Config!$C$7+J45*Config!$C$8+K45*Config!$C$9+L45*Config!$C$10+M45*Config!$C$11+N45*Config!$C$12+O45*Config!$C$13+P45*Config!$C$14,0))</f>
        <v/>
      </c>
      <c r="AG45" s="15">
        <f>IF(COUNT(C45:P45)=0,"",IFERROR(AF45/I45,0))</f>
        <v/>
      </c>
      <c r="AH45" s="20">
        <f>IF(COUNT(C45:P45)=0,"",IFERROR(AF45*(1-Config!$C$15-Config!$C$16-Config!$C$17),0))</f>
        <v/>
      </c>
      <c r="AI45" s="20">
        <f>IF(COUNT(C45:P45)=0,"",IFERROR(AH45-C45-Config!$C$18,0))</f>
        <v/>
      </c>
      <c r="AJ45" s="21">
        <f>IF(COUNT(C45:P45)=0,"",IFERROR(AH45/C45,0))</f>
        <v/>
      </c>
      <c r="AK45" s="15">
        <f>IF(COUNT(C45:P45)=0,"",IFERROR(AI45/G45,0))</f>
        <v/>
      </c>
      <c r="AL45" s="21">
        <f>IF(COUNT(C45:P45)=0,"",IFERROR(AK45/V45,0))</f>
        <v/>
      </c>
      <c r="AM45" s="15">
        <f>IF(COUNT(C45:P45)=0,"",IFERROR(AI45/I45,0))</f>
        <v/>
      </c>
      <c r="AN45" s="15">
        <f>IF(COUNT(C45:P45)=0,"",IFERROR(AH45/I45-AA45,0))</f>
        <v/>
      </c>
    </row>
    <row r="46">
      <c r="A46" s="12">
        <f>Config!$C$6+40</f>
        <v/>
      </c>
      <c r="B46" s="13">
        <f>INT((A46-Config!$C$6)/7)+1</f>
        <v/>
      </c>
      <c r="C46" s="10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5">
        <f>IF(COUNT(C46:P46)=0,"",IFERROR(C46/D46*1000,0))</f>
        <v/>
      </c>
      <c r="R46" s="16">
        <f>IF(COUNT(C46:P46)=0,"",IFERROR(D46/E46,0))</f>
        <v/>
      </c>
      <c r="S46" s="17">
        <f>IF(COUNT(C46:P46)=0,"",IFERROR(F46/D46,0))</f>
        <v/>
      </c>
      <c r="T46" s="15">
        <f>IF(COUNT(C46:P46)=0,"",IFERROR(C46/F46,0))</f>
        <v/>
      </c>
      <c r="U46" s="18">
        <f>IF(COUNT(C46:P46)=0,"",IFERROR(G46/F46,0))</f>
        <v/>
      </c>
      <c r="V46" s="15">
        <f>IF(COUNT(C46:P46)=0,"",IFERROR(C46/G46,0))</f>
        <v/>
      </c>
      <c r="W46" s="19">
        <f>IF(COUNT(C46:P46)=0,"",IFERROR(G46/D46*1000,0))</f>
        <v/>
      </c>
      <c r="X46" s="18">
        <f>IF(COUNT(C46:P46)=0,"",IFERROR(H46/G46,0))</f>
        <v/>
      </c>
      <c r="Y46" s="18">
        <f>IF(COUNT(C46:P46)=0,"",IFERROR(I46/H46,0))</f>
        <v/>
      </c>
      <c r="Z46" s="17">
        <f>IF(COUNT(C46:P46)=0,"",IFERROR(I46/G46,0))</f>
        <v/>
      </c>
      <c r="AA46" s="15">
        <f>IF(COUNT(C46:P46)=0,"",IFERROR(C46/I46,0))</f>
        <v/>
      </c>
      <c r="AB46" s="18">
        <f>IF(COUNT(C46:P46)=0,"",IFERROR(J46/I46,0))</f>
        <v/>
      </c>
      <c r="AC46" s="18">
        <f>IF(COUNT(C46:P46)=0,"",IFERROR(K46/I46,0))</f>
        <v/>
      </c>
      <c r="AD46" s="18">
        <f>IF(COUNT(C46:P46)=0,"",IFERROR(L46/I46,0))</f>
        <v/>
      </c>
      <c r="AE46" s="18">
        <f>IF(COUNT(C46:P46)=0,"",IFERROR(P46/I46,0))</f>
        <v/>
      </c>
      <c r="AF46" s="20">
        <f>IF(COUNT(C46:P46)=0,"",IFERROR(I46*Config!$C$7+J46*Config!$C$8+K46*Config!$C$9+L46*Config!$C$10+M46*Config!$C$11+N46*Config!$C$12+O46*Config!$C$13+P46*Config!$C$14,0))</f>
        <v/>
      </c>
      <c r="AG46" s="15">
        <f>IF(COUNT(C46:P46)=0,"",IFERROR(AF46/I46,0))</f>
        <v/>
      </c>
      <c r="AH46" s="20">
        <f>IF(COUNT(C46:P46)=0,"",IFERROR(AF46*(1-Config!$C$15-Config!$C$16-Config!$C$17),0))</f>
        <v/>
      </c>
      <c r="AI46" s="20">
        <f>IF(COUNT(C46:P46)=0,"",IFERROR(AH46-C46-Config!$C$18,0))</f>
        <v/>
      </c>
      <c r="AJ46" s="21">
        <f>IF(COUNT(C46:P46)=0,"",IFERROR(AH46/C46,0))</f>
        <v/>
      </c>
      <c r="AK46" s="15">
        <f>IF(COUNT(C46:P46)=0,"",IFERROR(AI46/G46,0))</f>
        <v/>
      </c>
      <c r="AL46" s="21">
        <f>IF(COUNT(C46:P46)=0,"",IFERROR(AK46/V46,0))</f>
        <v/>
      </c>
      <c r="AM46" s="15">
        <f>IF(COUNT(C46:P46)=0,"",IFERROR(AI46/I46,0))</f>
        <v/>
      </c>
      <c r="AN46" s="15">
        <f>IF(COUNT(C46:P46)=0,"",IFERROR(AH46/I46-AA46,0))</f>
        <v/>
      </c>
    </row>
    <row r="47">
      <c r="A47" s="12">
        <f>Config!$C$6+41</f>
        <v/>
      </c>
      <c r="B47" s="13">
        <f>INT((A47-Config!$C$6)/7)+1</f>
        <v/>
      </c>
      <c r="C47" s="10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5">
        <f>IF(COUNT(C47:P47)=0,"",IFERROR(C47/D47*1000,0))</f>
        <v/>
      </c>
      <c r="R47" s="16">
        <f>IF(COUNT(C47:P47)=0,"",IFERROR(D47/E47,0))</f>
        <v/>
      </c>
      <c r="S47" s="17">
        <f>IF(COUNT(C47:P47)=0,"",IFERROR(F47/D47,0))</f>
        <v/>
      </c>
      <c r="T47" s="15">
        <f>IF(COUNT(C47:P47)=0,"",IFERROR(C47/F47,0))</f>
        <v/>
      </c>
      <c r="U47" s="18">
        <f>IF(COUNT(C47:P47)=0,"",IFERROR(G47/F47,0))</f>
        <v/>
      </c>
      <c r="V47" s="15">
        <f>IF(COUNT(C47:P47)=0,"",IFERROR(C47/G47,0))</f>
        <v/>
      </c>
      <c r="W47" s="19">
        <f>IF(COUNT(C47:P47)=0,"",IFERROR(G47/D47*1000,0))</f>
        <v/>
      </c>
      <c r="X47" s="18">
        <f>IF(COUNT(C47:P47)=0,"",IFERROR(H47/G47,0))</f>
        <v/>
      </c>
      <c r="Y47" s="18">
        <f>IF(COUNT(C47:P47)=0,"",IFERROR(I47/H47,0))</f>
        <v/>
      </c>
      <c r="Z47" s="17">
        <f>IF(COUNT(C47:P47)=0,"",IFERROR(I47/G47,0))</f>
        <v/>
      </c>
      <c r="AA47" s="15">
        <f>IF(COUNT(C47:P47)=0,"",IFERROR(C47/I47,0))</f>
        <v/>
      </c>
      <c r="AB47" s="18">
        <f>IF(COUNT(C47:P47)=0,"",IFERROR(J47/I47,0))</f>
        <v/>
      </c>
      <c r="AC47" s="18">
        <f>IF(COUNT(C47:P47)=0,"",IFERROR(K47/I47,0))</f>
        <v/>
      </c>
      <c r="AD47" s="18">
        <f>IF(COUNT(C47:P47)=0,"",IFERROR(L47/I47,0))</f>
        <v/>
      </c>
      <c r="AE47" s="18">
        <f>IF(COUNT(C47:P47)=0,"",IFERROR(P47/I47,0))</f>
        <v/>
      </c>
      <c r="AF47" s="20">
        <f>IF(COUNT(C47:P47)=0,"",IFERROR(I47*Config!$C$7+J47*Config!$C$8+K47*Config!$C$9+L47*Config!$C$10+M47*Config!$C$11+N47*Config!$C$12+O47*Config!$C$13+P47*Config!$C$14,0))</f>
        <v/>
      </c>
      <c r="AG47" s="15">
        <f>IF(COUNT(C47:P47)=0,"",IFERROR(AF47/I47,0))</f>
        <v/>
      </c>
      <c r="AH47" s="20">
        <f>IF(COUNT(C47:P47)=0,"",IFERROR(AF47*(1-Config!$C$15-Config!$C$16-Config!$C$17),0))</f>
        <v/>
      </c>
      <c r="AI47" s="20">
        <f>IF(COUNT(C47:P47)=0,"",IFERROR(AH47-C47-Config!$C$18,0))</f>
        <v/>
      </c>
      <c r="AJ47" s="21">
        <f>IF(COUNT(C47:P47)=0,"",IFERROR(AH47/C47,0))</f>
        <v/>
      </c>
      <c r="AK47" s="15">
        <f>IF(COUNT(C47:P47)=0,"",IFERROR(AI47/G47,0))</f>
        <v/>
      </c>
      <c r="AL47" s="21">
        <f>IF(COUNT(C47:P47)=0,"",IFERROR(AK47/V47,0))</f>
        <v/>
      </c>
      <c r="AM47" s="15">
        <f>IF(COUNT(C47:P47)=0,"",IFERROR(AI47/I47,0))</f>
        <v/>
      </c>
      <c r="AN47" s="15">
        <f>IF(COUNT(C47:P47)=0,"",IFERROR(AH47/I47-AA47,0))</f>
        <v/>
      </c>
    </row>
    <row r="48">
      <c r="A48" s="12">
        <f>Config!$C$6+42</f>
        <v/>
      </c>
      <c r="B48" s="13">
        <f>INT((A48-Config!$C$6)/7)+1</f>
        <v/>
      </c>
      <c r="C48" s="10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5">
        <f>IF(COUNT(C48:P48)=0,"",IFERROR(C48/D48*1000,0))</f>
        <v/>
      </c>
      <c r="R48" s="16">
        <f>IF(COUNT(C48:P48)=0,"",IFERROR(D48/E48,0))</f>
        <v/>
      </c>
      <c r="S48" s="17">
        <f>IF(COUNT(C48:P48)=0,"",IFERROR(F48/D48,0))</f>
        <v/>
      </c>
      <c r="T48" s="15">
        <f>IF(COUNT(C48:P48)=0,"",IFERROR(C48/F48,0))</f>
        <v/>
      </c>
      <c r="U48" s="18">
        <f>IF(COUNT(C48:P48)=0,"",IFERROR(G48/F48,0))</f>
        <v/>
      </c>
      <c r="V48" s="15">
        <f>IF(COUNT(C48:P48)=0,"",IFERROR(C48/G48,0))</f>
        <v/>
      </c>
      <c r="W48" s="19">
        <f>IF(COUNT(C48:P48)=0,"",IFERROR(G48/D48*1000,0))</f>
        <v/>
      </c>
      <c r="X48" s="18">
        <f>IF(COUNT(C48:P48)=0,"",IFERROR(H48/G48,0))</f>
        <v/>
      </c>
      <c r="Y48" s="18">
        <f>IF(COUNT(C48:P48)=0,"",IFERROR(I48/H48,0))</f>
        <v/>
      </c>
      <c r="Z48" s="17">
        <f>IF(COUNT(C48:P48)=0,"",IFERROR(I48/G48,0))</f>
        <v/>
      </c>
      <c r="AA48" s="15">
        <f>IF(COUNT(C48:P48)=0,"",IFERROR(C48/I48,0))</f>
        <v/>
      </c>
      <c r="AB48" s="18">
        <f>IF(COUNT(C48:P48)=0,"",IFERROR(J48/I48,0))</f>
        <v/>
      </c>
      <c r="AC48" s="18">
        <f>IF(COUNT(C48:P48)=0,"",IFERROR(K48/I48,0))</f>
        <v/>
      </c>
      <c r="AD48" s="18">
        <f>IF(COUNT(C48:P48)=0,"",IFERROR(L48/I48,0))</f>
        <v/>
      </c>
      <c r="AE48" s="18">
        <f>IF(COUNT(C48:P48)=0,"",IFERROR(P48/I48,0))</f>
        <v/>
      </c>
      <c r="AF48" s="20">
        <f>IF(COUNT(C48:P48)=0,"",IFERROR(I48*Config!$C$7+J48*Config!$C$8+K48*Config!$C$9+L48*Config!$C$10+M48*Config!$C$11+N48*Config!$C$12+O48*Config!$C$13+P48*Config!$C$14,0))</f>
        <v/>
      </c>
      <c r="AG48" s="15">
        <f>IF(COUNT(C48:P48)=0,"",IFERROR(AF48/I48,0))</f>
        <v/>
      </c>
      <c r="AH48" s="20">
        <f>IF(COUNT(C48:P48)=0,"",IFERROR(AF48*(1-Config!$C$15-Config!$C$16-Config!$C$17),0))</f>
        <v/>
      </c>
      <c r="AI48" s="20">
        <f>IF(COUNT(C48:P48)=0,"",IFERROR(AH48-C48-Config!$C$18,0))</f>
        <v/>
      </c>
      <c r="AJ48" s="21">
        <f>IF(COUNT(C48:P48)=0,"",IFERROR(AH48/C48,0))</f>
        <v/>
      </c>
      <c r="AK48" s="15">
        <f>IF(COUNT(C48:P48)=0,"",IFERROR(AI48/G48,0))</f>
        <v/>
      </c>
      <c r="AL48" s="21">
        <f>IF(COUNT(C48:P48)=0,"",IFERROR(AK48/V48,0))</f>
        <v/>
      </c>
      <c r="AM48" s="15">
        <f>IF(COUNT(C48:P48)=0,"",IFERROR(AI48/I48,0))</f>
        <v/>
      </c>
      <c r="AN48" s="15">
        <f>IF(COUNT(C48:P48)=0,"",IFERROR(AH48/I48-AA48,0))</f>
        <v/>
      </c>
    </row>
    <row r="49">
      <c r="A49" s="12">
        <f>Config!$C$6+43</f>
        <v/>
      </c>
      <c r="B49" s="13">
        <f>INT((A49-Config!$C$6)/7)+1</f>
        <v/>
      </c>
      <c r="C49" s="10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5">
        <f>IF(COUNT(C49:P49)=0,"",IFERROR(C49/D49*1000,0))</f>
        <v/>
      </c>
      <c r="R49" s="16">
        <f>IF(COUNT(C49:P49)=0,"",IFERROR(D49/E49,0))</f>
        <v/>
      </c>
      <c r="S49" s="17">
        <f>IF(COUNT(C49:P49)=0,"",IFERROR(F49/D49,0))</f>
        <v/>
      </c>
      <c r="T49" s="15">
        <f>IF(COUNT(C49:P49)=0,"",IFERROR(C49/F49,0))</f>
        <v/>
      </c>
      <c r="U49" s="18">
        <f>IF(COUNT(C49:P49)=0,"",IFERROR(G49/F49,0))</f>
        <v/>
      </c>
      <c r="V49" s="15">
        <f>IF(COUNT(C49:P49)=0,"",IFERROR(C49/G49,0))</f>
        <v/>
      </c>
      <c r="W49" s="19">
        <f>IF(COUNT(C49:P49)=0,"",IFERROR(G49/D49*1000,0))</f>
        <v/>
      </c>
      <c r="X49" s="18">
        <f>IF(COUNT(C49:P49)=0,"",IFERROR(H49/G49,0))</f>
        <v/>
      </c>
      <c r="Y49" s="18">
        <f>IF(COUNT(C49:P49)=0,"",IFERROR(I49/H49,0))</f>
        <v/>
      </c>
      <c r="Z49" s="17">
        <f>IF(COUNT(C49:P49)=0,"",IFERROR(I49/G49,0))</f>
        <v/>
      </c>
      <c r="AA49" s="15">
        <f>IF(COUNT(C49:P49)=0,"",IFERROR(C49/I49,0))</f>
        <v/>
      </c>
      <c r="AB49" s="18">
        <f>IF(COUNT(C49:P49)=0,"",IFERROR(J49/I49,0))</f>
        <v/>
      </c>
      <c r="AC49" s="18">
        <f>IF(COUNT(C49:P49)=0,"",IFERROR(K49/I49,0))</f>
        <v/>
      </c>
      <c r="AD49" s="18">
        <f>IF(COUNT(C49:P49)=0,"",IFERROR(L49/I49,0))</f>
        <v/>
      </c>
      <c r="AE49" s="18">
        <f>IF(COUNT(C49:P49)=0,"",IFERROR(P49/I49,0))</f>
        <v/>
      </c>
      <c r="AF49" s="20">
        <f>IF(COUNT(C49:P49)=0,"",IFERROR(I49*Config!$C$7+J49*Config!$C$8+K49*Config!$C$9+L49*Config!$C$10+M49*Config!$C$11+N49*Config!$C$12+O49*Config!$C$13+P49*Config!$C$14,0))</f>
        <v/>
      </c>
      <c r="AG49" s="15">
        <f>IF(COUNT(C49:P49)=0,"",IFERROR(AF49/I49,0))</f>
        <v/>
      </c>
      <c r="AH49" s="20">
        <f>IF(COUNT(C49:P49)=0,"",IFERROR(AF49*(1-Config!$C$15-Config!$C$16-Config!$C$17),0))</f>
        <v/>
      </c>
      <c r="AI49" s="20">
        <f>IF(COUNT(C49:P49)=0,"",IFERROR(AH49-C49-Config!$C$18,0))</f>
        <v/>
      </c>
      <c r="AJ49" s="21">
        <f>IF(COUNT(C49:P49)=0,"",IFERROR(AH49/C49,0))</f>
        <v/>
      </c>
      <c r="AK49" s="15">
        <f>IF(COUNT(C49:P49)=0,"",IFERROR(AI49/G49,0))</f>
        <v/>
      </c>
      <c r="AL49" s="21">
        <f>IF(COUNT(C49:P49)=0,"",IFERROR(AK49/V49,0))</f>
        <v/>
      </c>
      <c r="AM49" s="15">
        <f>IF(COUNT(C49:P49)=0,"",IFERROR(AI49/I49,0))</f>
        <v/>
      </c>
      <c r="AN49" s="15">
        <f>IF(COUNT(C49:P49)=0,"",IFERROR(AH49/I49-AA49,0))</f>
        <v/>
      </c>
    </row>
    <row r="50">
      <c r="A50" s="12">
        <f>Config!$C$6+44</f>
        <v/>
      </c>
      <c r="B50" s="13">
        <f>INT((A50-Config!$C$6)/7)+1</f>
        <v/>
      </c>
      <c r="C50" s="10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5">
        <f>IF(COUNT(C50:P50)=0,"",IFERROR(C50/D50*1000,0))</f>
        <v/>
      </c>
      <c r="R50" s="16">
        <f>IF(COUNT(C50:P50)=0,"",IFERROR(D50/E50,0))</f>
        <v/>
      </c>
      <c r="S50" s="17">
        <f>IF(COUNT(C50:P50)=0,"",IFERROR(F50/D50,0))</f>
        <v/>
      </c>
      <c r="T50" s="15">
        <f>IF(COUNT(C50:P50)=0,"",IFERROR(C50/F50,0))</f>
        <v/>
      </c>
      <c r="U50" s="18">
        <f>IF(COUNT(C50:P50)=0,"",IFERROR(G50/F50,0))</f>
        <v/>
      </c>
      <c r="V50" s="15">
        <f>IF(COUNT(C50:P50)=0,"",IFERROR(C50/G50,0))</f>
        <v/>
      </c>
      <c r="W50" s="19">
        <f>IF(COUNT(C50:P50)=0,"",IFERROR(G50/D50*1000,0))</f>
        <v/>
      </c>
      <c r="X50" s="18">
        <f>IF(COUNT(C50:P50)=0,"",IFERROR(H50/G50,0))</f>
        <v/>
      </c>
      <c r="Y50" s="18">
        <f>IF(COUNT(C50:P50)=0,"",IFERROR(I50/H50,0))</f>
        <v/>
      </c>
      <c r="Z50" s="17">
        <f>IF(COUNT(C50:P50)=0,"",IFERROR(I50/G50,0))</f>
        <v/>
      </c>
      <c r="AA50" s="15">
        <f>IF(COUNT(C50:P50)=0,"",IFERROR(C50/I50,0))</f>
        <v/>
      </c>
      <c r="AB50" s="18">
        <f>IF(COUNT(C50:P50)=0,"",IFERROR(J50/I50,0))</f>
        <v/>
      </c>
      <c r="AC50" s="18">
        <f>IF(COUNT(C50:P50)=0,"",IFERROR(K50/I50,0))</f>
        <v/>
      </c>
      <c r="AD50" s="18">
        <f>IF(COUNT(C50:P50)=0,"",IFERROR(L50/I50,0))</f>
        <v/>
      </c>
      <c r="AE50" s="18">
        <f>IF(COUNT(C50:P50)=0,"",IFERROR(P50/I50,0))</f>
        <v/>
      </c>
      <c r="AF50" s="20">
        <f>IF(COUNT(C50:P50)=0,"",IFERROR(I50*Config!$C$7+J50*Config!$C$8+K50*Config!$C$9+L50*Config!$C$10+M50*Config!$C$11+N50*Config!$C$12+O50*Config!$C$13+P50*Config!$C$14,0))</f>
        <v/>
      </c>
      <c r="AG50" s="15">
        <f>IF(COUNT(C50:P50)=0,"",IFERROR(AF50/I50,0))</f>
        <v/>
      </c>
      <c r="AH50" s="20">
        <f>IF(COUNT(C50:P50)=0,"",IFERROR(AF50*(1-Config!$C$15-Config!$C$16-Config!$C$17),0))</f>
        <v/>
      </c>
      <c r="AI50" s="20">
        <f>IF(COUNT(C50:P50)=0,"",IFERROR(AH50-C50-Config!$C$18,0))</f>
        <v/>
      </c>
      <c r="AJ50" s="21">
        <f>IF(COUNT(C50:P50)=0,"",IFERROR(AH50/C50,0))</f>
        <v/>
      </c>
      <c r="AK50" s="15">
        <f>IF(COUNT(C50:P50)=0,"",IFERROR(AI50/G50,0))</f>
        <v/>
      </c>
      <c r="AL50" s="21">
        <f>IF(COUNT(C50:P50)=0,"",IFERROR(AK50/V50,0))</f>
        <v/>
      </c>
      <c r="AM50" s="15">
        <f>IF(COUNT(C50:P50)=0,"",IFERROR(AI50/I50,0))</f>
        <v/>
      </c>
      <c r="AN50" s="15">
        <f>IF(COUNT(C50:P50)=0,"",IFERROR(AH50/I50-AA50,0))</f>
        <v/>
      </c>
    </row>
    <row r="51">
      <c r="A51" s="12">
        <f>Config!$C$6+45</f>
        <v/>
      </c>
      <c r="B51" s="13">
        <f>INT((A51-Config!$C$6)/7)+1</f>
        <v/>
      </c>
      <c r="C51" s="10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5">
        <f>IF(COUNT(C51:P51)=0,"",IFERROR(C51/D51*1000,0))</f>
        <v/>
      </c>
      <c r="R51" s="16">
        <f>IF(COUNT(C51:P51)=0,"",IFERROR(D51/E51,0))</f>
        <v/>
      </c>
      <c r="S51" s="17">
        <f>IF(COUNT(C51:P51)=0,"",IFERROR(F51/D51,0))</f>
        <v/>
      </c>
      <c r="T51" s="15">
        <f>IF(COUNT(C51:P51)=0,"",IFERROR(C51/F51,0))</f>
        <v/>
      </c>
      <c r="U51" s="18">
        <f>IF(COUNT(C51:P51)=0,"",IFERROR(G51/F51,0))</f>
        <v/>
      </c>
      <c r="V51" s="15">
        <f>IF(COUNT(C51:P51)=0,"",IFERROR(C51/G51,0))</f>
        <v/>
      </c>
      <c r="W51" s="19">
        <f>IF(COUNT(C51:P51)=0,"",IFERROR(G51/D51*1000,0))</f>
        <v/>
      </c>
      <c r="X51" s="18">
        <f>IF(COUNT(C51:P51)=0,"",IFERROR(H51/G51,0))</f>
        <v/>
      </c>
      <c r="Y51" s="18">
        <f>IF(COUNT(C51:P51)=0,"",IFERROR(I51/H51,0))</f>
        <v/>
      </c>
      <c r="Z51" s="17">
        <f>IF(COUNT(C51:P51)=0,"",IFERROR(I51/G51,0))</f>
        <v/>
      </c>
      <c r="AA51" s="15">
        <f>IF(COUNT(C51:P51)=0,"",IFERROR(C51/I51,0))</f>
        <v/>
      </c>
      <c r="AB51" s="18">
        <f>IF(COUNT(C51:P51)=0,"",IFERROR(J51/I51,0))</f>
        <v/>
      </c>
      <c r="AC51" s="18">
        <f>IF(COUNT(C51:P51)=0,"",IFERROR(K51/I51,0))</f>
        <v/>
      </c>
      <c r="AD51" s="18">
        <f>IF(COUNT(C51:P51)=0,"",IFERROR(L51/I51,0))</f>
        <v/>
      </c>
      <c r="AE51" s="18">
        <f>IF(COUNT(C51:P51)=0,"",IFERROR(P51/I51,0))</f>
        <v/>
      </c>
      <c r="AF51" s="20">
        <f>IF(COUNT(C51:P51)=0,"",IFERROR(I51*Config!$C$7+J51*Config!$C$8+K51*Config!$C$9+L51*Config!$C$10+M51*Config!$C$11+N51*Config!$C$12+O51*Config!$C$13+P51*Config!$C$14,0))</f>
        <v/>
      </c>
      <c r="AG51" s="15">
        <f>IF(COUNT(C51:P51)=0,"",IFERROR(AF51/I51,0))</f>
        <v/>
      </c>
      <c r="AH51" s="20">
        <f>IF(COUNT(C51:P51)=0,"",IFERROR(AF51*(1-Config!$C$15-Config!$C$16-Config!$C$17),0))</f>
        <v/>
      </c>
      <c r="AI51" s="20">
        <f>IF(COUNT(C51:P51)=0,"",IFERROR(AH51-C51-Config!$C$18,0))</f>
        <v/>
      </c>
      <c r="AJ51" s="21">
        <f>IF(COUNT(C51:P51)=0,"",IFERROR(AH51/C51,0))</f>
        <v/>
      </c>
      <c r="AK51" s="15">
        <f>IF(COUNT(C51:P51)=0,"",IFERROR(AI51/G51,0))</f>
        <v/>
      </c>
      <c r="AL51" s="21">
        <f>IF(COUNT(C51:P51)=0,"",IFERROR(AK51/V51,0))</f>
        <v/>
      </c>
      <c r="AM51" s="15">
        <f>IF(COUNT(C51:P51)=0,"",IFERROR(AI51/I51,0))</f>
        <v/>
      </c>
      <c r="AN51" s="15">
        <f>IF(COUNT(C51:P51)=0,"",IFERROR(AH51/I51-AA51,0))</f>
        <v/>
      </c>
    </row>
    <row r="52">
      <c r="A52" s="12">
        <f>Config!$C$6+46</f>
        <v/>
      </c>
      <c r="B52" s="13">
        <f>INT((A52-Config!$C$6)/7)+1</f>
        <v/>
      </c>
      <c r="C52" s="10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5">
        <f>IF(COUNT(C52:P52)=0,"",IFERROR(C52/D52*1000,0))</f>
        <v/>
      </c>
      <c r="R52" s="16">
        <f>IF(COUNT(C52:P52)=0,"",IFERROR(D52/E52,0))</f>
        <v/>
      </c>
      <c r="S52" s="17">
        <f>IF(COUNT(C52:P52)=0,"",IFERROR(F52/D52,0))</f>
        <v/>
      </c>
      <c r="T52" s="15">
        <f>IF(COUNT(C52:P52)=0,"",IFERROR(C52/F52,0))</f>
        <v/>
      </c>
      <c r="U52" s="18">
        <f>IF(COUNT(C52:P52)=0,"",IFERROR(G52/F52,0))</f>
        <v/>
      </c>
      <c r="V52" s="15">
        <f>IF(COUNT(C52:P52)=0,"",IFERROR(C52/G52,0))</f>
        <v/>
      </c>
      <c r="W52" s="19">
        <f>IF(COUNT(C52:P52)=0,"",IFERROR(G52/D52*1000,0))</f>
        <v/>
      </c>
      <c r="X52" s="18">
        <f>IF(COUNT(C52:P52)=0,"",IFERROR(H52/G52,0))</f>
        <v/>
      </c>
      <c r="Y52" s="18">
        <f>IF(COUNT(C52:P52)=0,"",IFERROR(I52/H52,0))</f>
        <v/>
      </c>
      <c r="Z52" s="17">
        <f>IF(COUNT(C52:P52)=0,"",IFERROR(I52/G52,0))</f>
        <v/>
      </c>
      <c r="AA52" s="15">
        <f>IF(COUNT(C52:P52)=0,"",IFERROR(C52/I52,0))</f>
        <v/>
      </c>
      <c r="AB52" s="18">
        <f>IF(COUNT(C52:P52)=0,"",IFERROR(J52/I52,0))</f>
        <v/>
      </c>
      <c r="AC52" s="18">
        <f>IF(COUNT(C52:P52)=0,"",IFERROR(K52/I52,0))</f>
        <v/>
      </c>
      <c r="AD52" s="18">
        <f>IF(COUNT(C52:P52)=0,"",IFERROR(L52/I52,0))</f>
        <v/>
      </c>
      <c r="AE52" s="18">
        <f>IF(COUNT(C52:P52)=0,"",IFERROR(P52/I52,0))</f>
        <v/>
      </c>
      <c r="AF52" s="20">
        <f>IF(COUNT(C52:P52)=0,"",IFERROR(I52*Config!$C$7+J52*Config!$C$8+K52*Config!$C$9+L52*Config!$C$10+M52*Config!$C$11+N52*Config!$C$12+O52*Config!$C$13+P52*Config!$C$14,0))</f>
        <v/>
      </c>
      <c r="AG52" s="15">
        <f>IF(COUNT(C52:P52)=0,"",IFERROR(AF52/I52,0))</f>
        <v/>
      </c>
      <c r="AH52" s="20">
        <f>IF(COUNT(C52:P52)=0,"",IFERROR(AF52*(1-Config!$C$15-Config!$C$16-Config!$C$17),0))</f>
        <v/>
      </c>
      <c r="AI52" s="20">
        <f>IF(COUNT(C52:P52)=0,"",IFERROR(AH52-C52-Config!$C$18,0))</f>
        <v/>
      </c>
      <c r="AJ52" s="21">
        <f>IF(COUNT(C52:P52)=0,"",IFERROR(AH52/C52,0))</f>
        <v/>
      </c>
      <c r="AK52" s="15">
        <f>IF(COUNT(C52:P52)=0,"",IFERROR(AI52/G52,0))</f>
        <v/>
      </c>
      <c r="AL52" s="21">
        <f>IF(COUNT(C52:P52)=0,"",IFERROR(AK52/V52,0))</f>
        <v/>
      </c>
      <c r="AM52" s="15">
        <f>IF(COUNT(C52:P52)=0,"",IFERROR(AI52/I52,0))</f>
        <v/>
      </c>
      <c r="AN52" s="15">
        <f>IF(COUNT(C52:P52)=0,"",IFERROR(AH52/I52-AA52,0))</f>
        <v/>
      </c>
    </row>
    <row r="53">
      <c r="A53" s="12">
        <f>Config!$C$6+47</f>
        <v/>
      </c>
      <c r="B53" s="13">
        <f>INT((A53-Config!$C$6)/7)+1</f>
        <v/>
      </c>
      <c r="C53" s="10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5">
        <f>IF(COUNT(C53:P53)=0,"",IFERROR(C53/D53*1000,0))</f>
        <v/>
      </c>
      <c r="R53" s="16">
        <f>IF(COUNT(C53:P53)=0,"",IFERROR(D53/E53,0))</f>
        <v/>
      </c>
      <c r="S53" s="17">
        <f>IF(COUNT(C53:P53)=0,"",IFERROR(F53/D53,0))</f>
        <v/>
      </c>
      <c r="T53" s="15">
        <f>IF(COUNT(C53:P53)=0,"",IFERROR(C53/F53,0))</f>
        <v/>
      </c>
      <c r="U53" s="18">
        <f>IF(COUNT(C53:P53)=0,"",IFERROR(G53/F53,0))</f>
        <v/>
      </c>
      <c r="V53" s="15">
        <f>IF(COUNT(C53:P53)=0,"",IFERROR(C53/G53,0))</f>
        <v/>
      </c>
      <c r="W53" s="19">
        <f>IF(COUNT(C53:P53)=0,"",IFERROR(G53/D53*1000,0))</f>
        <v/>
      </c>
      <c r="X53" s="18">
        <f>IF(COUNT(C53:P53)=0,"",IFERROR(H53/G53,0))</f>
        <v/>
      </c>
      <c r="Y53" s="18">
        <f>IF(COUNT(C53:P53)=0,"",IFERROR(I53/H53,0))</f>
        <v/>
      </c>
      <c r="Z53" s="17">
        <f>IF(COUNT(C53:P53)=0,"",IFERROR(I53/G53,0))</f>
        <v/>
      </c>
      <c r="AA53" s="15">
        <f>IF(COUNT(C53:P53)=0,"",IFERROR(C53/I53,0))</f>
        <v/>
      </c>
      <c r="AB53" s="18">
        <f>IF(COUNT(C53:P53)=0,"",IFERROR(J53/I53,0))</f>
        <v/>
      </c>
      <c r="AC53" s="18">
        <f>IF(COUNT(C53:P53)=0,"",IFERROR(K53/I53,0))</f>
        <v/>
      </c>
      <c r="AD53" s="18">
        <f>IF(COUNT(C53:P53)=0,"",IFERROR(L53/I53,0))</f>
        <v/>
      </c>
      <c r="AE53" s="18">
        <f>IF(COUNT(C53:P53)=0,"",IFERROR(P53/I53,0))</f>
        <v/>
      </c>
      <c r="AF53" s="20">
        <f>IF(COUNT(C53:P53)=0,"",IFERROR(I53*Config!$C$7+J53*Config!$C$8+K53*Config!$C$9+L53*Config!$C$10+M53*Config!$C$11+N53*Config!$C$12+O53*Config!$C$13+P53*Config!$C$14,0))</f>
        <v/>
      </c>
      <c r="AG53" s="15">
        <f>IF(COUNT(C53:P53)=0,"",IFERROR(AF53/I53,0))</f>
        <v/>
      </c>
      <c r="AH53" s="20">
        <f>IF(COUNT(C53:P53)=0,"",IFERROR(AF53*(1-Config!$C$15-Config!$C$16-Config!$C$17),0))</f>
        <v/>
      </c>
      <c r="AI53" s="20">
        <f>IF(COUNT(C53:P53)=0,"",IFERROR(AH53-C53-Config!$C$18,0))</f>
        <v/>
      </c>
      <c r="AJ53" s="21">
        <f>IF(COUNT(C53:P53)=0,"",IFERROR(AH53/C53,0))</f>
        <v/>
      </c>
      <c r="AK53" s="15">
        <f>IF(COUNT(C53:P53)=0,"",IFERROR(AI53/G53,0))</f>
        <v/>
      </c>
      <c r="AL53" s="21">
        <f>IF(COUNT(C53:P53)=0,"",IFERROR(AK53/V53,0))</f>
        <v/>
      </c>
      <c r="AM53" s="15">
        <f>IF(COUNT(C53:P53)=0,"",IFERROR(AI53/I53,0))</f>
        <v/>
      </c>
      <c r="AN53" s="15">
        <f>IF(COUNT(C53:P53)=0,"",IFERROR(AH53/I53-AA53,0))</f>
        <v/>
      </c>
    </row>
    <row r="54">
      <c r="A54" s="12">
        <f>Config!$C$6+48</f>
        <v/>
      </c>
      <c r="B54" s="13">
        <f>INT((A54-Config!$C$6)/7)+1</f>
        <v/>
      </c>
      <c r="C54" s="10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5">
        <f>IF(COUNT(C54:P54)=0,"",IFERROR(C54/D54*1000,0))</f>
        <v/>
      </c>
      <c r="R54" s="16">
        <f>IF(COUNT(C54:P54)=0,"",IFERROR(D54/E54,0))</f>
        <v/>
      </c>
      <c r="S54" s="17">
        <f>IF(COUNT(C54:P54)=0,"",IFERROR(F54/D54,0))</f>
        <v/>
      </c>
      <c r="T54" s="15">
        <f>IF(COUNT(C54:P54)=0,"",IFERROR(C54/F54,0))</f>
        <v/>
      </c>
      <c r="U54" s="18">
        <f>IF(COUNT(C54:P54)=0,"",IFERROR(G54/F54,0))</f>
        <v/>
      </c>
      <c r="V54" s="15">
        <f>IF(COUNT(C54:P54)=0,"",IFERROR(C54/G54,0))</f>
        <v/>
      </c>
      <c r="W54" s="19">
        <f>IF(COUNT(C54:P54)=0,"",IFERROR(G54/D54*1000,0))</f>
        <v/>
      </c>
      <c r="X54" s="18">
        <f>IF(COUNT(C54:P54)=0,"",IFERROR(H54/G54,0))</f>
        <v/>
      </c>
      <c r="Y54" s="18">
        <f>IF(COUNT(C54:P54)=0,"",IFERROR(I54/H54,0))</f>
        <v/>
      </c>
      <c r="Z54" s="17">
        <f>IF(COUNT(C54:P54)=0,"",IFERROR(I54/G54,0))</f>
        <v/>
      </c>
      <c r="AA54" s="15">
        <f>IF(COUNT(C54:P54)=0,"",IFERROR(C54/I54,0))</f>
        <v/>
      </c>
      <c r="AB54" s="18">
        <f>IF(COUNT(C54:P54)=0,"",IFERROR(J54/I54,0))</f>
        <v/>
      </c>
      <c r="AC54" s="18">
        <f>IF(COUNT(C54:P54)=0,"",IFERROR(K54/I54,0))</f>
        <v/>
      </c>
      <c r="AD54" s="18">
        <f>IF(COUNT(C54:P54)=0,"",IFERROR(L54/I54,0))</f>
        <v/>
      </c>
      <c r="AE54" s="18">
        <f>IF(COUNT(C54:P54)=0,"",IFERROR(P54/I54,0))</f>
        <v/>
      </c>
      <c r="AF54" s="20">
        <f>IF(COUNT(C54:P54)=0,"",IFERROR(I54*Config!$C$7+J54*Config!$C$8+K54*Config!$C$9+L54*Config!$C$10+M54*Config!$C$11+N54*Config!$C$12+O54*Config!$C$13+P54*Config!$C$14,0))</f>
        <v/>
      </c>
      <c r="AG54" s="15">
        <f>IF(COUNT(C54:P54)=0,"",IFERROR(AF54/I54,0))</f>
        <v/>
      </c>
      <c r="AH54" s="20">
        <f>IF(COUNT(C54:P54)=0,"",IFERROR(AF54*(1-Config!$C$15-Config!$C$16-Config!$C$17),0))</f>
        <v/>
      </c>
      <c r="AI54" s="20">
        <f>IF(COUNT(C54:P54)=0,"",IFERROR(AH54-C54-Config!$C$18,0))</f>
        <v/>
      </c>
      <c r="AJ54" s="21">
        <f>IF(COUNT(C54:P54)=0,"",IFERROR(AH54/C54,0))</f>
        <v/>
      </c>
      <c r="AK54" s="15">
        <f>IF(COUNT(C54:P54)=0,"",IFERROR(AI54/G54,0))</f>
        <v/>
      </c>
      <c r="AL54" s="21">
        <f>IF(COUNT(C54:P54)=0,"",IFERROR(AK54/V54,0))</f>
        <v/>
      </c>
      <c r="AM54" s="15">
        <f>IF(COUNT(C54:P54)=0,"",IFERROR(AI54/I54,0))</f>
        <v/>
      </c>
      <c r="AN54" s="15">
        <f>IF(COUNT(C54:P54)=0,"",IFERROR(AH54/I54-AA54,0))</f>
        <v/>
      </c>
    </row>
    <row r="55">
      <c r="A55" s="12">
        <f>Config!$C$6+49</f>
        <v/>
      </c>
      <c r="B55" s="13">
        <f>INT((A55-Config!$C$6)/7)+1</f>
        <v/>
      </c>
      <c r="C55" s="10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5">
        <f>IF(COUNT(C55:P55)=0,"",IFERROR(C55/D55*1000,0))</f>
        <v/>
      </c>
      <c r="R55" s="16">
        <f>IF(COUNT(C55:P55)=0,"",IFERROR(D55/E55,0))</f>
        <v/>
      </c>
      <c r="S55" s="17">
        <f>IF(COUNT(C55:P55)=0,"",IFERROR(F55/D55,0))</f>
        <v/>
      </c>
      <c r="T55" s="15">
        <f>IF(COUNT(C55:P55)=0,"",IFERROR(C55/F55,0))</f>
        <v/>
      </c>
      <c r="U55" s="18">
        <f>IF(COUNT(C55:P55)=0,"",IFERROR(G55/F55,0))</f>
        <v/>
      </c>
      <c r="V55" s="15">
        <f>IF(COUNT(C55:P55)=0,"",IFERROR(C55/G55,0))</f>
        <v/>
      </c>
      <c r="W55" s="19">
        <f>IF(COUNT(C55:P55)=0,"",IFERROR(G55/D55*1000,0))</f>
        <v/>
      </c>
      <c r="X55" s="18">
        <f>IF(COUNT(C55:P55)=0,"",IFERROR(H55/G55,0))</f>
        <v/>
      </c>
      <c r="Y55" s="18">
        <f>IF(COUNT(C55:P55)=0,"",IFERROR(I55/H55,0))</f>
        <v/>
      </c>
      <c r="Z55" s="17">
        <f>IF(COUNT(C55:P55)=0,"",IFERROR(I55/G55,0))</f>
        <v/>
      </c>
      <c r="AA55" s="15">
        <f>IF(COUNT(C55:P55)=0,"",IFERROR(C55/I55,0))</f>
        <v/>
      </c>
      <c r="AB55" s="18">
        <f>IF(COUNT(C55:P55)=0,"",IFERROR(J55/I55,0))</f>
        <v/>
      </c>
      <c r="AC55" s="18">
        <f>IF(COUNT(C55:P55)=0,"",IFERROR(K55/I55,0))</f>
        <v/>
      </c>
      <c r="AD55" s="18">
        <f>IF(COUNT(C55:P55)=0,"",IFERROR(L55/I55,0))</f>
        <v/>
      </c>
      <c r="AE55" s="18">
        <f>IF(COUNT(C55:P55)=0,"",IFERROR(P55/I55,0))</f>
        <v/>
      </c>
      <c r="AF55" s="20">
        <f>IF(COUNT(C55:P55)=0,"",IFERROR(I55*Config!$C$7+J55*Config!$C$8+K55*Config!$C$9+L55*Config!$C$10+M55*Config!$C$11+N55*Config!$C$12+O55*Config!$C$13+P55*Config!$C$14,0))</f>
        <v/>
      </c>
      <c r="AG55" s="15">
        <f>IF(COUNT(C55:P55)=0,"",IFERROR(AF55/I55,0))</f>
        <v/>
      </c>
      <c r="AH55" s="20">
        <f>IF(COUNT(C55:P55)=0,"",IFERROR(AF55*(1-Config!$C$15-Config!$C$16-Config!$C$17),0))</f>
        <v/>
      </c>
      <c r="AI55" s="20">
        <f>IF(COUNT(C55:P55)=0,"",IFERROR(AH55-C55-Config!$C$18,0))</f>
        <v/>
      </c>
      <c r="AJ55" s="21">
        <f>IF(COUNT(C55:P55)=0,"",IFERROR(AH55/C55,0))</f>
        <v/>
      </c>
      <c r="AK55" s="15">
        <f>IF(COUNT(C55:P55)=0,"",IFERROR(AI55/G55,0))</f>
        <v/>
      </c>
      <c r="AL55" s="21">
        <f>IF(COUNT(C55:P55)=0,"",IFERROR(AK55/V55,0))</f>
        <v/>
      </c>
      <c r="AM55" s="15">
        <f>IF(COUNT(C55:P55)=0,"",IFERROR(AI55/I55,0))</f>
        <v/>
      </c>
      <c r="AN55" s="15">
        <f>IF(COUNT(C55:P55)=0,"",IFERROR(AH55/I55-AA55,0))</f>
        <v/>
      </c>
    </row>
    <row r="56">
      <c r="A56" s="12">
        <f>Config!$C$6+50</f>
        <v/>
      </c>
      <c r="B56" s="13">
        <f>INT((A56-Config!$C$6)/7)+1</f>
        <v/>
      </c>
      <c r="C56" s="10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5">
        <f>IF(COUNT(C56:P56)=0,"",IFERROR(C56/D56*1000,0))</f>
        <v/>
      </c>
      <c r="R56" s="16">
        <f>IF(COUNT(C56:P56)=0,"",IFERROR(D56/E56,0))</f>
        <v/>
      </c>
      <c r="S56" s="17">
        <f>IF(COUNT(C56:P56)=0,"",IFERROR(F56/D56,0))</f>
        <v/>
      </c>
      <c r="T56" s="15">
        <f>IF(COUNT(C56:P56)=0,"",IFERROR(C56/F56,0))</f>
        <v/>
      </c>
      <c r="U56" s="18">
        <f>IF(COUNT(C56:P56)=0,"",IFERROR(G56/F56,0))</f>
        <v/>
      </c>
      <c r="V56" s="15">
        <f>IF(COUNT(C56:P56)=0,"",IFERROR(C56/G56,0))</f>
        <v/>
      </c>
      <c r="W56" s="19">
        <f>IF(COUNT(C56:P56)=0,"",IFERROR(G56/D56*1000,0))</f>
        <v/>
      </c>
      <c r="X56" s="18">
        <f>IF(COUNT(C56:P56)=0,"",IFERROR(H56/G56,0))</f>
        <v/>
      </c>
      <c r="Y56" s="18">
        <f>IF(COUNT(C56:P56)=0,"",IFERROR(I56/H56,0))</f>
        <v/>
      </c>
      <c r="Z56" s="17">
        <f>IF(COUNT(C56:P56)=0,"",IFERROR(I56/G56,0))</f>
        <v/>
      </c>
      <c r="AA56" s="15">
        <f>IF(COUNT(C56:P56)=0,"",IFERROR(C56/I56,0))</f>
        <v/>
      </c>
      <c r="AB56" s="18">
        <f>IF(COUNT(C56:P56)=0,"",IFERROR(J56/I56,0))</f>
        <v/>
      </c>
      <c r="AC56" s="18">
        <f>IF(COUNT(C56:P56)=0,"",IFERROR(K56/I56,0))</f>
        <v/>
      </c>
      <c r="AD56" s="18">
        <f>IF(COUNT(C56:P56)=0,"",IFERROR(L56/I56,0))</f>
        <v/>
      </c>
      <c r="AE56" s="18">
        <f>IF(COUNT(C56:P56)=0,"",IFERROR(P56/I56,0))</f>
        <v/>
      </c>
      <c r="AF56" s="20">
        <f>IF(COUNT(C56:P56)=0,"",IFERROR(I56*Config!$C$7+J56*Config!$C$8+K56*Config!$C$9+L56*Config!$C$10+M56*Config!$C$11+N56*Config!$C$12+O56*Config!$C$13+P56*Config!$C$14,0))</f>
        <v/>
      </c>
      <c r="AG56" s="15">
        <f>IF(COUNT(C56:P56)=0,"",IFERROR(AF56/I56,0))</f>
        <v/>
      </c>
      <c r="AH56" s="20">
        <f>IF(COUNT(C56:P56)=0,"",IFERROR(AF56*(1-Config!$C$15-Config!$C$16-Config!$C$17),0))</f>
        <v/>
      </c>
      <c r="AI56" s="20">
        <f>IF(COUNT(C56:P56)=0,"",IFERROR(AH56-C56-Config!$C$18,0))</f>
        <v/>
      </c>
      <c r="AJ56" s="21">
        <f>IF(COUNT(C56:P56)=0,"",IFERROR(AH56/C56,0))</f>
        <v/>
      </c>
      <c r="AK56" s="15">
        <f>IF(COUNT(C56:P56)=0,"",IFERROR(AI56/G56,0))</f>
        <v/>
      </c>
      <c r="AL56" s="21">
        <f>IF(COUNT(C56:P56)=0,"",IFERROR(AK56/V56,0))</f>
        <v/>
      </c>
      <c r="AM56" s="15">
        <f>IF(COUNT(C56:P56)=0,"",IFERROR(AI56/I56,0))</f>
        <v/>
      </c>
      <c r="AN56" s="15">
        <f>IF(COUNT(C56:P56)=0,"",IFERROR(AH56/I56-AA56,0))</f>
        <v/>
      </c>
    </row>
    <row r="57">
      <c r="A57" s="12">
        <f>Config!$C$6+51</f>
        <v/>
      </c>
      <c r="B57" s="13">
        <f>INT((A57-Config!$C$6)/7)+1</f>
        <v/>
      </c>
      <c r="C57" s="10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5">
        <f>IF(COUNT(C57:P57)=0,"",IFERROR(C57/D57*1000,0))</f>
        <v/>
      </c>
      <c r="R57" s="16">
        <f>IF(COUNT(C57:P57)=0,"",IFERROR(D57/E57,0))</f>
        <v/>
      </c>
      <c r="S57" s="17">
        <f>IF(COUNT(C57:P57)=0,"",IFERROR(F57/D57,0))</f>
        <v/>
      </c>
      <c r="T57" s="15">
        <f>IF(COUNT(C57:P57)=0,"",IFERROR(C57/F57,0))</f>
        <v/>
      </c>
      <c r="U57" s="18">
        <f>IF(COUNT(C57:P57)=0,"",IFERROR(G57/F57,0))</f>
        <v/>
      </c>
      <c r="V57" s="15">
        <f>IF(COUNT(C57:P57)=0,"",IFERROR(C57/G57,0))</f>
        <v/>
      </c>
      <c r="W57" s="19">
        <f>IF(COUNT(C57:P57)=0,"",IFERROR(G57/D57*1000,0))</f>
        <v/>
      </c>
      <c r="X57" s="18">
        <f>IF(COUNT(C57:P57)=0,"",IFERROR(H57/G57,0))</f>
        <v/>
      </c>
      <c r="Y57" s="18">
        <f>IF(COUNT(C57:P57)=0,"",IFERROR(I57/H57,0))</f>
        <v/>
      </c>
      <c r="Z57" s="17">
        <f>IF(COUNT(C57:P57)=0,"",IFERROR(I57/G57,0))</f>
        <v/>
      </c>
      <c r="AA57" s="15">
        <f>IF(COUNT(C57:P57)=0,"",IFERROR(C57/I57,0))</f>
        <v/>
      </c>
      <c r="AB57" s="18">
        <f>IF(COUNT(C57:P57)=0,"",IFERROR(J57/I57,0))</f>
        <v/>
      </c>
      <c r="AC57" s="18">
        <f>IF(COUNT(C57:P57)=0,"",IFERROR(K57/I57,0))</f>
        <v/>
      </c>
      <c r="AD57" s="18">
        <f>IF(COUNT(C57:P57)=0,"",IFERROR(L57/I57,0))</f>
        <v/>
      </c>
      <c r="AE57" s="18">
        <f>IF(COUNT(C57:P57)=0,"",IFERROR(P57/I57,0))</f>
        <v/>
      </c>
      <c r="AF57" s="20">
        <f>IF(COUNT(C57:P57)=0,"",IFERROR(I57*Config!$C$7+J57*Config!$C$8+K57*Config!$C$9+L57*Config!$C$10+M57*Config!$C$11+N57*Config!$C$12+O57*Config!$C$13+P57*Config!$C$14,0))</f>
        <v/>
      </c>
      <c r="AG57" s="15">
        <f>IF(COUNT(C57:P57)=0,"",IFERROR(AF57/I57,0))</f>
        <v/>
      </c>
      <c r="AH57" s="20">
        <f>IF(COUNT(C57:P57)=0,"",IFERROR(AF57*(1-Config!$C$15-Config!$C$16-Config!$C$17),0))</f>
        <v/>
      </c>
      <c r="AI57" s="20">
        <f>IF(COUNT(C57:P57)=0,"",IFERROR(AH57-C57-Config!$C$18,0))</f>
        <v/>
      </c>
      <c r="AJ57" s="21">
        <f>IF(COUNT(C57:P57)=0,"",IFERROR(AH57/C57,0))</f>
        <v/>
      </c>
      <c r="AK57" s="15">
        <f>IF(COUNT(C57:P57)=0,"",IFERROR(AI57/G57,0))</f>
        <v/>
      </c>
      <c r="AL57" s="21">
        <f>IF(COUNT(C57:P57)=0,"",IFERROR(AK57/V57,0))</f>
        <v/>
      </c>
      <c r="AM57" s="15">
        <f>IF(COUNT(C57:P57)=0,"",IFERROR(AI57/I57,0))</f>
        <v/>
      </c>
      <c r="AN57" s="15">
        <f>IF(COUNT(C57:P57)=0,"",IFERROR(AH57/I57-AA57,0))</f>
        <v/>
      </c>
    </row>
    <row r="58">
      <c r="A58" s="12">
        <f>Config!$C$6+52</f>
        <v/>
      </c>
      <c r="B58" s="13">
        <f>INT((A58-Config!$C$6)/7)+1</f>
        <v/>
      </c>
      <c r="C58" s="10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5">
        <f>IF(COUNT(C58:P58)=0,"",IFERROR(C58/D58*1000,0))</f>
        <v/>
      </c>
      <c r="R58" s="16">
        <f>IF(COUNT(C58:P58)=0,"",IFERROR(D58/E58,0))</f>
        <v/>
      </c>
      <c r="S58" s="17">
        <f>IF(COUNT(C58:P58)=0,"",IFERROR(F58/D58,0))</f>
        <v/>
      </c>
      <c r="T58" s="15">
        <f>IF(COUNT(C58:P58)=0,"",IFERROR(C58/F58,0))</f>
        <v/>
      </c>
      <c r="U58" s="18">
        <f>IF(COUNT(C58:P58)=0,"",IFERROR(G58/F58,0))</f>
        <v/>
      </c>
      <c r="V58" s="15">
        <f>IF(COUNT(C58:P58)=0,"",IFERROR(C58/G58,0))</f>
        <v/>
      </c>
      <c r="W58" s="19">
        <f>IF(COUNT(C58:P58)=0,"",IFERROR(G58/D58*1000,0))</f>
        <v/>
      </c>
      <c r="X58" s="18">
        <f>IF(COUNT(C58:P58)=0,"",IFERROR(H58/G58,0))</f>
        <v/>
      </c>
      <c r="Y58" s="18">
        <f>IF(COUNT(C58:P58)=0,"",IFERROR(I58/H58,0))</f>
        <v/>
      </c>
      <c r="Z58" s="17">
        <f>IF(COUNT(C58:P58)=0,"",IFERROR(I58/G58,0))</f>
        <v/>
      </c>
      <c r="AA58" s="15">
        <f>IF(COUNT(C58:P58)=0,"",IFERROR(C58/I58,0))</f>
        <v/>
      </c>
      <c r="AB58" s="18">
        <f>IF(COUNT(C58:P58)=0,"",IFERROR(J58/I58,0))</f>
        <v/>
      </c>
      <c r="AC58" s="18">
        <f>IF(COUNT(C58:P58)=0,"",IFERROR(K58/I58,0))</f>
        <v/>
      </c>
      <c r="AD58" s="18">
        <f>IF(COUNT(C58:P58)=0,"",IFERROR(L58/I58,0))</f>
        <v/>
      </c>
      <c r="AE58" s="18">
        <f>IF(COUNT(C58:P58)=0,"",IFERROR(P58/I58,0))</f>
        <v/>
      </c>
      <c r="AF58" s="20">
        <f>IF(COUNT(C58:P58)=0,"",IFERROR(I58*Config!$C$7+J58*Config!$C$8+K58*Config!$C$9+L58*Config!$C$10+M58*Config!$C$11+N58*Config!$C$12+O58*Config!$C$13+P58*Config!$C$14,0))</f>
        <v/>
      </c>
      <c r="AG58" s="15">
        <f>IF(COUNT(C58:P58)=0,"",IFERROR(AF58/I58,0))</f>
        <v/>
      </c>
      <c r="AH58" s="20">
        <f>IF(COUNT(C58:P58)=0,"",IFERROR(AF58*(1-Config!$C$15-Config!$C$16-Config!$C$17),0))</f>
        <v/>
      </c>
      <c r="AI58" s="20">
        <f>IF(COUNT(C58:P58)=0,"",IFERROR(AH58-C58-Config!$C$18,0))</f>
        <v/>
      </c>
      <c r="AJ58" s="21">
        <f>IF(COUNT(C58:P58)=0,"",IFERROR(AH58/C58,0))</f>
        <v/>
      </c>
      <c r="AK58" s="15">
        <f>IF(COUNT(C58:P58)=0,"",IFERROR(AI58/G58,0))</f>
        <v/>
      </c>
      <c r="AL58" s="21">
        <f>IF(COUNT(C58:P58)=0,"",IFERROR(AK58/V58,0))</f>
        <v/>
      </c>
      <c r="AM58" s="15">
        <f>IF(COUNT(C58:P58)=0,"",IFERROR(AI58/I58,0))</f>
        <v/>
      </c>
      <c r="AN58" s="15">
        <f>IF(COUNT(C58:P58)=0,"",IFERROR(AH58/I58-AA58,0))</f>
        <v/>
      </c>
    </row>
    <row r="59">
      <c r="A59" s="12">
        <f>Config!$C$6+53</f>
        <v/>
      </c>
      <c r="B59" s="13">
        <f>INT((A59-Config!$C$6)/7)+1</f>
        <v/>
      </c>
      <c r="C59" s="10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5">
        <f>IF(COUNT(C59:P59)=0,"",IFERROR(C59/D59*1000,0))</f>
        <v/>
      </c>
      <c r="R59" s="16">
        <f>IF(COUNT(C59:P59)=0,"",IFERROR(D59/E59,0))</f>
        <v/>
      </c>
      <c r="S59" s="17">
        <f>IF(COUNT(C59:P59)=0,"",IFERROR(F59/D59,0))</f>
        <v/>
      </c>
      <c r="T59" s="15">
        <f>IF(COUNT(C59:P59)=0,"",IFERROR(C59/F59,0))</f>
        <v/>
      </c>
      <c r="U59" s="18">
        <f>IF(COUNT(C59:P59)=0,"",IFERROR(G59/F59,0))</f>
        <v/>
      </c>
      <c r="V59" s="15">
        <f>IF(COUNT(C59:P59)=0,"",IFERROR(C59/G59,0))</f>
        <v/>
      </c>
      <c r="W59" s="19">
        <f>IF(COUNT(C59:P59)=0,"",IFERROR(G59/D59*1000,0))</f>
        <v/>
      </c>
      <c r="X59" s="18">
        <f>IF(COUNT(C59:P59)=0,"",IFERROR(H59/G59,0))</f>
        <v/>
      </c>
      <c r="Y59" s="18">
        <f>IF(COUNT(C59:P59)=0,"",IFERROR(I59/H59,0))</f>
        <v/>
      </c>
      <c r="Z59" s="17">
        <f>IF(COUNT(C59:P59)=0,"",IFERROR(I59/G59,0))</f>
        <v/>
      </c>
      <c r="AA59" s="15">
        <f>IF(COUNT(C59:P59)=0,"",IFERROR(C59/I59,0))</f>
        <v/>
      </c>
      <c r="AB59" s="18">
        <f>IF(COUNT(C59:P59)=0,"",IFERROR(J59/I59,0))</f>
        <v/>
      </c>
      <c r="AC59" s="18">
        <f>IF(COUNT(C59:P59)=0,"",IFERROR(K59/I59,0))</f>
        <v/>
      </c>
      <c r="AD59" s="18">
        <f>IF(COUNT(C59:P59)=0,"",IFERROR(L59/I59,0))</f>
        <v/>
      </c>
      <c r="AE59" s="18">
        <f>IF(COUNT(C59:P59)=0,"",IFERROR(P59/I59,0))</f>
        <v/>
      </c>
      <c r="AF59" s="20">
        <f>IF(COUNT(C59:P59)=0,"",IFERROR(I59*Config!$C$7+J59*Config!$C$8+K59*Config!$C$9+L59*Config!$C$10+M59*Config!$C$11+N59*Config!$C$12+O59*Config!$C$13+P59*Config!$C$14,0))</f>
        <v/>
      </c>
      <c r="AG59" s="15">
        <f>IF(COUNT(C59:P59)=0,"",IFERROR(AF59/I59,0))</f>
        <v/>
      </c>
      <c r="AH59" s="20">
        <f>IF(COUNT(C59:P59)=0,"",IFERROR(AF59*(1-Config!$C$15-Config!$C$16-Config!$C$17),0))</f>
        <v/>
      </c>
      <c r="AI59" s="20">
        <f>IF(COUNT(C59:P59)=0,"",IFERROR(AH59-C59-Config!$C$18,0))</f>
        <v/>
      </c>
      <c r="AJ59" s="21">
        <f>IF(COUNT(C59:P59)=0,"",IFERROR(AH59/C59,0))</f>
        <v/>
      </c>
      <c r="AK59" s="15">
        <f>IF(COUNT(C59:P59)=0,"",IFERROR(AI59/G59,0))</f>
        <v/>
      </c>
      <c r="AL59" s="21">
        <f>IF(COUNT(C59:P59)=0,"",IFERROR(AK59/V59,0))</f>
        <v/>
      </c>
      <c r="AM59" s="15">
        <f>IF(COUNT(C59:P59)=0,"",IFERROR(AI59/I59,0))</f>
        <v/>
      </c>
      <c r="AN59" s="15">
        <f>IF(COUNT(C59:P59)=0,"",IFERROR(AH59/I59-AA59,0))</f>
        <v/>
      </c>
    </row>
    <row r="60">
      <c r="A60" s="12">
        <f>Config!$C$6+54</f>
        <v/>
      </c>
      <c r="B60" s="13">
        <f>INT((A60-Config!$C$6)/7)+1</f>
        <v/>
      </c>
      <c r="C60" s="10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5">
        <f>IF(COUNT(C60:P60)=0,"",IFERROR(C60/D60*1000,0))</f>
        <v/>
      </c>
      <c r="R60" s="16">
        <f>IF(COUNT(C60:P60)=0,"",IFERROR(D60/E60,0))</f>
        <v/>
      </c>
      <c r="S60" s="17">
        <f>IF(COUNT(C60:P60)=0,"",IFERROR(F60/D60,0))</f>
        <v/>
      </c>
      <c r="T60" s="15">
        <f>IF(COUNT(C60:P60)=0,"",IFERROR(C60/F60,0))</f>
        <v/>
      </c>
      <c r="U60" s="18">
        <f>IF(COUNT(C60:P60)=0,"",IFERROR(G60/F60,0))</f>
        <v/>
      </c>
      <c r="V60" s="15">
        <f>IF(COUNT(C60:P60)=0,"",IFERROR(C60/G60,0))</f>
        <v/>
      </c>
      <c r="W60" s="19">
        <f>IF(COUNT(C60:P60)=0,"",IFERROR(G60/D60*1000,0))</f>
        <v/>
      </c>
      <c r="X60" s="18">
        <f>IF(COUNT(C60:P60)=0,"",IFERROR(H60/G60,0))</f>
        <v/>
      </c>
      <c r="Y60" s="18">
        <f>IF(COUNT(C60:P60)=0,"",IFERROR(I60/H60,0))</f>
        <v/>
      </c>
      <c r="Z60" s="17">
        <f>IF(COUNT(C60:P60)=0,"",IFERROR(I60/G60,0))</f>
        <v/>
      </c>
      <c r="AA60" s="15">
        <f>IF(COUNT(C60:P60)=0,"",IFERROR(C60/I60,0))</f>
        <v/>
      </c>
      <c r="AB60" s="18">
        <f>IF(COUNT(C60:P60)=0,"",IFERROR(J60/I60,0))</f>
        <v/>
      </c>
      <c r="AC60" s="18">
        <f>IF(COUNT(C60:P60)=0,"",IFERROR(K60/I60,0))</f>
        <v/>
      </c>
      <c r="AD60" s="18">
        <f>IF(COUNT(C60:P60)=0,"",IFERROR(L60/I60,0))</f>
        <v/>
      </c>
      <c r="AE60" s="18">
        <f>IF(COUNT(C60:P60)=0,"",IFERROR(P60/I60,0))</f>
        <v/>
      </c>
      <c r="AF60" s="20">
        <f>IF(COUNT(C60:P60)=0,"",IFERROR(I60*Config!$C$7+J60*Config!$C$8+K60*Config!$C$9+L60*Config!$C$10+M60*Config!$C$11+N60*Config!$C$12+O60*Config!$C$13+P60*Config!$C$14,0))</f>
        <v/>
      </c>
      <c r="AG60" s="15">
        <f>IF(COUNT(C60:P60)=0,"",IFERROR(AF60/I60,0))</f>
        <v/>
      </c>
      <c r="AH60" s="20">
        <f>IF(COUNT(C60:P60)=0,"",IFERROR(AF60*(1-Config!$C$15-Config!$C$16-Config!$C$17),0))</f>
        <v/>
      </c>
      <c r="AI60" s="20">
        <f>IF(COUNT(C60:P60)=0,"",IFERROR(AH60-C60-Config!$C$18,0))</f>
        <v/>
      </c>
      <c r="AJ60" s="21">
        <f>IF(COUNT(C60:P60)=0,"",IFERROR(AH60/C60,0))</f>
        <v/>
      </c>
      <c r="AK60" s="15">
        <f>IF(COUNT(C60:P60)=0,"",IFERROR(AI60/G60,0))</f>
        <v/>
      </c>
      <c r="AL60" s="21">
        <f>IF(COUNT(C60:P60)=0,"",IFERROR(AK60/V60,0))</f>
        <v/>
      </c>
      <c r="AM60" s="15">
        <f>IF(COUNT(C60:P60)=0,"",IFERROR(AI60/I60,0))</f>
        <v/>
      </c>
      <c r="AN60" s="15">
        <f>IF(COUNT(C60:P60)=0,"",IFERROR(AH60/I60-AA60,0))</f>
        <v/>
      </c>
    </row>
    <row r="61">
      <c r="A61" s="12">
        <f>Config!$C$6+55</f>
        <v/>
      </c>
      <c r="B61" s="13">
        <f>INT((A61-Config!$C$6)/7)+1</f>
        <v/>
      </c>
      <c r="C61" s="10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5">
        <f>IF(COUNT(C61:P61)=0,"",IFERROR(C61/D61*1000,0))</f>
        <v/>
      </c>
      <c r="R61" s="16">
        <f>IF(COUNT(C61:P61)=0,"",IFERROR(D61/E61,0))</f>
        <v/>
      </c>
      <c r="S61" s="17">
        <f>IF(COUNT(C61:P61)=0,"",IFERROR(F61/D61,0))</f>
        <v/>
      </c>
      <c r="T61" s="15">
        <f>IF(COUNT(C61:P61)=0,"",IFERROR(C61/F61,0))</f>
        <v/>
      </c>
      <c r="U61" s="18">
        <f>IF(COUNT(C61:P61)=0,"",IFERROR(G61/F61,0))</f>
        <v/>
      </c>
      <c r="V61" s="15">
        <f>IF(COUNT(C61:P61)=0,"",IFERROR(C61/G61,0))</f>
        <v/>
      </c>
      <c r="W61" s="19">
        <f>IF(COUNT(C61:P61)=0,"",IFERROR(G61/D61*1000,0))</f>
        <v/>
      </c>
      <c r="X61" s="18">
        <f>IF(COUNT(C61:P61)=0,"",IFERROR(H61/G61,0))</f>
        <v/>
      </c>
      <c r="Y61" s="18">
        <f>IF(COUNT(C61:P61)=0,"",IFERROR(I61/H61,0))</f>
        <v/>
      </c>
      <c r="Z61" s="17">
        <f>IF(COUNT(C61:P61)=0,"",IFERROR(I61/G61,0))</f>
        <v/>
      </c>
      <c r="AA61" s="15">
        <f>IF(COUNT(C61:P61)=0,"",IFERROR(C61/I61,0))</f>
        <v/>
      </c>
      <c r="AB61" s="18">
        <f>IF(COUNT(C61:P61)=0,"",IFERROR(J61/I61,0))</f>
        <v/>
      </c>
      <c r="AC61" s="18">
        <f>IF(COUNT(C61:P61)=0,"",IFERROR(K61/I61,0))</f>
        <v/>
      </c>
      <c r="AD61" s="18">
        <f>IF(COUNT(C61:P61)=0,"",IFERROR(L61/I61,0))</f>
        <v/>
      </c>
      <c r="AE61" s="18">
        <f>IF(COUNT(C61:P61)=0,"",IFERROR(P61/I61,0))</f>
        <v/>
      </c>
      <c r="AF61" s="20">
        <f>IF(COUNT(C61:P61)=0,"",IFERROR(I61*Config!$C$7+J61*Config!$C$8+K61*Config!$C$9+L61*Config!$C$10+M61*Config!$C$11+N61*Config!$C$12+O61*Config!$C$13+P61*Config!$C$14,0))</f>
        <v/>
      </c>
      <c r="AG61" s="15">
        <f>IF(COUNT(C61:P61)=0,"",IFERROR(AF61/I61,0))</f>
        <v/>
      </c>
      <c r="AH61" s="20">
        <f>IF(COUNT(C61:P61)=0,"",IFERROR(AF61*(1-Config!$C$15-Config!$C$16-Config!$C$17),0))</f>
        <v/>
      </c>
      <c r="AI61" s="20">
        <f>IF(COUNT(C61:P61)=0,"",IFERROR(AH61-C61-Config!$C$18,0))</f>
        <v/>
      </c>
      <c r="AJ61" s="21">
        <f>IF(COUNT(C61:P61)=0,"",IFERROR(AH61/C61,0))</f>
        <v/>
      </c>
      <c r="AK61" s="15">
        <f>IF(COUNT(C61:P61)=0,"",IFERROR(AI61/G61,0))</f>
        <v/>
      </c>
      <c r="AL61" s="21">
        <f>IF(COUNT(C61:P61)=0,"",IFERROR(AK61/V61,0))</f>
        <v/>
      </c>
      <c r="AM61" s="15">
        <f>IF(COUNT(C61:P61)=0,"",IFERROR(AI61/I61,0))</f>
        <v/>
      </c>
      <c r="AN61" s="15">
        <f>IF(COUNT(C61:P61)=0,"",IFERROR(AH61/I61-AA61,0))</f>
        <v/>
      </c>
    </row>
    <row r="62">
      <c r="A62" s="12">
        <f>Config!$C$6+56</f>
        <v/>
      </c>
      <c r="B62" s="13">
        <f>INT((A62-Config!$C$6)/7)+1</f>
        <v/>
      </c>
      <c r="C62" s="10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5">
        <f>IF(COUNT(C62:P62)=0,"",IFERROR(C62/D62*1000,0))</f>
        <v/>
      </c>
      <c r="R62" s="16">
        <f>IF(COUNT(C62:P62)=0,"",IFERROR(D62/E62,0))</f>
        <v/>
      </c>
      <c r="S62" s="17">
        <f>IF(COUNT(C62:P62)=0,"",IFERROR(F62/D62,0))</f>
        <v/>
      </c>
      <c r="T62" s="15">
        <f>IF(COUNT(C62:P62)=0,"",IFERROR(C62/F62,0))</f>
        <v/>
      </c>
      <c r="U62" s="18">
        <f>IF(COUNT(C62:P62)=0,"",IFERROR(G62/F62,0))</f>
        <v/>
      </c>
      <c r="V62" s="15">
        <f>IF(COUNT(C62:P62)=0,"",IFERROR(C62/G62,0))</f>
        <v/>
      </c>
      <c r="W62" s="19">
        <f>IF(COUNT(C62:P62)=0,"",IFERROR(G62/D62*1000,0))</f>
        <v/>
      </c>
      <c r="X62" s="18">
        <f>IF(COUNT(C62:P62)=0,"",IFERROR(H62/G62,0))</f>
        <v/>
      </c>
      <c r="Y62" s="18">
        <f>IF(COUNT(C62:P62)=0,"",IFERROR(I62/H62,0))</f>
        <v/>
      </c>
      <c r="Z62" s="17">
        <f>IF(COUNT(C62:P62)=0,"",IFERROR(I62/G62,0))</f>
        <v/>
      </c>
      <c r="AA62" s="15">
        <f>IF(COUNT(C62:P62)=0,"",IFERROR(C62/I62,0))</f>
        <v/>
      </c>
      <c r="AB62" s="18">
        <f>IF(COUNT(C62:P62)=0,"",IFERROR(J62/I62,0))</f>
        <v/>
      </c>
      <c r="AC62" s="18">
        <f>IF(COUNT(C62:P62)=0,"",IFERROR(K62/I62,0))</f>
        <v/>
      </c>
      <c r="AD62" s="18">
        <f>IF(COUNT(C62:P62)=0,"",IFERROR(L62/I62,0))</f>
        <v/>
      </c>
      <c r="AE62" s="18">
        <f>IF(COUNT(C62:P62)=0,"",IFERROR(P62/I62,0))</f>
        <v/>
      </c>
      <c r="AF62" s="20">
        <f>IF(COUNT(C62:P62)=0,"",IFERROR(I62*Config!$C$7+J62*Config!$C$8+K62*Config!$C$9+L62*Config!$C$10+M62*Config!$C$11+N62*Config!$C$12+O62*Config!$C$13+P62*Config!$C$14,0))</f>
        <v/>
      </c>
      <c r="AG62" s="15">
        <f>IF(COUNT(C62:P62)=0,"",IFERROR(AF62/I62,0))</f>
        <v/>
      </c>
      <c r="AH62" s="20">
        <f>IF(COUNT(C62:P62)=0,"",IFERROR(AF62*(1-Config!$C$15-Config!$C$16-Config!$C$17),0))</f>
        <v/>
      </c>
      <c r="AI62" s="20">
        <f>IF(COUNT(C62:P62)=0,"",IFERROR(AH62-C62-Config!$C$18,0))</f>
        <v/>
      </c>
      <c r="AJ62" s="21">
        <f>IF(COUNT(C62:P62)=0,"",IFERROR(AH62/C62,0))</f>
        <v/>
      </c>
      <c r="AK62" s="15">
        <f>IF(COUNT(C62:P62)=0,"",IFERROR(AI62/G62,0))</f>
        <v/>
      </c>
      <c r="AL62" s="21">
        <f>IF(COUNT(C62:P62)=0,"",IFERROR(AK62/V62,0))</f>
        <v/>
      </c>
      <c r="AM62" s="15">
        <f>IF(COUNT(C62:P62)=0,"",IFERROR(AI62/I62,0))</f>
        <v/>
      </c>
      <c r="AN62" s="15">
        <f>IF(COUNT(C62:P62)=0,"",IFERROR(AH62/I62-AA62,0))</f>
        <v/>
      </c>
    </row>
    <row r="63">
      <c r="A63" s="12">
        <f>Config!$C$6+57</f>
        <v/>
      </c>
      <c r="B63" s="13">
        <f>INT((A63-Config!$C$6)/7)+1</f>
        <v/>
      </c>
      <c r="C63" s="10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5">
        <f>IF(COUNT(C63:P63)=0,"",IFERROR(C63/D63*1000,0))</f>
        <v/>
      </c>
      <c r="R63" s="16">
        <f>IF(COUNT(C63:P63)=0,"",IFERROR(D63/E63,0))</f>
        <v/>
      </c>
      <c r="S63" s="17">
        <f>IF(COUNT(C63:P63)=0,"",IFERROR(F63/D63,0))</f>
        <v/>
      </c>
      <c r="T63" s="15">
        <f>IF(COUNT(C63:P63)=0,"",IFERROR(C63/F63,0))</f>
        <v/>
      </c>
      <c r="U63" s="18">
        <f>IF(COUNT(C63:P63)=0,"",IFERROR(G63/F63,0))</f>
        <v/>
      </c>
      <c r="V63" s="15">
        <f>IF(COUNT(C63:P63)=0,"",IFERROR(C63/G63,0))</f>
        <v/>
      </c>
      <c r="W63" s="19">
        <f>IF(COUNT(C63:P63)=0,"",IFERROR(G63/D63*1000,0))</f>
        <v/>
      </c>
      <c r="X63" s="18">
        <f>IF(COUNT(C63:P63)=0,"",IFERROR(H63/G63,0))</f>
        <v/>
      </c>
      <c r="Y63" s="18">
        <f>IF(COUNT(C63:P63)=0,"",IFERROR(I63/H63,0))</f>
        <v/>
      </c>
      <c r="Z63" s="17">
        <f>IF(COUNT(C63:P63)=0,"",IFERROR(I63/G63,0))</f>
        <v/>
      </c>
      <c r="AA63" s="15">
        <f>IF(COUNT(C63:P63)=0,"",IFERROR(C63/I63,0))</f>
        <v/>
      </c>
      <c r="AB63" s="18">
        <f>IF(COUNT(C63:P63)=0,"",IFERROR(J63/I63,0))</f>
        <v/>
      </c>
      <c r="AC63" s="18">
        <f>IF(COUNT(C63:P63)=0,"",IFERROR(K63/I63,0))</f>
        <v/>
      </c>
      <c r="AD63" s="18">
        <f>IF(COUNT(C63:P63)=0,"",IFERROR(L63/I63,0))</f>
        <v/>
      </c>
      <c r="AE63" s="18">
        <f>IF(COUNT(C63:P63)=0,"",IFERROR(P63/I63,0))</f>
        <v/>
      </c>
      <c r="AF63" s="20">
        <f>IF(COUNT(C63:P63)=0,"",IFERROR(I63*Config!$C$7+J63*Config!$C$8+K63*Config!$C$9+L63*Config!$C$10+M63*Config!$C$11+N63*Config!$C$12+O63*Config!$C$13+P63*Config!$C$14,0))</f>
        <v/>
      </c>
      <c r="AG63" s="15">
        <f>IF(COUNT(C63:P63)=0,"",IFERROR(AF63/I63,0))</f>
        <v/>
      </c>
      <c r="AH63" s="20">
        <f>IF(COUNT(C63:P63)=0,"",IFERROR(AF63*(1-Config!$C$15-Config!$C$16-Config!$C$17),0))</f>
        <v/>
      </c>
      <c r="AI63" s="20">
        <f>IF(COUNT(C63:P63)=0,"",IFERROR(AH63-C63-Config!$C$18,0))</f>
        <v/>
      </c>
      <c r="AJ63" s="21">
        <f>IF(COUNT(C63:P63)=0,"",IFERROR(AH63/C63,0))</f>
        <v/>
      </c>
      <c r="AK63" s="15">
        <f>IF(COUNT(C63:P63)=0,"",IFERROR(AI63/G63,0))</f>
        <v/>
      </c>
      <c r="AL63" s="21">
        <f>IF(COUNT(C63:P63)=0,"",IFERROR(AK63/V63,0))</f>
        <v/>
      </c>
      <c r="AM63" s="15">
        <f>IF(COUNT(C63:P63)=0,"",IFERROR(AI63/I63,0))</f>
        <v/>
      </c>
      <c r="AN63" s="15">
        <f>IF(COUNT(C63:P63)=0,"",IFERROR(AH63/I63-AA63,0))</f>
        <v/>
      </c>
    </row>
    <row r="64">
      <c r="A64" s="12">
        <f>Config!$C$6+58</f>
        <v/>
      </c>
      <c r="B64" s="13">
        <f>INT((A64-Config!$C$6)/7)+1</f>
        <v/>
      </c>
      <c r="C64" s="10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5">
        <f>IF(COUNT(C64:P64)=0,"",IFERROR(C64/D64*1000,0))</f>
        <v/>
      </c>
      <c r="R64" s="16">
        <f>IF(COUNT(C64:P64)=0,"",IFERROR(D64/E64,0))</f>
        <v/>
      </c>
      <c r="S64" s="17">
        <f>IF(COUNT(C64:P64)=0,"",IFERROR(F64/D64,0))</f>
        <v/>
      </c>
      <c r="T64" s="15">
        <f>IF(COUNT(C64:P64)=0,"",IFERROR(C64/F64,0))</f>
        <v/>
      </c>
      <c r="U64" s="18">
        <f>IF(COUNT(C64:P64)=0,"",IFERROR(G64/F64,0))</f>
        <v/>
      </c>
      <c r="V64" s="15">
        <f>IF(COUNT(C64:P64)=0,"",IFERROR(C64/G64,0))</f>
        <v/>
      </c>
      <c r="W64" s="19">
        <f>IF(COUNT(C64:P64)=0,"",IFERROR(G64/D64*1000,0))</f>
        <v/>
      </c>
      <c r="X64" s="18">
        <f>IF(COUNT(C64:P64)=0,"",IFERROR(H64/G64,0))</f>
        <v/>
      </c>
      <c r="Y64" s="18">
        <f>IF(COUNT(C64:P64)=0,"",IFERROR(I64/H64,0))</f>
        <v/>
      </c>
      <c r="Z64" s="17">
        <f>IF(COUNT(C64:P64)=0,"",IFERROR(I64/G64,0))</f>
        <v/>
      </c>
      <c r="AA64" s="15">
        <f>IF(COUNT(C64:P64)=0,"",IFERROR(C64/I64,0))</f>
        <v/>
      </c>
      <c r="AB64" s="18">
        <f>IF(COUNT(C64:P64)=0,"",IFERROR(J64/I64,0))</f>
        <v/>
      </c>
      <c r="AC64" s="18">
        <f>IF(COUNT(C64:P64)=0,"",IFERROR(K64/I64,0))</f>
        <v/>
      </c>
      <c r="AD64" s="18">
        <f>IF(COUNT(C64:P64)=0,"",IFERROR(L64/I64,0))</f>
        <v/>
      </c>
      <c r="AE64" s="18">
        <f>IF(COUNT(C64:P64)=0,"",IFERROR(P64/I64,0))</f>
        <v/>
      </c>
      <c r="AF64" s="20">
        <f>IF(COUNT(C64:P64)=0,"",IFERROR(I64*Config!$C$7+J64*Config!$C$8+K64*Config!$C$9+L64*Config!$C$10+M64*Config!$C$11+N64*Config!$C$12+O64*Config!$C$13+P64*Config!$C$14,0))</f>
        <v/>
      </c>
      <c r="AG64" s="15">
        <f>IF(COUNT(C64:P64)=0,"",IFERROR(AF64/I64,0))</f>
        <v/>
      </c>
      <c r="AH64" s="20">
        <f>IF(COUNT(C64:P64)=0,"",IFERROR(AF64*(1-Config!$C$15-Config!$C$16-Config!$C$17),0))</f>
        <v/>
      </c>
      <c r="AI64" s="20">
        <f>IF(COUNT(C64:P64)=0,"",IFERROR(AH64-C64-Config!$C$18,0))</f>
        <v/>
      </c>
      <c r="AJ64" s="21">
        <f>IF(COUNT(C64:P64)=0,"",IFERROR(AH64/C64,0))</f>
        <v/>
      </c>
      <c r="AK64" s="15">
        <f>IF(COUNT(C64:P64)=0,"",IFERROR(AI64/G64,0))</f>
        <v/>
      </c>
      <c r="AL64" s="21">
        <f>IF(COUNT(C64:P64)=0,"",IFERROR(AK64/V64,0))</f>
        <v/>
      </c>
      <c r="AM64" s="15">
        <f>IF(COUNT(C64:P64)=0,"",IFERROR(AI64/I64,0))</f>
        <v/>
      </c>
      <c r="AN64" s="15">
        <f>IF(COUNT(C64:P64)=0,"",IFERROR(AH64/I64-AA64,0))</f>
        <v/>
      </c>
    </row>
    <row r="65">
      <c r="A65" s="12">
        <f>Config!$C$6+59</f>
        <v/>
      </c>
      <c r="B65" s="13">
        <f>INT((A65-Config!$C$6)/7)+1</f>
        <v/>
      </c>
      <c r="C65" s="10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5">
        <f>IF(COUNT(C65:P65)=0,"",IFERROR(C65/D65*1000,0))</f>
        <v/>
      </c>
      <c r="R65" s="16">
        <f>IF(COUNT(C65:P65)=0,"",IFERROR(D65/E65,0))</f>
        <v/>
      </c>
      <c r="S65" s="17">
        <f>IF(COUNT(C65:P65)=0,"",IFERROR(F65/D65,0))</f>
        <v/>
      </c>
      <c r="T65" s="15">
        <f>IF(COUNT(C65:P65)=0,"",IFERROR(C65/F65,0))</f>
        <v/>
      </c>
      <c r="U65" s="18">
        <f>IF(COUNT(C65:P65)=0,"",IFERROR(G65/F65,0))</f>
        <v/>
      </c>
      <c r="V65" s="15">
        <f>IF(COUNT(C65:P65)=0,"",IFERROR(C65/G65,0))</f>
        <v/>
      </c>
      <c r="W65" s="19">
        <f>IF(COUNT(C65:P65)=0,"",IFERROR(G65/D65*1000,0))</f>
        <v/>
      </c>
      <c r="X65" s="18">
        <f>IF(COUNT(C65:P65)=0,"",IFERROR(H65/G65,0))</f>
        <v/>
      </c>
      <c r="Y65" s="18">
        <f>IF(COUNT(C65:P65)=0,"",IFERROR(I65/H65,0))</f>
        <v/>
      </c>
      <c r="Z65" s="17">
        <f>IF(COUNT(C65:P65)=0,"",IFERROR(I65/G65,0))</f>
        <v/>
      </c>
      <c r="AA65" s="15">
        <f>IF(COUNT(C65:P65)=0,"",IFERROR(C65/I65,0))</f>
        <v/>
      </c>
      <c r="AB65" s="18">
        <f>IF(COUNT(C65:P65)=0,"",IFERROR(J65/I65,0))</f>
        <v/>
      </c>
      <c r="AC65" s="18">
        <f>IF(COUNT(C65:P65)=0,"",IFERROR(K65/I65,0))</f>
        <v/>
      </c>
      <c r="AD65" s="18">
        <f>IF(COUNT(C65:P65)=0,"",IFERROR(L65/I65,0))</f>
        <v/>
      </c>
      <c r="AE65" s="18">
        <f>IF(COUNT(C65:P65)=0,"",IFERROR(P65/I65,0))</f>
        <v/>
      </c>
      <c r="AF65" s="20">
        <f>IF(COUNT(C65:P65)=0,"",IFERROR(I65*Config!$C$7+J65*Config!$C$8+K65*Config!$C$9+L65*Config!$C$10+M65*Config!$C$11+N65*Config!$C$12+O65*Config!$C$13+P65*Config!$C$14,0))</f>
        <v/>
      </c>
      <c r="AG65" s="15">
        <f>IF(COUNT(C65:P65)=0,"",IFERROR(AF65/I65,0))</f>
        <v/>
      </c>
      <c r="AH65" s="20">
        <f>IF(COUNT(C65:P65)=0,"",IFERROR(AF65*(1-Config!$C$15-Config!$C$16-Config!$C$17),0))</f>
        <v/>
      </c>
      <c r="AI65" s="20">
        <f>IF(COUNT(C65:P65)=0,"",IFERROR(AH65-C65-Config!$C$18,0))</f>
        <v/>
      </c>
      <c r="AJ65" s="21">
        <f>IF(COUNT(C65:P65)=0,"",IFERROR(AH65/C65,0))</f>
        <v/>
      </c>
      <c r="AK65" s="15">
        <f>IF(COUNT(C65:P65)=0,"",IFERROR(AI65/G65,0))</f>
        <v/>
      </c>
      <c r="AL65" s="21">
        <f>IF(COUNT(C65:P65)=0,"",IFERROR(AK65/V65,0))</f>
        <v/>
      </c>
      <c r="AM65" s="15">
        <f>IF(COUNT(C65:P65)=0,"",IFERROR(AI65/I65,0))</f>
        <v/>
      </c>
      <c r="AN65" s="15">
        <f>IF(COUNT(C65:P65)=0,"",IFERROR(AH65/I65-AA65,0))</f>
        <v/>
      </c>
    </row>
    <row r="66">
      <c r="A66" s="12">
        <f>Config!$C$6+60</f>
        <v/>
      </c>
      <c r="B66" s="13">
        <f>INT((A66-Config!$C$6)/7)+1</f>
        <v/>
      </c>
      <c r="C66" s="10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5">
        <f>IF(COUNT(C66:P66)=0,"",IFERROR(C66/D66*1000,0))</f>
        <v/>
      </c>
      <c r="R66" s="16">
        <f>IF(COUNT(C66:P66)=0,"",IFERROR(D66/E66,0))</f>
        <v/>
      </c>
      <c r="S66" s="17">
        <f>IF(COUNT(C66:P66)=0,"",IFERROR(F66/D66,0))</f>
        <v/>
      </c>
      <c r="T66" s="15">
        <f>IF(COUNT(C66:P66)=0,"",IFERROR(C66/F66,0))</f>
        <v/>
      </c>
      <c r="U66" s="18">
        <f>IF(COUNT(C66:P66)=0,"",IFERROR(G66/F66,0))</f>
        <v/>
      </c>
      <c r="V66" s="15">
        <f>IF(COUNT(C66:P66)=0,"",IFERROR(C66/G66,0))</f>
        <v/>
      </c>
      <c r="W66" s="19">
        <f>IF(COUNT(C66:P66)=0,"",IFERROR(G66/D66*1000,0))</f>
        <v/>
      </c>
      <c r="X66" s="18">
        <f>IF(COUNT(C66:P66)=0,"",IFERROR(H66/G66,0))</f>
        <v/>
      </c>
      <c r="Y66" s="18">
        <f>IF(COUNT(C66:P66)=0,"",IFERROR(I66/H66,0))</f>
        <v/>
      </c>
      <c r="Z66" s="17">
        <f>IF(COUNT(C66:P66)=0,"",IFERROR(I66/G66,0))</f>
        <v/>
      </c>
      <c r="AA66" s="15">
        <f>IF(COUNT(C66:P66)=0,"",IFERROR(C66/I66,0))</f>
        <v/>
      </c>
      <c r="AB66" s="18">
        <f>IF(COUNT(C66:P66)=0,"",IFERROR(J66/I66,0))</f>
        <v/>
      </c>
      <c r="AC66" s="18">
        <f>IF(COUNT(C66:P66)=0,"",IFERROR(K66/I66,0))</f>
        <v/>
      </c>
      <c r="AD66" s="18">
        <f>IF(COUNT(C66:P66)=0,"",IFERROR(L66/I66,0))</f>
        <v/>
      </c>
      <c r="AE66" s="18">
        <f>IF(COUNT(C66:P66)=0,"",IFERROR(P66/I66,0))</f>
        <v/>
      </c>
      <c r="AF66" s="20">
        <f>IF(COUNT(C66:P66)=0,"",IFERROR(I66*Config!$C$7+J66*Config!$C$8+K66*Config!$C$9+L66*Config!$C$10+M66*Config!$C$11+N66*Config!$C$12+O66*Config!$C$13+P66*Config!$C$14,0))</f>
        <v/>
      </c>
      <c r="AG66" s="15">
        <f>IF(COUNT(C66:P66)=0,"",IFERROR(AF66/I66,0))</f>
        <v/>
      </c>
      <c r="AH66" s="20">
        <f>IF(COUNT(C66:P66)=0,"",IFERROR(AF66*(1-Config!$C$15-Config!$C$16-Config!$C$17),0))</f>
        <v/>
      </c>
      <c r="AI66" s="20">
        <f>IF(COUNT(C66:P66)=0,"",IFERROR(AH66-C66-Config!$C$18,0))</f>
        <v/>
      </c>
      <c r="AJ66" s="21">
        <f>IF(COUNT(C66:P66)=0,"",IFERROR(AH66/C66,0))</f>
        <v/>
      </c>
      <c r="AK66" s="15">
        <f>IF(COUNT(C66:P66)=0,"",IFERROR(AI66/G66,0))</f>
        <v/>
      </c>
      <c r="AL66" s="21">
        <f>IF(COUNT(C66:P66)=0,"",IFERROR(AK66/V66,0))</f>
        <v/>
      </c>
      <c r="AM66" s="15">
        <f>IF(COUNT(C66:P66)=0,"",IFERROR(AI66/I66,0))</f>
        <v/>
      </c>
      <c r="AN66" s="15">
        <f>IF(COUNT(C66:P66)=0,"",IFERROR(AH66/I66-AA66,0))</f>
        <v/>
      </c>
    </row>
    <row r="67">
      <c r="A67" s="12">
        <f>Config!$C$6+61</f>
        <v/>
      </c>
      <c r="B67" s="13">
        <f>INT((A67-Config!$C$6)/7)+1</f>
        <v/>
      </c>
      <c r="C67" s="10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5">
        <f>IF(COUNT(C67:P67)=0,"",IFERROR(C67/D67*1000,0))</f>
        <v/>
      </c>
      <c r="R67" s="16">
        <f>IF(COUNT(C67:P67)=0,"",IFERROR(D67/E67,0))</f>
        <v/>
      </c>
      <c r="S67" s="17">
        <f>IF(COUNT(C67:P67)=0,"",IFERROR(F67/D67,0))</f>
        <v/>
      </c>
      <c r="T67" s="15">
        <f>IF(COUNT(C67:P67)=0,"",IFERROR(C67/F67,0))</f>
        <v/>
      </c>
      <c r="U67" s="18">
        <f>IF(COUNT(C67:P67)=0,"",IFERROR(G67/F67,0))</f>
        <v/>
      </c>
      <c r="V67" s="15">
        <f>IF(COUNT(C67:P67)=0,"",IFERROR(C67/G67,0))</f>
        <v/>
      </c>
      <c r="W67" s="19">
        <f>IF(COUNT(C67:P67)=0,"",IFERROR(G67/D67*1000,0))</f>
        <v/>
      </c>
      <c r="X67" s="18">
        <f>IF(COUNT(C67:P67)=0,"",IFERROR(H67/G67,0))</f>
        <v/>
      </c>
      <c r="Y67" s="18">
        <f>IF(COUNT(C67:P67)=0,"",IFERROR(I67/H67,0))</f>
        <v/>
      </c>
      <c r="Z67" s="17">
        <f>IF(COUNT(C67:P67)=0,"",IFERROR(I67/G67,0))</f>
        <v/>
      </c>
      <c r="AA67" s="15">
        <f>IF(COUNT(C67:P67)=0,"",IFERROR(C67/I67,0))</f>
        <v/>
      </c>
      <c r="AB67" s="18">
        <f>IF(COUNT(C67:P67)=0,"",IFERROR(J67/I67,0))</f>
        <v/>
      </c>
      <c r="AC67" s="18">
        <f>IF(COUNT(C67:P67)=0,"",IFERROR(K67/I67,0))</f>
        <v/>
      </c>
      <c r="AD67" s="18">
        <f>IF(COUNT(C67:P67)=0,"",IFERROR(L67/I67,0))</f>
        <v/>
      </c>
      <c r="AE67" s="18">
        <f>IF(COUNT(C67:P67)=0,"",IFERROR(P67/I67,0))</f>
        <v/>
      </c>
      <c r="AF67" s="20">
        <f>IF(COUNT(C67:P67)=0,"",IFERROR(I67*Config!$C$7+J67*Config!$C$8+K67*Config!$C$9+L67*Config!$C$10+M67*Config!$C$11+N67*Config!$C$12+O67*Config!$C$13+P67*Config!$C$14,0))</f>
        <v/>
      </c>
      <c r="AG67" s="15">
        <f>IF(COUNT(C67:P67)=0,"",IFERROR(AF67/I67,0))</f>
        <v/>
      </c>
      <c r="AH67" s="20">
        <f>IF(COUNT(C67:P67)=0,"",IFERROR(AF67*(1-Config!$C$15-Config!$C$16-Config!$C$17),0))</f>
        <v/>
      </c>
      <c r="AI67" s="20">
        <f>IF(COUNT(C67:P67)=0,"",IFERROR(AH67-C67-Config!$C$18,0))</f>
        <v/>
      </c>
      <c r="AJ67" s="21">
        <f>IF(COUNT(C67:P67)=0,"",IFERROR(AH67/C67,0))</f>
        <v/>
      </c>
      <c r="AK67" s="15">
        <f>IF(COUNT(C67:P67)=0,"",IFERROR(AI67/G67,0))</f>
        <v/>
      </c>
      <c r="AL67" s="21">
        <f>IF(COUNT(C67:P67)=0,"",IFERROR(AK67/V67,0))</f>
        <v/>
      </c>
      <c r="AM67" s="15">
        <f>IF(COUNT(C67:P67)=0,"",IFERROR(AI67/I67,0))</f>
        <v/>
      </c>
      <c r="AN67" s="15">
        <f>IF(COUNT(C67:P67)=0,"",IFERROR(AH67/I67-AA67,0))</f>
        <v/>
      </c>
    </row>
    <row r="68">
      <c r="A68" s="12">
        <f>Config!$C$6+62</f>
        <v/>
      </c>
      <c r="B68" s="13">
        <f>INT((A68-Config!$C$6)/7)+1</f>
        <v/>
      </c>
      <c r="C68" s="10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5">
        <f>IF(COUNT(C68:P68)=0,"",IFERROR(C68/D68*1000,0))</f>
        <v/>
      </c>
      <c r="R68" s="16">
        <f>IF(COUNT(C68:P68)=0,"",IFERROR(D68/E68,0))</f>
        <v/>
      </c>
      <c r="S68" s="17">
        <f>IF(COUNT(C68:P68)=0,"",IFERROR(F68/D68,0))</f>
        <v/>
      </c>
      <c r="T68" s="15">
        <f>IF(COUNT(C68:P68)=0,"",IFERROR(C68/F68,0))</f>
        <v/>
      </c>
      <c r="U68" s="18">
        <f>IF(COUNT(C68:P68)=0,"",IFERROR(G68/F68,0))</f>
        <v/>
      </c>
      <c r="V68" s="15">
        <f>IF(COUNT(C68:P68)=0,"",IFERROR(C68/G68,0))</f>
        <v/>
      </c>
      <c r="W68" s="19">
        <f>IF(COUNT(C68:P68)=0,"",IFERROR(G68/D68*1000,0))</f>
        <v/>
      </c>
      <c r="X68" s="18">
        <f>IF(COUNT(C68:P68)=0,"",IFERROR(H68/G68,0))</f>
        <v/>
      </c>
      <c r="Y68" s="18">
        <f>IF(COUNT(C68:P68)=0,"",IFERROR(I68/H68,0))</f>
        <v/>
      </c>
      <c r="Z68" s="17">
        <f>IF(COUNT(C68:P68)=0,"",IFERROR(I68/G68,0))</f>
        <v/>
      </c>
      <c r="AA68" s="15">
        <f>IF(COUNT(C68:P68)=0,"",IFERROR(C68/I68,0))</f>
        <v/>
      </c>
      <c r="AB68" s="18">
        <f>IF(COUNT(C68:P68)=0,"",IFERROR(J68/I68,0))</f>
        <v/>
      </c>
      <c r="AC68" s="18">
        <f>IF(COUNT(C68:P68)=0,"",IFERROR(K68/I68,0))</f>
        <v/>
      </c>
      <c r="AD68" s="18">
        <f>IF(COUNT(C68:P68)=0,"",IFERROR(L68/I68,0))</f>
        <v/>
      </c>
      <c r="AE68" s="18">
        <f>IF(COUNT(C68:P68)=0,"",IFERROR(P68/I68,0))</f>
        <v/>
      </c>
      <c r="AF68" s="20">
        <f>IF(COUNT(C68:P68)=0,"",IFERROR(I68*Config!$C$7+J68*Config!$C$8+K68*Config!$C$9+L68*Config!$C$10+M68*Config!$C$11+N68*Config!$C$12+O68*Config!$C$13+P68*Config!$C$14,0))</f>
        <v/>
      </c>
      <c r="AG68" s="15">
        <f>IF(COUNT(C68:P68)=0,"",IFERROR(AF68/I68,0))</f>
        <v/>
      </c>
      <c r="AH68" s="20">
        <f>IF(COUNT(C68:P68)=0,"",IFERROR(AF68*(1-Config!$C$15-Config!$C$16-Config!$C$17),0))</f>
        <v/>
      </c>
      <c r="AI68" s="20">
        <f>IF(COUNT(C68:P68)=0,"",IFERROR(AH68-C68-Config!$C$18,0))</f>
        <v/>
      </c>
      <c r="AJ68" s="21">
        <f>IF(COUNT(C68:P68)=0,"",IFERROR(AH68/C68,0))</f>
        <v/>
      </c>
      <c r="AK68" s="15">
        <f>IF(COUNT(C68:P68)=0,"",IFERROR(AI68/G68,0))</f>
        <v/>
      </c>
      <c r="AL68" s="21">
        <f>IF(COUNT(C68:P68)=0,"",IFERROR(AK68/V68,0))</f>
        <v/>
      </c>
      <c r="AM68" s="15">
        <f>IF(COUNT(C68:P68)=0,"",IFERROR(AI68/I68,0))</f>
        <v/>
      </c>
      <c r="AN68" s="15">
        <f>IF(COUNT(C68:P68)=0,"",IFERROR(AH68/I68-AA68,0))</f>
        <v/>
      </c>
    </row>
    <row r="69">
      <c r="A69" s="12">
        <f>Config!$C$6+63</f>
        <v/>
      </c>
      <c r="B69" s="13">
        <f>INT((A69-Config!$C$6)/7)+1</f>
        <v/>
      </c>
      <c r="C69" s="10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5">
        <f>IF(COUNT(C69:P69)=0,"",IFERROR(C69/D69*1000,0))</f>
        <v/>
      </c>
      <c r="R69" s="16">
        <f>IF(COUNT(C69:P69)=0,"",IFERROR(D69/E69,0))</f>
        <v/>
      </c>
      <c r="S69" s="17">
        <f>IF(COUNT(C69:P69)=0,"",IFERROR(F69/D69,0))</f>
        <v/>
      </c>
      <c r="T69" s="15">
        <f>IF(COUNT(C69:P69)=0,"",IFERROR(C69/F69,0))</f>
        <v/>
      </c>
      <c r="U69" s="18">
        <f>IF(COUNT(C69:P69)=0,"",IFERROR(G69/F69,0))</f>
        <v/>
      </c>
      <c r="V69" s="15">
        <f>IF(COUNT(C69:P69)=0,"",IFERROR(C69/G69,0))</f>
        <v/>
      </c>
      <c r="W69" s="19">
        <f>IF(COUNT(C69:P69)=0,"",IFERROR(G69/D69*1000,0))</f>
        <v/>
      </c>
      <c r="X69" s="18">
        <f>IF(COUNT(C69:P69)=0,"",IFERROR(H69/G69,0))</f>
        <v/>
      </c>
      <c r="Y69" s="18">
        <f>IF(COUNT(C69:P69)=0,"",IFERROR(I69/H69,0))</f>
        <v/>
      </c>
      <c r="Z69" s="17">
        <f>IF(COUNT(C69:P69)=0,"",IFERROR(I69/G69,0))</f>
        <v/>
      </c>
      <c r="AA69" s="15">
        <f>IF(COUNT(C69:P69)=0,"",IFERROR(C69/I69,0))</f>
        <v/>
      </c>
      <c r="AB69" s="18">
        <f>IF(COUNT(C69:P69)=0,"",IFERROR(J69/I69,0))</f>
        <v/>
      </c>
      <c r="AC69" s="18">
        <f>IF(COUNT(C69:P69)=0,"",IFERROR(K69/I69,0))</f>
        <v/>
      </c>
      <c r="AD69" s="18">
        <f>IF(COUNT(C69:P69)=0,"",IFERROR(L69/I69,0))</f>
        <v/>
      </c>
      <c r="AE69" s="18">
        <f>IF(COUNT(C69:P69)=0,"",IFERROR(P69/I69,0))</f>
        <v/>
      </c>
      <c r="AF69" s="20">
        <f>IF(COUNT(C69:P69)=0,"",IFERROR(I69*Config!$C$7+J69*Config!$C$8+K69*Config!$C$9+L69*Config!$C$10+M69*Config!$C$11+N69*Config!$C$12+O69*Config!$C$13+P69*Config!$C$14,0))</f>
        <v/>
      </c>
      <c r="AG69" s="15">
        <f>IF(COUNT(C69:P69)=0,"",IFERROR(AF69/I69,0))</f>
        <v/>
      </c>
      <c r="AH69" s="20">
        <f>IF(COUNT(C69:P69)=0,"",IFERROR(AF69*(1-Config!$C$15-Config!$C$16-Config!$C$17),0))</f>
        <v/>
      </c>
      <c r="AI69" s="20">
        <f>IF(COUNT(C69:P69)=0,"",IFERROR(AH69-C69-Config!$C$18,0))</f>
        <v/>
      </c>
      <c r="AJ69" s="21">
        <f>IF(COUNT(C69:P69)=0,"",IFERROR(AH69/C69,0))</f>
        <v/>
      </c>
      <c r="AK69" s="15">
        <f>IF(COUNT(C69:P69)=0,"",IFERROR(AI69/G69,0))</f>
        <v/>
      </c>
      <c r="AL69" s="21">
        <f>IF(COUNT(C69:P69)=0,"",IFERROR(AK69/V69,0))</f>
        <v/>
      </c>
      <c r="AM69" s="15">
        <f>IF(COUNT(C69:P69)=0,"",IFERROR(AI69/I69,0))</f>
        <v/>
      </c>
      <c r="AN69" s="15">
        <f>IF(COUNT(C69:P69)=0,"",IFERROR(AH69/I69-AA69,0))</f>
        <v/>
      </c>
    </row>
    <row r="70">
      <c r="A70" s="12">
        <f>Config!$C$6+64</f>
        <v/>
      </c>
      <c r="B70" s="13">
        <f>INT((A70-Config!$C$6)/7)+1</f>
        <v/>
      </c>
      <c r="C70" s="10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5">
        <f>IF(COUNT(C70:P70)=0,"",IFERROR(C70/D70*1000,0))</f>
        <v/>
      </c>
      <c r="R70" s="16">
        <f>IF(COUNT(C70:P70)=0,"",IFERROR(D70/E70,0))</f>
        <v/>
      </c>
      <c r="S70" s="17">
        <f>IF(COUNT(C70:P70)=0,"",IFERROR(F70/D70,0))</f>
        <v/>
      </c>
      <c r="T70" s="15">
        <f>IF(COUNT(C70:P70)=0,"",IFERROR(C70/F70,0))</f>
        <v/>
      </c>
      <c r="U70" s="18">
        <f>IF(COUNT(C70:P70)=0,"",IFERROR(G70/F70,0))</f>
        <v/>
      </c>
      <c r="V70" s="15">
        <f>IF(COUNT(C70:P70)=0,"",IFERROR(C70/G70,0))</f>
        <v/>
      </c>
      <c r="W70" s="19">
        <f>IF(COUNT(C70:P70)=0,"",IFERROR(G70/D70*1000,0))</f>
        <v/>
      </c>
      <c r="X70" s="18">
        <f>IF(COUNT(C70:P70)=0,"",IFERROR(H70/G70,0))</f>
        <v/>
      </c>
      <c r="Y70" s="18">
        <f>IF(COUNT(C70:P70)=0,"",IFERROR(I70/H70,0))</f>
        <v/>
      </c>
      <c r="Z70" s="17">
        <f>IF(COUNT(C70:P70)=0,"",IFERROR(I70/G70,0))</f>
        <v/>
      </c>
      <c r="AA70" s="15">
        <f>IF(COUNT(C70:P70)=0,"",IFERROR(C70/I70,0))</f>
        <v/>
      </c>
      <c r="AB70" s="18">
        <f>IF(COUNT(C70:P70)=0,"",IFERROR(J70/I70,0))</f>
        <v/>
      </c>
      <c r="AC70" s="18">
        <f>IF(COUNT(C70:P70)=0,"",IFERROR(K70/I70,0))</f>
        <v/>
      </c>
      <c r="AD70" s="18">
        <f>IF(COUNT(C70:P70)=0,"",IFERROR(L70/I70,0))</f>
        <v/>
      </c>
      <c r="AE70" s="18">
        <f>IF(COUNT(C70:P70)=0,"",IFERROR(P70/I70,0))</f>
        <v/>
      </c>
      <c r="AF70" s="20">
        <f>IF(COUNT(C70:P70)=0,"",IFERROR(I70*Config!$C$7+J70*Config!$C$8+K70*Config!$C$9+L70*Config!$C$10+M70*Config!$C$11+N70*Config!$C$12+O70*Config!$C$13+P70*Config!$C$14,0))</f>
        <v/>
      </c>
      <c r="AG70" s="15">
        <f>IF(COUNT(C70:P70)=0,"",IFERROR(AF70/I70,0))</f>
        <v/>
      </c>
      <c r="AH70" s="20">
        <f>IF(COUNT(C70:P70)=0,"",IFERROR(AF70*(1-Config!$C$15-Config!$C$16-Config!$C$17),0))</f>
        <v/>
      </c>
      <c r="AI70" s="20">
        <f>IF(COUNT(C70:P70)=0,"",IFERROR(AH70-C70-Config!$C$18,0))</f>
        <v/>
      </c>
      <c r="AJ70" s="21">
        <f>IF(COUNT(C70:P70)=0,"",IFERROR(AH70/C70,0))</f>
        <v/>
      </c>
      <c r="AK70" s="15">
        <f>IF(COUNT(C70:P70)=0,"",IFERROR(AI70/G70,0))</f>
        <v/>
      </c>
      <c r="AL70" s="21">
        <f>IF(COUNT(C70:P70)=0,"",IFERROR(AK70/V70,0))</f>
        <v/>
      </c>
      <c r="AM70" s="15">
        <f>IF(COUNT(C70:P70)=0,"",IFERROR(AI70/I70,0))</f>
        <v/>
      </c>
      <c r="AN70" s="15">
        <f>IF(COUNT(C70:P70)=0,"",IFERROR(AH70/I70-AA70,0))</f>
        <v/>
      </c>
    </row>
    <row r="71">
      <c r="A71" s="12">
        <f>Config!$C$6+65</f>
        <v/>
      </c>
      <c r="B71" s="13">
        <f>INT((A71-Config!$C$6)/7)+1</f>
        <v/>
      </c>
      <c r="C71" s="10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5">
        <f>IF(COUNT(C71:P71)=0,"",IFERROR(C71/D71*1000,0))</f>
        <v/>
      </c>
      <c r="R71" s="16">
        <f>IF(COUNT(C71:P71)=0,"",IFERROR(D71/E71,0))</f>
        <v/>
      </c>
      <c r="S71" s="17">
        <f>IF(COUNT(C71:P71)=0,"",IFERROR(F71/D71,0))</f>
        <v/>
      </c>
      <c r="T71" s="15">
        <f>IF(COUNT(C71:P71)=0,"",IFERROR(C71/F71,0))</f>
        <v/>
      </c>
      <c r="U71" s="18">
        <f>IF(COUNT(C71:P71)=0,"",IFERROR(G71/F71,0))</f>
        <v/>
      </c>
      <c r="V71" s="15">
        <f>IF(COUNT(C71:P71)=0,"",IFERROR(C71/G71,0))</f>
        <v/>
      </c>
      <c r="W71" s="19">
        <f>IF(COUNT(C71:P71)=0,"",IFERROR(G71/D71*1000,0))</f>
        <v/>
      </c>
      <c r="X71" s="18">
        <f>IF(COUNT(C71:P71)=0,"",IFERROR(H71/G71,0))</f>
        <v/>
      </c>
      <c r="Y71" s="18">
        <f>IF(COUNT(C71:P71)=0,"",IFERROR(I71/H71,0))</f>
        <v/>
      </c>
      <c r="Z71" s="17">
        <f>IF(COUNT(C71:P71)=0,"",IFERROR(I71/G71,0))</f>
        <v/>
      </c>
      <c r="AA71" s="15">
        <f>IF(COUNT(C71:P71)=0,"",IFERROR(C71/I71,0))</f>
        <v/>
      </c>
      <c r="AB71" s="18">
        <f>IF(COUNT(C71:P71)=0,"",IFERROR(J71/I71,0))</f>
        <v/>
      </c>
      <c r="AC71" s="18">
        <f>IF(COUNT(C71:P71)=0,"",IFERROR(K71/I71,0))</f>
        <v/>
      </c>
      <c r="AD71" s="18">
        <f>IF(COUNT(C71:P71)=0,"",IFERROR(L71/I71,0))</f>
        <v/>
      </c>
      <c r="AE71" s="18">
        <f>IF(COUNT(C71:P71)=0,"",IFERROR(P71/I71,0))</f>
        <v/>
      </c>
      <c r="AF71" s="20">
        <f>IF(COUNT(C71:P71)=0,"",IFERROR(I71*Config!$C$7+J71*Config!$C$8+K71*Config!$C$9+L71*Config!$C$10+M71*Config!$C$11+N71*Config!$C$12+O71*Config!$C$13+P71*Config!$C$14,0))</f>
        <v/>
      </c>
      <c r="AG71" s="15">
        <f>IF(COUNT(C71:P71)=0,"",IFERROR(AF71/I71,0))</f>
        <v/>
      </c>
      <c r="AH71" s="20">
        <f>IF(COUNT(C71:P71)=0,"",IFERROR(AF71*(1-Config!$C$15-Config!$C$16-Config!$C$17),0))</f>
        <v/>
      </c>
      <c r="AI71" s="20">
        <f>IF(COUNT(C71:P71)=0,"",IFERROR(AH71-C71-Config!$C$18,0))</f>
        <v/>
      </c>
      <c r="AJ71" s="21">
        <f>IF(COUNT(C71:P71)=0,"",IFERROR(AH71/C71,0))</f>
        <v/>
      </c>
      <c r="AK71" s="15">
        <f>IF(COUNT(C71:P71)=0,"",IFERROR(AI71/G71,0))</f>
        <v/>
      </c>
      <c r="AL71" s="21">
        <f>IF(COUNT(C71:P71)=0,"",IFERROR(AK71/V71,0))</f>
        <v/>
      </c>
      <c r="AM71" s="15">
        <f>IF(COUNT(C71:P71)=0,"",IFERROR(AI71/I71,0))</f>
        <v/>
      </c>
      <c r="AN71" s="15">
        <f>IF(COUNT(C71:P71)=0,"",IFERROR(AH71/I71-AA71,0))</f>
        <v/>
      </c>
    </row>
    <row r="72">
      <c r="A72" s="12">
        <f>Config!$C$6+66</f>
        <v/>
      </c>
      <c r="B72" s="13">
        <f>INT((A72-Config!$C$6)/7)+1</f>
        <v/>
      </c>
      <c r="C72" s="10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5">
        <f>IF(COUNT(C72:P72)=0,"",IFERROR(C72/D72*1000,0))</f>
        <v/>
      </c>
      <c r="R72" s="16">
        <f>IF(COUNT(C72:P72)=0,"",IFERROR(D72/E72,0))</f>
        <v/>
      </c>
      <c r="S72" s="17">
        <f>IF(COUNT(C72:P72)=0,"",IFERROR(F72/D72,0))</f>
        <v/>
      </c>
      <c r="T72" s="15">
        <f>IF(COUNT(C72:P72)=0,"",IFERROR(C72/F72,0))</f>
        <v/>
      </c>
      <c r="U72" s="18">
        <f>IF(COUNT(C72:P72)=0,"",IFERROR(G72/F72,0))</f>
        <v/>
      </c>
      <c r="V72" s="15">
        <f>IF(COUNT(C72:P72)=0,"",IFERROR(C72/G72,0))</f>
        <v/>
      </c>
      <c r="W72" s="19">
        <f>IF(COUNT(C72:P72)=0,"",IFERROR(G72/D72*1000,0))</f>
        <v/>
      </c>
      <c r="X72" s="18">
        <f>IF(COUNT(C72:P72)=0,"",IFERROR(H72/G72,0))</f>
        <v/>
      </c>
      <c r="Y72" s="18">
        <f>IF(COUNT(C72:P72)=0,"",IFERROR(I72/H72,0))</f>
        <v/>
      </c>
      <c r="Z72" s="17">
        <f>IF(COUNT(C72:P72)=0,"",IFERROR(I72/G72,0))</f>
        <v/>
      </c>
      <c r="AA72" s="15">
        <f>IF(COUNT(C72:P72)=0,"",IFERROR(C72/I72,0))</f>
        <v/>
      </c>
      <c r="AB72" s="18">
        <f>IF(COUNT(C72:P72)=0,"",IFERROR(J72/I72,0))</f>
        <v/>
      </c>
      <c r="AC72" s="18">
        <f>IF(COUNT(C72:P72)=0,"",IFERROR(K72/I72,0))</f>
        <v/>
      </c>
      <c r="AD72" s="18">
        <f>IF(COUNT(C72:P72)=0,"",IFERROR(L72/I72,0))</f>
        <v/>
      </c>
      <c r="AE72" s="18">
        <f>IF(COUNT(C72:P72)=0,"",IFERROR(P72/I72,0))</f>
        <v/>
      </c>
      <c r="AF72" s="20">
        <f>IF(COUNT(C72:P72)=0,"",IFERROR(I72*Config!$C$7+J72*Config!$C$8+K72*Config!$C$9+L72*Config!$C$10+M72*Config!$C$11+N72*Config!$C$12+O72*Config!$C$13+P72*Config!$C$14,0))</f>
        <v/>
      </c>
      <c r="AG72" s="15">
        <f>IF(COUNT(C72:P72)=0,"",IFERROR(AF72/I72,0))</f>
        <v/>
      </c>
      <c r="AH72" s="20">
        <f>IF(COUNT(C72:P72)=0,"",IFERROR(AF72*(1-Config!$C$15-Config!$C$16-Config!$C$17),0))</f>
        <v/>
      </c>
      <c r="AI72" s="20">
        <f>IF(COUNT(C72:P72)=0,"",IFERROR(AH72-C72-Config!$C$18,0))</f>
        <v/>
      </c>
      <c r="AJ72" s="21">
        <f>IF(COUNT(C72:P72)=0,"",IFERROR(AH72/C72,0))</f>
        <v/>
      </c>
      <c r="AK72" s="15">
        <f>IF(COUNT(C72:P72)=0,"",IFERROR(AI72/G72,0))</f>
        <v/>
      </c>
      <c r="AL72" s="21">
        <f>IF(COUNT(C72:P72)=0,"",IFERROR(AK72/V72,0))</f>
        <v/>
      </c>
      <c r="AM72" s="15">
        <f>IF(COUNT(C72:P72)=0,"",IFERROR(AI72/I72,0))</f>
        <v/>
      </c>
      <c r="AN72" s="15">
        <f>IF(COUNT(C72:P72)=0,"",IFERROR(AH72/I72-AA72,0))</f>
        <v/>
      </c>
    </row>
    <row r="73">
      <c r="A73" s="12">
        <f>Config!$C$6+67</f>
        <v/>
      </c>
      <c r="B73" s="13">
        <f>INT((A73-Config!$C$6)/7)+1</f>
        <v/>
      </c>
      <c r="C73" s="10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5">
        <f>IF(COUNT(C73:P73)=0,"",IFERROR(C73/D73*1000,0))</f>
        <v/>
      </c>
      <c r="R73" s="16">
        <f>IF(COUNT(C73:P73)=0,"",IFERROR(D73/E73,0))</f>
        <v/>
      </c>
      <c r="S73" s="17">
        <f>IF(COUNT(C73:P73)=0,"",IFERROR(F73/D73,0))</f>
        <v/>
      </c>
      <c r="T73" s="15">
        <f>IF(COUNT(C73:P73)=0,"",IFERROR(C73/F73,0))</f>
        <v/>
      </c>
      <c r="U73" s="18">
        <f>IF(COUNT(C73:P73)=0,"",IFERROR(G73/F73,0))</f>
        <v/>
      </c>
      <c r="V73" s="15">
        <f>IF(COUNT(C73:P73)=0,"",IFERROR(C73/G73,0))</f>
        <v/>
      </c>
      <c r="W73" s="19">
        <f>IF(COUNT(C73:P73)=0,"",IFERROR(G73/D73*1000,0))</f>
        <v/>
      </c>
      <c r="X73" s="18">
        <f>IF(COUNT(C73:P73)=0,"",IFERROR(H73/G73,0))</f>
        <v/>
      </c>
      <c r="Y73" s="18">
        <f>IF(COUNT(C73:P73)=0,"",IFERROR(I73/H73,0))</f>
        <v/>
      </c>
      <c r="Z73" s="17">
        <f>IF(COUNT(C73:P73)=0,"",IFERROR(I73/G73,0))</f>
        <v/>
      </c>
      <c r="AA73" s="15">
        <f>IF(COUNT(C73:P73)=0,"",IFERROR(C73/I73,0))</f>
        <v/>
      </c>
      <c r="AB73" s="18">
        <f>IF(COUNT(C73:P73)=0,"",IFERROR(J73/I73,0))</f>
        <v/>
      </c>
      <c r="AC73" s="18">
        <f>IF(COUNT(C73:P73)=0,"",IFERROR(K73/I73,0))</f>
        <v/>
      </c>
      <c r="AD73" s="18">
        <f>IF(COUNT(C73:P73)=0,"",IFERROR(L73/I73,0))</f>
        <v/>
      </c>
      <c r="AE73" s="18">
        <f>IF(COUNT(C73:P73)=0,"",IFERROR(P73/I73,0))</f>
        <v/>
      </c>
      <c r="AF73" s="20">
        <f>IF(COUNT(C73:P73)=0,"",IFERROR(I73*Config!$C$7+J73*Config!$C$8+K73*Config!$C$9+L73*Config!$C$10+M73*Config!$C$11+N73*Config!$C$12+O73*Config!$C$13+P73*Config!$C$14,0))</f>
        <v/>
      </c>
      <c r="AG73" s="15">
        <f>IF(COUNT(C73:P73)=0,"",IFERROR(AF73/I73,0))</f>
        <v/>
      </c>
      <c r="AH73" s="20">
        <f>IF(COUNT(C73:P73)=0,"",IFERROR(AF73*(1-Config!$C$15-Config!$C$16-Config!$C$17),0))</f>
        <v/>
      </c>
      <c r="AI73" s="20">
        <f>IF(COUNT(C73:P73)=0,"",IFERROR(AH73-C73-Config!$C$18,0))</f>
        <v/>
      </c>
      <c r="AJ73" s="21">
        <f>IF(COUNT(C73:P73)=0,"",IFERROR(AH73/C73,0))</f>
        <v/>
      </c>
      <c r="AK73" s="15">
        <f>IF(COUNT(C73:P73)=0,"",IFERROR(AI73/G73,0))</f>
        <v/>
      </c>
      <c r="AL73" s="21">
        <f>IF(COUNT(C73:P73)=0,"",IFERROR(AK73/V73,0))</f>
        <v/>
      </c>
      <c r="AM73" s="15">
        <f>IF(COUNT(C73:P73)=0,"",IFERROR(AI73/I73,0))</f>
        <v/>
      </c>
      <c r="AN73" s="15">
        <f>IF(COUNT(C73:P73)=0,"",IFERROR(AH73/I73-AA73,0))</f>
        <v/>
      </c>
    </row>
    <row r="74">
      <c r="A74" s="12">
        <f>Config!$C$6+68</f>
        <v/>
      </c>
      <c r="B74" s="13">
        <f>INT((A74-Config!$C$6)/7)+1</f>
        <v/>
      </c>
      <c r="C74" s="10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5">
        <f>IF(COUNT(C74:P74)=0,"",IFERROR(C74/D74*1000,0))</f>
        <v/>
      </c>
      <c r="R74" s="16">
        <f>IF(COUNT(C74:P74)=0,"",IFERROR(D74/E74,0))</f>
        <v/>
      </c>
      <c r="S74" s="17">
        <f>IF(COUNT(C74:P74)=0,"",IFERROR(F74/D74,0))</f>
        <v/>
      </c>
      <c r="T74" s="15">
        <f>IF(COUNT(C74:P74)=0,"",IFERROR(C74/F74,0))</f>
        <v/>
      </c>
      <c r="U74" s="18">
        <f>IF(COUNT(C74:P74)=0,"",IFERROR(G74/F74,0))</f>
        <v/>
      </c>
      <c r="V74" s="15">
        <f>IF(COUNT(C74:P74)=0,"",IFERROR(C74/G74,0))</f>
        <v/>
      </c>
      <c r="W74" s="19">
        <f>IF(COUNT(C74:P74)=0,"",IFERROR(G74/D74*1000,0))</f>
        <v/>
      </c>
      <c r="X74" s="18">
        <f>IF(COUNT(C74:P74)=0,"",IFERROR(H74/G74,0))</f>
        <v/>
      </c>
      <c r="Y74" s="18">
        <f>IF(COUNT(C74:P74)=0,"",IFERROR(I74/H74,0))</f>
        <v/>
      </c>
      <c r="Z74" s="17">
        <f>IF(COUNT(C74:P74)=0,"",IFERROR(I74/G74,0))</f>
        <v/>
      </c>
      <c r="AA74" s="15">
        <f>IF(COUNT(C74:P74)=0,"",IFERROR(C74/I74,0))</f>
        <v/>
      </c>
      <c r="AB74" s="18">
        <f>IF(COUNT(C74:P74)=0,"",IFERROR(J74/I74,0))</f>
        <v/>
      </c>
      <c r="AC74" s="18">
        <f>IF(COUNT(C74:P74)=0,"",IFERROR(K74/I74,0))</f>
        <v/>
      </c>
      <c r="AD74" s="18">
        <f>IF(COUNT(C74:P74)=0,"",IFERROR(L74/I74,0))</f>
        <v/>
      </c>
      <c r="AE74" s="18">
        <f>IF(COUNT(C74:P74)=0,"",IFERROR(P74/I74,0))</f>
        <v/>
      </c>
      <c r="AF74" s="20">
        <f>IF(COUNT(C74:P74)=0,"",IFERROR(I74*Config!$C$7+J74*Config!$C$8+K74*Config!$C$9+L74*Config!$C$10+M74*Config!$C$11+N74*Config!$C$12+O74*Config!$C$13+P74*Config!$C$14,0))</f>
        <v/>
      </c>
      <c r="AG74" s="15">
        <f>IF(COUNT(C74:P74)=0,"",IFERROR(AF74/I74,0))</f>
        <v/>
      </c>
      <c r="AH74" s="20">
        <f>IF(COUNT(C74:P74)=0,"",IFERROR(AF74*(1-Config!$C$15-Config!$C$16-Config!$C$17),0))</f>
        <v/>
      </c>
      <c r="AI74" s="20">
        <f>IF(COUNT(C74:P74)=0,"",IFERROR(AH74-C74-Config!$C$18,0))</f>
        <v/>
      </c>
      <c r="AJ74" s="21">
        <f>IF(COUNT(C74:P74)=0,"",IFERROR(AH74/C74,0))</f>
        <v/>
      </c>
      <c r="AK74" s="15">
        <f>IF(COUNT(C74:P74)=0,"",IFERROR(AI74/G74,0))</f>
        <v/>
      </c>
      <c r="AL74" s="21">
        <f>IF(COUNT(C74:P74)=0,"",IFERROR(AK74/V74,0))</f>
        <v/>
      </c>
      <c r="AM74" s="15">
        <f>IF(COUNT(C74:P74)=0,"",IFERROR(AI74/I74,0))</f>
        <v/>
      </c>
      <c r="AN74" s="15">
        <f>IF(COUNT(C74:P74)=0,"",IFERROR(AH74/I74-AA74,0))</f>
        <v/>
      </c>
    </row>
    <row r="75">
      <c r="A75" s="12">
        <f>Config!$C$6+69</f>
        <v/>
      </c>
      <c r="B75" s="13">
        <f>INT((A75-Config!$C$6)/7)+1</f>
        <v/>
      </c>
      <c r="C75" s="10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5">
        <f>IF(COUNT(C75:P75)=0,"",IFERROR(C75/D75*1000,0))</f>
        <v/>
      </c>
      <c r="R75" s="16">
        <f>IF(COUNT(C75:P75)=0,"",IFERROR(D75/E75,0))</f>
        <v/>
      </c>
      <c r="S75" s="17">
        <f>IF(COUNT(C75:P75)=0,"",IFERROR(F75/D75,0))</f>
        <v/>
      </c>
      <c r="T75" s="15">
        <f>IF(COUNT(C75:P75)=0,"",IFERROR(C75/F75,0))</f>
        <v/>
      </c>
      <c r="U75" s="18">
        <f>IF(COUNT(C75:P75)=0,"",IFERROR(G75/F75,0))</f>
        <v/>
      </c>
      <c r="V75" s="15">
        <f>IF(COUNT(C75:P75)=0,"",IFERROR(C75/G75,0))</f>
        <v/>
      </c>
      <c r="W75" s="19">
        <f>IF(COUNT(C75:P75)=0,"",IFERROR(G75/D75*1000,0))</f>
        <v/>
      </c>
      <c r="X75" s="18">
        <f>IF(COUNT(C75:P75)=0,"",IFERROR(H75/G75,0))</f>
        <v/>
      </c>
      <c r="Y75" s="18">
        <f>IF(COUNT(C75:P75)=0,"",IFERROR(I75/H75,0))</f>
        <v/>
      </c>
      <c r="Z75" s="17">
        <f>IF(COUNT(C75:P75)=0,"",IFERROR(I75/G75,0))</f>
        <v/>
      </c>
      <c r="AA75" s="15">
        <f>IF(COUNT(C75:P75)=0,"",IFERROR(C75/I75,0))</f>
        <v/>
      </c>
      <c r="AB75" s="18">
        <f>IF(COUNT(C75:P75)=0,"",IFERROR(J75/I75,0))</f>
        <v/>
      </c>
      <c r="AC75" s="18">
        <f>IF(COUNT(C75:P75)=0,"",IFERROR(K75/I75,0))</f>
        <v/>
      </c>
      <c r="AD75" s="18">
        <f>IF(COUNT(C75:P75)=0,"",IFERROR(L75/I75,0))</f>
        <v/>
      </c>
      <c r="AE75" s="18">
        <f>IF(COUNT(C75:P75)=0,"",IFERROR(P75/I75,0))</f>
        <v/>
      </c>
      <c r="AF75" s="20">
        <f>IF(COUNT(C75:P75)=0,"",IFERROR(I75*Config!$C$7+J75*Config!$C$8+K75*Config!$C$9+L75*Config!$C$10+M75*Config!$C$11+N75*Config!$C$12+O75*Config!$C$13+P75*Config!$C$14,0))</f>
        <v/>
      </c>
      <c r="AG75" s="15">
        <f>IF(COUNT(C75:P75)=0,"",IFERROR(AF75/I75,0))</f>
        <v/>
      </c>
      <c r="AH75" s="20">
        <f>IF(COUNT(C75:P75)=0,"",IFERROR(AF75*(1-Config!$C$15-Config!$C$16-Config!$C$17),0))</f>
        <v/>
      </c>
      <c r="AI75" s="20">
        <f>IF(COUNT(C75:P75)=0,"",IFERROR(AH75-C75-Config!$C$18,0))</f>
        <v/>
      </c>
      <c r="AJ75" s="21">
        <f>IF(COUNT(C75:P75)=0,"",IFERROR(AH75/C75,0))</f>
        <v/>
      </c>
      <c r="AK75" s="15">
        <f>IF(COUNT(C75:P75)=0,"",IFERROR(AI75/G75,0))</f>
        <v/>
      </c>
      <c r="AL75" s="21">
        <f>IF(COUNT(C75:P75)=0,"",IFERROR(AK75/V75,0))</f>
        <v/>
      </c>
      <c r="AM75" s="15">
        <f>IF(COUNT(C75:P75)=0,"",IFERROR(AI75/I75,0))</f>
        <v/>
      </c>
      <c r="AN75" s="15">
        <f>IF(COUNT(C75:P75)=0,"",IFERROR(AH75/I75-AA75,0))</f>
        <v/>
      </c>
    </row>
    <row r="76">
      <c r="A76" s="12">
        <f>Config!$C$6+70</f>
        <v/>
      </c>
      <c r="B76" s="13">
        <f>INT((A76-Config!$C$6)/7)+1</f>
        <v/>
      </c>
      <c r="C76" s="10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5">
        <f>IF(COUNT(C76:P76)=0,"",IFERROR(C76/D76*1000,0))</f>
        <v/>
      </c>
      <c r="R76" s="16">
        <f>IF(COUNT(C76:P76)=0,"",IFERROR(D76/E76,0))</f>
        <v/>
      </c>
      <c r="S76" s="17">
        <f>IF(COUNT(C76:P76)=0,"",IFERROR(F76/D76,0))</f>
        <v/>
      </c>
      <c r="T76" s="15">
        <f>IF(COUNT(C76:P76)=0,"",IFERROR(C76/F76,0))</f>
        <v/>
      </c>
      <c r="U76" s="18">
        <f>IF(COUNT(C76:P76)=0,"",IFERROR(G76/F76,0))</f>
        <v/>
      </c>
      <c r="V76" s="15">
        <f>IF(COUNT(C76:P76)=0,"",IFERROR(C76/G76,0))</f>
        <v/>
      </c>
      <c r="W76" s="19">
        <f>IF(COUNT(C76:P76)=0,"",IFERROR(G76/D76*1000,0))</f>
        <v/>
      </c>
      <c r="X76" s="18">
        <f>IF(COUNT(C76:P76)=0,"",IFERROR(H76/G76,0))</f>
        <v/>
      </c>
      <c r="Y76" s="18">
        <f>IF(COUNT(C76:P76)=0,"",IFERROR(I76/H76,0))</f>
        <v/>
      </c>
      <c r="Z76" s="17">
        <f>IF(COUNT(C76:P76)=0,"",IFERROR(I76/G76,0))</f>
        <v/>
      </c>
      <c r="AA76" s="15">
        <f>IF(COUNT(C76:P76)=0,"",IFERROR(C76/I76,0))</f>
        <v/>
      </c>
      <c r="AB76" s="18">
        <f>IF(COUNT(C76:P76)=0,"",IFERROR(J76/I76,0))</f>
        <v/>
      </c>
      <c r="AC76" s="18">
        <f>IF(COUNT(C76:P76)=0,"",IFERROR(K76/I76,0))</f>
        <v/>
      </c>
      <c r="AD76" s="18">
        <f>IF(COUNT(C76:P76)=0,"",IFERROR(L76/I76,0))</f>
        <v/>
      </c>
      <c r="AE76" s="18">
        <f>IF(COUNT(C76:P76)=0,"",IFERROR(P76/I76,0))</f>
        <v/>
      </c>
      <c r="AF76" s="20">
        <f>IF(COUNT(C76:P76)=0,"",IFERROR(I76*Config!$C$7+J76*Config!$C$8+K76*Config!$C$9+L76*Config!$C$10+M76*Config!$C$11+N76*Config!$C$12+O76*Config!$C$13+P76*Config!$C$14,0))</f>
        <v/>
      </c>
      <c r="AG76" s="15">
        <f>IF(COUNT(C76:P76)=0,"",IFERROR(AF76/I76,0))</f>
        <v/>
      </c>
      <c r="AH76" s="20">
        <f>IF(COUNT(C76:P76)=0,"",IFERROR(AF76*(1-Config!$C$15-Config!$C$16-Config!$C$17),0))</f>
        <v/>
      </c>
      <c r="AI76" s="20">
        <f>IF(COUNT(C76:P76)=0,"",IFERROR(AH76-C76-Config!$C$18,0))</f>
        <v/>
      </c>
      <c r="AJ76" s="21">
        <f>IF(COUNT(C76:P76)=0,"",IFERROR(AH76/C76,0))</f>
        <v/>
      </c>
      <c r="AK76" s="15">
        <f>IF(COUNT(C76:P76)=0,"",IFERROR(AI76/G76,0))</f>
        <v/>
      </c>
      <c r="AL76" s="21">
        <f>IF(COUNT(C76:P76)=0,"",IFERROR(AK76/V76,0))</f>
        <v/>
      </c>
      <c r="AM76" s="15">
        <f>IF(COUNT(C76:P76)=0,"",IFERROR(AI76/I76,0))</f>
        <v/>
      </c>
      <c r="AN76" s="15">
        <f>IF(COUNT(C76:P76)=0,"",IFERROR(AH76/I76-AA76,0))</f>
        <v/>
      </c>
    </row>
    <row r="77">
      <c r="A77" s="12">
        <f>Config!$C$6+71</f>
        <v/>
      </c>
      <c r="B77" s="13">
        <f>INT((A77-Config!$C$6)/7)+1</f>
        <v/>
      </c>
      <c r="C77" s="10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5">
        <f>IF(COUNT(C77:P77)=0,"",IFERROR(C77/D77*1000,0))</f>
        <v/>
      </c>
      <c r="R77" s="16">
        <f>IF(COUNT(C77:P77)=0,"",IFERROR(D77/E77,0))</f>
        <v/>
      </c>
      <c r="S77" s="17">
        <f>IF(COUNT(C77:P77)=0,"",IFERROR(F77/D77,0))</f>
        <v/>
      </c>
      <c r="T77" s="15">
        <f>IF(COUNT(C77:P77)=0,"",IFERROR(C77/F77,0))</f>
        <v/>
      </c>
      <c r="U77" s="18">
        <f>IF(COUNT(C77:P77)=0,"",IFERROR(G77/F77,0))</f>
        <v/>
      </c>
      <c r="V77" s="15">
        <f>IF(COUNT(C77:P77)=0,"",IFERROR(C77/G77,0))</f>
        <v/>
      </c>
      <c r="W77" s="19">
        <f>IF(COUNT(C77:P77)=0,"",IFERROR(G77/D77*1000,0))</f>
        <v/>
      </c>
      <c r="X77" s="18">
        <f>IF(COUNT(C77:P77)=0,"",IFERROR(H77/G77,0))</f>
        <v/>
      </c>
      <c r="Y77" s="18">
        <f>IF(COUNT(C77:P77)=0,"",IFERROR(I77/H77,0))</f>
        <v/>
      </c>
      <c r="Z77" s="17">
        <f>IF(COUNT(C77:P77)=0,"",IFERROR(I77/G77,0))</f>
        <v/>
      </c>
      <c r="AA77" s="15">
        <f>IF(COUNT(C77:P77)=0,"",IFERROR(C77/I77,0))</f>
        <v/>
      </c>
      <c r="AB77" s="18">
        <f>IF(COUNT(C77:P77)=0,"",IFERROR(J77/I77,0))</f>
        <v/>
      </c>
      <c r="AC77" s="18">
        <f>IF(COUNT(C77:P77)=0,"",IFERROR(K77/I77,0))</f>
        <v/>
      </c>
      <c r="AD77" s="18">
        <f>IF(COUNT(C77:P77)=0,"",IFERROR(L77/I77,0))</f>
        <v/>
      </c>
      <c r="AE77" s="18">
        <f>IF(COUNT(C77:P77)=0,"",IFERROR(P77/I77,0))</f>
        <v/>
      </c>
      <c r="AF77" s="20">
        <f>IF(COUNT(C77:P77)=0,"",IFERROR(I77*Config!$C$7+J77*Config!$C$8+K77*Config!$C$9+L77*Config!$C$10+M77*Config!$C$11+N77*Config!$C$12+O77*Config!$C$13+P77*Config!$C$14,0))</f>
        <v/>
      </c>
      <c r="AG77" s="15">
        <f>IF(COUNT(C77:P77)=0,"",IFERROR(AF77/I77,0))</f>
        <v/>
      </c>
      <c r="AH77" s="20">
        <f>IF(COUNT(C77:P77)=0,"",IFERROR(AF77*(1-Config!$C$15-Config!$C$16-Config!$C$17),0))</f>
        <v/>
      </c>
      <c r="AI77" s="20">
        <f>IF(COUNT(C77:P77)=0,"",IFERROR(AH77-C77-Config!$C$18,0))</f>
        <v/>
      </c>
      <c r="AJ77" s="21">
        <f>IF(COUNT(C77:P77)=0,"",IFERROR(AH77/C77,0))</f>
        <v/>
      </c>
      <c r="AK77" s="15">
        <f>IF(COUNT(C77:P77)=0,"",IFERROR(AI77/G77,0))</f>
        <v/>
      </c>
      <c r="AL77" s="21">
        <f>IF(COUNT(C77:P77)=0,"",IFERROR(AK77/V77,0))</f>
        <v/>
      </c>
      <c r="AM77" s="15">
        <f>IF(COUNT(C77:P77)=0,"",IFERROR(AI77/I77,0))</f>
        <v/>
      </c>
      <c r="AN77" s="15">
        <f>IF(COUNT(C77:P77)=0,"",IFERROR(AH77/I77-AA77,0))</f>
        <v/>
      </c>
    </row>
    <row r="78">
      <c r="A78" s="12">
        <f>Config!$C$6+72</f>
        <v/>
      </c>
      <c r="B78" s="13">
        <f>INT((A78-Config!$C$6)/7)+1</f>
        <v/>
      </c>
      <c r="C78" s="10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5">
        <f>IF(COUNT(C78:P78)=0,"",IFERROR(C78/D78*1000,0))</f>
        <v/>
      </c>
      <c r="R78" s="16">
        <f>IF(COUNT(C78:P78)=0,"",IFERROR(D78/E78,0))</f>
        <v/>
      </c>
      <c r="S78" s="17">
        <f>IF(COUNT(C78:P78)=0,"",IFERROR(F78/D78,0))</f>
        <v/>
      </c>
      <c r="T78" s="15">
        <f>IF(COUNT(C78:P78)=0,"",IFERROR(C78/F78,0))</f>
        <v/>
      </c>
      <c r="U78" s="18">
        <f>IF(COUNT(C78:P78)=0,"",IFERROR(G78/F78,0))</f>
        <v/>
      </c>
      <c r="V78" s="15">
        <f>IF(COUNT(C78:P78)=0,"",IFERROR(C78/G78,0))</f>
        <v/>
      </c>
      <c r="W78" s="19">
        <f>IF(COUNT(C78:P78)=0,"",IFERROR(G78/D78*1000,0))</f>
        <v/>
      </c>
      <c r="X78" s="18">
        <f>IF(COUNT(C78:P78)=0,"",IFERROR(H78/G78,0))</f>
        <v/>
      </c>
      <c r="Y78" s="18">
        <f>IF(COUNT(C78:P78)=0,"",IFERROR(I78/H78,0))</f>
        <v/>
      </c>
      <c r="Z78" s="17">
        <f>IF(COUNT(C78:P78)=0,"",IFERROR(I78/G78,0))</f>
        <v/>
      </c>
      <c r="AA78" s="15">
        <f>IF(COUNT(C78:P78)=0,"",IFERROR(C78/I78,0))</f>
        <v/>
      </c>
      <c r="AB78" s="18">
        <f>IF(COUNT(C78:P78)=0,"",IFERROR(J78/I78,0))</f>
        <v/>
      </c>
      <c r="AC78" s="18">
        <f>IF(COUNT(C78:P78)=0,"",IFERROR(K78/I78,0))</f>
        <v/>
      </c>
      <c r="AD78" s="18">
        <f>IF(COUNT(C78:P78)=0,"",IFERROR(L78/I78,0))</f>
        <v/>
      </c>
      <c r="AE78" s="18">
        <f>IF(COUNT(C78:P78)=0,"",IFERROR(P78/I78,0))</f>
        <v/>
      </c>
      <c r="AF78" s="20">
        <f>IF(COUNT(C78:P78)=0,"",IFERROR(I78*Config!$C$7+J78*Config!$C$8+K78*Config!$C$9+L78*Config!$C$10+M78*Config!$C$11+N78*Config!$C$12+O78*Config!$C$13+P78*Config!$C$14,0))</f>
        <v/>
      </c>
      <c r="AG78" s="15">
        <f>IF(COUNT(C78:P78)=0,"",IFERROR(AF78/I78,0))</f>
        <v/>
      </c>
      <c r="AH78" s="20">
        <f>IF(COUNT(C78:P78)=0,"",IFERROR(AF78*(1-Config!$C$15-Config!$C$16-Config!$C$17),0))</f>
        <v/>
      </c>
      <c r="AI78" s="20">
        <f>IF(COUNT(C78:P78)=0,"",IFERROR(AH78-C78-Config!$C$18,0))</f>
        <v/>
      </c>
      <c r="AJ78" s="21">
        <f>IF(COUNT(C78:P78)=0,"",IFERROR(AH78/C78,0))</f>
        <v/>
      </c>
      <c r="AK78" s="15">
        <f>IF(COUNT(C78:P78)=0,"",IFERROR(AI78/G78,0))</f>
        <v/>
      </c>
      <c r="AL78" s="21">
        <f>IF(COUNT(C78:P78)=0,"",IFERROR(AK78/V78,0))</f>
        <v/>
      </c>
      <c r="AM78" s="15">
        <f>IF(COUNT(C78:P78)=0,"",IFERROR(AI78/I78,0))</f>
        <v/>
      </c>
      <c r="AN78" s="15">
        <f>IF(COUNT(C78:P78)=0,"",IFERROR(AH78/I78-AA78,0))</f>
        <v/>
      </c>
    </row>
    <row r="79">
      <c r="A79" s="12">
        <f>Config!$C$6+73</f>
        <v/>
      </c>
      <c r="B79" s="13">
        <f>INT((A79-Config!$C$6)/7)+1</f>
        <v/>
      </c>
      <c r="C79" s="10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5">
        <f>IF(COUNT(C79:P79)=0,"",IFERROR(C79/D79*1000,0))</f>
        <v/>
      </c>
      <c r="R79" s="16">
        <f>IF(COUNT(C79:P79)=0,"",IFERROR(D79/E79,0))</f>
        <v/>
      </c>
      <c r="S79" s="17">
        <f>IF(COUNT(C79:P79)=0,"",IFERROR(F79/D79,0))</f>
        <v/>
      </c>
      <c r="T79" s="15">
        <f>IF(COUNT(C79:P79)=0,"",IFERROR(C79/F79,0))</f>
        <v/>
      </c>
      <c r="U79" s="18">
        <f>IF(COUNT(C79:P79)=0,"",IFERROR(G79/F79,0))</f>
        <v/>
      </c>
      <c r="V79" s="15">
        <f>IF(COUNT(C79:P79)=0,"",IFERROR(C79/G79,0))</f>
        <v/>
      </c>
      <c r="W79" s="19">
        <f>IF(COUNT(C79:P79)=0,"",IFERROR(G79/D79*1000,0))</f>
        <v/>
      </c>
      <c r="X79" s="18">
        <f>IF(COUNT(C79:P79)=0,"",IFERROR(H79/G79,0))</f>
        <v/>
      </c>
      <c r="Y79" s="18">
        <f>IF(COUNT(C79:P79)=0,"",IFERROR(I79/H79,0))</f>
        <v/>
      </c>
      <c r="Z79" s="17">
        <f>IF(COUNT(C79:P79)=0,"",IFERROR(I79/G79,0))</f>
        <v/>
      </c>
      <c r="AA79" s="15">
        <f>IF(COUNT(C79:P79)=0,"",IFERROR(C79/I79,0))</f>
        <v/>
      </c>
      <c r="AB79" s="18">
        <f>IF(COUNT(C79:P79)=0,"",IFERROR(J79/I79,0))</f>
        <v/>
      </c>
      <c r="AC79" s="18">
        <f>IF(COUNT(C79:P79)=0,"",IFERROR(K79/I79,0))</f>
        <v/>
      </c>
      <c r="AD79" s="18">
        <f>IF(COUNT(C79:P79)=0,"",IFERROR(L79/I79,0))</f>
        <v/>
      </c>
      <c r="AE79" s="18">
        <f>IF(COUNT(C79:P79)=0,"",IFERROR(P79/I79,0))</f>
        <v/>
      </c>
      <c r="AF79" s="20">
        <f>IF(COUNT(C79:P79)=0,"",IFERROR(I79*Config!$C$7+J79*Config!$C$8+K79*Config!$C$9+L79*Config!$C$10+M79*Config!$C$11+N79*Config!$C$12+O79*Config!$C$13+P79*Config!$C$14,0))</f>
        <v/>
      </c>
      <c r="AG79" s="15">
        <f>IF(COUNT(C79:P79)=0,"",IFERROR(AF79/I79,0))</f>
        <v/>
      </c>
      <c r="AH79" s="20">
        <f>IF(COUNT(C79:P79)=0,"",IFERROR(AF79*(1-Config!$C$15-Config!$C$16-Config!$C$17),0))</f>
        <v/>
      </c>
      <c r="AI79" s="20">
        <f>IF(COUNT(C79:P79)=0,"",IFERROR(AH79-C79-Config!$C$18,0))</f>
        <v/>
      </c>
      <c r="AJ79" s="21">
        <f>IF(COUNT(C79:P79)=0,"",IFERROR(AH79/C79,0))</f>
        <v/>
      </c>
      <c r="AK79" s="15">
        <f>IF(COUNT(C79:P79)=0,"",IFERROR(AI79/G79,0))</f>
        <v/>
      </c>
      <c r="AL79" s="21">
        <f>IF(COUNT(C79:P79)=0,"",IFERROR(AK79/V79,0))</f>
        <v/>
      </c>
      <c r="AM79" s="15">
        <f>IF(COUNT(C79:P79)=0,"",IFERROR(AI79/I79,0))</f>
        <v/>
      </c>
      <c r="AN79" s="15">
        <f>IF(COUNT(C79:P79)=0,"",IFERROR(AH79/I79-AA79,0))</f>
        <v/>
      </c>
    </row>
    <row r="80">
      <c r="A80" s="12">
        <f>Config!$C$6+74</f>
        <v/>
      </c>
      <c r="B80" s="13">
        <f>INT((A80-Config!$C$6)/7)+1</f>
        <v/>
      </c>
      <c r="C80" s="10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5">
        <f>IF(COUNT(C80:P80)=0,"",IFERROR(C80/D80*1000,0))</f>
        <v/>
      </c>
      <c r="R80" s="16">
        <f>IF(COUNT(C80:P80)=0,"",IFERROR(D80/E80,0))</f>
        <v/>
      </c>
      <c r="S80" s="17">
        <f>IF(COUNT(C80:P80)=0,"",IFERROR(F80/D80,0))</f>
        <v/>
      </c>
      <c r="T80" s="15">
        <f>IF(COUNT(C80:P80)=0,"",IFERROR(C80/F80,0))</f>
        <v/>
      </c>
      <c r="U80" s="18">
        <f>IF(COUNT(C80:P80)=0,"",IFERROR(G80/F80,0))</f>
        <v/>
      </c>
      <c r="V80" s="15">
        <f>IF(COUNT(C80:P80)=0,"",IFERROR(C80/G80,0))</f>
        <v/>
      </c>
      <c r="W80" s="19">
        <f>IF(COUNT(C80:P80)=0,"",IFERROR(G80/D80*1000,0))</f>
        <v/>
      </c>
      <c r="X80" s="18">
        <f>IF(COUNT(C80:P80)=0,"",IFERROR(H80/G80,0))</f>
        <v/>
      </c>
      <c r="Y80" s="18">
        <f>IF(COUNT(C80:P80)=0,"",IFERROR(I80/H80,0))</f>
        <v/>
      </c>
      <c r="Z80" s="17">
        <f>IF(COUNT(C80:P80)=0,"",IFERROR(I80/G80,0))</f>
        <v/>
      </c>
      <c r="AA80" s="15">
        <f>IF(COUNT(C80:P80)=0,"",IFERROR(C80/I80,0))</f>
        <v/>
      </c>
      <c r="AB80" s="18">
        <f>IF(COUNT(C80:P80)=0,"",IFERROR(J80/I80,0))</f>
        <v/>
      </c>
      <c r="AC80" s="18">
        <f>IF(COUNT(C80:P80)=0,"",IFERROR(K80/I80,0))</f>
        <v/>
      </c>
      <c r="AD80" s="18">
        <f>IF(COUNT(C80:P80)=0,"",IFERROR(L80/I80,0))</f>
        <v/>
      </c>
      <c r="AE80" s="18">
        <f>IF(COUNT(C80:P80)=0,"",IFERROR(P80/I80,0))</f>
        <v/>
      </c>
      <c r="AF80" s="20">
        <f>IF(COUNT(C80:P80)=0,"",IFERROR(I80*Config!$C$7+J80*Config!$C$8+K80*Config!$C$9+L80*Config!$C$10+M80*Config!$C$11+N80*Config!$C$12+O80*Config!$C$13+P80*Config!$C$14,0))</f>
        <v/>
      </c>
      <c r="AG80" s="15">
        <f>IF(COUNT(C80:P80)=0,"",IFERROR(AF80/I80,0))</f>
        <v/>
      </c>
      <c r="AH80" s="20">
        <f>IF(COUNT(C80:P80)=0,"",IFERROR(AF80*(1-Config!$C$15-Config!$C$16-Config!$C$17),0))</f>
        <v/>
      </c>
      <c r="AI80" s="20">
        <f>IF(COUNT(C80:P80)=0,"",IFERROR(AH80-C80-Config!$C$18,0))</f>
        <v/>
      </c>
      <c r="AJ80" s="21">
        <f>IF(COUNT(C80:P80)=0,"",IFERROR(AH80/C80,0))</f>
        <v/>
      </c>
      <c r="AK80" s="15">
        <f>IF(COUNT(C80:P80)=0,"",IFERROR(AI80/G80,0))</f>
        <v/>
      </c>
      <c r="AL80" s="21">
        <f>IF(COUNT(C80:P80)=0,"",IFERROR(AK80/V80,0))</f>
        <v/>
      </c>
      <c r="AM80" s="15">
        <f>IF(COUNT(C80:P80)=0,"",IFERROR(AI80/I80,0))</f>
        <v/>
      </c>
      <c r="AN80" s="15">
        <f>IF(COUNT(C80:P80)=0,"",IFERROR(AH80/I80-AA80,0))</f>
        <v/>
      </c>
    </row>
    <row r="81">
      <c r="A81" s="12">
        <f>Config!$C$6+75</f>
        <v/>
      </c>
      <c r="B81" s="13">
        <f>INT((A81-Config!$C$6)/7)+1</f>
        <v/>
      </c>
      <c r="C81" s="10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5">
        <f>IF(COUNT(C81:P81)=0,"",IFERROR(C81/D81*1000,0))</f>
        <v/>
      </c>
      <c r="R81" s="16">
        <f>IF(COUNT(C81:P81)=0,"",IFERROR(D81/E81,0))</f>
        <v/>
      </c>
      <c r="S81" s="17">
        <f>IF(COUNT(C81:P81)=0,"",IFERROR(F81/D81,0))</f>
        <v/>
      </c>
      <c r="T81" s="15">
        <f>IF(COUNT(C81:P81)=0,"",IFERROR(C81/F81,0))</f>
        <v/>
      </c>
      <c r="U81" s="18">
        <f>IF(COUNT(C81:P81)=0,"",IFERROR(G81/F81,0))</f>
        <v/>
      </c>
      <c r="V81" s="15">
        <f>IF(COUNT(C81:P81)=0,"",IFERROR(C81/G81,0))</f>
        <v/>
      </c>
      <c r="W81" s="19">
        <f>IF(COUNT(C81:P81)=0,"",IFERROR(G81/D81*1000,0))</f>
        <v/>
      </c>
      <c r="X81" s="18">
        <f>IF(COUNT(C81:P81)=0,"",IFERROR(H81/G81,0))</f>
        <v/>
      </c>
      <c r="Y81" s="18">
        <f>IF(COUNT(C81:P81)=0,"",IFERROR(I81/H81,0))</f>
        <v/>
      </c>
      <c r="Z81" s="17">
        <f>IF(COUNT(C81:P81)=0,"",IFERROR(I81/G81,0))</f>
        <v/>
      </c>
      <c r="AA81" s="15">
        <f>IF(COUNT(C81:P81)=0,"",IFERROR(C81/I81,0))</f>
        <v/>
      </c>
      <c r="AB81" s="18">
        <f>IF(COUNT(C81:P81)=0,"",IFERROR(J81/I81,0))</f>
        <v/>
      </c>
      <c r="AC81" s="18">
        <f>IF(COUNT(C81:P81)=0,"",IFERROR(K81/I81,0))</f>
        <v/>
      </c>
      <c r="AD81" s="18">
        <f>IF(COUNT(C81:P81)=0,"",IFERROR(L81/I81,0))</f>
        <v/>
      </c>
      <c r="AE81" s="18">
        <f>IF(COUNT(C81:P81)=0,"",IFERROR(P81/I81,0))</f>
        <v/>
      </c>
      <c r="AF81" s="20">
        <f>IF(COUNT(C81:P81)=0,"",IFERROR(I81*Config!$C$7+J81*Config!$C$8+K81*Config!$C$9+L81*Config!$C$10+M81*Config!$C$11+N81*Config!$C$12+O81*Config!$C$13+P81*Config!$C$14,0))</f>
        <v/>
      </c>
      <c r="AG81" s="15">
        <f>IF(COUNT(C81:P81)=0,"",IFERROR(AF81/I81,0))</f>
        <v/>
      </c>
      <c r="AH81" s="20">
        <f>IF(COUNT(C81:P81)=0,"",IFERROR(AF81*(1-Config!$C$15-Config!$C$16-Config!$C$17),0))</f>
        <v/>
      </c>
      <c r="AI81" s="20">
        <f>IF(COUNT(C81:P81)=0,"",IFERROR(AH81-C81-Config!$C$18,0))</f>
        <v/>
      </c>
      <c r="AJ81" s="21">
        <f>IF(COUNT(C81:P81)=0,"",IFERROR(AH81/C81,0))</f>
        <v/>
      </c>
      <c r="AK81" s="15">
        <f>IF(COUNT(C81:P81)=0,"",IFERROR(AI81/G81,0))</f>
        <v/>
      </c>
      <c r="AL81" s="21">
        <f>IF(COUNT(C81:P81)=0,"",IFERROR(AK81/V81,0))</f>
        <v/>
      </c>
      <c r="AM81" s="15">
        <f>IF(COUNT(C81:P81)=0,"",IFERROR(AI81/I81,0))</f>
        <v/>
      </c>
      <c r="AN81" s="15">
        <f>IF(COUNT(C81:P81)=0,"",IFERROR(AH81/I81-AA81,0))</f>
        <v/>
      </c>
    </row>
    <row r="82">
      <c r="A82" s="12">
        <f>Config!$C$6+76</f>
        <v/>
      </c>
      <c r="B82" s="13">
        <f>INT((A82-Config!$C$6)/7)+1</f>
        <v/>
      </c>
      <c r="C82" s="10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5">
        <f>IF(COUNT(C82:P82)=0,"",IFERROR(C82/D82*1000,0))</f>
        <v/>
      </c>
      <c r="R82" s="16">
        <f>IF(COUNT(C82:P82)=0,"",IFERROR(D82/E82,0))</f>
        <v/>
      </c>
      <c r="S82" s="17">
        <f>IF(COUNT(C82:P82)=0,"",IFERROR(F82/D82,0))</f>
        <v/>
      </c>
      <c r="T82" s="15">
        <f>IF(COUNT(C82:P82)=0,"",IFERROR(C82/F82,0))</f>
        <v/>
      </c>
      <c r="U82" s="18">
        <f>IF(COUNT(C82:P82)=0,"",IFERROR(G82/F82,0))</f>
        <v/>
      </c>
      <c r="V82" s="15">
        <f>IF(COUNT(C82:P82)=0,"",IFERROR(C82/G82,0))</f>
        <v/>
      </c>
      <c r="W82" s="19">
        <f>IF(COUNT(C82:P82)=0,"",IFERROR(G82/D82*1000,0))</f>
        <v/>
      </c>
      <c r="X82" s="18">
        <f>IF(COUNT(C82:P82)=0,"",IFERROR(H82/G82,0))</f>
        <v/>
      </c>
      <c r="Y82" s="18">
        <f>IF(COUNT(C82:P82)=0,"",IFERROR(I82/H82,0))</f>
        <v/>
      </c>
      <c r="Z82" s="17">
        <f>IF(COUNT(C82:P82)=0,"",IFERROR(I82/G82,0))</f>
        <v/>
      </c>
      <c r="AA82" s="15">
        <f>IF(COUNT(C82:P82)=0,"",IFERROR(C82/I82,0))</f>
        <v/>
      </c>
      <c r="AB82" s="18">
        <f>IF(COUNT(C82:P82)=0,"",IFERROR(J82/I82,0))</f>
        <v/>
      </c>
      <c r="AC82" s="18">
        <f>IF(COUNT(C82:P82)=0,"",IFERROR(K82/I82,0))</f>
        <v/>
      </c>
      <c r="AD82" s="18">
        <f>IF(COUNT(C82:P82)=0,"",IFERROR(L82/I82,0))</f>
        <v/>
      </c>
      <c r="AE82" s="18">
        <f>IF(COUNT(C82:P82)=0,"",IFERROR(P82/I82,0))</f>
        <v/>
      </c>
      <c r="AF82" s="20">
        <f>IF(COUNT(C82:P82)=0,"",IFERROR(I82*Config!$C$7+J82*Config!$C$8+K82*Config!$C$9+L82*Config!$C$10+M82*Config!$C$11+N82*Config!$C$12+O82*Config!$C$13+P82*Config!$C$14,0))</f>
        <v/>
      </c>
      <c r="AG82" s="15">
        <f>IF(COUNT(C82:P82)=0,"",IFERROR(AF82/I82,0))</f>
        <v/>
      </c>
      <c r="AH82" s="20">
        <f>IF(COUNT(C82:P82)=0,"",IFERROR(AF82*(1-Config!$C$15-Config!$C$16-Config!$C$17),0))</f>
        <v/>
      </c>
      <c r="AI82" s="20">
        <f>IF(COUNT(C82:P82)=0,"",IFERROR(AH82-C82-Config!$C$18,0))</f>
        <v/>
      </c>
      <c r="AJ82" s="21">
        <f>IF(COUNT(C82:P82)=0,"",IFERROR(AH82/C82,0))</f>
        <v/>
      </c>
      <c r="AK82" s="15">
        <f>IF(COUNT(C82:P82)=0,"",IFERROR(AI82/G82,0))</f>
        <v/>
      </c>
      <c r="AL82" s="21">
        <f>IF(COUNT(C82:P82)=0,"",IFERROR(AK82/V82,0))</f>
        <v/>
      </c>
      <c r="AM82" s="15">
        <f>IF(COUNT(C82:P82)=0,"",IFERROR(AI82/I82,0))</f>
        <v/>
      </c>
      <c r="AN82" s="15">
        <f>IF(COUNT(C82:P82)=0,"",IFERROR(AH82/I82-AA82,0))</f>
        <v/>
      </c>
    </row>
    <row r="83">
      <c r="A83" s="12">
        <f>Config!$C$6+77</f>
        <v/>
      </c>
      <c r="B83" s="13">
        <f>INT((A83-Config!$C$6)/7)+1</f>
        <v/>
      </c>
      <c r="C83" s="10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5">
        <f>IF(COUNT(C83:P83)=0,"",IFERROR(C83/D83*1000,0))</f>
        <v/>
      </c>
      <c r="R83" s="16">
        <f>IF(COUNT(C83:P83)=0,"",IFERROR(D83/E83,0))</f>
        <v/>
      </c>
      <c r="S83" s="17">
        <f>IF(COUNT(C83:P83)=0,"",IFERROR(F83/D83,0))</f>
        <v/>
      </c>
      <c r="T83" s="15">
        <f>IF(COUNT(C83:P83)=0,"",IFERROR(C83/F83,0))</f>
        <v/>
      </c>
      <c r="U83" s="18">
        <f>IF(COUNT(C83:P83)=0,"",IFERROR(G83/F83,0))</f>
        <v/>
      </c>
      <c r="V83" s="15">
        <f>IF(COUNT(C83:P83)=0,"",IFERROR(C83/G83,0))</f>
        <v/>
      </c>
      <c r="W83" s="19">
        <f>IF(COUNT(C83:P83)=0,"",IFERROR(G83/D83*1000,0))</f>
        <v/>
      </c>
      <c r="X83" s="18">
        <f>IF(COUNT(C83:P83)=0,"",IFERROR(H83/G83,0))</f>
        <v/>
      </c>
      <c r="Y83" s="18">
        <f>IF(COUNT(C83:P83)=0,"",IFERROR(I83/H83,0))</f>
        <v/>
      </c>
      <c r="Z83" s="17">
        <f>IF(COUNT(C83:P83)=0,"",IFERROR(I83/G83,0))</f>
        <v/>
      </c>
      <c r="AA83" s="15">
        <f>IF(COUNT(C83:P83)=0,"",IFERROR(C83/I83,0))</f>
        <v/>
      </c>
      <c r="AB83" s="18">
        <f>IF(COUNT(C83:P83)=0,"",IFERROR(J83/I83,0))</f>
        <v/>
      </c>
      <c r="AC83" s="18">
        <f>IF(COUNT(C83:P83)=0,"",IFERROR(K83/I83,0))</f>
        <v/>
      </c>
      <c r="AD83" s="18">
        <f>IF(COUNT(C83:P83)=0,"",IFERROR(L83/I83,0))</f>
        <v/>
      </c>
      <c r="AE83" s="18">
        <f>IF(COUNT(C83:P83)=0,"",IFERROR(P83/I83,0))</f>
        <v/>
      </c>
      <c r="AF83" s="20">
        <f>IF(COUNT(C83:P83)=0,"",IFERROR(I83*Config!$C$7+J83*Config!$C$8+K83*Config!$C$9+L83*Config!$C$10+M83*Config!$C$11+N83*Config!$C$12+O83*Config!$C$13+P83*Config!$C$14,0))</f>
        <v/>
      </c>
      <c r="AG83" s="15">
        <f>IF(COUNT(C83:P83)=0,"",IFERROR(AF83/I83,0))</f>
        <v/>
      </c>
      <c r="AH83" s="20">
        <f>IF(COUNT(C83:P83)=0,"",IFERROR(AF83*(1-Config!$C$15-Config!$C$16-Config!$C$17),0))</f>
        <v/>
      </c>
      <c r="AI83" s="20">
        <f>IF(COUNT(C83:P83)=0,"",IFERROR(AH83-C83-Config!$C$18,0))</f>
        <v/>
      </c>
      <c r="AJ83" s="21">
        <f>IF(COUNT(C83:P83)=0,"",IFERROR(AH83/C83,0))</f>
        <v/>
      </c>
      <c r="AK83" s="15">
        <f>IF(COUNT(C83:P83)=0,"",IFERROR(AI83/G83,0))</f>
        <v/>
      </c>
      <c r="AL83" s="21">
        <f>IF(COUNT(C83:P83)=0,"",IFERROR(AK83/V83,0))</f>
        <v/>
      </c>
      <c r="AM83" s="15">
        <f>IF(COUNT(C83:P83)=0,"",IFERROR(AI83/I83,0))</f>
        <v/>
      </c>
      <c r="AN83" s="15">
        <f>IF(COUNT(C83:P83)=0,"",IFERROR(AH83/I83-AA83,0))</f>
        <v/>
      </c>
    </row>
    <row r="84">
      <c r="A84" s="12">
        <f>Config!$C$6+78</f>
        <v/>
      </c>
      <c r="B84" s="13">
        <f>INT((A84-Config!$C$6)/7)+1</f>
        <v/>
      </c>
      <c r="C84" s="10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5">
        <f>IF(COUNT(C84:P84)=0,"",IFERROR(C84/D84*1000,0))</f>
        <v/>
      </c>
      <c r="R84" s="16">
        <f>IF(COUNT(C84:P84)=0,"",IFERROR(D84/E84,0))</f>
        <v/>
      </c>
      <c r="S84" s="17">
        <f>IF(COUNT(C84:P84)=0,"",IFERROR(F84/D84,0))</f>
        <v/>
      </c>
      <c r="T84" s="15">
        <f>IF(COUNT(C84:P84)=0,"",IFERROR(C84/F84,0))</f>
        <v/>
      </c>
      <c r="U84" s="18">
        <f>IF(COUNT(C84:P84)=0,"",IFERROR(G84/F84,0))</f>
        <v/>
      </c>
      <c r="V84" s="15">
        <f>IF(COUNT(C84:P84)=0,"",IFERROR(C84/G84,0))</f>
        <v/>
      </c>
      <c r="W84" s="19">
        <f>IF(COUNT(C84:P84)=0,"",IFERROR(G84/D84*1000,0))</f>
        <v/>
      </c>
      <c r="X84" s="18">
        <f>IF(COUNT(C84:P84)=0,"",IFERROR(H84/G84,0))</f>
        <v/>
      </c>
      <c r="Y84" s="18">
        <f>IF(COUNT(C84:P84)=0,"",IFERROR(I84/H84,0))</f>
        <v/>
      </c>
      <c r="Z84" s="17">
        <f>IF(COUNT(C84:P84)=0,"",IFERROR(I84/G84,0))</f>
        <v/>
      </c>
      <c r="AA84" s="15">
        <f>IF(COUNT(C84:P84)=0,"",IFERROR(C84/I84,0))</f>
        <v/>
      </c>
      <c r="AB84" s="18">
        <f>IF(COUNT(C84:P84)=0,"",IFERROR(J84/I84,0))</f>
        <v/>
      </c>
      <c r="AC84" s="18">
        <f>IF(COUNT(C84:P84)=0,"",IFERROR(K84/I84,0))</f>
        <v/>
      </c>
      <c r="AD84" s="18">
        <f>IF(COUNT(C84:P84)=0,"",IFERROR(L84/I84,0))</f>
        <v/>
      </c>
      <c r="AE84" s="18">
        <f>IF(COUNT(C84:P84)=0,"",IFERROR(P84/I84,0))</f>
        <v/>
      </c>
      <c r="AF84" s="20">
        <f>IF(COUNT(C84:P84)=0,"",IFERROR(I84*Config!$C$7+J84*Config!$C$8+K84*Config!$C$9+L84*Config!$C$10+M84*Config!$C$11+N84*Config!$C$12+O84*Config!$C$13+P84*Config!$C$14,0))</f>
        <v/>
      </c>
      <c r="AG84" s="15">
        <f>IF(COUNT(C84:P84)=0,"",IFERROR(AF84/I84,0))</f>
        <v/>
      </c>
      <c r="AH84" s="20">
        <f>IF(COUNT(C84:P84)=0,"",IFERROR(AF84*(1-Config!$C$15-Config!$C$16-Config!$C$17),0))</f>
        <v/>
      </c>
      <c r="AI84" s="20">
        <f>IF(COUNT(C84:P84)=0,"",IFERROR(AH84-C84-Config!$C$18,0))</f>
        <v/>
      </c>
      <c r="AJ84" s="21">
        <f>IF(COUNT(C84:P84)=0,"",IFERROR(AH84/C84,0))</f>
        <v/>
      </c>
      <c r="AK84" s="15">
        <f>IF(COUNT(C84:P84)=0,"",IFERROR(AI84/G84,0))</f>
        <v/>
      </c>
      <c r="AL84" s="21">
        <f>IF(COUNT(C84:P84)=0,"",IFERROR(AK84/V84,0))</f>
        <v/>
      </c>
      <c r="AM84" s="15">
        <f>IF(COUNT(C84:P84)=0,"",IFERROR(AI84/I84,0))</f>
        <v/>
      </c>
      <c r="AN84" s="15">
        <f>IF(COUNT(C84:P84)=0,"",IFERROR(AH84/I84-AA84,0))</f>
        <v/>
      </c>
    </row>
    <row r="85">
      <c r="A85" s="12">
        <f>Config!$C$6+79</f>
        <v/>
      </c>
      <c r="B85" s="13">
        <f>INT((A85-Config!$C$6)/7)+1</f>
        <v/>
      </c>
      <c r="C85" s="10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5">
        <f>IF(COUNT(C85:P85)=0,"",IFERROR(C85/D85*1000,0))</f>
        <v/>
      </c>
      <c r="R85" s="16">
        <f>IF(COUNT(C85:P85)=0,"",IFERROR(D85/E85,0))</f>
        <v/>
      </c>
      <c r="S85" s="17">
        <f>IF(COUNT(C85:P85)=0,"",IFERROR(F85/D85,0))</f>
        <v/>
      </c>
      <c r="T85" s="15">
        <f>IF(COUNT(C85:P85)=0,"",IFERROR(C85/F85,0))</f>
        <v/>
      </c>
      <c r="U85" s="18">
        <f>IF(COUNT(C85:P85)=0,"",IFERROR(G85/F85,0))</f>
        <v/>
      </c>
      <c r="V85" s="15">
        <f>IF(COUNT(C85:P85)=0,"",IFERROR(C85/G85,0))</f>
        <v/>
      </c>
      <c r="W85" s="19">
        <f>IF(COUNT(C85:P85)=0,"",IFERROR(G85/D85*1000,0))</f>
        <v/>
      </c>
      <c r="X85" s="18">
        <f>IF(COUNT(C85:P85)=0,"",IFERROR(H85/G85,0))</f>
        <v/>
      </c>
      <c r="Y85" s="18">
        <f>IF(COUNT(C85:P85)=0,"",IFERROR(I85/H85,0))</f>
        <v/>
      </c>
      <c r="Z85" s="17">
        <f>IF(COUNT(C85:P85)=0,"",IFERROR(I85/G85,0))</f>
        <v/>
      </c>
      <c r="AA85" s="15">
        <f>IF(COUNT(C85:P85)=0,"",IFERROR(C85/I85,0))</f>
        <v/>
      </c>
      <c r="AB85" s="18">
        <f>IF(COUNT(C85:P85)=0,"",IFERROR(J85/I85,0))</f>
        <v/>
      </c>
      <c r="AC85" s="18">
        <f>IF(COUNT(C85:P85)=0,"",IFERROR(K85/I85,0))</f>
        <v/>
      </c>
      <c r="AD85" s="18">
        <f>IF(COUNT(C85:P85)=0,"",IFERROR(L85/I85,0))</f>
        <v/>
      </c>
      <c r="AE85" s="18">
        <f>IF(COUNT(C85:P85)=0,"",IFERROR(P85/I85,0))</f>
        <v/>
      </c>
      <c r="AF85" s="20">
        <f>IF(COUNT(C85:P85)=0,"",IFERROR(I85*Config!$C$7+J85*Config!$C$8+K85*Config!$C$9+L85*Config!$C$10+M85*Config!$C$11+N85*Config!$C$12+O85*Config!$C$13+P85*Config!$C$14,0))</f>
        <v/>
      </c>
      <c r="AG85" s="15">
        <f>IF(COUNT(C85:P85)=0,"",IFERROR(AF85/I85,0))</f>
        <v/>
      </c>
      <c r="AH85" s="20">
        <f>IF(COUNT(C85:P85)=0,"",IFERROR(AF85*(1-Config!$C$15-Config!$C$16-Config!$C$17),0))</f>
        <v/>
      </c>
      <c r="AI85" s="20">
        <f>IF(COUNT(C85:P85)=0,"",IFERROR(AH85-C85-Config!$C$18,0))</f>
        <v/>
      </c>
      <c r="AJ85" s="21">
        <f>IF(COUNT(C85:P85)=0,"",IFERROR(AH85/C85,0))</f>
        <v/>
      </c>
      <c r="AK85" s="15">
        <f>IF(COUNT(C85:P85)=0,"",IFERROR(AI85/G85,0))</f>
        <v/>
      </c>
      <c r="AL85" s="21">
        <f>IF(COUNT(C85:P85)=0,"",IFERROR(AK85/V85,0))</f>
        <v/>
      </c>
      <c r="AM85" s="15">
        <f>IF(COUNT(C85:P85)=0,"",IFERROR(AI85/I85,0))</f>
        <v/>
      </c>
      <c r="AN85" s="15">
        <f>IF(COUNT(C85:P85)=0,"",IFERROR(AH85/I85-AA85,0))</f>
        <v/>
      </c>
    </row>
    <row r="86">
      <c r="A86" s="12">
        <f>Config!$C$6+80</f>
        <v/>
      </c>
      <c r="B86" s="13">
        <f>INT((A86-Config!$C$6)/7)+1</f>
        <v/>
      </c>
      <c r="C86" s="10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5">
        <f>IF(COUNT(C86:P86)=0,"",IFERROR(C86/D86*1000,0))</f>
        <v/>
      </c>
      <c r="R86" s="16">
        <f>IF(COUNT(C86:P86)=0,"",IFERROR(D86/E86,0))</f>
        <v/>
      </c>
      <c r="S86" s="17">
        <f>IF(COUNT(C86:P86)=0,"",IFERROR(F86/D86,0))</f>
        <v/>
      </c>
      <c r="T86" s="15">
        <f>IF(COUNT(C86:P86)=0,"",IFERROR(C86/F86,0))</f>
        <v/>
      </c>
      <c r="U86" s="18">
        <f>IF(COUNT(C86:P86)=0,"",IFERROR(G86/F86,0))</f>
        <v/>
      </c>
      <c r="V86" s="15">
        <f>IF(COUNT(C86:P86)=0,"",IFERROR(C86/G86,0))</f>
        <v/>
      </c>
      <c r="W86" s="19">
        <f>IF(COUNT(C86:P86)=0,"",IFERROR(G86/D86*1000,0))</f>
        <v/>
      </c>
      <c r="X86" s="18">
        <f>IF(COUNT(C86:P86)=0,"",IFERROR(H86/G86,0))</f>
        <v/>
      </c>
      <c r="Y86" s="18">
        <f>IF(COUNT(C86:P86)=0,"",IFERROR(I86/H86,0))</f>
        <v/>
      </c>
      <c r="Z86" s="17">
        <f>IF(COUNT(C86:P86)=0,"",IFERROR(I86/G86,0))</f>
        <v/>
      </c>
      <c r="AA86" s="15">
        <f>IF(COUNT(C86:P86)=0,"",IFERROR(C86/I86,0))</f>
        <v/>
      </c>
      <c r="AB86" s="18">
        <f>IF(COUNT(C86:P86)=0,"",IFERROR(J86/I86,0))</f>
        <v/>
      </c>
      <c r="AC86" s="18">
        <f>IF(COUNT(C86:P86)=0,"",IFERROR(K86/I86,0))</f>
        <v/>
      </c>
      <c r="AD86" s="18">
        <f>IF(COUNT(C86:P86)=0,"",IFERROR(L86/I86,0))</f>
        <v/>
      </c>
      <c r="AE86" s="18">
        <f>IF(COUNT(C86:P86)=0,"",IFERROR(P86/I86,0))</f>
        <v/>
      </c>
      <c r="AF86" s="20">
        <f>IF(COUNT(C86:P86)=0,"",IFERROR(I86*Config!$C$7+J86*Config!$C$8+K86*Config!$C$9+L86*Config!$C$10+M86*Config!$C$11+N86*Config!$C$12+O86*Config!$C$13+P86*Config!$C$14,0))</f>
        <v/>
      </c>
      <c r="AG86" s="15">
        <f>IF(COUNT(C86:P86)=0,"",IFERROR(AF86/I86,0))</f>
        <v/>
      </c>
      <c r="AH86" s="20">
        <f>IF(COUNT(C86:P86)=0,"",IFERROR(AF86*(1-Config!$C$15-Config!$C$16-Config!$C$17),0))</f>
        <v/>
      </c>
      <c r="AI86" s="20">
        <f>IF(COUNT(C86:P86)=0,"",IFERROR(AH86-C86-Config!$C$18,0))</f>
        <v/>
      </c>
      <c r="AJ86" s="21">
        <f>IF(COUNT(C86:P86)=0,"",IFERROR(AH86/C86,0))</f>
        <v/>
      </c>
      <c r="AK86" s="15">
        <f>IF(COUNT(C86:P86)=0,"",IFERROR(AI86/G86,0))</f>
        <v/>
      </c>
      <c r="AL86" s="21">
        <f>IF(COUNT(C86:P86)=0,"",IFERROR(AK86/V86,0))</f>
        <v/>
      </c>
      <c r="AM86" s="15">
        <f>IF(COUNT(C86:P86)=0,"",IFERROR(AI86/I86,0))</f>
        <v/>
      </c>
      <c r="AN86" s="15">
        <f>IF(COUNT(C86:P86)=0,"",IFERROR(AH86/I86-AA86,0))</f>
        <v/>
      </c>
    </row>
    <row r="87">
      <c r="A87" s="12">
        <f>Config!$C$6+81</f>
        <v/>
      </c>
      <c r="B87" s="13">
        <f>INT((A87-Config!$C$6)/7)+1</f>
        <v/>
      </c>
      <c r="C87" s="10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5">
        <f>IF(COUNT(C87:P87)=0,"",IFERROR(C87/D87*1000,0))</f>
        <v/>
      </c>
      <c r="R87" s="16">
        <f>IF(COUNT(C87:P87)=0,"",IFERROR(D87/E87,0))</f>
        <v/>
      </c>
      <c r="S87" s="17">
        <f>IF(COUNT(C87:P87)=0,"",IFERROR(F87/D87,0))</f>
        <v/>
      </c>
      <c r="T87" s="15">
        <f>IF(COUNT(C87:P87)=0,"",IFERROR(C87/F87,0))</f>
        <v/>
      </c>
      <c r="U87" s="18">
        <f>IF(COUNT(C87:P87)=0,"",IFERROR(G87/F87,0))</f>
        <v/>
      </c>
      <c r="V87" s="15">
        <f>IF(COUNT(C87:P87)=0,"",IFERROR(C87/G87,0))</f>
        <v/>
      </c>
      <c r="W87" s="19">
        <f>IF(COUNT(C87:P87)=0,"",IFERROR(G87/D87*1000,0))</f>
        <v/>
      </c>
      <c r="X87" s="18">
        <f>IF(COUNT(C87:P87)=0,"",IFERROR(H87/G87,0))</f>
        <v/>
      </c>
      <c r="Y87" s="18">
        <f>IF(COUNT(C87:P87)=0,"",IFERROR(I87/H87,0))</f>
        <v/>
      </c>
      <c r="Z87" s="17">
        <f>IF(COUNT(C87:P87)=0,"",IFERROR(I87/G87,0))</f>
        <v/>
      </c>
      <c r="AA87" s="15">
        <f>IF(COUNT(C87:P87)=0,"",IFERROR(C87/I87,0))</f>
        <v/>
      </c>
      <c r="AB87" s="18">
        <f>IF(COUNT(C87:P87)=0,"",IFERROR(J87/I87,0))</f>
        <v/>
      </c>
      <c r="AC87" s="18">
        <f>IF(COUNT(C87:P87)=0,"",IFERROR(K87/I87,0))</f>
        <v/>
      </c>
      <c r="AD87" s="18">
        <f>IF(COUNT(C87:P87)=0,"",IFERROR(L87/I87,0))</f>
        <v/>
      </c>
      <c r="AE87" s="18">
        <f>IF(COUNT(C87:P87)=0,"",IFERROR(P87/I87,0))</f>
        <v/>
      </c>
      <c r="AF87" s="20">
        <f>IF(COUNT(C87:P87)=0,"",IFERROR(I87*Config!$C$7+J87*Config!$C$8+K87*Config!$C$9+L87*Config!$C$10+M87*Config!$C$11+N87*Config!$C$12+O87*Config!$C$13+P87*Config!$C$14,0))</f>
        <v/>
      </c>
      <c r="AG87" s="15">
        <f>IF(COUNT(C87:P87)=0,"",IFERROR(AF87/I87,0))</f>
        <v/>
      </c>
      <c r="AH87" s="20">
        <f>IF(COUNT(C87:P87)=0,"",IFERROR(AF87*(1-Config!$C$15-Config!$C$16-Config!$C$17),0))</f>
        <v/>
      </c>
      <c r="AI87" s="20">
        <f>IF(COUNT(C87:P87)=0,"",IFERROR(AH87-C87-Config!$C$18,0))</f>
        <v/>
      </c>
      <c r="AJ87" s="21">
        <f>IF(COUNT(C87:P87)=0,"",IFERROR(AH87/C87,0))</f>
        <v/>
      </c>
      <c r="AK87" s="15">
        <f>IF(COUNT(C87:P87)=0,"",IFERROR(AI87/G87,0))</f>
        <v/>
      </c>
      <c r="AL87" s="21">
        <f>IF(COUNT(C87:P87)=0,"",IFERROR(AK87/V87,0))</f>
        <v/>
      </c>
      <c r="AM87" s="15">
        <f>IF(COUNT(C87:P87)=0,"",IFERROR(AI87/I87,0))</f>
        <v/>
      </c>
      <c r="AN87" s="15">
        <f>IF(COUNT(C87:P87)=0,"",IFERROR(AH87/I87-AA87,0))</f>
        <v/>
      </c>
    </row>
    <row r="88">
      <c r="A88" s="12">
        <f>Config!$C$6+82</f>
        <v/>
      </c>
      <c r="B88" s="13">
        <f>INT((A88-Config!$C$6)/7)+1</f>
        <v/>
      </c>
      <c r="C88" s="10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5">
        <f>IF(COUNT(C88:P88)=0,"",IFERROR(C88/D88*1000,0))</f>
        <v/>
      </c>
      <c r="R88" s="16">
        <f>IF(COUNT(C88:P88)=0,"",IFERROR(D88/E88,0))</f>
        <v/>
      </c>
      <c r="S88" s="17">
        <f>IF(COUNT(C88:P88)=0,"",IFERROR(F88/D88,0))</f>
        <v/>
      </c>
      <c r="T88" s="15">
        <f>IF(COUNT(C88:P88)=0,"",IFERROR(C88/F88,0))</f>
        <v/>
      </c>
      <c r="U88" s="18">
        <f>IF(COUNT(C88:P88)=0,"",IFERROR(G88/F88,0))</f>
        <v/>
      </c>
      <c r="V88" s="15">
        <f>IF(COUNT(C88:P88)=0,"",IFERROR(C88/G88,0))</f>
        <v/>
      </c>
      <c r="W88" s="19">
        <f>IF(COUNT(C88:P88)=0,"",IFERROR(G88/D88*1000,0))</f>
        <v/>
      </c>
      <c r="X88" s="18">
        <f>IF(COUNT(C88:P88)=0,"",IFERROR(H88/G88,0))</f>
        <v/>
      </c>
      <c r="Y88" s="18">
        <f>IF(COUNT(C88:P88)=0,"",IFERROR(I88/H88,0))</f>
        <v/>
      </c>
      <c r="Z88" s="17">
        <f>IF(COUNT(C88:P88)=0,"",IFERROR(I88/G88,0))</f>
        <v/>
      </c>
      <c r="AA88" s="15">
        <f>IF(COUNT(C88:P88)=0,"",IFERROR(C88/I88,0))</f>
        <v/>
      </c>
      <c r="AB88" s="18">
        <f>IF(COUNT(C88:P88)=0,"",IFERROR(J88/I88,0))</f>
        <v/>
      </c>
      <c r="AC88" s="18">
        <f>IF(COUNT(C88:P88)=0,"",IFERROR(K88/I88,0))</f>
        <v/>
      </c>
      <c r="AD88" s="18">
        <f>IF(COUNT(C88:P88)=0,"",IFERROR(L88/I88,0))</f>
        <v/>
      </c>
      <c r="AE88" s="18">
        <f>IF(COUNT(C88:P88)=0,"",IFERROR(P88/I88,0))</f>
        <v/>
      </c>
      <c r="AF88" s="20">
        <f>IF(COUNT(C88:P88)=0,"",IFERROR(I88*Config!$C$7+J88*Config!$C$8+K88*Config!$C$9+L88*Config!$C$10+M88*Config!$C$11+N88*Config!$C$12+O88*Config!$C$13+P88*Config!$C$14,0))</f>
        <v/>
      </c>
      <c r="AG88" s="15">
        <f>IF(COUNT(C88:P88)=0,"",IFERROR(AF88/I88,0))</f>
        <v/>
      </c>
      <c r="AH88" s="20">
        <f>IF(COUNT(C88:P88)=0,"",IFERROR(AF88*(1-Config!$C$15-Config!$C$16-Config!$C$17),0))</f>
        <v/>
      </c>
      <c r="AI88" s="20">
        <f>IF(COUNT(C88:P88)=0,"",IFERROR(AH88-C88-Config!$C$18,0))</f>
        <v/>
      </c>
      <c r="AJ88" s="21">
        <f>IF(COUNT(C88:P88)=0,"",IFERROR(AH88/C88,0))</f>
        <v/>
      </c>
      <c r="AK88" s="15">
        <f>IF(COUNT(C88:P88)=0,"",IFERROR(AI88/G88,0))</f>
        <v/>
      </c>
      <c r="AL88" s="21">
        <f>IF(COUNT(C88:P88)=0,"",IFERROR(AK88/V88,0))</f>
        <v/>
      </c>
      <c r="AM88" s="15">
        <f>IF(COUNT(C88:P88)=0,"",IFERROR(AI88/I88,0))</f>
        <v/>
      </c>
      <c r="AN88" s="15">
        <f>IF(COUNT(C88:P88)=0,"",IFERROR(AH88/I88-AA88,0))</f>
        <v/>
      </c>
    </row>
    <row r="89">
      <c r="A89" s="12">
        <f>Config!$C$6+83</f>
        <v/>
      </c>
      <c r="B89" s="13">
        <f>INT((A89-Config!$C$6)/7)+1</f>
        <v/>
      </c>
      <c r="C89" s="10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5">
        <f>IF(COUNT(C89:P89)=0,"",IFERROR(C89/D89*1000,0))</f>
        <v/>
      </c>
      <c r="R89" s="16">
        <f>IF(COUNT(C89:P89)=0,"",IFERROR(D89/E89,0))</f>
        <v/>
      </c>
      <c r="S89" s="17">
        <f>IF(COUNT(C89:P89)=0,"",IFERROR(F89/D89,0))</f>
        <v/>
      </c>
      <c r="T89" s="15">
        <f>IF(COUNT(C89:P89)=0,"",IFERROR(C89/F89,0))</f>
        <v/>
      </c>
      <c r="U89" s="18">
        <f>IF(COUNT(C89:P89)=0,"",IFERROR(G89/F89,0))</f>
        <v/>
      </c>
      <c r="V89" s="15">
        <f>IF(COUNT(C89:P89)=0,"",IFERROR(C89/G89,0))</f>
        <v/>
      </c>
      <c r="W89" s="19">
        <f>IF(COUNT(C89:P89)=0,"",IFERROR(G89/D89*1000,0))</f>
        <v/>
      </c>
      <c r="X89" s="18">
        <f>IF(COUNT(C89:P89)=0,"",IFERROR(H89/G89,0))</f>
        <v/>
      </c>
      <c r="Y89" s="18">
        <f>IF(COUNT(C89:P89)=0,"",IFERROR(I89/H89,0))</f>
        <v/>
      </c>
      <c r="Z89" s="17">
        <f>IF(COUNT(C89:P89)=0,"",IFERROR(I89/G89,0))</f>
        <v/>
      </c>
      <c r="AA89" s="15">
        <f>IF(COUNT(C89:P89)=0,"",IFERROR(C89/I89,0))</f>
        <v/>
      </c>
      <c r="AB89" s="18">
        <f>IF(COUNT(C89:P89)=0,"",IFERROR(J89/I89,0))</f>
        <v/>
      </c>
      <c r="AC89" s="18">
        <f>IF(COUNT(C89:P89)=0,"",IFERROR(K89/I89,0))</f>
        <v/>
      </c>
      <c r="AD89" s="18">
        <f>IF(COUNT(C89:P89)=0,"",IFERROR(L89/I89,0))</f>
        <v/>
      </c>
      <c r="AE89" s="18">
        <f>IF(COUNT(C89:P89)=0,"",IFERROR(P89/I89,0))</f>
        <v/>
      </c>
      <c r="AF89" s="20">
        <f>IF(COUNT(C89:P89)=0,"",IFERROR(I89*Config!$C$7+J89*Config!$C$8+K89*Config!$C$9+L89*Config!$C$10+M89*Config!$C$11+N89*Config!$C$12+O89*Config!$C$13+P89*Config!$C$14,0))</f>
        <v/>
      </c>
      <c r="AG89" s="15">
        <f>IF(COUNT(C89:P89)=0,"",IFERROR(AF89/I89,0))</f>
        <v/>
      </c>
      <c r="AH89" s="20">
        <f>IF(COUNT(C89:P89)=0,"",IFERROR(AF89*(1-Config!$C$15-Config!$C$16-Config!$C$17),0))</f>
        <v/>
      </c>
      <c r="AI89" s="20">
        <f>IF(COUNT(C89:P89)=0,"",IFERROR(AH89-C89-Config!$C$18,0))</f>
        <v/>
      </c>
      <c r="AJ89" s="21">
        <f>IF(COUNT(C89:P89)=0,"",IFERROR(AH89/C89,0))</f>
        <v/>
      </c>
      <c r="AK89" s="15">
        <f>IF(COUNT(C89:P89)=0,"",IFERROR(AI89/G89,0))</f>
        <v/>
      </c>
      <c r="AL89" s="21">
        <f>IF(COUNT(C89:P89)=0,"",IFERROR(AK89/V89,0))</f>
        <v/>
      </c>
      <c r="AM89" s="15">
        <f>IF(COUNT(C89:P89)=0,"",IFERROR(AI89/I89,0))</f>
        <v/>
      </c>
      <c r="AN89" s="15">
        <f>IF(COUNT(C89:P89)=0,"",IFERROR(AH89/I89-AA89,0))</f>
        <v/>
      </c>
    </row>
    <row r="90">
      <c r="A90" s="12">
        <f>Config!$C$6+84</f>
        <v/>
      </c>
      <c r="B90" s="13">
        <f>INT((A90-Config!$C$6)/7)+1</f>
        <v/>
      </c>
      <c r="C90" s="10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5">
        <f>IF(COUNT(C90:P90)=0,"",IFERROR(C90/D90*1000,0))</f>
        <v/>
      </c>
      <c r="R90" s="16">
        <f>IF(COUNT(C90:P90)=0,"",IFERROR(D90/E90,0))</f>
        <v/>
      </c>
      <c r="S90" s="17">
        <f>IF(COUNT(C90:P90)=0,"",IFERROR(F90/D90,0))</f>
        <v/>
      </c>
      <c r="T90" s="15">
        <f>IF(COUNT(C90:P90)=0,"",IFERROR(C90/F90,0))</f>
        <v/>
      </c>
      <c r="U90" s="18">
        <f>IF(COUNT(C90:P90)=0,"",IFERROR(G90/F90,0))</f>
        <v/>
      </c>
      <c r="V90" s="15">
        <f>IF(COUNT(C90:P90)=0,"",IFERROR(C90/G90,0))</f>
        <v/>
      </c>
      <c r="W90" s="19">
        <f>IF(COUNT(C90:P90)=0,"",IFERROR(G90/D90*1000,0))</f>
        <v/>
      </c>
      <c r="X90" s="18">
        <f>IF(COUNT(C90:P90)=0,"",IFERROR(H90/G90,0))</f>
        <v/>
      </c>
      <c r="Y90" s="18">
        <f>IF(COUNT(C90:P90)=0,"",IFERROR(I90/H90,0))</f>
        <v/>
      </c>
      <c r="Z90" s="17">
        <f>IF(COUNT(C90:P90)=0,"",IFERROR(I90/G90,0))</f>
        <v/>
      </c>
      <c r="AA90" s="15">
        <f>IF(COUNT(C90:P90)=0,"",IFERROR(C90/I90,0))</f>
        <v/>
      </c>
      <c r="AB90" s="18">
        <f>IF(COUNT(C90:P90)=0,"",IFERROR(J90/I90,0))</f>
        <v/>
      </c>
      <c r="AC90" s="18">
        <f>IF(COUNT(C90:P90)=0,"",IFERROR(K90/I90,0))</f>
        <v/>
      </c>
      <c r="AD90" s="18">
        <f>IF(COUNT(C90:P90)=0,"",IFERROR(L90/I90,0))</f>
        <v/>
      </c>
      <c r="AE90" s="18">
        <f>IF(COUNT(C90:P90)=0,"",IFERROR(P90/I90,0))</f>
        <v/>
      </c>
      <c r="AF90" s="20">
        <f>IF(COUNT(C90:P90)=0,"",IFERROR(I90*Config!$C$7+J90*Config!$C$8+K90*Config!$C$9+L90*Config!$C$10+M90*Config!$C$11+N90*Config!$C$12+O90*Config!$C$13+P90*Config!$C$14,0))</f>
        <v/>
      </c>
      <c r="AG90" s="15">
        <f>IF(COUNT(C90:P90)=0,"",IFERROR(AF90/I90,0))</f>
        <v/>
      </c>
      <c r="AH90" s="20">
        <f>IF(COUNT(C90:P90)=0,"",IFERROR(AF90*(1-Config!$C$15-Config!$C$16-Config!$C$17),0))</f>
        <v/>
      </c>
      <c r="AI90" s="20">
        <f>IF(COUNT(C90:P90)=0,"",IFERROR(AH90-C90-Config!$C$18,0))</f>
        <v/>
      </c>
      <c r="AJ90" s="21">
        <f>IF(COUNT(C90:P90)=0,"",IFERROR(AH90/C90,0))</f>
        <v/>
      </c>
      <c r="AK90" s="15">
        <f>IF(COUNT(C90:P90)=0,"",IFERROR(AI90/G90,0))</f>
        <v/>
      </c>
      <c r="AL90" s="21">
        <f>IF(COUNT(C90:P90)=0,"",IFERROR(AK90/V90,0))</f>
        <v/>
      </c>
      <c r="AM90" s="15">
        <f>IF(COUNT(C90:P90)=0,"",IFERROR(AI90/I90,0))</f>
        <v/>
      </c>
      <c r="AN90" s="15">
        <f>IF(COUNT(C90:P90)=0,"",IFERROR(AH90/I90-AA90,0))</f>
        <v/>
      </c>
    </row>
    <row r="91">
      <c r="A91" s="12">
        <f>Config!$C$6+85</f>
        <v/>
      </c>
      <c r="B91" s="13">
        <f>INT((A91-Config!$C$6)/7)+1</f>
        <v/>
      </c>
      <c r="C91" s="10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5">
        <f>IF(COUNT(C91:P91)=0,"",IFERROR(C91/D91*1000,0))</f>
        <v/>
      </c>
      <c r="R91" s="16">
        <f>IF(COUNT(C91:P91)=0,"",IFERROR(D91/E91,0))</f>
        <v/>
      </c>
      <c r="S91" s="17">
        <f>IF(COUNT(C91:P91)=0,"",IFERROR(F91/D91,0))</f>
        <v/>
      </c>
      <c r="T91" s="15">
        <f>IF(COUNT(C91:P91)=0,"",IFERROR(C91/F91,0))</f>
        <v/>
      </c>
      <c r="U91" s="18">
        <f>IF(COUNT(C91:P91)=0,"",IFERROR(G91/F91,0))</f>
        <v/>
      </c>
      <c r="V91" s="15">
        <f>IF(COUNT(C91:P91)=0,"",IFERROR(C91/G91,0))</f>
        <v/>
      </c>
      <c r="W91" s="19">
        <f>IF(COUNT(C91:P91)=0,"",IFERROR(G91/D91*1000,0))</f>
        <v/>
      </c>
      <c r="X91" s="18">
        <f>IF(COUNT(C91:P91)=0,"",IFERROR(H91/G91,0))</f>
        <v/>
      </c>
      <c r="Y91" s="18">
        <f>IF(COUNT(C91:P91)=0,"",IFERROR(I91/H91,0))</f>
        <v/>
      </c>
      <c r="Z91" s="17">
        <f>IF(COUNT(C91:P91)=0,"",IFERROR(I91/G91,0))</f>
        <v/>
      </c>
      <c r="AA91" s="15">
        <f>IF(COUNT(C91:P91)=0,"",IFERROR(C91/I91,0))</f>
        <v/>
      </c>
      <c r="AB91" s="18">
        <f>IF(COUNT(C91:P91)=0,"",IFERROR(J91/I91,0))</f>
        <v/>
      </c>
      <c r="AC91" s="18">
        <f>IF(COUNT(C91:P91)=0,"",IFERROR(K91/I91,0))</f>
        <v/>
      </c>
      <c r="AD91" s="18">
        <f>IF(COUNT(C91:P91)=0,"",IFERROR(L91/I91,0))</f>
        <v/>
      </c>
      <c r="AE91" s="18">
        <f>IF(COUNT(C91:P91)=0,"",IFERROR(P91/I91,0))</f>
        <v/>
      </c>
      <c r="AF91" s="20">
        <f>IF(COUNT(C91:P91)=0,"",IFERROR(I91*Config!$C$7+J91*Config!$C$8+K91*Config!$C$9+L91*Config!$C$10+M91*Config!$C$11+N91*Config!$C$12+O91*Config!$C$13+P91*Config!$C$14,0))</f>
        <v/>
      </c>
      <c r="AG91" s="15">
        <f>IF(COUNT(C91:P91)=0,"",IFERROR(AF91/I91,0))</f>
        <v/>
      </c>
      <c r="AH91" s="20">
        <f>IF(COUNT(C91:P91)=0,"",IFERROR(AF91*(1-Config!$C$15-Config!$C$16-Config!$C$17),0))</f>
        <v/>
      </c>
      <c r="AI91" s="20">
        <f>IF(COUNT(C91:P91)=0,"",IFERROR(AH91-C91-Config!$C$18,0))</f>
        <v/>
      </c>
      <c r="AJ91" s="21">
        <f>IF(COUNT(C91:P91)=0,"",IFERROR(AH91/C91,0))</f>
        <v/>
      </c>
      <c r="AK91" s="15">
        <f>IF(COUNT(C91:P91)=0,"",IFERROR(AI91/G91,0))</f>
        <v/>
      </c>
      <c r="AL91" s="21">
        <f>IF(COUNT(C91:P91)=0,"",IFERROR(AK91/V91,0))</f>
        <v/>
      </c>
      <c r="AM91" s="15">
        <f>IF(COUNT(C91:P91)=0,"",IFERROR(AI91/I91,0))</f>
        <v/>
      </c>
      <c r="AN91" s="15">
        <f>IF(COUNT(C91:P91)=0,"",IFERROR(AH91/I91-AA91,0))</f>
        <v/>
      </c>
    </row>
    <row r="92">
      <c r="A92" s="12">
        <f>Config!$C$6+86</f>
        <v/>
      </c>
      <c r="B92" s="13">
        <f>INT((A92-Config!$C$6)/7)+1</f>
        <v/>
      </c>
      <c r="C92" s="10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5">
        <f>IF(COUNT(C92:P92)=0,"",IFERROR(C92/D92*1000,0))</f>
        <v/>
      </c>
      <c r="R92" s="16">
        <f>IF(COUNT(C92:P92)=0,"",IFERROR(D92/E92,0))</f>
        <v/>
      </c>
      <c r="S92" s="17">
        <f>IF(COUNT(C92:P92)=0,"",IFERROR(F92/D92,0))</f>
        <v/>
      </c>
      <c r="T92" s="15">
        <f>IF(COUNT(C92:P92)=0,"",IFERROR(C92/F92,0))</f>
        <v/>
      </c>
      <c r="U92" s="18">
        <f>IF(COUNT(C92:P92)=0,"",IFERROR(G92/F92,0))</f>
        <v/>
      </c>
      <c r="V92" s="15">
        <f>IF(COUNT(C92:P92)=0,"",IFERROR(C92/G92,0))</f>
        <v/>
      </c>
      <c r="W92" s="19">
        <f>IF(COUNT(C92:P92)=0,"",IFERROR(G92/D92*1000,0))</f>
        <v/>
      </c>
      <c r="X92" s="18">
        <f>IF(COUNT(C92:P92)=0,"",IFERROR(H92/G92,0))</f>
        <v/>
      </c>
      <c r="Y92" s="18">
        <f>IF(COUNT(C92:P92)=0,"",IFERROR(I92/H92,0))</f>
        <v/>
      </c>
      <c r="Z92" s="17">
        <f>IF(COUNT(C92:P92)=0,"",IFERROR(I92/G92,0))</f>
        <v/>
      </c>
      <c r="AA92" s="15">
        <f>IF(COUNT(C92:P92)=0,"",IFERROR(C92/I92,0))</f>
        <v/>
      </c>
      <c r="AB92" s="18">
        <f>IF(COUNT(C92:P92)=0,"",IFERROR(J92/I92,0))</f>
        <v/>
      </c>
      <c r="AC92" s="18">
        <f>IF(COUNT(C92:P92)=0,"",IFERROR(K92/I92,0))</f>
        <v/>
      </c>
      <c r="AD92" s="18">
        <f>IF(COUNT(C92:P92)=0,"",IFERROR(L92/I92,0))</f>
        <v/>
      </c>
      <c r="AE92" s="18">
        <f>IF(COUNT(C92:P92)=0,"",IFERROR(P92/I92,0))</f>
        <v/>
      </c>
      <c r="AF92" s="20">
        <f>IF(COUNT(C92:P92)=0,"",IFERROR(I92*Config!$C$7+J92*Config!$C$8+K92*Config!$C$9+L92*Config!$C$10+M92*Config!$C$11+N92*Config!$C$12+O92*Config!$C$13+P92*Config!$C$14,0))</f>
        <v/>
      </c>
      <c r="AG92" s="15">
        <f>IF(COUNT(C92:P92)=0,"",IFERROR(AF92/I92,0))</f>
        <v/>
      </c>
      <c r="AH92" s="20">
        <f>IF(COUNT(C92:P92)=0,"",IFERROR(AF92*(1-Config!$C$15-Config!$C$16-Config!$C$17),0))</f>
        <v/>
      </c>
      <c r="AI92" s="20">
        <f>IF(COUNT(C92:P92)=0,"",IFERROR(AH92-C92-Config!$C$18,0))</f>
        <v/>
      </c>
      <c r="AJ92" s="21">
        <f>IF(COUNT(C92:P92)=0,"",IFERROR(AH92/C92,0))</f>
        <v/>
      </c>
      <c r="AK92" s="15">
        <f>IF(COUNT(C92:P92)=0,"",IFERROR(AI92/G92,0))</f>
        <v/>
      </c>
      <c r="AL92" s="21">
        <f>IF(COUNT(C92:P92)=0,"",IFERROR(AK92/V92,0))</f>
        <v/>
      </c>
      <c r="AM92" s="15">
        <f>IF(COUNT(C92:P92)=0,"",IFERROR(AI92/I92,0))</f>
        <v/>
      </c>
      <c r="AN92" s="15">
        <f>IF(COUNT(C92:P92)=0,"",IFERROR(AH92/I92-AA92,0))</f>
        <v/>
      </c>
    </row>
    <row r="93">
      <c r="A93" s="12">
        <f>Config!$C$6+87</f>
        <v/>
      </c>
      <c r="B93" s="13">
        <f>INT((A93-Config!$C$6)/7)+1</f>
        <v/>
      </c>
      <c r="C93" s="10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5">
        <f>IF(COUNT(C93:P93)=0,"",IFERROR(C93/D93*1000,0))</f>
        <v/>
      </c>
      <c r="R93" s="16">
        <f>IF(COUNT(C93:P93)=0,"",IFERROR(D93/E93,0))</f>
        <v/>
      </c>
      <c r="S93" s="17">
        <f>IF(COUNT(C93:P93)=0,"",IFERROR(F93/D93,0))</f>
        <v/>
      </c>
      <c r="T93" s="15">
        <f>IF(COUNT(C93:P93)=0,"",IFERROR(C93/F93,0))</f>
        <v/>
      </c>
      <c r="U93" s="18">
        <f>IF(COUNT(C93:P93)=0,"",IFERROR(G93/F93,0))</f>
        <v/>
      </c>
      <c r="V93" s="15">
        <f>IF(COUNT(C93:P93)=0,"",IFERROR(C93/G93,0))</f>
        <v/>
      </c>
      <c r="W93" s="19">
        <f>IF(COUNT(C93:P93)=0,"",IFERROR(G93/D93*1000,0))</f>
        <v/>
      </c>
      <c r="X93" s="18">
        <f>IF(COUNT(C93:P93)=0,"",IFERROR(H93/G93,0))</f>
        <v/>
      </c>
      <c r="Y93" s="18">
        <f>IF(COUNT(C93:P93)=0,"",IFERROR(I93/H93,0))</f>
        <v/>
      </c>
      <c r="Z93" s="17">
        <f>IF(COUNT(C93:P93)=0,"",IFERROR(I93/G93,0))</f>
        <v/>
      </c>
      <c r="AA93" s="15">
        <f>IF(COUNT(C93:P93)=0,"",IFERROR(C93/I93,0))</f>
        <v/>
      </c>
      <c r="AB93" s="18">
        <f>IF(COUNT(C93:P93)=0,"",IFERROR(J93/I93,0))</f>
        <v/>
      </c>
      <c r="AC93" s="18">
        <f>IF(COUNT(C93:P93)=0,"",IFERROR(K93/I93,0))</f>
        <v/>
      </c>
      <c r="AD93" s="18">
        <f>IF(COUNT(C93:P93)=0,"",IFERROR(L93/I93,0))</f>
        <v/>
      </c>
      <c r="AE93" s="18">
        <f>IF(COUNT(C93:P93)=0,"",IFERROR(P93/I93,0))</f>
        <v/>
      </c>
      <c r="AF93" s="20">
        <f>IF(COUNT(C93:P93)=0,"",IFERROR(I93*Config!$C$7+J93*Config!$C$8+K93*Config!$C$9+L93*Config!$C$10+M93*Config!$C$11+N93*Config!$C$12+O93*Config!$C$13+P93*Config!$C$14,0))</f>
        <v/>
      </c>
      <c r="AG93" s="15">
        <f>IF(COUNT(C93:P93)=0,"",IFERROR(AF93/I93,0))</f>
        <v/>
      </c>
      <c r="AH93" s="20">
        <f>IF(COUNT(C93:P93)=0,"",IFERROR(AF93*(1-Config!$C$15-Config!$C$16-Config!$C$17),0))</f>
        <v/>
      </c>
      <c r="AI93" s="20">
        <f>IF(COUNT(C93:P93)=0,"",IFERROR(AH93-C93-Config!$C$18,0))</f>
        <v/>
      </c>
      <c r="AJ93" s="21">
        <f>IF(COUNT(C93:P93)=0,"",IFERROR(AH93/C93,0))</f>
        <v/>
      </c>
      <c r="AK93" s="15">
        <f>IF(COUNT(C93:P93)=0,"",IFERROR(AI93/G93,0))</f>
        <v/>
      </c>
      <c r="AL93" s="21">
        <f>IF(COUNT(C93:P93)=0,"",IFERROR(AK93/V93,0))</f>
        <v/>
      </c>
      <c r="AM93" s="15">
        <f>IF(COUNT(C93:P93)=0,"",IFERROR(AI93/I93,0))</f>
        <v/>
      </c>
      <c r="AN93" s="15">
        <f>IF(COUNT(C93:P93)=0,"",IFERROR(AH93/I93-AA93,0))</f>
        <v/>
      </c>
    </row>
    <row r="94">
      <c r="A94" s="12">
        <f>Config!$C$6+88</f>
        <v/>
      </c>
      <c r="B94" s="13">
        <f>INT((A94-Config!$C$6)/7)+1</f>
        <v/>
      </c>
      <c r="C94" s="10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5">
        <f>IF(COUNT(C94:P94)=0,"",IFERROR(C94/D94*1000,0))</f>
        <v/>
      </c>
      <c r="R94" s="16">
        <f>IF(COUNT(C94:P94)=0,"",IFERROR(D94/E94,0))</f>
        <v/>
      </c>
      <c r="S94" s="17">
        <f>IF(COUNT(C94:P94)=0,"",IFERROR(F94/D94,0))</f>
        <v/>
      </c>
      <c r="T94" s="15">
        <f>IF(COUNT(C94:P94)=0,"",IFERROR(C94/F94,0))</f>
        <v/>
      </c>
      <c r="U94" s="18">
        <f>IF(COUNT(C94:P94)=0,"",IFERROR(G94/F94,0))</f>
        <v/>
      </c>
      <c r="V94" s="15">
        <f>IF(COUNT(C94:P94)=0,"",IFERROR(C94/G94,0))</f>
        <v/>
      </c>
      <c r="W94" s="19">
        <f>IF(COUNT(C94:P94)=0,"",IFERROR(G94/D94*1000,0))</f>
        <v/>
      </c>
      <c r="X94" s="18">
        <f>IF(COUNT(C94:P94)=0,"",IFERROR(H94/G94,0))</f>
        <v/>
      </c>
      <c r="Y94" s="18">
        <f>IF(COUNT(C94:P94)=0,"",IFERROR(I94/H94,0))</f>
        <v/>
      </c>
      <c r="Z94" s="17">
        <f>IF(COUNT(C94:P94)=0,"",IFERROR(I94/G94,0))</f>
        <v/>
      </c>
      <c r="AA94" s="15">
        <f>IF(COUNT(C94:P94)=0,"",IFERROR(C94/I94,0))</f>
        <v/>
      </c>
      <c r="AB94" s="18">
        <f>IF(COUNT(C94:P94)=0,"",IFERROR(J94/I94,0))</f>
        <v/>
      </c>
      <c r="AC94" s="18">
        <f>IF(COUNT(C94:P94)=0,"",IFERROR(K94/I94,0))</f>
        <v/>
      </c>
      <c r="AD94" s="18">
        <f>IF(COUNT(C94:P94)=0,"",IFERROR(L94/I94,0))</f>
        <v/>
      </c>
      <c r="AE94" s="18">
        <f>IF(COUNT(C94:P94)=0,"",IFERROR(P94/I94,0))</f>
        <v/>
      </c>
      <c r="AF94" s="20">
        <f>IF(COUNT(C94:P94)=0,"",IFERROR(I94*Config!$C$7+J94*Config!$C$8+K94*Config!$C$9+L94*Config!$C$10+M94*Config!$C$11+N94*Config!$C$12+O94*Config!$C$13+P94*Config!$C$14,0))</f>
        <v/>
      </c>
      <c r="AG94" s="15">
        <f>IF(COUNT(C94:P94)=0,"",IFERROR(AF94/I94,0))</f>
        <v/>
      </c>
      <c r="AH94" s="20">
        <f>IF(COUNT(C94:P94)=0,"",IFERROR(AF94*(1-Config!$C$15-Config!$C$16-Config!$C$17),0))</f>
        <v/>
      </c>
      <c r="AI94" s="20">
        <f>IF(COUNT(C94:P94)=0,"",IFERROR(AH94-C94-Config!$C$18,0))</f>
        <v/>
      </c>
      <c r="AJ94" s="21">
        <f>IF(COUNT(C94:P94)=0,"",IFERROR(AH94/C94,0))</f>
        <v/>
      </c>
      <c r="AK94" s="15">
        <f>IF(COUNT(C94:P94)=0,"",IFERROR(AI94/G94,0))</f>
        <v/>
      </c>
      <c r="AL94" s="21">
        <f>IF(COUNT(C94:P94)=0,"",IFERROR(AK94/V94,0))</f>
        <v/>
      </c>
      <c r="AM94" s="15">
        <f>IF(COUNT(C94:P94)=0,"",IFERROR(AI94/I94,0))</f>
        <v/>
      </c>
      <c r="AN94" s="15">
        <f>IF(COUNT(C94:P94)=0,"",IFERROR(AH94/I94-AA94,0))</f>
        <v/>
      </c>
    </row>
    <row r="95">
      <c r="A95" s="12">
        <f>Config!$C$6+89</f>
        <v/>
      </c>
      <c r="B95" s="13">
        <f>INT((A95-Config!$C$6)/7)+1</f>
        <v/>
      </c>
      <c r="C95" s="10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5">
        <f>IF(COUNT(C95:P95)=0,"",IFERROR(C95/D95*1000,0))</f>
        <v/>
      </c>
      <c r="R95" s="16">
        <f>IF(COUNT(C95:P95)=0,"",IFERROR(D95/E95,0))</f>
        <v/>
      </c>
      <c r="S95" s="17">
        <f>IF(COUNT(C95:P95)=0,"",IFERROR(F95/D95,0))</f>
        <v/>
      </c>
      <c r="T95" s="15">
        <f>IF(COUNT(C95:P95)=0,"",IFERROR(C95/F95,0))</f>
        <v/>
      </c>
      <c r="U95" s="18">
        <f>IF(COUNT(C95:P95)=0,"",IFERROR(G95/F95,0))</f>
        <v/>
      </c>
      <c r="V95" s="15">
        <f>IF(COUNT(C95:P95)=0,"",IFERROR(C95/G95,0))</f>
        <v/>
      </c>
      <c r="W95" s="19">
        <f>IF(COUNT(C95:P95)=0,"",IFERROR(G95/D95*1000,0))</f>
        <v/>
      </c>
      <c r="X95" s="18">
        <f>IF(COUNT(C95:P95)=0,"",IFERROR(H95/G95,0))</f>
        <v/>
      </c>
      <c r="Y95" s="18">
        <f>IF(COUNT(C95:P95)=0,"",IFERROR(I95/H95,0))</f>
        <v/>
      </c>
      <c r="Z95" s="17">
        <f>IF(COUNT(C95:P95)=0,"",IFERROR(I95/G95,0))</f>
        <v/>
      </c>
      <c r="AA95" s="15">
        <f>IF(COUNT(C95:P95)=0,"",IFERROR(C95/I95,0))</f>
        <v/>
      </c>
      <c r="AB95" s="18">
        <f>IF(COUNT(C95:P95)=0,"",IFERROR(J95/I95,0))</f>
        <v/>
      </c>
      <c r="AC95" s="18">
        <f>IF(COUNT(C95:P95)=0,"",IFERROR(K95/I95,0))</f>
        <v/>
      </c>
      <c r="AD95" s="18">
        <f>IF(COUNT(C95:P95)=0,"",IFERROR(L95/I95,0))</f>
        <v/>
      </c>
      <c r="AE95" s="18">
        <f>IF(COUNT(C95:P95)=0,"",IFERROR(P95/I95,0))</f>
        <v/>
      </c>
      <c r="AF95" s="20">
        <f>IF(COUNT(C95:P95)=0,"",IFERROR(I95*Config!$C$7+J95*Config!$C$8+K95*Config!$C$9+L95*Config!$C$10+M95*Config!$C$11+N95*Config!$C$12+O95*Config!$C$13+P95*Config!$C$14,0))</f>
        <v/>
      </c>
      <c r="AG95" s="15">
        <f>IF(COUNT(C95:P95)=0,"",IFERROR(AF95/I95,0))</f>
        <v/>
      </c>
      <c r="AH95" s="20">
        <f>IF(COUNT(C95:P95)=0,"",IFERROR(AF95*(1-Config!$C$15-Config!$C$16-Config!$C$17),0))</f>
        <v/>
      </c>
      <c r="AI95" s="20">
        <f>IF(COUNT(C95:P95)=0,"",IFERROR(AH95-C95-Config!$C$18,0))</f>
        <v/>
      </c>
      <c r="AJ95" s="21">
        <f>IF(COUNT(C95:P95)=0,"",IFERROR(AH95/C95,0))</f>
        <v/>
      </c>
      <c r="AK95" s="15">
        <f>IF(COUNT(C95:P95)=0,"",IFERROR(AI95/G95,0))</f>
        <v/>
      </c>
      <c r="AL95" s="21">
        <f>IF(COUNT(C95:P95)=0,"",IFERROR(AK95/V95,0))</f>
        <v/>
      </c>
      <c r="AM95" s="15">
        <f>IF(COUNT(C95:P95)=0,"",IFERROR(AI95/I95,0))</f>
        <v/>
      </c>
      <c r="AN95" s="15">
        <f>IF(COUNT(C95:P95)=0,"",IFERROR(AH95/I95-AA95,0))</f>
        <v/>
      </c>
    </row>
    <row r="96">
      <c r="A96" s="12">
        <f>Config!$C$6+90</f>
        <v/>
      </c>
      <c r="B96" s="13">
        <f>INT((A96-Config!$C$6)/7)+1</f>
        <v/>
      </c>
      <c r="C96" s="10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5">
        <f>IF(COUNT(C96:P96)=0,"",IFERROR(C96/D96*1000,0))</f>
        <v/>
      </c>
      <c r="R96" s="16">
        <f>IF(COUNT(C96:P96)=0,"",IFERROR(D96/E96,0))</f>
        <v/>
      </c>
      <c r="S96" s="17">
        <f>IF(COUNT(C96:P96)=0,"",IFERROR(F96/D96,0))</f>
        <v/>
      </c>
      <c r="T96" s="15">
        <f>IF(COUNT(C96:P96)=0,"",IFERROR(C96/F96,0))</f>
        <v/>
      </c>
      <c r="U96" s="18">
        <f>IF(COUNT(C96:P96)=0,"",IFERROR(G96/F96,0))</f>
        <v/>
      </c>
      <c r="V96" s="15">
        <f>IF(COUNT(C96:P96)=0,"",IFERROR(C96/G96,0))</f>
        <v/>
      </c>
      <c r="W96" s="19">
        <f>IF(COUNT(C96:P96)=0,"",IFERROR(G96/D96*1000,0))</f>
        <v/>
      </c>
      <c r="X96" s="18">
        <f>IF(COUNT(C96:P96)=0,"",IFERROR(H96/G96,0))</f>
        <v/>
      </c>
      <c r="Y96" s="18">
        <f>IF(COUNT(C96:P96)=0,"",IFERROR(I96/H96,0))</f>
        <v/>
      </c>
      <c r="Z96" s="17">
        <f>IF(COUNT(C96:P96)=0,"",IFERROR(I96/G96,0))</f>
        <v/>
      </c>
      <c r="AA96" s="15">
        <f>IF(COUNT(C96:P96)=0,"",IFERROR(C96/I96,0))</f>
        <v/>
      </c>
      <c r="AB96" s="18">
        <f>IF(COUNT(C96:P96)=0,"",IFERROR(J96/I96,0))</f>
        <v/>
      </c>
      <c r="AC96" s="18">
        <f>IF(COUNT(C96:P96)=0,"",IFERROR(K96/I96,0))</f>
        <v/>
      </c>
      <c r="AD96" s="18">
        <f>IF(COUNT(C96:P96)=0,"",IFERROR(L96/I96,0))</f>
        <v/>
      </c>
      <c r="AE96" s="18">
        <f>IF(COUNT(C96:P96)=0,"",IFERROR(P96/I96,0))</f>
        <v/>
      </c>
      <c r="AF96" s="20">
        <f>IF(COUNT(C96:P96)=0,"",IFERROR(I96*Config!$C$7+J96*Config!$C$8+K96*Config!$C$9+L96*Config!$C$10+M96*Config!$C$11+N96*Config!$C$12+O96*Config!$C$13+P96*Config!$C$14,0))</f>
        <v/>
      </c>
      <c r="AG96" s="15">
        <f>IF(COUNT(C96:P96)=0,"",IFERROR(AF96/I96,0))</f>
        <v/>
      </c>
      <c r="AH96" s="20">
        <f>IF(COUNT(C96:P96)=0,"",IFERROR(AF96*(1-Config!$C$15-Config!$C$16-Config!$C$17),0))</f>
        <v/>
      </c>
      <c r="AI96" s="20">
        <f>IF(COUNT(C96:P96)=0,"",IFERROR(AH96-C96-Config!$C$18,0))</f>
        <v/>
      </c>
      <c r="AJ96" s="21">
        <f>IF(COUNT(C96:P96)=0,"",IFERROR(AH96/C96,0))</f>
        <v/>
      </c>
      <c r="AK96" s="15">
        <f>IF(COUNT(C96:P96)=0,"",IFERROR(AI96/G96,0))</f>
        <v/>
      </c>
      <c r="AL96" s="21">
        <f>IF(COUNT(C96:P96)=0,"",IFERROR(AK96/V96,0))</f>
        <v/>
      </c>
      <c r="AM96" s="15">
        <f>IF(COUNT(C96:P96)=0,"",IFERROR(AI96/I96,0))</f>
        <v/>
      </c>
      <c r="AN96" s="15">
        <f>IF(COUNT(C96:P96)=0,"",IFERROR(AH96/I96-AA96,0))</f>
        <v/>
      </c>
    </row>
    <row r="97">
      <c r="A97" s="12">
        <f>Config!$C$6+91</f>
        <v/>
      </c>
      <c r="B97" s="13">
        <f>INT((A97-Config!$C$6)/7)+1</f>
        <v/>
      </c>
      <c r="C97" s="10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5">
        <f>IF(COUNT(C97:P97)=0,"",IFERROR(C97/D97*1000,0))</f>
        <v/>
      </c>
      <c r="R97" s="16">
        <f>IF(COUNT(C97:P97)=0,"",IFERROR(D97/E97,0))</f>
        <v/>
      </c>
      <c r="S97" s="17">
        <f>IF(COUNT(C97:P97)=0,"",IFERROR(F97/D97,0))</f>
        <v/>
      </c>
      <c r="T97" s="15">
        <f>IF(COUNT(C97:P97)=0,"",IFERROR(C97/F97,0))</f>
        <v/>
      </c>
      <c r="U97" s="18">
        <f>IF(COUNT(C97:P97)=0,"",IFERROR(G97/F97,0))</f>
        <v/>
      </c>
      <c r="V97" s="15">
        <f>IF(COUNT(C97:P97)=0,"",IFERROR(C97/G97,0))</f>
        <v/>
      </c>
      <c r="W97" s="19">
        <f>IF(COUNT(C97:P97)=0,"",IFERROR(G97/D97*1000,0))</f>
        <v/>
      </c>
      <c r="X97" s="18">
        <f>IF(COUNT(C97:P97)=0,"",IFERROR(H97/G97,0))</f>
        <v/>
      </c>
      <c r="Y97" s="18">
        <f>IF(COUNT(C97:P97)=0,"",IFERROR(I97/H97,0))</f>
        <v/>
      </c>
      <c r="Z97" s="17">
        <f>IF(COUNT(C97:P97)=0,"",IFERROR(I97/G97,0))</f>
        <v/>
      </c>
      <c r="AA97" s="15">
        <f>IF(COUNT(C97:P97)=0,"",IFERROR(C97/I97,0))</f>
        <v/>
      </c>
      <c r="AB97" s="18">
        <f>IF(COUNT(C97:P97)=0,"",IFERROR(J97/I97,0))</f>
        <v/>
      </c>
      <c r="AC97" s="18">
        <f>IF(COUNT(C97:P97)=0,"",IFERROR(K97/I97,0))</f>
        <v/>
      </c>
      <c r="AD97" s="18">
        <f>IF(COUNT(C97:P97)=0,"",IFERROR(L97/I97,0))</f>
        <v/>
      </c>
      <c r="AE97" s="18">
        <f>IF(COUNT(C97:P97)=0,"",IFERROR(P97/I97,0))</f>
        <v/>
      </c>
      <c r="AF97" s="20">
        <f>IF(COUNT(C97:P97)=0,"",IFERROR(I97*Config!$C$7+J97*Config!$C$8+K97*Config!$C$9+L97*Config!$C$10+M97*Config!$C$11+N97*Config!$C$12+O97*Config!$C$13+P97*Config!$C$14,0))</f>
        <v/>
      </c>
      <c r="AG97" s="15">
        <f>IF(COUNT(C97:P97)=0,"",IFERROR(AF97/I97,0))</f>
        <v/>
      </c>
      <c r="AH97" s="20">
        <f>IF(COUNT(C97:P97)=0,"",IFERROR(AF97*(1-Config!$C$15-Config!$C$16-Config!$C$17),0))</f>
        <v/>
      </c>
      <c r="AI97" s="20">
        <f>IF(COUNT(C97:P97)=0,"",IFERROR(AH97-C97-Config!$C$18,0))</f>
        <v/>
      </c>
      <c r="AJ97" s="21">
        <f>IF(COUNT(C97:P97)=0,"",IFERROR(AH97/C97,0))</f>
        <v/>
      </c>
      <c r="AK97" s="15">
        <f>IF(COUNT(C97:P97)=0,"",IFERROR(AI97/G97,0))</f>
        <v/>
      </c>
      <c r="AL97" s="21">
        <f>IF(COUNT(C97:P97)=0,"",IFERROR(AK97/V97,0))</f>
        <v/>
      </c>
      <c r="AM97" s="15">
        <f>IF(COUNT(C97:P97)=0,"",IFERROR(AI97/I97,0))</f>
        <v/>
      </c>
      <c r="AN97" s="15">
        <f>IF(COUNT(C97:P97)=0,"",IFERROR(AH97/I97-AA97,0))</f>
        <v/>
      </c>
    </row>
    <row r="98">
      <c r="A98" s="12">
        <f>Config!$C$6+92</f>
        <v/>
      </c>
      <c r="B98" s="13">
        <f>INT((A98-Config!$C$6)/7)+1</f>
        <v/>
      </c>
      <c r="C98" s="10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5">
        <f>IF(COUNT(C98:P98)=0,"",IFERROR(C98/D98*1000,0))</f>
        <v/>
      </c>
      <c r="R98" s="16">
        <f>IF(COUNT(C98:P98)=0,"",IFERROR(D98/E98,0))</f>
        <v/>
      </c>
      <c r="S98" s="17">
        <f>IF(COUNT(C98:P98)=0,"",IFERROR(F98/D98,0))</f>
        <v/>
      </c>
      <c r="T98" s="15">
        <f>IF(COUNT(C98:P98)=0,"",IFERROR(C98/F98,0))</f>
        <v/>
      </c>
      <c r="U98" s="18">
        <f>IF(COUNT(C98:P98)=0,"",IFERROR(G98/F98,0))</f>
        <v/>
      </c>
      <c r="V98" s="15">
        <f>IF(COUNT(C98:P98)=0,"",IFERROR(C98/G98,0))</f>
        <v/>
      </c>
      <c r="W98" s="19">
        <f>IF(COUNT(C98:P98)=0,"",IFERROR(G98/D98*1000,0))</f>
        <v/>
      </c>
      <c r="X98" s="18">
        <f>IF(COUNT(C98:P98)=0,"",IFERROR(H98/G98,0))</f>
        <v/>
      </c>
      <c r="Y98" s="18">
        <f>IF(COUNT(C98:P98)=0,"",IFERROR(I98/H98,0))</f>
        <v/>
      </c>
      <c r="Z98" s="17">
        <f>IF(COUNT(C98:P98)=0,"",IFERROR(I98/G98,0))</f>
        <v/>
      </c>
      <c r="AA98" s="15">
        <f>IF(COUNT(C98:P98)=0,"",IFERROR(C98/I98,0))</f>
        <v/>
      </c>
      <c r="AB98" s="18">
        <f>IF(COUNT(C98:P98)=0,"",IFERROR(J98/I98,0))</f>
        <v/>
      </c>
      <c r="AC98" s="18">
        <f>IF(COUNT(C98:P98)=0,"",IFERROR(K98/I98,0))</f>
        <v/>
      </c>
      <c r="AD98" s="18">
        <f>IF(COUNT(C98:P98)=0,"",IFERROR(L98/I98,0))</f>
        <v/>
      </c>
      <c r="AE98" s="18">
        <f>IF(COUNT(C98:P98)=0,"",IFERROR(P98/I98,0))</f>
        <v/>
      </c>
      <c r="AF98" s="20">
        <f>IF(COUNT(C98:P98)=0,"",IFERROR(I98*Config!$C$7+J98*Config!$C$8+K98*Config!$C$9+L98*Config!$C$10+M98*Config!$C$11+N98*Config!$C$12+O98*Config!$C$13+P98*Config!$C$14,0))</f>
        <v/>
      </c>
      <c r="AG98" s="15">
        <f>IF(COUNT(C98:P98)=0,"",IFERROR(AF98/I98,0))</f>
        <v/>
      </c>
      <c r="AH98" s="20">
        <f>IF(COUNT(C98:P98)=0,"",IFERROR(AF98*(1-Config!$C$15-Config!$C$16-Config!$C$17),0))</f>
        <v/>
      </c>
      <c r="AI98" s="20">
        <f>IF(COUNT(C98:P98)=0,"",IFERROR(AH98-C98-Config!$C$18,0))</f>
        <v/>
      </c>
      <c r="AJ98" s="21">
        <f>IF(COUNT(C98:P98)=0,"",IFERROR(AH98/C98,0))</f>
        <v/>
      </c>
      <c r="AK98" s="15">
        <f>IF(COUNT(C98:P98)=0,"",IFERROR(AI98/G98,0))</f>
        <v/>
      </c>
      <c r="AL98" s="21">
        <f>IF(COUNT(C98:P98)=0,"",IFERROR(AK98/V98,0))</f>
        <v/>
      </c>
      <c r="AM98" s="15">
        <f>IF(COUNT(C98:P98)=0,"",IFERROR(AI98/I98,0))</f>
        <v/>
      </c>
      <c r="AN98" s="15">
        <f>IF(COUNT(C98:P98)=0,"",IFERROR(AH98/I98-AA98,0))</f>
        <v/>
      </c>
    </row>
    <row r="99">
      <c r="A99" s="12">
        <f>Config!$C$6+93</f>
        <v/>
      </c>
      <c r="B99" s="13">
        <f>INT((A99-Config!$C$6)/7)+1</f>
        <v/>
      </c>
      <c r="C99" s="10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5">
        <f>IF(COUNT(C99:P99)=0,"",IFERROR(C99/D99*1000,0))</f>
        <v/>
      </c>
      <c r="R99" s="16">
        <f>IF(COUNT(C99:P99)=0,"",IFERROR(D99/E99,0))</f>
        <v/>
      </c>
      <c r="S99" s="17">
        <f>IF(COUNT(C99:P99)=0,"",IFERROR(F99/D99,0))</f>
        <v/>
      </c>
      <c r="T99" s="15">
        <f>IF(COUNT(C99:P99)=0,"",IFERROR(C99/F99,0))</f>
        <v/>
      </c>
      <c r="U99" s="18">
        <f>IF(COUNT(C99:P99)=0,"",IFERROR(G99/F99,0))</f>
        <v/>
      </c>
      <c r="V99" s="15">
        <f>IF(COUNT(C99:P99)=0,"",IFERROR(C99/G99,0))</f>
        <v/>
      </c>
      <c r="W99" s="19">
        <f>IF(COUNT(C99:P99)=0,"",IFERROR(G99/D99*1000,0))</f>
        <v/>
      </c>
      <c r="X99" s="18">
        <f>IF(COUNT(C99:P99)=0,"",IFERROR(H99/G99,0))</f>
        <v/>
      </c>
      <c r="Y99" s="18">
        <f>IF(COUNT(C99:P99)=0,"",IFERROR(I99/H99,0))</f>
        <v/>
      </c>
      <c r="Z99" s="17">
        <f>IF(COUNT(C99:P99)=0,"",IFERROR(I99/G99,0))</f>
        <v/>
      </c>
      <c r="AA99" s="15">
        <f>IF(COUNT(C99:P99)=0,"",IFERROR(C99/I99,0))</f>
        <v/>
      </c>
      <c r="AB99" s="18">
        <f>IF(COUNT(C99:P99)=0,"",IFERROR(J99/I99,0))</f>
        <v/>
      </c>
      <c r="AC99" s="18">
        <f>IF(COUNT(C99:P99)=0,"",IFERROR(K99/I99,0))</f>
        <v/>
      </c>
      <c r="AD99" s="18">
        <f>IF(COUNT(C99:P99)=0,"",IFERROR(L99/I99,0))</f>
        <v/>
      </c>
      <c r="AE99" s="18">
        <f>IF(COUNT(C99:P99)=0,"",IFERROR(P99/I99,0))</f>
        <v/>
      </c>
      <c r="AF99" s="20">
        <f>IF(COUNT(C99:P99)=0,"",IFERROR(I99*Config!$C$7+J99*Config!$C$8+K99*Config!$C$9+L99*Config!$C$10+M99*Config!$C$11+N99*Config!$C$12+O99*Config!$C$13+P99*Config!$C$14,0))</f>
        <v/>
      </c>
      <c r="AG99" s="15">
        <f>IF(COUNT(C99:P99)=0,"",IFERROR(AF99/I99,0))</f>
        <v/>
      </c>
      <c r="AH99" s="20">
        <f>IF(COUNT(C99:P99)=0,"",IFERROR(AF99*(1-Config!$C$15-Config!$C$16-Config!$C$17),0))</f>
        <v/>
      </c>
      <c r="AI99" s="20">
        <f>IF(COUNT(C99:P99)=0,"",IFERROR(AH99-C99-Config!$C$18,0))</f>
        <v/>
      </c>
      <c r="AJ99" s="21">
        <f>IF(COUNT(C99:P99)=0,"",IFERROR(AH99/C99,0))</f>
        <v/>
      </c>
      <c r="AK99" s="15">
        <f>IF(COUNT(C99:P99)=0,"",IFERROR(AI99/G99,0))</f>
        <v/>
      </c>
      <c r="AL99" s="21">
        <f>IF(COUNT(C99:P99)=0,"",IFERROR(AK99/V99,0))</f>
        <v/>
      </c>
      <c r="AM99" s="15">
        <f>IF(COUNT(C99:P99)=0,"",IFERROR(AI99/I99,0))</f>
        <v/>
      </c>
      <c r="AN99" s="15">
        <f>IF(COUNT(C99:P99)=0,"",IFERROR(AH99/I99-AA99,0))</f>
        <v/>
      </c>
    </row>
    <row r="100">
      <c r="A100" s="12">
        <f>Config!$C$6+94</f>
        <v/>
      </c>
      <c r="B100" s="13">
        <f>INT((A100-Config!$C$6)/7)+1</f>
        <v/>
      </c>
      <c r="C100" s="10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5">
        <f>IF(COUNT(C100:P100)=0,"",IFERROR(C100/D100*1000,0))</f>
        <v/>
      </c>
      <c r="R100" s="16">
        <f>IF(COUNT(C100:P100)=0,"",IFERROR(D100/E100,0))</f>
        <v/>
      </c>
      <c r="S100" s="17">
        <f>IF(COUNT(C100:P100)=0,"",IFERROR(F100/D100,0))</f>
        <v/>
      </c>
      <c r="T100" s="15">
        <f>IF(COUNT(C100:P100)=0,"",IFERROR(C100/F100,0))</f>
        <v/>
      </c>
      <c r="U100" s="18">
        <f>IF(COUNT(C100:P100)=0,"",IFERROR(G100/F100,0))</f>
        <v/>
      </c>
      <c r="V100" s="15">
        <f>IF(COUNT(C100:P100)=0,"",IFERROR(C100/G100,0))</f>
        <v/>
      </c>
      <c r="W100" s="19">
        <f>IF(COUNT(C100:P100)=0,"",IFERROR(G100/D100*1000,0))</f>
        <v/>
      </c>
      <c r="X100" s="18">
        <f>IF(COUNT(C100:P100)=0,"",IFERROR(H100/G100,0))</f>
        <v/>
      </c>
      <c r="Y100" s="18">
        <f>IF(COUNT(C100:P100)=0,"",IFERROR(I100/H100,0))</f>
        <v/>
      </c>
      <c r="Z100" s="17">
        <f>IF(COUNT(C100:P100)=0,"",IFERROR(I100/G100,0))</f>
        <v/>
      </c>
      <c r="AA100" s="15">
        <f>IF(COUNT(C100:P100)=0,"",IFERROR(C100/I100,0))</f>
        <v/>
      </c>
      <c r="AB100" s="18">
        <f>IF(COUNT(C100:P100)=0,"",IFERROR(J100/I100,0))</f>
        <v/>
      </c>
      <c r="AC100" s="18">
        <f>IF(COUNT(C100:P100)=0,"",IFERROR(K100/I100,0))</f>
        <v/>
      </c>
      <c r="AD100" s="18">
        <f>IF(COUNT(C100:P100)=0,"",IFERROR(L100/I100,0))</f>
        <v/>
      </c>
      <c r="AE100" s="18">
        <f>IF(COUNT(C100:P100)=0,"",IFERROR(P100/I100,0))</f>
        <v/>
      </c>
      <c r="AF100" s="20">
        <f>IF(COUNT(C100:P100)=0,"",IFERROR(I100*Config!$C$7+J100*Config!$C$8+K100*Config!$C$9+L100*Config!$C$10+M100*Config!$C$11+N100*Config!$C$12+O100*Config!$C$13+P100*Config!$C$14,0))</f>
        <v/>
      </c>
      <c r="AG100" s="15">
        <f>IF(COUNT(C100:P100)=0,"",IFERROR(AF100/I100,0))</f>
        <v/>
      </c>
      <c r="AH100" s="20">
        <f>IF(COUNT(C100:P100)=0,"",IFERROR(AF100*(1-Config!$C$15-Config!$C$16-Config!$C$17),0))</f>
        <v/>
      </c>
      <c r="AI100" s="20">
        <f>IF(COUNT(C100:P100)=0,"",IFERROR(AH100-C100-Config!$C$18,0))</f>
        <v/>
      </c>
      <c r="AJ100" s="21">
        <f>IF(COUNT(C100:P100)=0,"",IFERROR(AH100/C100,0))</f>
        <v/>
      </c>
      <c r="AK100" s="15">
        <f>IF(COUNT(C100:P100)=0,"",IFERROR(AI100/G100,0))</f>
        <v/>
      </c>
      <c r="AL100" s="21">
        <f>IF(COUNT(C100:P100)=0,"",IFERROR(AK100/V100,0))</f>
        <v/>
      </c>
      <c r="AM100" s="15">
        <f>IF(COUNT(C100:P100)=0,"",IFERROR(AI100/I100,0))</f>
        <v/>
      </c>
      <c r="AN100" s="15">
        <f>IF(COUNT(C100:P100)=0,"",IFERROR(AH100/I100-AA100,0))</f>
        <v/>
      </c>
    </row>
    <row r="101">
      <c r="A101" s="12">
        <f>Config!$C$6+95</f>
        <v/>
      </c>
      <c r="B101" s="13">
        <f>INT((A101-Config!$C$6)/7)+1</f>
        <v/>
      </c>
      <c r="C101" s="10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5">
        <f>IF(COUNT(C101:P101)=0,"",IFERROR(C101/D101*1000,0))</f>
        <v/>
      </c>
      <c r="R101" s="16">
        <f>IF(COUNT(C101:P101)=0,"",IFERROR(D101/E101,0))</f>
        <v/>
      </c>
      <c r="S101" s="17">
        <f>IF(COUNT(C101:P101)=0,"",IFERROR(F101/D101,0))</f>
        <v/>
      </c>
      <c r="T101" s="15">
        <f>IF(COUNT(C101:P101)=0,"",IFERROR(C101/F101,0))</f>
        <v/>
      </c>
      <c r="U101" s="18">
        <f>IF(COUNT(C101:P101)=0,"",IFERROR(G101/F101,0))</f>
        <v/>
      </c>
      <c r="V101" s="15">
        <f>IF(COUNT(C101:P101)=0,"",IFERROR(C101/G101,0))</f>
        <v/>
      </c>
      <c r="W101" s="19">
        <f>IF(COUNT(C101:P101)=0,"",IFERROR(G101/D101*1000,0))</f>
        <v/>
      </c>
      <c r="X101" s="18">
        <f>IF(COUNT(C101:P101)=0,"",IFERROR(H101/G101,0))</f>
        <v/>
      </c>
      <c r="Y101" s="18">
        <f>IF(COUNT(C101:P101)=0,"",IFERROR(I101/H101,0))</f>
        <v/>
      </c>
      <c r="Z101" s="17">
        <f>IF(COUNT(C101:P101)=0,"",IFERROR(I101/G101,0))</f>
        <v/>
      </c>
      <c r="AA101" s="15">
        <f>IF(COUNT(C101:P101)=0,"",IFERROR(C101/I101,0))</f>
        <v/>
      </c>
      <c r="AB101" s="18">
        <f>IF(COUNT(C101:P101)=0,"",IFERROR(J101/I101,0))</f>
        <v/>
      </c>
      <c r="AC101" s="18">
        <f>IF(COUNT(C101:P101)=0,"",IFERROR(K101/I101,0))</f>
        <v/>
      </c>
      <c r="AD101" s="18">
        <f>IF(COUNT(C101:P101)=0,"",IFERROR(L101/I101,0))</f>
        <v/>
      </c>
      <c r="AE101" s="18">
        <f>IF(COUNT(C101:P101)=0,"",IFERROR(P101/I101,0))</f>
        <v/>
      </c>
      <c r="AF101" s="20">
        <f>IF(COUNT(C101:P101)=0,"",IFERROR(I101*Config!$C$7+J101*Config!$C$8+K101*Config!$C$9+L101*Config!$C$10+M101*Config!$C$11+N101*Config!$C$12+O101*Config!$C$13+P101*Config!$C$14,0))</f>
        <v/>
      </c>
      <c r="AG101" s="15">
        <f>IF(COUNT(C101:P101)=0,"",IFERROR(AF101/I101,0))</f>
        <v/>
      </c>
      <c r="AH101" s="20">
        <f>IF(COUNT(C101:P101)=0,"",IFERROR(AF101*(1-Config!$C$15-Config!$C$16-Config!$C$17),0))</f>
        <v/>
      </c>
      <c r="AI101" s="20">
        <f>IF(COUNT(C101:P101)=0,"",IFERROR(AH101-C101-Config!$C$18,0))</f>
        <v/>
      </c>
      <c r="AJ101" s="21">
        <f>IF(COUNT(C101:P101)=0,"",IFERROR(AH101/C101,0))</f>
        <v/>
      </c>
      <c r="AK101" s="15">
        <f>IF(COUNT(C101:P101)=0,"",IFERROR(AI101/G101,0))</f>
        <v/>
      </c>
      <c r="AL101" s="21">
        <f>IF(COUNT(C101:P101)=0,"",IFERROR(AK101/V101,0))</f>
        <v/>
      </c>
      <c r="AM101" s="15">
        <f>IF(COUNT(C101:P101)=0,"",IFERROR(AI101/I101,0))</f>
        <v/>
      </c>
      <c r="AN101" s="15">
        <f>IF(COUNT(C101:P101)=0,"",IFERROR(AH101/I101-AA101,0))</f>
        <v/>
      </c>
    </row>
    <row r="102">
      <c r="A102" s="12">
        <f>Config!$C$6+96</f>
        <v/>
      </c>
      <c r="B102" s="13">
        <f>INT((A102-Config!$C$6)/7)+1</f>
        <v/>
      </c>
      <c r="C102" s="10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5">
        <f>IF(COUNT(C102:P102)=0,"",IFERROR(C102/D102*1000,0))</f>
        <v/>
      </c>
      <c r="R102" s="16">
        <f>IF(COUNT(C102:P102)=0,"",IFERROR(D102/E102,0))</f>
        <v/>
      </c>
      <c r="S102" s="17">
        <f>IF(COUNT(C102:P102)=0,"",IFERROR(F102/D102,0))</f>
        <v/>
      </c>
      <c r="T102" s="15">
        <f>IF(COUNT(C102:P102)=0,"",IFERROR(C102/F102,0))</f>
        <v/>
      </c>
      <c r="U102" s="18">
        <f>IF(COUNT(C102:P102)=0,"",IFERROR(G102/F102,0))</f>
        <v/>
      </c>
      <c r="V102" s="15">
        <f>IF(COUNT(C102:P102)=0,"",IFERROR(C102/G102,0))</f>
        <v/>
      </c>
      <c r="W102" s="19">
        <f>IF(COUNT(C102:P102)=0,"",IFERROR(G102/D102*1000,0))</f>
        <v/>
      </c>
      <c r="X102" s="18">
        <f>IF(COUNT(C102:P102)=0,"",IFERROR(H102/G102,0))</f>
        <v/>
      </c>
      <c r="Y102" s="18">
        <f>IF(COUNT(C102:P102)=0,"",IFERROR(I102/H102,0))</f>
        <v/>
      </c>
      <c r="Z102" s="17">
        <f>IF(COUNT(C102:P102)=0,"",IFERROR(I102/G102,0))</f>
        <v/>
      </c>
      <c r="AA102" s="15">
        <f>IF(COUNT(C102:P102)=0,"",IFERROR(C102/I102,0))</f>
        <v/>
      </c>
      <c r="AB102" s="18">
        <f>IF(COUNT(C102:P102)=0,"",IFERROR(J102/I102,0))</f>
        <v/>
      </c>
      <c r="AC102" s="18">
        <f>IF(COUNT(C102:P102)=0,"",IFERROR(K102/I102,0))</f>
        <v/>
      </c>
      <c r="AD102" s="18">
        <f>IF(COUNT(C102:P102)=0,"",IFERROR(L102/I102,0))</f>
        <v/>
      </c>
      <c r="AE102" s="18">
        <f>IF(COUNT(C102:P102)=0,"",IFERROR(P102/I102,0))</f>
        <v/>
      </c>
      <c r="AF102" s="20">
        <f>IF(COUNT(C102:P102)=0,"",IFERROR(I102*Config!$C$7+J102*Config!$C$8+K102*Config!$C$9+L102*Config!$C$10+M102*Config!$C$11+N102*Config!$C$12+O102*Config!$C$13+P102*Config!$C$14,0))</f>
        <v/>
      </c>
      <c r="AG102" s="15">
        <f>IF(COUNT(C102:P102)=0,"",IFERROR(AF102/I102,0))</f>
        <v/>
      </c>
      <c r="AH102" s="20">
        <f>IF(COUNT(C102:P102)=0,"",IFERROR(AF102*(1-Config!$C$15-Config!$C$16-Config!$C$17),0))</f>
        <v/>
      </c>
      <c r="AI102" s="20">
        <f>IF(COUNT(C102:P102)=0,"",IFERROR(AH102-C102-Config!$C$18,0))</f>
        <v/>
      </c>
      <c r="AJ102" s="21">
        <f>IF(COUNT(C102:P102)=0,"",IFERROR(AH102/C102,0))</f>
        <v/>
      </c>
      <c r="AK102" s="15">
        <f>IF(COUNT(C102:P102)=0,"",IFERROR(AI102/G102,0))</f>
        <v/>
      </c>
      <c r="AL102" s="21">
        <f>IF(COUNT(C102:P102)=0,"",IFERROR(AK102/V102,0))</f>
        <v/>
      </c>
      <c r="AM102" s="15">
        <f>IF(COUNT(C102:P102)=0,"",IFERROR(AI102/I102,0))</f>
        <v/>
      </c>
      <c r="AN102" s="15">
        <f>IF(COUNT(C102:P102)=0,"",IFERROR(AH102/I102-AA102,0))</f>
        <v/>
      </c>
    </row>
    <row r="103">
      <c r="A103" s="12">
        <f>Config!$C$6+97</f>
        <v/>
      </c>
      <c r="B103" s="13">
        <f>INT((A103-Config!$C$6)/7)+1</f>
        <v/>
      </c>
      <c r="C103" s="10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5">
        <f>IF(COUNT(C103:P103)=0,"",IFERROR(C103/D103*1000,0))</f>
        <v/>
      </c>
      <c r="R103" s="16">
        <f>IF(COUNT(C103:P103)=0,"",IFERROR(D103/E103,0))</f>
        <v/>
      </c>
      <c r="S103" s="17">
        <f>IF(COUNT(C103:P103)=0,"",IFERROR(F103/D103,0))</f>
        <v/>
      </c>
      <c r="T103" s="15">
        <f>IF(COUNT(C103:P103)=0,"",IFERROR(C103/F103,0))</f>
        <v/>
      </c>
      <c r="U103" s="18">
        <f>IF(COUNT(C103:P103)=0,"",IFERROR(G103/F103,0))</f>
        <v/>
      </c>
      <c r="V103" s="15">
        <f>IF(COUNT(C103:P103)=0,"",IFERROR(C103/G103,0))</f>
        <v/>
      </c>
      <c r="W103" s="19">
        <f>IF(COUNT(C103:P103)=0,"",IFERROR(G103/D103*1000,0))</f>
        <v/>
      </c>
      <c r="X103" s="18">
        <f>IF(COUNT(C103:P103)=0,"",IFERROR(H103/G103,0))</f>
        <v/>
      </c>
      <c r="Y103" s="18">
        <f>IF(COUNT(C103:P103)=0,"",IFERROR(I103/H103,0))</f>
        <v/>
      </c>
      <c r="Z103" s="17">
        <f>IF(COUNT(C103:P103)=0,"",IFERROR(I103/G103,0))</f>
        <v/>
      </c>
      <c r="AA103" s="15">
        <f>IF(COUNT(C103:P103)=0,"",IFERROR(C103/I103,0))</f>
        <v/>
      </c>
      <c r="AB103" s="18">
        <f>IF(COUNT(C103:P103)=0,"",IFERROR(J103/I103,0))</f>
        <v/>
      </c>
      <c r="AC103" s="18">
        <f>IF(COUNT(C103:P103)=0,"",IFERROR(K103/I103,0))</f>
        <v/>
      </c>
      <c r="AD103" s="18">
        <f>IF(COUNT(C103:P103)=0,"",IFERROR(L103/I103,0))</f>
        <v/>
      </c>
      <c r="AE103" s="18">
        <f>IF(COUNT(C103:P103)=0,"",IFERROR(P103/I103,0))</f>
        <v/>
      </c>
      <c r="AF103" s="20">
        <f>IF(COUNT(C103:P103)=0,"",IFERROR(I103*Config!$C$7+J103*Config!$C$8+K103*Config!$C$9+L103*Config!$C$10+M103*Config!$C$11+N103*Config!$C$12+O103*Config!$C$13+P103*Config!$C$14,0))</f>
        <v/>
      </c>
      <c r="AG103" s="15">
        <f>IF(COUNT(C103:P103)=0,"",IFERROR(AF103/I103,0))</f>
        <v/>
      </c>
      <c r="AH103" s="20">
        <f>IF(COUNT(C103:P103)=0,"",IFERROR(AF103*(1-Config!$C$15-Config!$C$16-Config!$C$17),0))</f>
        <v/>
      </c>
      <c r="AI103" s="20">
        <f>IF(COUNT(C103:P103)=0,"",IFERROR(AH103-C103-Config!$C$18,0))</f>
        <v/>
      </c>
      <c r="AJ103" s="21">
        <f>IF(COUNT(C103:P103)=0,"",IFERROR(AH103/C103,0))</f>
        <v/>
      </c>
      <c r="AK103" s="15">
        <f>IF(COUNT(C103:P103)=0,"",IFERROR(AI103/G103,0))</f>
        <v/>
      </c>
      <c r="AL103" s="21">
        <f>IF(COUNT(C103:P103)=0,"",IFERROR(AK103/V103,0))</f>
        <v/>
      </c>
      <c r="AM103" s="15">
        <f>IF(COUNT(C103:P103)=0,"",IFERROR(AI103/I103,0))</f>
        <v/>
      </c>
      <c r="AN103" s="15">
        <f>IF(COUNT(C103:P103)=0,"",IFERROR(AH103/I103-AA103,0))</f>
        <v/>
      </c>
    </row>
    <row r="104">
      <c r="A104" s="12">
        <f>Config!$C$6+98</f>
        <v/>
      </c>
      <c r="B104" s="13">
        <f>INT((A104-Config!$C$6)/7)+1</f>
        <v/>
      </c>
      <c r="C104" s="10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5">
        <f>IF(COUNT(C104:P104)=0,"",IFERROR(C104/D104*1000,0))</f>
        <v/>
      </c>
      <c r="R104" s="16">
        <f>IF(COUNT(C104:P104)=0,"",IFERROR(D104/E104,0))</f>
        <v/>
      </c>
      <c r="S104" s="17">
        <f>IF(COUNT(C104:P104)=0,"",IFERROR(F104/D104,0))</f>
        <v/>
      </c>
      <c r="T104" s="15">
        <f>IF(COUNT(C104:P104)=0,"",IFERROR(C104/F104,0))</f>
        <v/>
      </c>
      <c r="U104" s="18">
        <f>IF(COUNT(C104:P104)=0,"",IFERROR(G104/F104,0))</f>
        <v/>
      </c>
      <c r="V104" s="15">
        <f>IF(COUNT(C104:P104)=0,"",IFERROR(C104/G104,0))</f>
        <v/>
      </c>
      <c r="W104" s="19">
        <f>IF(COUNT(C104:P104)=0,"",IFERROR(G104/D104*1000,0))</f>
        <v/>
      </c>
      <c r="X104" s="18">
        <f>IF(COUNT(C104:P104)=0,"",IFERROR(H104/G104,0))</f>
        <v/>
      </c>
      <c r="Y104" s="18">
        <f>IF(COUNT(C104:P104)=0,"",IFERROR(I104/H104,0))</f>
        <v/>
      </c>
      <c r="Z104" s="17">
        <f>IF(COUNT(C104:P104)=0,"",IFERROR(I104/G104,0))</f>
        <v/>
      </c>
      <c r="AA104" s="15">
        <f>IF(COUNT(C104:P104)=0,"",IFERROR(C104/I104,0))</f>
        <v/>
      </c>
      <c r="AB104" s="18">
        <f>IF(COUNT(C104:P104)=0,"",IFERROR(J104/I104,0))</f>
        <v/>
      </c>
      <c r="AC104" s="18">
        <f>IF(COUNT(C104:P104)=0,"",IFERROR(K104/I104,0))</f>
        <v/>
      </c>
      <c r="AD104" s="18">
        <f>IF(COUNT(C104:P104)=0,"",IFERROR(L104/I104,0))</f>
        <v/>
      </c>
      <c r="AE104" s="18">
        <f>IF(COUNT(C104:P104)=0,"",IFERROR(P104/I104,0))</f>
        <v/>
      </c>
      <c r="AF104" s="20">
        <f>IF(COUNT(C104:P104)=0,"",IFERROR(I104*Config!$C$7+J104*Config!$C$8+K104*Config!$C$9+L104*Config!$C$10+M104*Config!$C$11+N104*Config!$C$12+O104*Config!$C$13+P104*Config!$C$14,0))</f>
        <v/>
      </c>
      <c r="AG104" s="15">
        <f>IF(COUNT(C104:P104)=0,"",IFERROR(AF104/I104,0))</f>
        <v/>
      </c>
      <c r="AH104" s="20">
        <f>IF(COUNT(C104:P104)=0,"",IFERROR(AF104*(1-Config!$C$15-Config!$C$16-Config!$C$17),0))</f>
        <v/>
      </c>
      <c r="AI104" s="20">
        <f>IF(COUNT(C104:P104)=0,"",IFERROR(AH104-C104-Config!$C$18,0))</f>
        <v/>
      </c>
      <c r="AJ104" s="21">
        <f>IF(COUNT(C104:P104)=0,"",IFERROR(AH104/C104,0))</f>
        <v/>
      </c>
      <c r="AK104" s="15">
        <f>IF(COUNT(C104:P104)=0,"",IFERROR(AI104/G104,0))</f>
        <v/>
      </c>
      <c r="AL104" s="21">
        <f>IF(COUNT(C104:P104)=0,"",IFERROR(AK104/V104,0))</f>
        <v/>
      </c>
      <c r="AM104" s="15">
        <f>IF(COUNT(C104:P104)=0,"",IFERROR(AI104/I104,0))</f>
        <v/>
      </c>
      <c r="AN104" s="15">
        <f>IF(COUNT(C104:P104)=0,"",IFERROR(AH104/I104-AA104,0))</f>
        <v/>
      </c>
    </row>
    <row r="105">
      <c r="A105" s="12">
        <f>Config!$C$6+99</f>
        <v/>
      </c>
      <c r="B105" s="13">
        <f>INT((A105-Config!$C$6)/7)+1</f>
        <v/>
      </c>
      <c r="C105" s="10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5">
        <f>IF(COUNT(C105:P105)=0,"",IFERROR(C105/D105*1000,0))</f>
        <v/>
      </c>
      <c r="R105" s="16">
        <f>IF(COUNT(C105:P105)=0,"",IFERROR(D105/E105,0))</f>
        <v/>
      </c>
      <c r="S105" s="17">
        <f>IF(COUNT(C105:P105)=0,"",IFERROR(F105/D105,0))</f>
        <v/>
      </c>
      <c r="T105" s="15">
        <f>IF(COUNT(C105:P105)=0,"",IFERROR(C105/F105,0))</f>
        <v/>
      </c>
      <c r="U105" s="18">
        <f>IF(COUNT(C105:P105)=0,"",IFERROR(G105/F105,0))</f>
        <v/>
      </c>
      <c r="V105" s="15">
        <f>IF(COUNT(C105:P105)=0,"",IFERROR(C105/G105,0))</f>
        <v/>
      </c>
      <c r="W105" s="19">
        <f>IF(COUNT(C105:P105)=0,"",IFERROR(G105/D105*1000,0))</f>
        <v/>
      </c>
      <c r="X105" s="18">
        <f>IF(COUNT(C105:P105)=0,"",IFERROR(H105/G105,0))</f>
        <v/>
      </c>
      <c r="Y105" s="18">
        <f>IF(COUNT(C105:P105)=0,"",IFERROR(I105/H105,0))</f>
        <v/>
      </c>
      <c r="Z105" s="17">
        <f>IF(COUNT(C105:P105)=0,"",IFERROR(I105/G105,0))</f>
        <v/>
      </c>
      <c r="AA105" s="15">
        <f>IF(COUNT(C105:P105)=0,"",IFERROR(C105/I105,0))</f>
        <v/>
      </c>
      <c r="AB105" s="18">
        <f>IF(COUNT(C105:P105)=0,"",IFERROR(J105/I105,0))</f>
        <v/>
      </c>
      <c r="AC105" s="18">
        <f>IF(COUNT(C105:P105)=0,"",IFERROR(K105/I105,0))</f>
        <v/>
      </c>
      <c r="AD105" s="18">
        <f>IF(COUNT(C105:P105)=0,"",IFERROR(L105/I105,0))</f>
        <v/>
      </c>
      <c r="AE105" s="18">
        <f>IF(COUNT(C105:P105)=0,"",IFERROR(P105/I105,0))</f>
        <v/>
      </c>
      <c r="AF105" s="20">
        <f>IF(COUNT(C105:P105)=0,"",IFERROR(I105*Config!$C$7+J105*Config!$C$8+K105*Config!$C$9+L105*Config!$C$10+M105*Config!$C$11+N105*Config!$C$12+O105*Config!$C$13+P105*Config!$C$14,0))</f>
        <v/>
      </c>
      <c r="AG105" s="15">
        <f>IF(COUNT(C105:P105)=0,"",IFERROR(AF105/I105,0))</f>
        <v/>
      </c>
      <c r="AH105" s="20">
        <f>IF(COUNT(C105:P105)=0,"",IFERROR(AF105*(1-Config!$C$15-Config!$C$16-Config!$C$17),0))</f>
        <v/>
      </c>
      <c r="AI105" s="20">
        <f>IF(COUNT(C105:P105)=0,"",IFERROR(AH105-C105-Config!$C$18,0))</f>
        <v/>
      </c>
      <c r="AJ105" s="21">
        <f>IF(COUNT(C105:P105)=0,"",IFERROR(AH105/C105,0))</f>
        <v/>
      </c>
      <c r="AK105" s="15">
        <f>IF(COUNT(C105:P105)=0,"",IFERROR(AI105/G105,0))</f>
        <v/>
      </c>
      <c r="AL105" s="21">
        <f>IF(COUNT(C105:P105)=0,"",IFERROR(AK105/V105,0))</f>
        <v/>
      </c>
      <c r="AM105" s="15">
        <f>IF(COUNT(C105:P105)=0,"",IFERROR(AI105/I105,0))</f>
        <v/>
      </c>
      <c r="AN105" s="15">
        <f>IF(COUNT(C105:P105)=0,"",IFERROR(AH105/I105-AA105,0))</f>
        <v/>
      </c>
    </row>
    <row r="106">
      <c r="A106" s="12">
        <f>Config!$C$6+100</f>
        <v/>
      </c>
      <c r="B106" s="13">
        <f>INT((A106-Config!$C$6)/7)+1</f>
        <v/>
      </c>
      <c r="C106" s="10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5">
        <f>IF(COUNT(C106:P106)=0,"",IFERROR(C106/D106*1000,0))</f>
        <v/>
      </c>
      <c r="R106" s="16">
        <f>IF(COUNT(C106:P106)=0,"",IFERROR(D106/E106,0))</f>
        <v/>
      </c>
      <c r="S106" s="17">
        <f>IF(COUNT(C106:P106)=0,"",IFERROR(F106/D106,0))</f>
        <v/>
      </c>
      <c r="T106" s="15">
        <f>IF(COUNT(C106:P106)=0,"",IFERROR(C106/F106,0))</f>
        <v/>
      </c>
      <c r="U106" s="18">
        <f>IF(COUNT(C106:P106)=0,"",IFERROR(G106/F106,0))</f>
        <v/>
      </c>
      <c r="V106" s="15">
        <f>IF(COUNT(C106:P106)=0,"",IFERROR(C106/G106,0))</f>
        <v/>
      </c>
      <c r="W106" s="19">
        <f>IF(COUNT(C106:P106)=0,"",IFERROR(G106/D106*1000,0))</f>
        <v/>
      </c>
      <c r="X106" s="18">
        <f>IF(COUNT(C106:P106)=0,"",IFERROR(H106/G106,0))</f>
        <v/>
      </c>
      <c r="Y106" s="18">
        <f>IF(COUNT(C106:P106)=0,"",IFERROR(I106/H106,0))</f>
        <v/>
      </c>
      <c r="Z106" s="17">
        <f>IF(COUNT(C106:P106)=0,"",IFERROR(I106/G106,0))</f>
        <v/>
      </c>
      <c r="AA106" s="15">
        <f>IF(COUNT(C106:P106)=0,"",IFERROR(C106/I106,0))</f>
        <v/>
      </c>
      <c r="AB106" s="18">
        <f>IF(COUNT(C106:P106)=0,"",IFERROR(J106/I106,0))</f>
        <v/>
      </c>
      <c r="AC106" s="18">
        <f>IF(COUNT(C106:P106)=0,"",IFERROR(K106/I106,0))</f>
        <v/>
      </c>
      <c r="AD106" s="18">
        <f>IF(COUNT(C106:P106)=0,"",IFERROR(L106/I106,0))</f>
        <v/>
      </c>
      <c r="AE106" s="18">
        <f>IF(COUNT(C106:P106)=0,"",IFERROR(P106/I106,0))</f>
        <v/>
      </c>
      <c r="AF106" s="20">
        <f>IF(COUNT(C106:P106)=0,"",IFERROR(I106*Config!$C$7+J106*Config!$C$8+K106*Config!$C$9+L106*Config!$C$10+M106*Config!$C$11+N106*Config!$C$12+O106*Config!$C$13+P106*Config!$C$14,0))</f>
        <v/>
      </c>
      <c r="AG106" s="15">
        <f>IF(COUNT(C106:P106)=0,"",IFERROR(AF106/I106,0))</f>
        <v/>
      </c>
      <c r="AH106" s="20">
        <f>IF(COUNT(C106:P106)=0,"",IFERROR(AF106*(1-Config!$C$15-Config!$C$16-Config!$C$17),0))</f>
        <v/>
      </c>
      <c r="AI106" s="20">
        <f>IF(COUNT(C106:P106)=0,"",IFERROR(AH106-C106-Config!$C$18,0))</f>
        <v/>
      </c>
      <c r="AJ106" s="21">
        <f>IF(COUNT(C106:P106)=0,"",IFERROR(AH106/C106,0))</f>
        <v/>
      </c>
      <c r="AK106" s="15">
        <f>IF(COUNT(C106:P106)=0,"",IFERROR(AI106/G106,0))</f>
        <v/>
      </c>
      <c r="AL106" s="21">
        <f>IF(COUNT(C106:P106)=0,"",IFERROR(AK106/V106,0))</f>
        <v/>
      </c>
      <c r="AM106" s="15">
        <f>IF(COUNT(C106:P106)=0,"",IFERROR(AI106/I106,0))</f>
        <v/>
      </c>
      <c r="AN106" s="15">
        <f>IF(COUNT(C106:P106)=0,"",IFERROR(AH106/I106-AA106,0))</f>
        <v/>
      </c>
    </row>
    <row r="107">
      <c r="A107" s="12">
        <f>Config!$C$6+101</f>
        <v/>
      </c>
      <c r="B107" s="13">
        <f>INT((A107-Config!$C$6)/7)+1</f>
        <v/>
      </c>
      <c r="C107" s="10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5">
        <f>IF(COUNT(C107:P107)=0,"",IFERROR(C107/D107*1000,0))</f>
        <v/>
      </c>
      <c r="R107" s="16">
        <f>IF(COUNT(C107:P107)=0,"",IFERROR(D107/E107,0))</f>
        <v/>
      </c>
      <c r="S107" s="17">
        <f>IF(COUNT(C107:P107)=0,"",IFERROR(F107/D107,0))</f>
        <v/>
      </c>
      <c r="T107" s="15">
        <f>IF(COUNT(C107:P107)=0,"",IFERROR(C107/F107,0))</f>
        <v/>
      </c>
      <c r="U107" s="18">
        <f>IF(COUNT(C107:P107)=0,"",IFERROR(G107/F107,0))</f>
        <v/>
      </c>
      <c r="V107" s="15">
        <f>IF(COUNT(C107:P107)=0,"",IFERROR(C107/G107,0))</f>
        <v/>
      </c>
      <c r="W107" s="19">
        <f>IF(COUNT(C107:P107)=0,"",IFERROR(G107/D107*1000,0))</f>
        <v/>
      </c>
      <c r="X107" s="18">
        <f>IF(COUNT(C107:P107)=0,"",IFERROR(H107/G107,0))</f>
        <v/>
      </c>
      <c r="Y107" s="18">
        <f>IF(COUNT(C107:P107)=0,"",IFERROR(I107/H107,0))</f>
        <v/>
      </c>
      <c r="Z107" s="17">
        <f>IF(COUNT(C107:P107)=0,"",IFERROR(I107/G107,0))</f>
        <v/>
      </c>
      <c r="AA107" s="15">
        <f>IF(COUNT(C107:P107)=0,"",IFERROR(C107/I107,0))</f>
        <v/>
      </c>
      <c r="AB107" s="18">
        <f>IF(COUNT(C107:P107)=0,"",IFERROR(J107/I107,0))</f>
        <v/>
      </c>
      <c r="AC107" s="18">
        <f>IF(COUNT(C107:P107)=0,"",IFERROR(K107/I107,0))</f>
        <v/>
      </c>
      <c r="AD107" s="18">
        <f>IF(COUNT(C107:P107)=0,"",IFERROR(L107/I107,0))</f>
        <v/>
      </c>
      <c r="AE107" s="18">
        <f>IF(COUNT(C107:P107)=0,"",IFERROR(P107/I107,0))</f>
        <v/>
      </c>
      <c r="AF107" s="20">
        <f>IF(COUNT(C107:P107)=0,"",IFERROR(I107*Config!$C$7+J107*Config!$C$8+K107*Config!$C$9+L107*Config!$C$10+M107*Config!$C$11+N107*Config!$C$12+O107*Config!$C$13+P107*Config!$C$14,0))</f>
        <v/>
      </c>
      <c r="AG107" s="15">
        <f>IF(COUNT(C107:P107)=0,"",IFERROR(AF107/I107,0))</f>
        <v/>
      </c>
      <c r="AH107" s="20">
        <f>IF(COUNT(C107:P107)=0,"",IFERROR(AF107*(1-Config!$C$15-Config!$C$16-Config!$C$17),0))</f>
        <v/>
      </c>
      <c r="AI107" s="20">
        <f>IF(COUNT(C107:P107)=0,"",IFERROR(AH107-C107-Config!$C$18,0))</f>
        <v/>
      </c>
      <c r="AJ107" s="21">
        <f>IF(COUNT(C107:P107)=0,"",IFERROR(AH107/C107,0))</f>
        <v/>
      </c>
      <c r="AK107" s="15">
        <f>IF(COUNT(C107:P107)=0,"",IFERROR(AI107/G107,0))</f>
        <v/>
      </c>
      <c r="AL107" s="21">
        <f>IF(COUNT(C107:P107)=0,"",IFERROR(AK107/V107,0))</f>
        <v/>
      </c>
      <c r="AM107" s="15">
        <f>IF(COUNT(C107:P107)=0,"",IFERROR(AI107/I107,0))</f>
        <v/>
      </c>
      <c r="AN107" s="15">
        <f>IF(COUNT(C107:P107)=0,"",IFERROR(AH107/I107-AA107,0))</f>
        <v/>
      </c>
    </row>
    <row r="108">
      <c r="A108" s="12">
        <f>Config!$C$6+102</f>
        <v/>
      </c>
      <c r="B108" s="13">
        <f>INT((A108-Config!$C$6)/7)+1</f>
        <v/>
      </c>
      <c r="C108" s="10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5">
        <f>IF(COUNT(C108:P108)=0,"",IFERROR(C108/D108*1000,0))</f>
        <v/>
      </c>
      <c r="R108" s="16">
        <f>IF(COUNT(C108:P108)=0,"",IFERROR(D108/E108,0))</f>
        <v/>
      </c>
      <c r="S108" s="17">
        <f>IF(COUNT(C108:P108)=0,"",IFERROR(F108/D108,0))</f>
        <v/>
      </c>
      <c r="T108" s="15">
        <f>IF(COUNT(C108:P108)=0,"",IFERROR(C108/F108,0))</f>
        <v/>
      </c>
      <c r="U108" s="18">
        <f>IF(COUNT(C108:P108)=0,"",IFERROR(G108/F108,0))</f>
        <v/>
      </c>
      <c r="V108" s="15">
        <f>IF(COUNT(C108:P108)=0,"",IFERROR(C108/G108,0))</f>
        <v/>
      </c>
      <c r="W108" s="19">
        <f>IF(COUNT(C108:P108)=0,"",IFERROR(G108/D108*1000,0))</f>
        <v/>
      </c>
      <c r="X108" s="18">
        <f>IF(COUNT(C108:P108)=0,"",IFERROR(H108/G108,0))</f>
        <v/>
      </c>
      <c r="Y108" s="18">
        <f>IF(COUNT(C108:P108)=0,"",IFERROR(I108/H108,0))</f>
        <v/>
      </c>
      <c r="Z108" s="17">
        <f>IF(COUNT(C108:P108)=0,"",IFERROR(I108/G108,0))</f>
        <v/>
      </c>
      <c r="AA108" s="15">
        <f>IF(COUNT(C108:P108)=0,"",IFERROR(C108/I108,0))</f>
        <v/>
      </c>
      <c r="AB108" s="18">
        <f>IF(COUNT(C108:P108)=0,"",IFERROR(J108/I108,0))</f>
        <v/>
      </c>
      <c r="AC108" s="18">
        <f>IF(COUNT(C108:P108)=0,"",IFERROR(K108/I108,0))</f>
        <v/>
      </c>
      <c r="AD108" s="18">
        <f>IF(COUNT(C108:P108)=0,"",IFERROR(L108/I108,0))</f>
        <v/>
      </c>
      <c r="AE108" s="18">
        <f>IF(COUNT(C108:P108)=0,"",IFERROR(P108/I108,0))</f>
        <v/>
      </c>
      <c r="AF108" s="20">
        <f>IF(COUNT(C108:P108)=0,"",IFERROR(I108*Config!$C$7+J108*Config!$C$8+K108*Config!$C$9+L108*Config!$C$10+M108*Config!$C$11+N108*Config!$C$12+O108*Config!$C$13+P108*Config!$C$14,0))</f>
        <v/>
      </c>
      <c r="AG108" s="15">
        <f>IF(COUNT(C108:P108)=0,"",IFERROR(AF108/I108,0))</f>
        <v/>
      </c>
      <c r="AH108" s="20">
        <f>IF(COUNT(C108:P108)=0,"",IFERROR(AF108*(1-Config!$C$15-Config!$C$16-Config!$C$17),0))</f>
        <v/>
      </c>
      <c r="AI108" s="20">
        <f>IF(COUNT(C108:P108)=0,"",IFERROR(AH108-C108-Config!$C$18,0))</f>
        <v/>
      </c>
      <c r="AJ108" s="21">
        <f>IF(COUNT(C108:P108)=0,"",IFERROR(AH108/C108,0))</f>
        <v/>
      </c>
      <c r="AK108" s="15">
        <f>IF(COUNT(C108:P108)=0,"",IFERROR(AI108/G108,0))</f>
        <v/>
      </c>
      <c r="AL108" s="21">
        <f>IF(COUNT(C108:P108)=0,"",IFERROR(AK108/V108,0))</f>
        <v/>
      </c>
      <c r="AM108" s="15">
        <f>IF(COUNT(C108:P108)=0,"",IFERROR(AI108/I108,0))</f>
        <v/>
      </c>
      <c r="AN108" s="15">
        <f>IF(COUNT(C108:P108)=0,"",IFERROR(AH108/I108-AA108,0))</f>
        <v/>
      </c>
    </row>
    <row r="109">
      <c r="A109" s="12">
        <f>Config!$C$6+103</f>
        <v/>
      </c>
      <c r="B109" s="13">
        <f>INT((A109-Config!$C$6)/7)+1</f>
        <v/>
      </c>
      <c r="C109" s="10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5">
        <f>IF(COUNT(C109:P109)=0,"",IFERROR(C109/D109*1000,0))</f>
        <v/>
      </c>
      <c r="R109" s="16">
        <f>IF(COUNT(C109:P109)=0,"",IFERROR(D109/E109,0))</f>
        <v/>
      </c>
      <c r="S109" s="17">
        <f>IF(COUNT(C109:P109)=0,"",IFERROR(F109/D109,0))</f>
        <v/>
      </c>
      <c r="T109" s="15">
        <f>IF(COUNT(C109:P109)=0,"",IFERROR(C109/F109,0))</f>
        <v/>
      </c>
      <c r="U109" s="18">
        <f>IF(COUNT(C109:P109)=0,"",IFERROR(G109/F109,0))</f>
        <v/>
      </c>
      <c r="V109" s="15">
        <f>IF(COUNT(C109:P109)=0,"",IFERROR(C109/G109,0))</f>
        <v/>
      </c>
      <c r="W109" s="19">
        <f>IF(COUNT(C109:P109)=0,"",IFERROR(G109/D109*1000,0))</f>
        <v/>
      </c>
      <c r="X109" s="18">
        <f>IF(COUNT(C109:P109)=0,"",IFERROR(H109/G109,0))</f>
        <v/>
      </c>
      <c r="Y109" s="18">
        <f>IF(COUNT(C109:P109)=0,"",IFERROR(I109/H109,0))</f>
        <v/>
      </c>
      <c r="Z109" s="17">
        <f>IF(COUNT(C109:P109)=0,"",IFERROR(I109/G109,0))</f>
        <v/>
      </c>
      <c r="AA109" s="15">
        <f>IF(COUNT(C109:P109)=0,"",IFERROR(C109/I109,0))</f>
        <v/>
      </c>
      <c r="AB109" s="18">
        <f>IF(COUNT(C109:P109)=0,"",IFERROR(J109/I109,0))</f>
        <v/>
      </c>
      <c r="AC109" s="18">
        <f>IF(COUNT(C109:P109)=0,"",IFERROR(K109/I109,0))</f>
        <v/>
      </c>
      <c r="AD109" s="18">
        <f>IF(COUNT(C109:P109)=0,"",IFERROR(L109/I109,0))</f>
        <v/>
      </c>
      <c r="AE109" s="18">
        <f>IF(COUNT(C109:P109)=0,"",IFERROR(P109/I109,0))</f>
        <v/>
      </c>
      <c r="AF109" s="20">
        <f>IF(COUNT(C109:P109)=0,"",IFERROR(I109*Config!$C$7+J109*Config!$C$8+K109*Config!$C$9+L109*Config!$C$10+M109*Config!$C$11+N109*Config!$C$12+O109*Config!$C$13+P109*Config!$C$14,0))</f>
        <v/>
      </c>
      <c r="AG109" s="15">
        <f>IF(COUNT(C109:P109)=0,"",IFERROR(AF109/I109,0))</f>
        <v/>
      </c>
      <c r="AH109" s="20">
        <f>IF(COUNT(C109:P109)=0,"",IFERROR(AF109*(1-Config!$C$15-Config!$C$16-Config!$C$17),0))</f>
        <v/>
      </c>
      <c r="AI109" s="20">
        <f>IF(COUNT(C109:P109)=0,"",IFERROR(AH109-C109-Config!$C$18,0))</f>
        <v/>
      </c>
      <c r="AJ109" s="21">
        <f>IF(COUNT(C109:P109)=0,"",IFERROR(AH109/C109,0))</f>
        <v/>
      </c>
      <c r="AK109" s="15">
        <f>IF(COUNT(C109:P109)=0,"",IFERROR(AI109/G109,0))</f>
        <v/>
      </c>
      <c r="AL109" s="21">
        <f>IF(COUNT(C109:P109)=0,"",IFERROR(AK109/V109,0))</f>
        <v/>
      </c>
      <c r="AM109" s="15">
        <f>IF(COUNT(C109:P109)=0,"",IFERROR(AI109/I109,0))</f>
        <v/>
      </c>
      <c r="AN109" s="15">
        <f>IF(COUNT(C109:P109)=0,"",IFERROR(AH109/I109-AA109,0))</f>
        <v/>
      </c>
    </row>
    <row r="110">
      <c r="A110" s="12">
        <f>Config!$C$6+104</f>
        <v/>
      </c>
      <c r="B110" s="13">
        <f>INT((A110-Config!$C$6)/7)+1</f>
        <v/>
      </c>
      <c r="C110" s="10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5">
        <f>IF(COUNT(C110:P110)=0,"",IFERROR(C110/D110*1000,0))</f>
        <v/>
      </c>
      <c r="R110" s="16">
        <f>IF(COUNT(C110:P110)=0,"",IFERROR(D110/E110,0))</f>
        <v/>
      </c>
      <c r="S110" s="17">
        <f>IF(COUNT(C110:P110)=0,"",IFERROR(F110/D110,0))</f>
        <v/>
      </c>
      <c r="T110" s="15">
        <f>IF(COUNT(C110:P110)=0,"",IFERROR(C110/F110,0))</f>
        <v/>
      </c>
      <c r="U110" s="18">
        <f>IF(COUNT(C110:P110)=0,"",IFERROR(G110/F110,0))</f>
        <v/>
      </c>
      <c r="V110" s="15">
        <f>IF(COUNT(C110:P110)=0,"",IFERROR(C110/G110,0))</f>
        <v/>
      </c>
      <c r="W110" s="19">
        <f>IF(COUNT(C110:P110)=0,"",IFERROR(G110/D110*1000,0))</f>
        <v/>
      </c>
      <c r="X110" s="18">
        <f>IF(COUNT(C110:P110)=0,"",IFERROR(H110/G110,0))</f>
        <v/>
      </c>
      <c r="Y110" s="18">
        <f>IF(COUNT(C110:P110)=0,"",IFERROR(I110/H110,0))</f>
        <v/>
      </c>
      <c r="Z110" s="17">
        <f>IF(COUNT(C110:P110)=0,"",IFERROR(I110/G110,0))</f>
        <v/>
      </c>
      <c r="AA110" s="15">
        <f>IF(COUNT(C110:P110)=0,"",IFERROR(C110/I110,0))</f>
        <v/>
      </c>
      <c r="AB110" s="18">
        <f>IF(COUNT(C110:P110)=0,"",IFERROR(J110/I110,0))</f>
        <v/>
      </c>
      <c r="AC110" s="18">
        <f>IF(COUNT(C110:P110)=0,"",IFERROR(K110/I110,0))</f>
        <v/>
      </c>
      <c r="AD110" s="18">
        <f>IF(COUNT(C110:P110)=0,"",IFERROR(L110/I110,0))</f>
        <v/>
      </c>
      <c r="AE110" s="18">
        <f>IF(COUNT(C110:P110)=0,"",IFERROR(P110/I110,0))</f>
        <v/>
      </c>
      <c r="AF110" s="20">
        <f>IF(COUNT(C110:P110)=0,"",IFERROR(I110*Config!$C$7+J110*Config!$C$8+K110*Config!$C$9+L110*Config!$C$10+M110*Config!$C$11+N110*Config!$C$12+O110*Config!$C$13+P110*Config!$C$14,0))</f>
        <v/>
      </c>
      <c r="AG110" s="15">
        <f>IF(COUNT(C110:P110)=0,"",IFERROR(AF110/I110,0))</f>
        <v/>
      </c>
      <c r="AH110" s="20">
        <f>IF(COUNT(C110:P110)=0,"",IFERROR(AF110*(1-Config!$C$15-Config!$C$16-Config!$C$17),0))</f>
        <v/>
      </c>
      <c r="AI110" s="20">
        <f>IF(COUNT(C110:P110)=0,"",IFERROR(AH110-C110-Config!$C$18,0))</f>
        <v/>
      </c>
      <c r="AJ110" s="21">
        <f>IF(COUNT(C110:P110)=0,"",IFERROR(AH110/C110,0))</f>
        <v/>
      </c>
      <c r="AK110" s="15">
        <f>IF(COUNT(C110:P110)=0,"",IFERROR(AI110/G110,0))</f>
        <v/>
      </c>
      <c r="AL110" s="21">
        <f>IF(COUNT(C110:P110)=0,"",IFERROR(AK110/V110,0))</f>
        <v/>
      </c>
      <c r="AM110" s="15">
        <f>IF(COUNT(C110:P110)=0,"",IFERROR(AI110/I110,0))</f>
        <v/>
      </c>
      <c r="AN110" s="15">
        <f>IF(COUNT(C110:P110)=0,"",IFERROR(AH110/I110-AA110,0))</f>
        <v/>
      </c>
    </row>
    <row r="111">
      <c r="A111" s="12">
        <f>Config!$C$6+105</f>
        <v/>
      </c>
      <c r="B111" s="13">
        <f>INT((A111-Config!$C$6)/7)+1</f>
        <v/>
      </c>
      <c r="C111" s="10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5">
        <f>IF(COUNT(C111:P111)=0,"",IFERROR(C111/D111*1000,0))</f>
        <v/>
      </c>
      <c r="R111" s="16">
        <f>IF(COUNT(C111:P111)=0,"",IFERROR(D111/E111,0))</f>
        <v/>
      </c>
      <c r="S111" s="17">
        <f>IF(COUNT(C111:P111)=0,"",IFERROR(F111/D111,0))</f>
        <v/>
      </c>
      <c r="T111" s="15">
        <f>IF(COUNT(C111:P111)=0,"",IFERROR(C111/F111,0))</f>
        <v/>
      </c>
      <c r="U111" s="18">
        <f>IF(COUNT(C111:P111)=0,"",IFERROR(G111/F111,0))</f>
        <v/>
      </c>
      <c r="V111" s="15">
        <f>IF(COUNT(C111:P111)=0,"",IFERROR(C111/G111,0))</f>
        <v/>
      </c>
      <c r="W111" s="19">
        <f>IF(COUNT(C111:P111)=0,"",IFERROR(G111/D111*1000,0))</f>
        <v/>
      </c>
      <c r="X111" s="18">
        <f>IF(COUNT(C111:P111)=0,"",IFERROR(H111/G111,0))</f>
        <v/>
      </c>
      <c r="Y111" s="18">
        <f>IF(COUNT(C111:P111)=0,"",IFERROR(I111/H111,0))</f>
        <v/>
      </c>
      <c r="Z111" s="17">
        <f>IF(COUNT(C111:P111)=0,"",IFERROR(I111/G111,0))</f>
        <v/>
      </c>
      <c r="AA111" s="15">
        <f>IF(COUNT(C111:P111)=0,"",IFERROR(C111/I111,0))</f>
        <v/>
      </c>
      <c r="AB111" s="18">
        <f>IF(COUNT(C111:P111)=0,"",IFERROR(J111/I111,0))</f>
        <v/>
      </c>
      <c r="AC111" s="18">
        <f>IF(COUNT(C111:P111)=0,"",IFERROR(K111/I111,0))</f>
        <v/>
      </c>
      <c r="AD111" s="18">
        <f>IF(COUNT(C111:P111)=0,"",IFERROR(L111/I111,0))</f>
        <v/>
      </c>
      <c r="AE111" s="18">
        <f>IF(COUNT(C111:P111)=0,"",IFERROR(P111/I111,0))</f>
        <v/>
      </c>
      <c r="AF111" s="20">
        <f>IF(COUNT(C111:P111)=0,"",IFERROR(I111*Config!$C$7+J111*Config!$C$8+K111*Config!$C$9+L111*Config!$C$10+M111*Config!$C$11+N111*Config!$C$12+O111*Config!$C$13+P111*Config!$C$14,0))</f>
        <v/>
      </c>
      <c r="AG111" s="15">
        <f>IF(COUNT(C111:P111)=0,"",IFERROR(AF111/I111,0))</f>
        <v/>
      </c>
      <c r="AH111" s="20">
        <f>IF(COUNT(C111:P111)=0,"",IFERROR(AF111*(1-Config!$C$15-Config!$C$16-Config!$C$17),0))</f>
        <v/>
      </c>
      <c r="AI111" s="20">
        <f>IF(COUNT(C111:P111)=0,"",IFERROR(AH111-C111-Config!$C$18,0))</f>
        <v/>
      </c>
      <c r="AJ111" s="21">
        <f>IF(COUNT(C111:P111)=0,"",IFERROR(AH111/C111,0))</f>
        <v/>
      </c>
      <c r="AK111" s="15">
        <f>IF(COUNT(C111:P111)=0,"",IFERROR(AI111/G111,0))</f>
        <v/>
      </c>
      <c r="AL111" s="21">
        <f>IF(COUNT(C111:P111)=0,"",IFERROR(AK111/V111,0))</f>
        <v/>
      </c>
      <c r="AM111" s="15">
        <f>IF(COUNT(C111:P111)=0,"",IFERROR(AI111/I111,0))</f>
        <v/>
      </c>
      <c r="AN111" s="15">
        <f>IF(COUNT(C111:P111)=0,"",IFERROR(AH111/I111-AA111,0))</f>
        <v/>
      </c>
    </row>
    <row r="112">
      <c r="A112" s="12">
        <f>Config!$C$6+106</f>
        <v/>
      </c>
      <c r="B112" s="13">
        <f>INT((A112-Config!$C$6)/7)+1</f>
        <v/>
      </c>
      <c r="C112" s="10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5">
        <f>IF(COUNT(C112:P112)=0,"",IFERROR(C112/D112*1000,0))</f>
        <v/>
      </c>
      <c r="R112" s="16">
        <f>IF(COUNT(C112:P112)=0,"",IFERROR(D112/E112,0))</f>
        <v/>
      </c>
      <c r="S112" s="17">
        <f>IF(COUNT(C112:P112)=0,"",IFERROR(F112/D112,0))</f>
        <v/>
      </c>
      <c r="T112" s="15">
        <f>IF(COUNT(C112:P112)=0,"",IFERROR(C112/F112,0))</f>
        <v/>
      </c>
      <c r="U112" s="18">
        <f>IF(COUNT(C112:P112)=0,"",IFERROR(G112/F112,0))</f>
        <v/>
      </c>
      <c r="V112" s="15">
        <f>IF(COUNT(C112:P112)=0,"",IFERROR(C112/G112,0))</f>
        <v/>
      </c>
      <c r="W112" s="19">
        <f>IF(COUNT(C112:P112)=0,"",IFERROR(G112/D112*1000,0))</f>
        <v/>
      </c>
      <c r="X112" s="18">
        <f>IF(COUNT(C112:P112)=0,"",IFERROR(H112/G112,0))</f>
        <v/>
      </c>
      <c r="Y112" s="18">
        <f>IF(COUNT(C112:P112)=0,"",IFERROR(I112/H112,0))</f>
        <v/>
      </c>
      <c r="Z112" s="17">
        <f>IF(COUNT(C112:P112)=0,"",IFERROR(I112/G112,0))</f>
        <v/>
      </c>
      <c r="AA112" s="15">
        <f>IF(COUNT(C112:P112)=0,"",IFERROR(C112/I112,0))</f>
        <v/>
      </c>
      <c r="AB112" s="18">
        <f>IF(COUNT(C112:P112)=0,"",IFERROR(J112/I112,0))</f>
        <v/>
      </c>
      <c r="AC112" s="18">
        <f>IF(COUNT(C112:P112)=0,"",IFERROR(K112/I112,0))</f>
        <v/>
      </c>
      <c r="AD112" s="18">
        <f>IF(COUNT(C112:P112)=0,"",IFERROR(L112/I112,0))</f>
        <v/>
      </c>
      <c r="AE112" s="18">
        <f>IF(COUNT(C112:P112)=0,"",IFERROR(P112/I112,0))</f>
        <v/>
      </c>
      <c r="AF112" s="20">
        <f>IF(COUNT(C112:P112)=0,"",IFERROR(I112*Config!$C$7+J112*Config!$C$8+K112*Config!$C$9+L112*Config!$C$10+M112*Config!$C$11+N112*Config!$C$12+O112*Config!$C$13+P112*Config!$C$14,0))</f>
        <v/>
      </c>
      <c r="AG112" s="15">
        <f>IF(COUNT(C112:P112)=0,"",IFERROR(AF112/I112,0))</f>
        <v/>
      </c>
      <c r="AH112" s="20">
        <f>IF(COUNT(C112:P112)=0,"",IFERROR(AF112*(1-Config!$C$15-Config!$C$16-Config!$C$17),0))</f>
        <v/>
      </c>
      <c r="AI112" s="20">
        <f>IF(COUNT(C112:P112)=0,"",IFERROR(AH112-C112-Config!$C$18,0))</f>
        <v/>
      </c>
      <c r="AJ112" s="21">
        <f>IF(COUNT(C112:P112)=0,"",IFERROR(AH112/C112,0))</f>
        <v/>
      </c>
      <c r="AK112" s="15">
        <f>IF(COUNT(C112:P112)=0,"",IFERROR(AI112/G112,0))</f>
        <v/>
      </c>
      <c r="AL112" s="21">
        <f>IF(COUNT(C112:P112)=0,"",IFERROR(AK112/V112,0))</f>
        <v/>
      </c>
      <c r="AM112" s="15">
        <f>IF(COUNT(C112:P112)=0,"",IFERROR(AI112/I112,0))</f>
        <v/>
      </c>
      <c r="AN112" s="15">
        <f>IF(COUNT(C112:P112)=0,"",IFERROR(AH112/I112-AA112,0))</f>
        <v/>
      </c>
    </row>
    <row r="113">
      <c r="A113" s="12">
        <f>Config!$C$6+107</f>
        <v/>
      </c>
      <c r="B113" s="13">
        <f>INT((A113-Config!$C$6)/7)+1</f>
        <v/>
      </c>
      <c r="C113" s="10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5">
        <f>IF(COUNT(C113:P113)=0,"",IFERROR(C113/D113*1000,0))</f>
        <v/>
      </c>
      <c r="R113" s="16">
        <f>IF(COUNT(C113:P113)=0,"",IFERROR(D113/E113,0))</f>
        <v/>
      </c>
      <c r="S113" s="17">
        <f>IF(COUNT(C113:P113)=0,"",IFERROR(F113/D113,0))</f>
        <v/>
      </c>
      <c r="T113" s="15">
        <f>IF(COUNT(C113:P113)=0,"",IFERROR(C113/F113,0))</f>
        <v/>
      </c>
      <c r="U113" s="18">
        <f>IF(COUNT(C113:P113)=0,"",IFERROR(G113/F113,0))</f>
        <v/>
      </c>
      <c r="V113" s="15">
        <f>IF(COUNT(C113:P113)=0,"",IFERROR(C113/G113,0))</f>
        <v/>
      </c>
      <c r="W113" s="19">
        <f>IF(COUNT(C113:P113)=0,"",IFERROR(G113/D113*1000,0))</f>
        <v/>
      </c>
      <c r="X113" s="18">
        <f>IF(COUNT(C113:P113)=0,"",IFERROR(H113/G113,0))</f>
        <v/>
      </c>
      <c r="Y113" s="18">
        <f>IF(COUNT(C113:P113)=0,"",IFERROR(I113/H113,0))</f>
        <v/>
      </c>
      <c r="Z113" s="17">
        <f>IF(COUNT(C113:P113)=0,"",IFERROR(I113/G113,0))</f>
        <v/>
      </c>
      <c r="AA113" s="15">
        <f>IF(COUNT(C113:P113)=0,"",IFERROR(C113/I113,0))</f>
        <v/>
      </c>
      <c r="AB113" s="18">
        <f>IF(COUNT(C113:P113)=0,"",IFERROR(J113/I113,0))</f>
        <v/>
      </c>
      <c r="AC113" s="18">
        <f>IF(COUNT(C113:P113)=0,"",IFERROR(K113/I113,0))</f>
        <v/>
      </c>
      <c r="AD113" s="18">
        <f>IF(COUNT(C113:P113)=0,"",IFERROR(L113/I113,0))</f>
        <v/>
      </c>
      <c r="AE113" s="18">
        <f>IF(COUNT(C113:P113)=0,"",IFERROR(P113/I113,0))</f>
        <v/>
      </c>
      <c r="AF113" s="20">
        <f>IF(COUNT(C113:P113)=0,"",IFERROR(I113*Config!$C$7+J113*Config!$C$8+K113*Config!$C$9+L113*Config!$C$10+M113*Config!$C$11+N113*Config!$C$12+O113*Config!$C$13+P113*Config!$C$14,0))</f>
        <v/>
      </c>
      <c r="AG113" s="15">
        <f>IF(COUNT(C113:P113)=0,"",IFERROR(AF113/I113,0))</f>
        <v/>
      </c>
      <c r="AH113" s="20">
        <f>IF(COUNT(C113:P113)=0,"",IFERROR(AF113*(1-Config!$C$15-Config!$C$16-Config!$C$17),0))</f>
        <v/>
      </c>
      <c r="AI113" s="20">
        <f>IF(COUNT(C113:P113)=0,"",IFERROR(AH113-C113-Config!$C$18,0))</f>
        <v/>
      </c>
      <c r="AJ113" s="21">
        <f>IF(COUNT(C113:P113)=0,"",IFERROR(AH113/C113,0))</f>
        <v/>
      </c>
      <c r="AK113" s="15">
        <f>IF(COUNT(C113:P113)=0,"",IFERROR(AI113/G113,0))</f>
        <v/>
      </c>
      <c r="AL113" s="21">
        <f>IF(COUNT(C113:P113)=0,"",IFERROR(AK113/V113,0))</f>
        <v/>
      </c>
      <c r="AM113" s="15">
        <f>IF(COUNT(C113:P113)=0,"",IFERROR(AI113/I113,0))</f>
        <v/>
      </c>
      <c r="AN113" s="15">
        <f>IF(COUNT(C113:P113)=0,"",IFERROR(AH113/I113-AA113,0))</f>
        <v/>
      </c>
    </row>
    <row r="114">
      <c r="A114" s="12">
        <f>Config!$C$6+108</f>
        <v/>
      </c>
      <c r="B114" s="13">
        <f>INT((A114-Config!$C$6)/7)+1</f>
        <v/>
      </c>
      <c r="C114" s="10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5">
        <f>IF(COUNT(C114:P114)=0,"",IFERROR(C114/D114*1000,0))</f>
        <v/>
      </c>
      <c r="R114" s="16">
        <f>IF(COUNT(C114:P114)=0,"",IFERROR(D114/E114,0))</f>
        <v/>
      </c>
      <c r="S114" s="17">
        <f>IF(COUNT(C114:P114)=0,"",IFERROR(F114/D114,0))</f>
        <v/>
      </c>
      <c r="T114" s="15">
        <f>IF(COUNT(C114:P114)=0,"",IFERROR(C114/F114,0))</f>
        <v/>
      </c>
      <c r="U114" s="18">
        <f>IF(COUNT(C114:P114)=0,"",IFERROR(G114/F114,0))</f>
        <v/>
      </c>
      <c r="V114" s="15">
        <f>IF(COUNT(C114:P114)=0,"",IFERROR(C114/G114,0))</f>
        <v/>
      </c>
      <c r="W114" s="19">
        <f>IF(COUNT(C114:P114)=0,"",IFERROR(G114/D114*1000,0))</f>
        <v/>
      </c>
      <c r="X114" s="18">
        <f>IF(COUNT(C114:P114)=0,"",IFERROR(H114/G114,0))</f>
        <v/>
      </c>
      <c r="Y114" s="18">
        <f>IF(COUNT(C114:P114)=0,"",IFERROR(I114/H114,0))</f>
        <v/>
      </c>
      <c r="Z114" s="17">
        <f>IF(COUNT(C114:P114)=0,"",IFERROR(I114/G114,0))</f>
        <v/>
      </c>
      <c r="AA114" s="15">
        <f>IF(COUNT(C114:P114)=0,"",IFERROR(C114/I114,0))</f>
        <v/>
      </c>
      <c r="AB114" s="18">
        <f>IF(COUNT(C114:P114)=0,"",IFERROR(J114/I114,0))</f>
        <v/>
      </c>
      <c r="AC114" s="18">
        <f>IF(COUNT(C114:P114)=0,"",IFERROR(K114/I114,0))</f>
        <v/>
      </c>
      <c r="AD114" s="18">
        <f>IF(COUNT(C114:P114)=0,"",IFERROR(L114/I114,0))</f>
        <v/>
      </c>
      <c r="AE114" s="18">
        <f>IF(COUNT(C114:P114)=0,"",IFERROR(P114/I114,0))</f>
        <v/>
      </c>
      <c r="AF114" s="20">
        <f>IF(COUNT(C114:P114)=0,"",IFERROR(I114*Config!$C$7+J114*Config!$C$8+K114*Config!$C$9+L114*Config!$C$10+M114*Config!$C$11+N114*Config!$C$12+O114*Config!$C$13+P114*Config!$C$14,0))</f>
        <v/>
      </c>
      <c r="AG114" s="15">
        <f>IF(COUNT(C114:P114)=0,"",IFERROR(AF114/I114,0))</f>
        <v/>
      </c>
      <c r="AH114" s="20">
        <f>IF(COUNT(C114:P114)=0,"",IFERROR(AF114*(1-Config!$C$15-Config!$C$16-Config!$C$17),0))</f>
        <v/>
      </c>
      <c r="AI114" s="20">
        <f>IF(COUNT(C114:P114)=0,"",IFERROR(AH114-C114-Config!$C$18,0))</f>
        <v/>
      </c>
      <c r="AJ114" s="21">
        <f>IF(COUNT(C114:P114)=0,"",IFERROR(AH114/C114,0))</f>
        <v/>
      </c>
      <c r="AK114" s="15">
        <f>IF(COUNT(C114:P114)=0,"",IFERROR(AI114/G114,0))</f>
        <v/>
      </c>
      <c r="AL114" s="21">
        <f>IF(COUNT(C114:P114)=0,"",IFERROR(AK114/V114,0))</f>
        <v/>
      </c>
      <c r="AM114" s="15">
        <f>IF(COUNT(C114:P114)=0,"",IFERROR(AI114/I114,0))</f>
        <v/>
      </c>
      <c r="AN114" s="15">
        <f>IF(COUNT(C114:P114)=0,"",IFERROR(AH114/I114-AA114,0))</f>
        <v/>
      </c>
    </row>
    <row r="115">
      <c r="A115" s="12">
        <f>Config!$C$6+109</f>
        <v/>
      </c>
      <c r="B115" s="13">
        <f>INT((A115-Config!$C$6)/7)+1</f>
        <v/>
      </c>
      <c r="C115" s="10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5">
        <f>IF(COUNT(C115:P115)=0,"",IFERROR(C115/D115*1000,0))</f>
        <v/>
      </c>
      <c r="R115" s="16">
        <f>IF(COUNT(C115:P115)=0,"",IFERROR(D115/E115,0))</f>
        <v/>
      </c>
      <c r="S115" s="17">
        <f>IF(COUNT(C115:P115)=0,"",IFERROR(F115/D115,0))</f>
        <v/>
      </c>
      <c r="T115" s="15">
        <f>IF(COUNT(C115:P115)=0,"",IFERROR(C115/F115,0))</f>
        <v/>
      </c>
      <c r="U115" s="18">
        <f>IF(COUNT(C115:P115)=0,"",IFERROR(G115/F115,0))</f>
        <v/>
      </c>
      <c r="V115" s="15">
        <f>IF(COUNT(C115:P115)=0,"",IFERROR(C115/G115,0))</f>
        <v/>
      </c>
      <c r="W115" s="19">
        <f>IF(COUNT(C115:P115)=0,"",IFERROR(G115/D115*1000,0))</f>
        <v/>
      </c>
      <c r="X115" s="18">
        <f>IF(COUNT(C115:P115)=0,"",IFERROR(H115/G115,0))</f>
        <v/>
      </c>
      <c r="Y115" s="18">
        <f>IF(COUNT(C115:P115)=0,"",IFERROR(I115/H115,0))</f>
        <v/>
      </c>
      <c r="Z115" s="17">
        <f>IF(COUNT(C115:P115)=0,"",IFERROR(I115/G115,0))</f>
        <v/>
      </c>
      <c r="AA115" s="15">
        <f>IF(COUNT(C115:P115)=0,"",IFERROR(C115/I115,0))</f>
        <v/>
      </c>
      <c r="AB115" s="18">
        <f>IF(COUNT(C115:P115)=0,"",IFERROR(J115/I115,0))</f>
        <v/>
      </c>
      <c r="AC115" s="18">
        <f>IF(COUNT(C115:P115)=0,"",IFERROR(K115/I115,0))</f>
        <v/>
      </c>
      <c r="AD115" s="18">
        <f>IF(COUNT(C115:P115)=0,"",IFERROR(L115/I115,0))</f>
        <v/>
      </c>
      <c r="AE115" s="18">
        <f>IF(COUNT(C115:P115)=0,"",IFERROR(P115/I115,0))</f>
        <v/>
      </c>
      <c r="AF115" s="20">
        <f>IF(COUNT(C115:P115)=0,"",IFERROR(I115*Config!$C$7+J115*Config!$C$8+K115*Config!$C$9+L115*Config!$C$10+M115*Config!$C$11+N115*Config!$C$12+O115*Config!$C$13+P115*Config!$C$14,0))</f>
        <v/>
      </c>
      <c r="AG115" s="15">
        <f>IF(COUNT(C115:P115)=0,"",IFERROR(AF115/I115,0))</f>
        <v/>
      </c>
      <c r="AH115" s="20">
        <f>IF(COUNT(C115:P115)=0,"",IFERROR(AF115*(1-Config!$C$15-Config!$C$16-Config!$C$17),0))</f>
        <v/>
      </c>
      <c r="AI115" s="20">
        <f>IF(COUNT(C115:P115)=0,"",IFERROR(AH115-C115-Config!$C$18,0))</f>
        <v/>
      </c>
      <c r="AJ115" s="21">
        <f>IF(COUNT(C115:P115)=0,"",IFERROR(AH115/C115,0))</f>
        <v/>
      </c>
      <c r="AK115" s="15">
        <f>IF(COUNT(C115:P115)=0,"",IFERROR(AI115/G115,0))</f>
        <v/>
      </c>
      <c r="AL115" s="21">
        <f>IF(COUNT(C115:P115)=0,"",IFERROR(AK115/V115,0))</f>
        <v/>
      </c>
      <c r="AM115" s="15">
        <f>IF(COUNT(C115:P115)=0,"",IFERROR(AI115/I115,0))</f>
        <v/>
      </c>
      <c r="AN115" s="15">
        <f>IF(COUNT(C115:P115)=0,"",IFERROR(AH115/I115-AA115,0))</f>
        <v/>
      </c>
    </row>
    <row r="116">
      <c r="A116" s="12">
        <f>Config!$C$6+110</f>
        <v/>
      </c>
      <c r="B116" s="13">
        <f>INT((A116-Config!$C$6)/7)+1</f>
        <v/>
      </c>
      <c r="C116" s="10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5">
        <f>IF(COUNT(C116:P116)=0,"",IFERROR(C116/D116*1000,0))</f>
        <v/>
      </c>
      <c r="R116" s="16">
        <f>IF(COUNT(C116:P116)=0,"",IFERROR(D116/E116,0))</f>
        <v/>
      </c>
      <c r="S116" s="17">
        <f>IF(COUNT(C116:P116)=0,"",IFERROR(F116/D116,0))</f>
        <v/>
      </c>
      <c r="T116" s="15">
        <f>IF(COUNT(C116:P116)=0,"",IFERROR(C116/F116,0))</f>
        <v/>
      </c>
      <c r="U116" s="18">
        <f>IF(COUNT(C116:P116)=0,"",IFERROR(G116/F116,0))</f>
        <v/>
      </c>
      <c r="V116" s="15">
        <f>IF(COUNT(C116:P116)=0,"",IFERROR(C116/G116,0))</f>
        <v/>
      </c>
      <c r="W116" s="19">
        <f>IF(COUNT(C116:P116)=0,"",IFERROR(G116/D116*1000,0))</f>
        <v/>
      </c>
      <c r="X116" s="18">
        <f>IF(COUNT(C116:P116)=0,"",IFERROR(H116/G116,0))</f>
        <v/>
      </c>
      <c r="Y116" s="18">
        <f>IF(COUNT(C116:P116)=0,"",IFERROR(I116/H116,0))</f>
        <v/>
      </c>
      <c r="Z116" s="17">
        <f>IF(COUNT(C116:P116)=0,"",IFERROR(I116/G116,0))</f>
        <v/>
      </c>
      <c r="AA116" s="15">
        <f>IF(COUNT(C116:P116)=0,"",IFERROR(C116/I116,0))</f>
        <v/>
      </c>
      <c r="AB116" s="18">
        <f>IF(COUNT(C116:P116)=0,"",IFERROR(J116/I116,0))</f>
        <v/>
      </c>
      <c r="AC116" s="18">
        <f>IF(COUNT(C116:P116)=0,"",IFERROR(K116/I116,0))</f>
        <v/>
      </c>
      <c r="AD116" s="18">
        <f>IF(COUNT(C116:P116)=0,"",IFERROR(L116/I116,0))</f>
        <v/>
      </c>
      <c r="AE116" s="18">
        <f>IF(COUNT(C116:P116)=0,"",IFERROR(P116/I116,0))</f>
        <v/>
      </c>
      <c r="AF116" s="20">
        <f>IF(COUNT(C116:P116)=0,"",IFERROR(I116*Config!$C$7+J116*Config!$C$8+K116*Config!$C$9+L116*Config!$C$10+M116*Config!$C$11+N116*Config!$C$12+O116*Config!$C$13+P116*Config!$C$14,0))</f>
        <v/>
      </c>
      <c r="AG116" s="15">
        <f>IF(COUNT(C116:P116)=0,"",IFERROR(AF116/I116,0))</f>
        <v/>
      </c>
      <c r="AH116" s="20">
        <f>IF(COUNT(C116:P116)=0,"",IFERROR(AF116*(1-Config!$C$15-Config!$C$16-Config!$C$17),0))</f>
        <v/>
      </c>
      <c r="AI116" s="20">
        <f>IF(COUNT(C116:P116)=0,"",IFERROR(AH116-C116-Config!$C$18,0))</f>
        <v/>
      </c>
      <c r="AJ116" s="21">
        <f>IF(COUNT(C116:P116)=0,"",IFERROR(AH116/C116,0))</f>
        <v/>
      </c>
      <c r="AK116" s="15">
        <f>IF(COUNT(C116:P116)=0,"",IFERROR(AI116/G116,0))</f>
        <v/>
      </c>
      <c r="AL116" s="21">
        <f>IF(COUNT(C116:P116)=0,"",IFERROR(AK116/V116,0))</f>
        <v/>
      </c>
      <c r="AM116" s="15">
        <f>IF(COUNT(C116:P116)=0,"",IFERROR(AI116/I116,0))</f>
        <v/>
      </c>
      <c r="AN116" s="15">
        <f>IF(COUNT(C116:P116)=0,"",IFERROR(AH116/I116-AA116,0))</f>
        <v/>
      </c>
    </row>
    <row r="117">
      <c r="A117" s="12">
        <f>Config!$C$6+111</f>
        <v/>
      </c>
      <c r="B117" s="13">
        <f>INT((A117-Config!$C$6)/7)+1</f>
        <v/>
      </c>
      <c r="C117" s="10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5">
        <f>IF(COUNT(C117:P117)=0,"",IFERROR(C117/D117*1000,0))</f>
        <v/>
      </c>
      <c r="R117" s="16">
        <f>IF(COUNT(C117:P117)=0,"",IFERROR(D117/E117,0))</f>
        <v/>
      </c>
      <c r="S117" s="17">
        <f>IF(COUNT(C117:P117)=0,"",IFERROR(F117/D117,0))</f>
        <v/>
      </c>
      <c r="T117" s="15">
        <f>IF(COUNT(C117:P117)=0,"",IFERROR(C117/F117,0))</f>
        <v/>
      </c>
      <c r="U117" s="18">
        <f>IF(COUNT(C117:P117)=0,"",IFERROR(G117/F117,0))</f>
        <v/>
      </c>
      <c r="V117" s="15">
        <f>IF(COUNT(C117:P117)=0,"",IFERROR(C117/G117,0))</f>
        <v/>
      </c>
      <c r="W117" s="19">
        <f>IF(COUNT(C117:P117)=0,"",IFERROR(G117/D117*1000,0))</f>
        <v/>
      </c>
      <c r="X117" s="18">
        <f>IF(COUNT(C117:P117)=0,"",IFERROR(H117/G117,0))</f>
        <v/>
      </c>
      <c r="Y117" s="18">
        <f>IF(COUNT(C117:P117)=0,"",IFERROR(I117/H117,0))</f>
        <v/>
      </c>
      <c r="Z117" s="17">
        <f>IF(COUNT(C117:P117)=0,"",IFERROR(I117/G117,0))</f>
        <v/>
      </c>
      <c r="AA117" s="15">
        <f>IF(COUNT(C117:P117)=0,"",IFERROR(C117/I117,0))</f>
        <v/>
      </c>
      <c r="AB117" s="18">
        <f>IF(COUNT(C117:P117)=0,"",IFERROR(J117/I117,0))</f>
        <v/>
      </c>
      <c r="AC117" s="18">
        <f>IF(COUNT(C117:P117)=0,"",IFERROR(K117/I117,0))</f>
        <v/>
      </c>
      <c r="AD117" s="18">
        <f>IF(COUNT(C117:P117)=0,"",IFERROR(L117/I117,0))</f>
        <v/>
      </c>
      <c r="AE117" s="18">
        <f>IF(COUNT(C117:P117)=0,"",IFERROR(P117/I117,0))</f>
        <v/>
      </c>
      <c r="AF117" s="20">
        <f>IF(COUNT(C117:P117)=0,"",IFERROR(I117*Config!$C$7+J117*Config!$C$8+K117*Config!$C$9+L117*Config!$C$10+M117*Config!$C$11+N117*Config!$C$12+O117*Config!$C$13+P117*Config!$C$14,0))</f>
        <v/>
      </c>
      <c r="AG117" s="15">
        <f>IF(COUNT(C117:P117)=0,"",IFERROR(AF117/I117,0))</f>
        <v/>
      </c>
      <c r="AH117" s="20">
        <f>IF(COUNT(C117:P117)=0,"",IFERROR(AF117*(1-Config!$C$15-Config!$C$16-Config!$C$17),0))</f>
        <v/>
      </c>
      <c r="AI117" s="20">
        <f>IF(COUNT(C117:P117)=0,"",IFERROR(AH117-C117-Config!$C$18,0))</f>
        <v/>
      </c>
      <c r="AJ117" s="21">
        <f>IF(COUNT(C117:P117)=0,"",IFERROR(AH117/C117,0))</f>
        <v/>
      </c>
      <c r="AK117" s="15">
        <f>IF(COUNT(C117:P117)=0,"",IFERROR(AI117/G117,0))</f>
        <v/>
      </c>
      <c r="AL117" s="21">
        <f>IF(COUNT(C117:P117)=0,"",IFERROR(AK117/V117,0))</f>
        <v/>
      </c>
      <c r="AM117" s="15">
        <f>IF(COUNT(C117:P117)=0,"",IFERROR(AI117/I117,0))</f>
        <v/>
      </c>
      <c r="AN117" s="15">
        <f>IF(COUNT(C117:P117)=0,"",IFERROR(AH117/I117-AA117,0))</f>
        <v/>
      </c>
    </row>
    <row r="118">
      <c r="A118" s="12">
        <f>Config!$C$6+112</f>
        <v/>
      </c>
      <c r="B118" s="13">
        <f>INT((A118-Config!$C$6)/7)+1</f>
        <v/>
      </c>
      <c r="C118" s="10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5">
        <f>IF(COUNT(C118:P118)=0,"",IFERROR(C118/D118*1000,0))</f>
        <v/>
      </c>
      <c r="R118" s="16">
        <f>IF(COUNT(C118:P118)=0,"",IFERROR(D118/E118,0))</f>
        <v/>
      </c>
      <c r="S118" s="17">
        <f>IF(COUNT(C118:P118)=0,"",IFERROR(F118/D118,0))</f>
        <v/>
      </c>
      <c r="T118" s="15">
        <f>IF(COUNT(C118:P118)=0,"",IFERROR(C118/F118,0))</f>
        <v/>
      </c>
      <c r="U118" s="18">
        <f>IF(COUNT(C118:P118)=0,"",IFERROR(G118/F118,0))</f>
        <v/>
      </c>
      <c r="V118" s="15">
        <f>IF(COUNT(C118:P118)=0,"",IFERROR(C118/G118,0))</f>
        <v/>
      </c>
      <c r="W118" s="19">
        <f>IF(COUNT(C118:P118)=0,"",IFERROR(G118/D118*1000,0))</f>
        <v/>
      </c>
      <c r="X118" s="18">
        <f>IF(COUNT(C118:P118)=0,"",IFERROR(H118/G118,0))</f>
        <v/>
      </c>
      <c r="Y118" s="18">
        <f>IF(COUNT(C118:P118)=0,"",IFERROR(I118/H118,0))</f>
        <v/>
      </c>
      <c r="Z118" s="17">
        <f>IF(COUNT(C118:P118)=0,"",IFERROR(I118/G118,0))</f>
        <v/>
      </c>
      <c r="AA118" s="15">
        <f>IF(COUNT(C118:P118)=0,"",IFERROR(C118/I118,0))</f>
        <v/>
      </c>
      <c r="AB118" s="18">
        <f>IF(COUNT(C118:P118)=0,"",IFERROR(J118/I118,0))</f>
        <v/>
      </c>
      <c r="AC118" s="18">
        <f>IF(COUNT(C118:P118)=0,"",IFERROR(K118/I118,0))</f>
        <v/>
      </c>
      <c r="AD118" s="18">
        <f>IF(COUNT(C118:P118)=0,"",IFERROR(L118/I118,0))</f>
        <v/>
      </c>
      <c r="AE118" s="18">
        <f>IF(COUNT(C118:P118)=0,"",IFERROR(P118/I118,0))</f>
        <v/>
      </c>
      <c r="AF118" s="20">
        <f>IF(COUNT(C118:P118)=0,"",IFERROR(I118*Config!$C$7+J118*Config!$C$8+K118*Config!$C$9+L118*Config!$C$10+M118*Config!$C$11+N118*Config!$C$12+O118*Config!$C$13+P118*Config!$C$14,0))</f>
        <v/>
      </c>
      <c r="AG118" s="15">
        <f>IF(COUNT(C118:P118)=0,"",IFERROR(AF118/I118,0))</f>
        <v/>
      </c>
      <c r="AH118" s="20">
        <f>IF(COUNT(C118:P118)=0,"",IFERROR(AF118*(1-Config!$C$15-Config!$C$16-Config!$C$17),0))</f>
        <v/>
      </c>
      <c r="AI118" s="20">
        <f>IF(COUNT(C118:P118)=0,"",IFERROR(AH118-C118-Config!$C$18,0))</f>
        <v/>
      </c>
      <c r="AJ118" s="21">
        <f>IF(COUNT(C118:P118)=0,"",IFERROR(AH118/C118,0))</f>
        <v/>
      </c>
      <c r="AK118" s="15">
        <f>IF(COUNT(C118:P118)=0,"",IFERROR(AI118/G118,0))</f>
        <v/>
      </c>
      <c r="AL118" s="21">
        <f>IF(COUNT(C118:P118)=0,"",IFERROR(AK118/V118,0))</f>
        <v/>
      </c>
      <c r="AM118" s="15">
        <f>IF(COUNT(C118:P118)=0,"",IFERROR(AI118/I118,0))</f>
        <v/>
      </c>
      <c r="AN118" s="15">
        <f>IF(COUNT(C118:P118)=0,"",IFERROR(AH118/I118-AA118,0))</f>
        <v/>
      </c>
    </row>
    <row r="119">
      <c r="A119" s="12">
        <f>Config!$C$6+113</f>
        <v/>
      </c>
      <c r="B119" s="13">
        <f>INT((A119-Config!$C$6)/7)+1</f>
        <v/>
      </c>
      <c r="C119" s="10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5">
        <f>IF(COUNT(C119:P119)=0,"",IFERROR(C119/D119*1000,0))</f>
        <v/>
      </c>
      <c r="R119" s="16">
        <f>IF(COUNT(C119:P119)=0,"",IFERROR(D119/E119,0))</f>
        <v/>
      </c>
      <c r="S119" s="17">
        <f>IF(COUNT(C119:P119)=0,"",IFERROR(F119/D119,0))</f>
        <v/>
      </c>
      <c r="T119" s="15">
        <f>IF(COUNT(C119:P119)=0,"",IFERROR(C119/F119,0))</f>
        <v/>
      </c>
      <c r="U119" s="18">
        <f>IF(COUNT(C119:P119)=0,"",IFERROR(G119/F119,0))</f>
        <v/>
      </c>
      <c r="V119" s="15">
        <f>IF(COUNT(C119:P119)=0,"",IFERROR(C119/G119,0))</f>
        <v/>
      </c>
      <c r="W119" s="19">
        <f>IF(COUNT(C119:P119)=0,"",IFERROR(G119/D119*1000,0))</f>
        <v/>
      </c>
      <c r="X119" s="18">
        <f>IF(COUNT(C119:P119)=0,"",IFERROR(H119/G119,0))</f>
        <v/>
      </c>
      <c r="Y119" s="18">
        <f>IF(COUNT(C119:P119)=0,"",IFERROR(I119/H119,0))</f>
        <v/>
      </c>
      <c r="Z119" s="17">
        <f>IF(COUNT(C119:P119)=0,"",IFERROR(I119/G119,0))</f>
        <v/>
      </c>
      <c r="AA119" s="15">
        <f>IF(COUNT(C119:P119)=0,"",IFERROR(C119/I119,0))</f>
        <v/>
      </c>
      <c r="AB119" s="18">
        <f>IF(COUNT(C119:P119)=0,"",IFERROR(J119/I119,0))</f>
        <v/>
      </c>
      <c r="AC119" s="18">
        <f>IF(COUNT(C119:P119)=0,"",IFERROR(K119/I119,0))</f>
        <v/>
      </c>
      <c r="AD119" s="18">
        <f>IF(COUNT(C119:P119)=0,"",IFERROR(L119/I119,0))</f>
        <v/>
      </c>
      <c r="AE119" s="18">
        <f>IF(COUNT(C119:P119)=0,"",IFERROR(P119/I119,0))</f>
        <v/>
      </c>
      <c r="AF119" s="20">
        <f>IF(COUNT(C119:P119)=0,"",IFERROR(I119*Config!$C$7+J119*Config!$C$8+K119*Config!$C$9+L119*Config!$C$10+M119*Config!$C$11+N119*Config!$C$12+O119*Config!$C$13+P119*Config!$C$14,0))</f>
        <v/>
      </c>
      <c r="AG119" s="15">
        <f>IF(COUNT(C119:P119)=0,"",IFERROR(AF119/I119,0))</f>
        <v/>
      </c>
      <c r="AH119" s="20">
        <f>IF(COUNT(C119:P119)=0,"",IFERROR(AF119*(1-Config!$C$15-Config!$C$16-Config!$C$17),0))</f>
        <v/>
      </c>
      <c r="AI119" s="20">
        <f>IF(COUNT(C119:P119)=0,"",IFERROR(AH119-C119-Config!$C$18,0))</f>
        <v/>
      </c>
      <c r="AJ119" s="21">
        <f>IF(COUNT(C119:P119)=0,"",IFERROR(AH119/C119,0))</f>
        <v/>
      </c>
      <c r="AK119" s="15">
        <f>IF(COUNT(C119:P119)=0,"",IFERROR(AI119/G119,0))</f>
        <v/>
      </c>
      <c r="AL119" s="21">
        <f>IF(COUNT(C119:P119)=0,"",IFERROR(AK119/V119,0))</f>
        <v/>
      </c>
      <c r="AM119" s="15">
        <f>IF(COUNT(C119:P119)=0,"",IFERROR(AI119/I119,0))</f>
        <v/>
      </c>
      <c r="AN119" s="15">
        <f>IF(COUNT(C119:P119)=0,"",IFERROR(AH119/I119-AA119,0))</f>
        <v/>
      </c>
    </row>
    <row r="120">
      <c r="A120" s="12">
        <f>Config!$C$6+114</f>
        <v/>
      </c>
      <c r="B120" s="13">
        <f>INT((A120-Config!$C$6)/7)+1</f>
        <v/>
      </c>
      <c r="C120" s="10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5">
        <f>IF(COUNT(C120:P120)=0,"",IFERROR(C120/D120*1000,0))</f>
        <v/>
      </c>
      <c r="R120" s="16">
        <f>IF(COUNT(C120:P120)=0,"",IFERROR(D120/E120,0))</f>
        <v/>
      </c>
      <c r="S120" s="17">
        <f>IF(COUNT(C120:P120)=0,"",IFERROR(F120/D120,0))</f>
        <v/>
      </c>
      <c r="T120" s="15">
        <f>IF(COUNT(C120:P120)=0,"",IFERROR(C120/F120,0))</f>
        <v/>
      </c>
      <c r="U120" s="18">
        <f>IF(COUNT(C120:P120)=0,"",IFERROR(G120/F120,0))</f>
        <v/>
      </c>
      <c r="V120" s="15">
        <f>IF(COUNT(C120:P120)=0,"",IFERROR(C120/G120,0))</f>
        <v/>
      </c>
      <c r="W120" s="19">
        <f>IF(COUNT(C120:P120)=0,"",IFERROR(G120/D120*1000,0))</f>
        <v/>
      </c>
      <c r="X120" s="18">
        <f>IF(COUNT(C120:P120)=0,"",IFERROR(H120/G120,0))</f>
        <v/>
      </c>
      <c r="Y120" s="18">
        <f>IF(COUNT(C120:P120)=0,"",IFERROR(I120/H120,0))</f>
        <v/>
      </c>
      <c r="Z120" s="17">
        <f>IF(COUNT(C120:P120)=0,"",IFERROR(I120/G120,0))</f>
        <v/>
      </c>
      <c r="AA120" s="15">
        <f>IF(COUNT(C120:P120)=0,"",IFERROR(C120/I120,0))</f>
        <v/>
      </c>
      <c r="AB120" s="18">
        <f>IF(COUNT(C120:P120)=0,"",IFERROR(J120/I120,0))</f>
        <v/>
      </c>
      <c r="AC120" s="18">
        <f>IF(COUNT(C120:P120)=0,"",IFERROR(K120/I120,0))</f>
        <v/>
      </c>
      <c r="AD120" s="18">
        <f>IF(COUNT(C120:P120)=0,"",IFERROR(L120/I120,0))</f>
        <v/>
      </c>
      <c r="AE120" s="18">
        <f>IF(COUNT(C120:P120)=0,"",IFERROR(P120/I120,0))</f>
        <v/>
      </c>
      <c r="AF120" s="20">
        <f>IF(COUNT(C120:P120)=0,"",IFERROR(I120*Config!$C$7+J120*Config!$C$8+K120*Config!$C$9+L120*Config!$C$10+M120*Config!$C$11+N120*Config!$C$12+O120*Config!$C$13+P120*Config!$C$14,0))</f>
        <v/>
      </c>
      <c r="AG120" s="15">
        <f>IF(COUNT(C120:P120)=0,"",IFERROR(AF120/I120,0))</f>
        <v/>
      </c>
      <c r="AH120" s="20">
        <f>IF(COUNT(C120:P120)=0,"",IFERROR(AF120*(1-Config!$C$15-Config!$C$16-Config!$C$17),0))</f>
        <v/>
      </c>
      <c r="AI120" s="20">
        <f>IF(COUNT(C120:P120)=0,"",IFERROR(AH120-C120-Config!$C$18,0))</f>
        <v/>
      </c>
      <c r="AJ120" s="21">
        <f>IF(COUNT(C120:P120)=0,"",IFERROR(AH120/C120,0))</f>
        <v/>
      </c>
      <c r="AK120" s="15">
        <f>IF(COUNT(C120:P120)=0,"",IFERROR(AI120/G120,0))</f>
        <v/>
      </c>
      <c r="AL120" s="21">
        <f>IF(COUNT(C120:P120)=0,"",IFERROR(AK120/V120,0))</f>
        <v/>
      </c>
      <c r="AM120" s="15">
        <f>IF(COUNT(C120:P120)=0,"",IFERROR(AI120/I120,0))</f>
        <v/>
      </c>
      <c r="AN120" s="15">
        <f>IF(COUNT(C120:P120)=0,"",IFERROR(AH120/I120-AA120,0))</f>
        <v/>
      </c>
    </row>
    <row r="121">
      <c r="A121" s="12">
        <f>Config!$C$6+115</f>
        <v/>
      </c>
      <c r="B121" s="13">
        <f>INT((A121-Config!$C$6)/7)+1</f>
        <v/>
      </c>
      <c r="C121" s="10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5">
        <f>IF(COUNT(C121:P121)=0,"",IFERROR(C121/D121*1000,0))</f>
        <v/>
      </c>
      <c r="R121" s="16">
        <f>IF(COUNT(C121:P121)=0,"",IFERROR(D121/E121,0))</f>
        <v/>
      </c>
      <c r="S121" s="17">
        <f>IF(COUNT(C121:P121)=0,"",IFERROR(F121/D121,0))</f>
        <v/>
      </c>
      <c r="T121" s="15">
        <f>IF(COUNT(C121:P121)=0,"",IFERROR(C121/F121,0))</f>
        <v/>
      </c>
      <c r="U121" s="18">
        <f>IF(COUNT(C121:P121)=0,"",IFERROR(G121/F121,0))</f>
        <v/>
      </c>
      <c r="V121" s="15">
        <f>IF(COUNT(C121:P121)=0,"",IFERROR(C121/G121,0))</f>
        <v/>
      </c>
      <c r="W121" s="19">
        <f>IF(COUNT(C121:P121)=0,"",IFERROR(G121/D121*1000,0))</f>
        <v/>
      </c>
      <c r="X121" s="18">
        <f>IF(COUNT(C121:P121)=0,"",IFERROR(H121/G121,0))</f>
        <v/>
      </c>
      <c r="Y121" s="18">
        <f>IF(COUNT(C121:P121)=0,"",IFERROR(I121/H121,0))</f>
        <v/>
      </c>
      <c r="Z121" s="17">
        <f>IF(COUNT(C121:P121)=0,"",IFERROR(I121/G121,0))</f>
        <v/>
      </c>
      <c r="AA121" s="15">
        <f>IF(COUNT(C121:P121)=0,"",IFERROR(C121/I121,0))</f>
        <v/>
      </c>
      <c r="AB121" s="18">
        <f>IF(COUNT(C121:P121)=0,"",IFERROR(J121/I121,0))</f>
        <v/>
      </c>
      <c r="AC121" s="18">
        <f>IF(COUNT(C121:P121)=0,"",IFERROR(K121/I121,0))</f>
        <v/>
      </c>
      <c r="AD121" s="18">
        <f>IF(COUNT(C121:P121)=0,"",IFERROR(L121/I121,0))</f>
        <v/>
      </c>
      <c r="AE121" s="18">
        <f>IF(COUNT(C121:P121)=0,"",IFERROR(P121/I121,0))</f>
        <v/>
      </c>
      <c r="AF121" s="20">
        <f>IF(COUNT(C121:P121)=0,"",IFERROR(I121*Config!$C$7+J121*Config!$C$8+K121*Config!$C$9+L121*Config!$C$10+M121*Config!$C$11+N121*Config!$C$12+O121*Config!$C$13+P121*Config!$C$14,0))</f>
        <v/>
      </c>
      <c r="AG121" s="15">
        <f>IF(COUNT(C121:P121)=0,"",IFERROR(AF121/I121,0))</f>
        <v/>
      </c>
      <c r="AH121" s="20">
        <f>IF(COUNT(C121:P121)=0,"",IFERROR(AF121*(1-Config!$C$15-Config!$C$16-Config!$C$17),0))</f>
        <v/>
      </c>
      <c r="AI121" s="20">
        <f>IF(COUNT(C121:P121)=0,"",IFERROR(AH121-C121-Config!$C$18,0))</f>
        <v/>
      </c>
      <c r="AJ121" s="21">
        <f>IF(COUNT(C121:P121)=0,"",IFERROR(AH121/C121,0))</f>
        <v/>
      </c>
      <c r="AK121" s="15">
        <f>IF(COUNT(C121:P121)=0,"",IFERROR(AI121/G121,0))</f>
        <v/>
      </c>
      <c r="AL121" s="21">
        <f>IF(COUNT(C121:P121)=0,"",IFERROR(AK121/V121,0))</f>
        <v/>
      </c>
      <c r="AM121" s="15">
        <f>IF(COUNT(C121:P121)=0,"",IFERROR(AI121/I121,0))</f>
        <v/>
      </c>
      <c r="AN121" s="15">
        <f>IF(COUNT(C121:P121)=0,"",IFERROR(AH121/I121-AA121,0))</f>
        <v/>
      </c>
    </row>
    <row r="122">
      <c r="A122" s="12">
        <f>Config!$C$6+116</f>
        <v/>
      </c>
      <c r="B122" s="13">
        <f>INT((A122-Config!$C$6)/7)+1</f>
        <v/>
      </c>
      <c r="C122" s="10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5">
        <f>IF(COUNT(C122:P122)=0,"",IFERROR(C122/D122*1000,0))</f>
        <v/>
      </c>
      <c r="R122" s="16">
        <f>IF(COUNT(C122:P122)=0,"",IFERROR(D122/E122,0))</f>
        <v/>
      </c>
      <c r="S122" s="17">
        <f>IF(COUNT(C122:P122)=0,"",IFERROR(F122/D122,0))</f>
        <v/>
      </c>
      <c r="T122" s="15">
        <f>IF(COUNT(C122:P122)=0,"",IFERROR(C122/F122,0))</f>
        <v/>
      </c>
      <c r="U122" s="18">
        <f>IF(COUNT(C122:P122)=0,"",IFERROR(G122/F122,0))</f>
        <v/>
      </c>
      <c r="V122" s="15">
        <f>IF(COUNT(C122:P122)=0,"",IFERROR(C122/G122,0))</f>
        <v/>
      </c>
      <c r="W122" s="19">
        <f>IF(COUNT(C122:P122)=0,"",IFERROR(G122/D122*1000,0))</f>
        <v/>
      </c>
      <c r="X122" s="18">
        <f>IF(COUNT(C122:P122)=0,"",IFERROR(H122/G122,0))</f>
        <v/>
      </c>
      <c r="Y122" s="18">
        <f>IF(COUNT(C122:P122)=0,"",IFERROR(I122/H122,0))</f>
        <v/>
      </c>
      <c r="Z122" s="17">
        <f>IF(COUNT(C122:P122)=0,"",IFERROR(I122/G122,0))</f>
        <v/>
      </c>
      <c r="AA122" s="15">
        <f>IF(COUNT(C122:P122)=0,"",IFERROR(C122/I122,0))</f>
        <v/>
      </c>
      <c r="AB122" s="18">
        <f>IF(COUNT(C122:P122)=0,"",IFERROR(J122/I122,0))</f>
        <v/>
      </c>
      <c r="AC122" s="18">
        <f>IF(COUNT(C122:P122)=0,"",IFERROR(K122/I122,0))</f>
        <v/>
      </c>
      <c r="AD122" s="18">
        <f>IF(COUNT(C122:P122)=0,"",IFERROR(L122/I122,0))</f>
        <v/>
      </c>
      <c r="AE122" s="18">
        <f>IF(COUNT(C122:P122)=0,"",IFERROR(P122/I122,0))</f>
        <v/>
      </c>
      <c r="AF122" s="20">
        <f>IF(COUNT(C122:P122)=0,"",IFERROR(I122*Config!$C$7+J122*Config!$C$8+K122*Config!$C$9+L122*Config!$C$10+M122*Config!$C$11+N122*Config!$C$12+O122*Config!$C$13+P122*Config!$C$14,0))</f>
        <v/>
      </c>
      <c r="AG122" s="15">
        <f>IF(COUNT(C122:P122)=0,"",IFERROR(AF122/I122,0))</f>
        <v/>
      </c>
      <c r="AH122" s="20">
        <f>IF(COUNT(C122:P122)=0,"",IFERROR(AF122*(1-Config!$C$15-Config!$C$16-Config!$C$17),0))</f>
        <v/>
      </c>
      <c r="AI122" s="20">
        <f>IF(COUNT(C122:P122)=0,"",IFERROR(AH122-C122-Config!$C$18,0))</f>
        <v/>
      </c>
      <c r="AJ122" s="21">
        <f>IF(COUNT(C122:P122)=0,"",IFERROR(AH122/C122,0))</f>
        <v/>
      </c>
      <c r="AK122" s="15">
        <f>IF(COUNT(C122:P122)=0,"",IFERROR(AI122/G122,0))</f>
        <v/>
      </c>
      <c r="AL122" s="21">
        <f>IF(COUNT(C122:P122)=0,"",IFERROR(AK122/V122,0))</f>
        <v/>
      </c>
      <c r="AM122" s="15">
        <f>IF(COUNT(C122:P122)=0,"",IFERROR(AI122/I122,0))</f>
        <v/>
      </c>
      <c r="AN122" s="15">
        <f>IF(COUNT(C122:P122)=0,"",IFERROR(AH122/I122-AA122,0))</f>
        <v/>
      </c>
    </row>
    <row r="123">
      <c r="A123" s="12">
        <f>Config!$C$6+117</f>
        <v/>
      </c>
      <c r="B123" s="13">
        <f>INT((A123-Config!$C$6)/7)+1</f>
        <v/>
      </c>
      <c r="C123" s="10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5">
        <f>IF(COUNT(C123:P123)=0,"",IFERROR(C123/D123*1000,0))</f>
        <v/>
      </c>
      <c r="R123" s="16">
        <f>IF(COUNT(C123:P123)=0,"",IFERROR(D123/E123,0))</f>
        <v/>
      </c>
      <c r="S123" s="17">
        <f>IF(COUNT(C123:P123)=0,"",IFERROR(F123/D123,0))</f>
        <v/>
      </c>
      <c r="T123" s="15">
        <f>IF(COUNT(C123:P123)=0,"",IFERROR(C123/F123,0))</f>
        <v/>
      </c>
      <c r="U123" s="18">
        <f>IF(COUNT(C123:P123)=0,"",IFERROR(G123/F123,0))</f>
        <v/>
      </c>
      <c r="V123" s="15">
        <f>IF(COUNT(C123:P123)=0,"",IFERROR(C123/G123,0))</f>
        <v/>
      </c>
      <c r="W123" s="19">
        <f>IF(COUNT(C123:P123)=0,"",IFERROR(G123/D123*1000,0))</f>
        <v/>
      </c>
      <c r="X123" s="18">
        <f>IF(COUNT(C123:P123)=0,"",IFERROR(H123/G123,0))</f>
        <v/>
      </c>
      <c r="Y123" s="18">
        <f>IF(COUNT(C123:P123)=0,"",IFERROR(I123/H123,0))</f>
        <v/>
      </c>
      <c r="Z123" s="17">
        <f>IF(COUNT(C123:P123)=0,"",IFERROR(I123/G123,0))</f>
        <v/>
      </c>
      <c r="AA123" s="15">
        <f>IF(COUNT(C123:P123)=0,"",IFERROR(C123/I123,0))</f>
        <v/>
      </c>
      <c r="AB123" s="18">
        <f>IF(COUNT(C123:P123)=0,"",IFERROR(J123/I123,0))</f>
        <v/>
      </c>
      <c r="AC123" s="18">
        <f>IF(COUNT(C123:P123)=0,"",IFERROR(K123/I123,0))</f>
        <v/>
      </c>
      <c r="AD123" s="18">
        <f>IF(COUNT(C123:P123)=0,"",IFERROR(L123/I123,0))</f>
        <v/>
      </c>
      <c r="AE123" s="18">
        <f>IF(COUNT(C123:P123)=0,"",IFERROR(P123/I123,0))</f>
        <v/>
      </c>
      <c r="AF123" s="20">
        <f>IF(COUNT(C123:P123)=0,"",IFERROR(I123*Config!$C$7+J123*Config!$C$8+K123*Config!$C$9+L123*Config!$C$10+M123*Config!$C$11+N123*Config!$C$12+O123*Config!$C$13+P123*Config!$C$14,0))</f>
        <v/>
      </c>
      <c r="AG123" s="15">
        <f>IF(COUNT(C123:P123)=0,"",IFERROR(AF123/I123,0))</f>
        <v/>
      </c>
      <c r="AH123" s="20">
        <f>IF(COUNT(C123:P123)=0,"",IFERROR(AF123*(1-Config!$C$15-Config!$C$16-Config!$C$17),0))</f>
        <v/>
      </c>
      <c r="AI123" s="20">
        <f>IF(COUNT(C123:P123)=0,"",IFERROR(AH123-C123-Config!$C$18,0))</f>
        <v/>
      </c>
      <c r="AJ123" s="21">
        <f>IF(COUNT(C123:P123)=0,"",IFERROR(AH123/C123,0))</f>
        <v/>
      </c>
      <c r="AK123" s="15">
        <f>IF(COUNT(C123:P123)=0,"",IFERROR(AI123/G123,0))</f>
        <v/>
      </c>
      <c r="AL123" s="21">
        <f>IF(COUNT(C123:P123)=0,"",IFERROR(AK123/V123,0))</f>
        <v/>
      </c>
      <c r="AM123" s="15">
        <f>IF(COUNT(C123:P123)=0,"",IFERROR(AI123/I123,0))</f>
        <v/>
      </c>
      <c r="AN123" s="15">
        <f>IF(COUNT(C123:P123)=0,"",IFERROR(AH123/I123-AA123,0))</f>
        <v/>
      </c>
    </row>
    <row r="124">
      <c r="A124" s="12">
        <f>Config!$C$6+118</f>
        <v/>
      </c>
      <c r="B124" s="13">
        <f>INT((A124-Config!$C$6)/7)+1</f>
        <v/>
      </c>
      <c r="C124" s="10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5">
        <f>IF(COUNT(C124:P124)=0,"",IFERROR(C124/D124*1000,0))</f>
        <v/>
      </c>
      <c r="R124" s="16">
        <f>IF(COUNT(C124:P124)=0,"",IFERROR(D124/E124,0))</f>
        <v/>
      </c>
      <c r="S124" s="17">
        <f>IF(COUNT(C124:P124)=0,"",IFERROR(F124/D124,0))</f>
        <v/>
      </c>
      <c r="T124" s="15">
        <f>IF(COUNT(C124:P124)=0,"",IFERROR(C124/F124,0))</f>
        <v/>
      </c>
      <c r="U124" s="18">
        <f>IF(COUNT(C124:P124)=0,"",IFERROR(G124/F124,0))</f>
        <v/>
      </c>
      <c r="V124" s="15">
        <f>IF(COUNT(C124:P124)=0,"",IFERROR(C124/G124,0))</f>
        <v/>
      </c>
      <c r="W124" s="19">
        <f>IF(COUNT(C124:P124)=0,"",IFERROR(G124/D124*1000,0))</f>
        <v/>
      </c>
      <c r="X124" s="18">
        <f>IF(COUNT(C124:P124)=0,"",IFERROR(H124/G124,0))</f>
        <v/>
      </c>
      <c r="Y124" s="18">
        <f>IF(COUNT(C124:P124)=0,"",IFERROR(I124/H124,0))</f>
        <v/>
      </c>
      <c r="Z124" s="17">
        <f>IF(COUNT(C124:P124)=0,"",IFERROR(I124/G124,0))</f>
        <v/>
      </c>
      <c r="AA124" s="15">
        <f>IF(COUNT(C124:P124)=0,"",IFERROR(C124/I124,0))</f>
        <v/>
      </c>
      <c r="AB124" s="18">
        <f>IF(COUNT(C124:P124)=0,"",IFERROR(J124/I124,0))</f>
        <v/>
      </c>
      <c r="AC124" s="18">
        <f>IF(COUNT(C124:P124)=0,"",IFERROR(K124/I124,0))</f>
        <v/>
      </c>
      <c r="AD124" s="18">
        <f>IF(COUNT(C124:P124)=0,"",IFERROR(L124/I124,0))</f>
        <v/>
      </c>
      <c r="AE124" s="18">
        <f>IF(COUNT(C124:P124)=0,"",IFERROR(P124/I124,0))</f>
        <v/>
      </c>
      <c r="AF124" s="20">
        <f>IF(COUNT(C124:P124)=0,"",IFERROR(I124*Config!$C$7+J124*Config!$C$8+K124*Config!$C$9+L124*Config!$C$10+M124*Config!$C$11+N124*Config!$C$12+O124*Config!$C$13+P124*Config!$C$14,0))</f>
        <v/>
      </c>
      <c r="AG124" s="15">
        <f>IF(COUNT(C124:P124)=0,"",IFERROR(AF124/I124,0))</f>
        <v/>
      </c>
      <c r="AH124" s="20">
        <f>IF(COUNT(C124:P124)=0,"",IFERROR(AF124*(1-Config!$C$15-Config!$C$16-Config!$C$17),0))</f>
        <v/>
      </c>
      <c r="AI124" s="20">
        <f>IF(COUNT(C124:P124)=0,"",IFERROR(AH124-C124-Config!$C$18,0))</f>
        <v/>
      </c>
      <c r="AJ124" s="21">
        <f>IF(COUNT(C124:P124)=0,"",IFERROR(AH124/C124,0))</f>
        <v/>
      </c>
      <c r="AK124" s="15">
        <f>IF(COUNT(C124:P124)=0,"",IFERROR(AI124/G124,0))</f>
        <v/>
      </c>
      <c r="AL124" s="21">
        <f>IF(COUNT(C124:P124)=0,"",IFERROR(AK124/V124,0))</f>
        <v/>
      </c>
      <c r="AM124" s="15">
        <f>IF(COUNT(C124:P124)=0,"",IFERROR(AI124/I124,0))</f>
        <v/>
      </c>
      <c r="AN124" s="15">
        <f>IF(COUNT(C124:P124)=0,"",IFERROR(AH124/I124-AA124,0))</f>
        <v/>
      </c>
    </row>
    <row r="125">
      <c r="A125" s="12">
        <f>Config!$C$6+119</f>
        <v/>
      </c>
      <c r="B125" s="13">
        <f>INT((A125-Config!$C$6)/7)+1</f>
        <v/>
      </c>
      <c r="C125" s="10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5">
        <f>IF(COUNT(C125:P125)=0,"",IFERROR(C125/D125*1000,0))</f>
        <v/>
      </c>
      <c r="R125" s="16">
        <f>IF(COUNT(C125:P125)=0,"",IFERROR(D125/E125,0))</f>
        <v/>
      </c>
      <c r="S125" s="17">
        <f>IF(COUNT(C125:P125)=0,"",IFERROR(F125/D125,0))</f>
        <v/>
      </c>
      <c r="T125" s="15">
        <f>IF(COUNT(C125:P125)=0,"",IFERROR(C125/F125,0))</f>
        <v/>
      </c>
      <c r="U125" s="18">
        <f>IF(COUNT(C125:P125)=0,"",IFERROR(G125/F125,0))</f>
        <v/>
      </c>
      <c r="V125" s="15">
        <f>IF(COUNT(C125:P125)=0,"",IFERROR(C125/G125,0))</f>
        <v/>
      </c>
      <c r="W125" s="19">
        <f>IF(COUNT(C125:P125)=0,"",IFERROR(G125/D125*1000,0))</f>
        <v/>
      </c>
      <c r="X125" s="18">
        <f>IF(COUNT(C125:P125)=0,"",IFERROR(H125/G125,0))</f>
        <v/>
      </c>
      <c r="Y125" s="18">
        <f>IF(COUNT(C125:P125)=0,"",IFERROR(I125/H125,0))</f>
        <v/>
      </c>
      <c r="Z125" s="17">
        <f>IF(COUNT(C125:P125)=0,"",IFERROR(I125/G125,0))</f>
        <v/>
      </c>
      <c r="AA125" s="15">
        <f>IF(COUNT(C125:P125)=0,"",IFERROR(C125/I125,0))</f>
        <v/>
      </c>
      <c r="AB125" s="18">
        <f>IF(COUNT(C125:P125)=0,"",IFERROR(J125/I125,0))</f>
        <v/>
      </c>
      <c r="AC125" s="18">
        <f>IF(COUNT(C125:P125)=0,"",IFERROR(K125/I125,0))</f>
        <v/>
      </c>
      <c r="AD125" s="18">
        <f>IF(COUNT(C125:P125)=0,"",IFERROR(L125/I125,0))</f>
        <v/>
      </c>
      <c r="AE125" s="18">
        <f>IF(COUNT(C125:P125)=0,"",IFERROR(P125/I125,0))</f>
        <v/>
      </c>
      <c r="AF125" s="20">
        <f>IF(COUNT(C125:P125)=0,"",IFERROR(I125*Config!$C$7+J125*Config!$C$8+K125*Config!$C$9+L125*Config!$C$10+M125*Config!$C$11+N125*Config!$C$12+O125*Config!$C$13+P125*Config!$C$14,0))</f>
        <v/>
      </c>
      <c r="AG125" s="15">
        <f>IF(COUNT(C125:P125)=0,"",IFERROR(AF125/I125,0))</f>
        <v/>
      </c>
      <c r="AH125" s="20">
        <f>IF(COUNT(C125:P125)=0,"",IFERROR(AF125*(1-Config!$C$15-Config!$C$16-Config!$C$17),0))</f>
        <v/>
      </c>
      <c r="AI125" s="20">
        <f>IF(COUNT(C125:P125)=0,"",IFERROR(AH125-C125-Config!$C$18,0))</f>
        <v/>
      </c>
      <c r="AJ125" s="21">
        <f>IF(COUNT(C125:P125)=0,"",IFERROR(AH125/C125,0))</f>
        <v/>
      </c>
      <c r="AK125" s="15">
        <f>IF(COUNT(C125:P125)=0,"",IFERROR(AI125/G125,0))</f>
        <v/>
      </c>
      <c r="AL125" s="21">
        <f>IF(COUNT(C125:P125)=0,"",IFERROR(AK125/V125,0))</f>
        <v/>
      </c>
      <c r="AM125" s="15">
        <f>IF(COUNT(C125:P125)=0,"",IFERROR(AI125/I125,0))</f>
        <v/>
      </c>
      <c r="AN125" s="15">
        <f>IF(COUNT(C125:P125)=0,"",IFERROR(AH125/I125-AA125,0))</f>
        <v/>
      </c>
    </row>
    <row r="126">
      <c r="A126" s="12">
        <f>Config!$C$6+120</f>
        <v/>
      </c>
      <c r="B126" s="13">
        <f>INT((A126-Config!$C$6)/7)+1</f>
        <v/>
      </c>
      <c r="C126" s="10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5">
        <f>IF(COUNT(C126:P126)=0,"",IFERROR(C126/D126*1000,0))</f>
        <v/>
      </c>
      <c r="R126" s="16">
        <f>IF(COUNT(C126:P126)=0,"",IFERROR(D126/E126,0))</f>
        <v/>
      </c>
      <c r="S126" s="17">
        <f>IF(COUNT(C126:P126)=0,"",IFERROR(F126/D126,0))</f>
        <v/>
      </c>
      <c r="T126" s="15">
        <f>IF(COUNT(C126:P126)=0,"",IFERROR(C126/F126,0))</f>
        <v/>
      </c>
      <c r="U126" s="18">
        <f>IF(COUNT(C126:P126)=0,"",IFERROR(G126/F126,0))</f>
        <v/>
      </c>
      <c r="V126" s="15">
        <f>IF(COUNT(C126:P126)=0,"",IFERROR(C126/G126,0))</f>
        <v/>
      </c>
      <c r="W126" s="19">
        <f>IF(COUNT(C126:P126)=0,"",IFERROR(G126/D126*1000,0))</f>
        <v/>
      </c>
      <c r="X126" s="18">
        <f>IF(COUNT(C126:P126)=0,"",IFERROR(H126/G126,0))</f>
        <v/>
      </c>
      <c r="Y126" s="18">
        <f>IF(COUNT(C126:P126)=0,"",IFERROR(I126/H126,0))</f>
        <v/>
      </c>
      <c r="Z126" s="17">
        <f>IF(COUNT(C126:P126)=0,"",IFERROR(I126/G126,0))</f>
        <v/>
      </c>
      <c r="AA126" s="15">
        <f>IF(COUNT(C126:P126)=0,"",IFERROR(C126/I126,0))</f>
        <v/>
      </c>
      <c r="AB126" s="18">
        <f>IF(COUNT(C126:P126)=0,"",IFERROR(J126/I126,0))</f>
        <v/>
      </c>
      <c r="AC126" s="18">
        <f>IF(COUNT(C126:P126)=0,"",IFERROR(K126/I126,0))</f>
        <v/>
      </c>
      <c r="AD126" s="18">
        <f>IF(COUNT(C126:P126)=0,"",IFERROR(L126/I126,0))</f>
        <v/>
      </c>
      <c r="AE126" s="18">
        <f>IF(COUNT(C126:P126)=0,"",IFERROR(P126/I126,0))</f>
        <v/>
      </c>
      <c r="AF126" s="20">
        <f>IF(COUNT(C126:P126)=0,"",IFERROR(I126*Config!$C$7+J126*Config!$C$8+K126*Config!$C$9+L126*Config!$C$10+M126*Config!$C$11+N126*Config!$C$12+O126*Config!$C$13+P126*Config!$C$14,0))</f>
        <v/>
      </c>
      <c r="AG126" s="15">
        <f>IF(COUNT(C126:P126)=0,"",IFERROR(AF126/I126,0))</f>
        <v/>
      </c>
      <c r="AH126" s="20">
        <f>IF(COUNT(C126:P126)=0,"",IFERROR(AF126*(1-Config!$C$15-Config!$C$16-Config!$C$17),0))</f>
        <v/>
      </c>
      <c r="AI126" s="20">
        <f>IF(COUNT(C126:P126)=0,"",IFERROR(AH126-C126-Config!$C$18,0))</f>
        <v/>
      </c>
      <c r="AJ126" s="21">
        <f>IF(COUNT(C126:P126)=0,"",IFERROR(AH126/C126,0))</f>
        <v/>
      </c>
      <c r="AK126" s="15">
        <f>IF(COUNT(C126:P126)=0,"",IFERROR(AI126/G126,0))</f>
        <v/>
      </c>
      <c r="AL126" s="21">
        <f>IF(COUNT(C126:P126)=0,"",IFERROR(AK126/V126,0))</f>
        <v/>
      </c>
      <c r="AM126" s="15">
        <f>IF(COUNT(C126:P126)=0,"",IFERROR(AI126/I126,0))</f>
        <v/>
      </c>
      <c r="AN126" s="15">
        <f>IF(COUNT(C126:P126)=0,"",IFERROR(AH126/I126-AA126,0))</f>
        <v/>
      </c>
    </row>
    <row r="127">
      <c r="A127" s="12">
        <f>Config!$C$6+121</f>
        <v/>
      </c>
      <c r="B127" s="13">
        <f>INT((A127-Config!$C$6)/7)+1</f>
        <v/>
      </c>
      <c r="C127" s="10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5">
        <f>IF(COUNT(C127:P127)=0,"",IFERROR(C127/D127*1000,0))</f>
        <v/>
      </c>
      <c r="R127" s="16">
        <f>IF(COUNT(C127:P127)=0,"",IFERROR(D127/E127,0))</f>
        <v/>
      </c>
      <c r="S127" s="17">
        <f>IF(COUNT(C127:P127)=0,"",IFERROR(F127/D127,0))</f>
        <v/>
      </c>
      <c r="T127" s="15">
        <f>IF(COUNT(C127:P127)=0,"",IFERROR(C127/F127,0))</f>
        <v/>
      </c>
      <c r="U127" s="18">
        <f>IF(COUNT(C127:P127)=0,"",IFERROR(G127/F127,0))</f>
        <v/>
      </c>
      <c r="V127" s="15">
        <f>IF(COUNT(C127:P127)=0,"",IFERROR(C127/G127,0))</f>
        <v/>
      </c>
      <c r="W127" s="19">
        <f>IF(COUNT(C127:P127)=0,"",IFERROR(G127/D127*1000,0))</f>
        <v/>
      </c>
      <c r="X127" s="18">
        <f>IF(COUNT(C127:P127)=0,"",IFERROR(H127/G127,0))</f>
        <v/>
      </c>
      <c r="Y127" s="18">
        <f>IF(COUNT(C127:P127)=0,"",IFERROR(I127/H127,0))</f>
        <v/>
      </c>
      <c r="Z127" s="17">
        <f>IF(COUNT(C127:P127)=0,"",IFERROR(I127/G127,0))</f>
        <v/>
      </c>
      <c r="AA127" s="15">
        <f>IF(COUNT(C127:P127)=0,"",IFERROR(C127/I127,0))</f>
        <v/>
      </c>
      <c r="AB127" s="18">
        <f>IF(COUNT(C127:P127)=0,"",IFERROR(J127/I127,0))</f>
        <v/>
      </c>
      <c r="AC127" s="18">
        <f>IF(COUNT(C127:P127)=0,"",IFERROR(K127/I127,0))</f>
        <v/>
      </c>
      <c r="AD127" s="18">
        <f>IF(COUNT(C127:P127)=0,"",IFERROR(L127/I127,0))</f>
        <v/>
      </c>
      <c r="AE127" s="18">
        <f>IF(COUNT(C127:P127)=0,"",IFERROR(P127/I127,0))</f>
        <v/>
      </c>
      <c r="AF127" s="20">
        <f>IF(COUNT(C127:P127)=0,"",IFERROR(I127*Config!$C$7+J127*Config!$C$8+K127*Config!$C$9+L127*Config!$C$10+M127*Config!$C$11+N127*Config!$C$12+O127*Config!$C$13+P127*Config!$C$14,0))</f>
        <v/>
      </c>
      <c r="AG127" s="15">
        <f>IF(COUNT(C127:P127)=0,"",IFERROR(AF127/I127,0))</f>
        <v/>
      </c>
      <c r="AH127" s="20">
        <f>IF(COUNT(C127:P127)=0,"",IFERROR(AF127*(1-Config!$C$15-Config!$C$16-Config!$C$17),0))</f>
        <v/>
      </c>
      <c r="AI127" s="20">
        <f>IF(COUNT(C127:P127)=0,"",IFERROR(AH127-C127-Config!$C$18,0))</f>
        <v/>
      </c>
      <c r="AJ127" s="21">
        <f>IF(COUNT(C127:P127)=0,"",IFERROR(AH127/C127,0))</f>
        <v/>
      </c>
      <c r="AK127" s="15">
        <f>IF(COUNT(C127:P127)=0,"",IFERROR(AI127/G127,0))</f>
        <v/>
      </c>
      <c r="AL127" s="21">
        <f>IF(COUNT(C127:P127)=0,"",IFERROR(AK127/V127,0))</f>
        <v/>
      </c>
      <c r="AM127" s="15">
        <f>IF(COUNT(C127:P127)=0,"",IFERROR(AI127/I127,0))</f>
        <v/>
      </c>
      <c r="AN127" s="15">
        <f>IF(COUNT(C127:P127)=0,"",IFERROR(AH127/I127-AA127,0))</f>
        <v/>
      </c>
    </row>
    <row r="128">
      <c r="A128" s="12">
        <f>Config!$C$6+122</f>
        <v/>
      </c>
      <c r="B128" s="13">
        <f>INT((A128-Config!$C$6)/7)+1</f>
        <v/>
      </c>
      <c r="C128" s="10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5">
        <f>IF(COUNT(C128:P128)=0,"",IFERROR(C128/D128*1000,0))</f>
        <v/>
      </c>
      <c r="R128" s="16">
        <f>IF(COUNT(C128:P128)=0,"",IFERROR(D128/E128,0))</f>
        <v/>
      </c>
      <c r="S128" s="17">
        <f>IF(COUNT(C128:P128)=0,"",IFERROR(F128/D128,0))</f>
        <v/>
      </c>
      <c r="T128" s="15">
        <f>IF(COUNT(C128:P128)=0,"",IFERROR(C128/F128,0))</f>
        <v/>
      </c>
      <c r="U128" s="18">
        <f>IF(COUNT(C128:P128)=0,"",IFERROR(G128/F128,0))</f>
        <v/>
      </c>
      <c r="V128" s="15">
        <f>IF(COUNT(C128:P128)=0,"",IFERROR(C128/G128,0))</f>
        <v/>
      </c>
      <c r="W128" s="19">
        <f>IF(COUNT(C128:P128)=0,"",IFERROR(G128/D128*1000,0))</f>
        <v/>
      </c>
      <c r="X128" s="18">
        <f>IF(COUNT(C128:P128)=0,"",IFERROR(H128/G128,0))</f>
        <v/>
      </c>
      <c r="Y128" s="18">
        <f>IF(COUNT(C128:P128)=0,"",IFERROR(I128/H128,0))</f>
        <v/>
      </c>
      <c r="Z128" s="17">
        <f>IF(COUNT(C128:P128)=0,"",IFERROR(I128/G128,0))</f>
        <v/>
      </c>
      <c r="AA128" s="15">
        <f>IF(COUNT(C128:P128)=0,"",IFERROR(C128/I128,0))</f>
        <v/>
      </c>
      <c r="AB128" s="18">
        <f>IF(COUNT(C128:P128)=0,"",IFERROR(J128/I128,0))</f>
        <v/>
      </c>
      <c r="AC128" s="18">
        <f>IF(COUNT(C128:P128)=0,"",IFERROR(K128/I128,0))</f>
        <v/>
      </c>
      <c r="AD128" s="18">
        <f>IF(COUNT(C128:P128)=0,"",IFERROR(L128/I128,0))</f>
        <v/>
      </c>
      <c r="AE128" s="18">
        <f>IF(COUNT(C128:P128)=0,"",IFERROR(P128/I128,0))</f>
        <v/>
      </c>
      <c r="AF128" s="20">
        <f>IF(COUNT(C128:P128)=0,"",IFERROR(I128*Config!$C$7+J128*Config!$C$8+K128*Config!$C$9+L128*Config!$C$10+M128*Config!$C$11+N128*Config!$C$12+O128*Config!$C$13+P128*Config!$C$14,0))</f>
        <v/>
      </c>
      <c r="AG128" s="15">
        <f>IF(COUNT(C128:P128)=0,"",IFERROR(AF128/I128,0))</f>
        <v/>
      </c>
      <c r="AH128" s="20">
        <f>IF(COUNT(C128:P128)=0,"",IFERROR(AF128*(1-Config!$C$15-Config!$C$16-Config!$C$17),0))</f>
        <v/>
      </c>
      <c r="AI128" s="20">
        <f>IF(COUNT(C128:P128)=0,"",IFERROR(AH128-C128-Config!$C$18,0))</f>
        <v/>
      </c>
      <c r="AJ128" s="21">
        <f>IF(COUNT(C128:P128)=0,"",IFERROR(AH128/C128,0))</f>
        <v/>
      </c>
      <c r="AK128" s="15">
        <f>IF(COUNT(C128:P128)=0,"",IFERROR(AI128/G128,0))</f>
        <v/>
      </c>
      <c r="AL128" s="21">
        <f>IF(COUNT(C128:P128)=0,"",IFERROR(AK128/V128,0))</f>
        <v/>
      </c>
      <c r="AM128" s="15">
        <f>IF(COUNT(C128:P128)=0,"",IFERROR(AI128/I128,0))</f>
        <v/>
      </c>
      <c r="AN128" s="15">
        <f>IF(COUNT(C128:P128)=0,"",IFERROR(AH128/I128-AA128,0))</f>
        <v/>
      </c>
    </row>
    <row r="129">
      <c r="A129" s="12">
        <f>Config!$C$6+123</f>
        <v/>
      </c>
      <c r="B129" s="13">
        <f>INT((A129-Config!$C$6)/7)+1</f>
        <v/>
      </c>
      <c r="C129" s="10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5">
        <f>IF(COUNT(C129:P129)=0,"",IFERROR(C129/D129*1000,0))</f>
        <v/>
      </c>
      <c r="R129" s="16">
        <f>IF(COUNT(C129:P129)=0,"",IFERROR(D129/E129,0))</f>
        <v/>
      </c>
      <c r="S129" s="17">
        <f>IF(COUNT(C129:P129)=0,"",IFERROR(F129/D129,0))</f>
        <v/>
      </c>
      <c r="T129" s="15">
        <f>IF(COUNT(C129:P129)=0,"",IFERROR(C129/F129,0))</f>
        <v/>
      </c>
      <c r="U129" s="18">
        <f>IF(COUNT(C129:P129)=0,"",IFERROR(G129/F129,0))</f>
        <v/>
      </c>
      <c r="V129" s="15">
        <f>IF(COUNT(C129:P129)=0,"",IFERROR(C129/G129,0))</f>
        <v/>
      </c>
      <c r="W129" s="19">
        <f>IF(COUNT(C129:P129)=0,"",IFERROR(G129/D129*1000,0))</f>
        <v/>
      </c>
      <c r="X129" s="18">
        <f>IF(COUNT(C129:P129)=0,"",IFERROR(H129/G129,0))</f>
        <v/>
      </c>
      <c r="Y129" s="18">
        <f>IF(COUNT(C129:P129)=0,"",IFERROR(I129/H129,0))</f>
        <v/>
      </c>
      <c r="Z129" s="17">
        <f>IF(COUNT(C129:P129)=0,"",IFERROR(I129/G129,0))</f>
        <v/>
      </c>
      <c r="AA129" s="15">
        <f>IF(COUNT(C129:P129)=0,"",IFERROR(C129/I129,0))</f>
        <v/>
      </c>
      <c r="AB129" s="18">
        <f>IF(COUNT(C129:P129)=0,"",IFERROR(J129/I129,0))</f>
        <v/>
      </c>
      <c r="AC129" s="18">
        <f>IF(COUNT(C129:P129)=0,"",IFERROR(K129/I129,0))</f>
        <v/>
      </c>
      <c r="AD129" s="18">
        <f>IF(COUNT(C129:P129)=0,"",IFERROR(L129/I129,0))</f>
        <v/>
      </c>
      <c r="AE129" s="18">
        <f>IF(COUNT(C129:P129)=0,"",IFERROR(P129/I129,0))</f>
        <v/>
      </c>
      <c r="AF129" s="20">
        <f>IF(COUNT(C129:P129)=0,"",IFERROR(I129*Config!$C$7+J129*Config!$C$8+K129*Config!$C$9+L129*Config!$C$10+M129*Config!$C$11+N129*Config!$C$12+O129*Config!$C$13+P129*Config!$C$14,0))</f>
        <v/>
      </c>
      <c r="AG129" s="15">
        <f>IF(COUNT(C129:P129)=0,"",IFERROR(AF129/I129,0))</f>
        <v/>
      </c>
      <c r="AH129" s="20">
        <f>IF(COUNT(C129:P129)=0,"",IFERROR(AF129*(1-Config!$C$15-Config!$C$16-Config!$C$17),0))</f>
        <v/>
      </c>
      <c r="AI129" s="20">
        <f>IF(COUNT(C129:P129)=0,"",IFERROR(AH129-C129-Config!$C$18,0))</f>
        <v/>
      </c>
      <c r="AJ129" s="21">
        <f>IF(COUNT(C129:P129)=0,"",IFERROR(AH129/C129,0))</f>
        <v/>
      </c>
      <c r="AK129" s="15">
        <f>IF(COUNT(C129:P129)=0,"",IFERROR(AI129/G129,0))</f>
        <v/>
      </c>
      <c r="AL129" s="21">
        <f>IF(COUNT(C129:P129)=0,"",IFERROR(AK129/V129,0))</f>
        <v/>
      </c>
      <c r="AM129" s="15">
        <f>IF(COUNT(C129:P129)=0,"",IFERROR(AI129/I129,0))</f>
        <v/>
      </c>
      <c r="AN129" s="15">
        <f>IF(COUNT(C129:P129)=0,"",IFERROR(AH129/I129-AA129,0))</f>
        <v/>
      </c>
    </row>
    <row r="130">
      <c r="A130" s="12">
        <f>Config!$C$6+124</f>
        <v/>
      </c>
      <c r="B130" s="13">
        <f>INT((A130-Config!$C$6)/7)+1</f>
        <v/>
      </c>
      <c r="C130" s="10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5">
        <f>IF(COUNT(C130:P130)=0,"",IFERROR(C130/D130*1000,0))</f>
        <v/>
      </c>
      <c r="R130" s="16">
        <f>IF(COUNT(C130:P130)=0,"",IFERROR(D130/E130,0))</f>
        <v/>
      </c>
      <c r="S130" s="17">
        <f>IF(COUNT(C130:P130)=0,"",IFERROR(F130/D130,0))</f>
        <v/>
      </c>
      <c r="T130" s="15">
        <f>IF(COUNT(C130:P130)=0,"",IFERROR(C130/F130,0))</f>
        <v/>
      </c>
      <c r="U130" s="18">
        <f>IF(COUNT(C130:P130)=0,"",IFERROR(G130/F130,0))</f>
        <v/>
      </c>
      <c r="V130" s="15">
        <f>IF(COUNT(C130:P130)=0,"",IFERROR(C130/G130,0))</f>
        <v/>
      </c>
      <c r="W130" s="19">
        <f>IF(COUNT(C130:P130)=0,"",IFERROR(G130/D130*1000,0))</f>
        <v/>
      </c>
      <c r="X130" s="18">
        <f>IF(COUNT(C130:P130)=0,"",IFERROR(H130/G130,0))</f>
        <v/>
      </c>
      <c r="Y130" s="18">
        <f>IF(COUNT(C130:P130)=0,"",IFERROR(I130/H130,0))</f>
        <v/>
      </c>
      <c r="Z130" s="17">
        <f>IF(COUNT(C130:P130)=0,"",IFERROR(I130/G130,0))</f>
        <v/>
      </c>
      <c r="AA130" s="15">
        <f>IF(COUNT(C130:P130)=0,"",IFERROR(C130/I130,0))</f>
        <v/>
      </c>
      <c r="AB130" s="18">
        <f>IF(COUNT(C130:P130)=0,"",IFERROR(J130/I130,0))</f>
        <v/>
      </c>
      <c r="AC130" s="18">
        <f>IF(COUNT(C130:P130)=0,"",IFERROR(K130/I130,0))</f>
        <v/>
      </c>
      <c r="AD130" s="18">
        <f>IF(COUNT(C130:P130)=0,"",IFERROR(L130/I130,0))</f>
        <v/>
      </c>
      <c r="AE130" s="18">
        <f>IF(COUNT(C130:P130)=0,"",IFERROR(P130/I130,0))</f>
        <v/>
      </c>
      <c r="AF130" s="20">
        <f>IF(COUNT(C130:P130)=0,"",IFERROR(I130*Config!$C$7+J130*Config!$C$8+K130*Config!$C$9+L130*Config!$C$10+M130*Config!$C$11+N130*Config!$C$12+O130*Config!$C$13+P130*Config!$C$14,0))</f>
        <v/>
      </c>
      <c r="AG130" s="15">
        <f>IF(COUNT(C130:P130)=0,"",IFERROR(AF130/I130,0))</f>
        <v/>
      </c>
      <c r="AH130" s="20">
        <f>IF(COUNT(C130:P130)=0,"",IFERROR(AF130*(1-Config!$C$15-Config!$C$16-Config!$C$17),0))</f>
        <v/>
      </c>
      <c r="AI130" s="20">
        <f>IF(COUNT(C130:P130)=0,"",IFERROR(AH130-C130-Config!$C$18,0))</f>
        <v/>
      </c>
      <c r="AJ130" s="21">
        <f>IF(COUNT(C130:P130)=0,"",IFERROR(AH130/C130,0))</f>
        <v/>
      </c>
      <c r="AK130" s="15">
        <f>IF(COUNT(C130:P130)=0,"",IFERROR(AI130/G130,0))</f>
        <v/>
      </c>
      <c r="AL130" s="21">
        <f>IF(COUNT(C130:P130)=0,"",IFERROR(AK130/V130,0))</f>
        <v/>
      </c>
      <c r="AM130" s="15">
        <f>IF(COUNT(C130:P130)=0,"",IFERROR(AI130/I130,0))</f>
        <v/>
      </c>
      <c r="AN130" s="15">
        <f>IF(COUNT(C130:P130)=0,"",IFERROR(AH130/I130-AA130,0))</f>
        <v/>
      </c>
    </row>
    <row r="131">
      <c r="A131" s="12">
        <f>Config!$C$6+125</f>
        <v/>
      </c>
      <c r="B131" s="13">
        <f>INT((A131-Config!$C$6)/7)+1</f>
        <v/>
      </c>
      <c r="C131" s="10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5">
        <f>IF(COUNT(C131:P131)=0,"",IFERROR(C131/D131*1000,0))</f>
        <v/>
      </c>
      <c r="R131" s="16">
        <f>IF(COUNT(C131:P131)=0,"",IFERROR(D131/E131,0))</f>
        <v/>
      </c>
      <c r="S131" s="17">
        <f>IF(COUNT(C131:P131)=0,"",IFERROR(F131/D131,0))</f>
        <v/>
      </c>
      <c r="T131" s="15">
        <f>IF(COUNT(C131:P131)=0,"",IFERROR(C131/F131,0))</f>
        <v/>
      </c>
      <c r="U131" s="18">
        <f>IF(COUNT(C131:P131)=0,"",IFERROR(G131/F131,0))</f>
        <v/>
      </c>
      <c r="V131" s="15">
        <f>IF(COUNT(C131:P131)=0,"",IFERROR(C131/G131,0))</f>
        <v/>
      </c>
      <c r="W131" s="19">
        <f>IF(COUNT(C131:P131)=0,"",IFERROR(G131/D131*1000,0))</f>
        <v/>
      </c>
      <c r="X131" s="18">
        <f>IF(COUNT(C131:P131)=0,"",IFERROR(H131/G131,0))</f>
        <v/>
      </c>
      <c r="Y131" s="18">
        <f>IF(COUNT(C131:P131)=0,"",IFERROR(I131/H131,0))</f>
        <v/>
      </c>
      <c r="Z131" s="17">
        <f>IF(COUNT(C131:P131)=0,"",IFERROR(I131/G131,0))</f>
        <v/>
      </c>
      <c r="AA131" s="15">
        <f>IF(COUNT(C131:P131)=0,"",IFERROR(C131/I131,0))</f>
        <v/>
      </c>
      <c r="AB131" s="18">
        <f>IF(COUNT(C131:P131)=0,"",IFERROR(J131/I131,0))</f>
        <v/>
      </c>
      <c r="AC131" s="18">
        <f>IF(COUNT(C131:P131)=0,"",IFERROR(K131/I131,0))</f>
        <v/>
      </c>
      <c r="AD131" s="18">
        <f>IF(COUNT(C131:P131)=0,"",IFERROR(L131/I131,0))</f>
        <v/>
      </c>
      <c r="AE131" s="18">
        <f>IF(COUNT(C131:P131)=0,"",IFERROR(P131/I131,0))</f>
        <v/>
      </c>
      <c r="AF131" s="20">
        <f>IF(COUNT(C131:P131)=0,"",IFERROR(I131*Config!$C$7+J131*Config!$C$8+K131*Config!$C$9+L131*Config!$C$10+M131*Config!$C$11+N131*Config!$C$12+O131*Config!$C$13+P131*Config!$C$14,0))</f>
        <v/>
      </c>
      <c r="AG131" s="15">
        <f>IF(COUNT(C131:P131)=0,"",IFERROR(AF131/I131,0))</f>
        <v/>
      </c>
      <c r="AH131" s="20">
        <f>IF(COUNT(C131:P131)=0,"",IFERROR(AF131*(1-Config!$C$15-Config!$C$16-Config!$C$17),0))</f>
        <v/>
      </c>
      <c r="AI131" s="20">
        <f>IF(COUNT(C131:P131)=0,"",IFERROR(AH131-C131-Config!$C$18,0))</f>
        <v/>
      </c>
      <c r="AJ131" s="21">
        <f>IF(COUNT(C131:P131)=0,"",IFERROR(AH131/C131,0))</f>
        <v/>
      </c>
      <c r="AK131" s="15">
        <f>IF(COUNT(C131:P131)=0,"",IFERROR(AI131/G131,0))</f>
        <v/>
      </c>
      <c r="AL131" s="21">
        <f>IF(COUNT(C131:P131)=0,"",IFERROR(AK131/V131,0))</f>
        <v/>
      </c>
      <c r="AM131" s="15">
        <f>IF(COUNT(C131:P131)=0,"",IFERROR(AI131/I131,0))</f>
        <v/>
      </c>
      <c r="AN131" s="15">
        <f>IF(COUNT(C131:P131)=0,"",IFERROR(AH131/I131-AA131,0))</f>
        <v/>
      </c>
    </row>
    <row r="132">
      <c r="A132" s="12">
        <f>Config!$C$6+126</f>
        <v/>
      </c>
      <c r="B132" s="13">
        <f>INT((A132-Config!$C$6)/7)+1</f>
        <v/>
      </c>
      <c r="C132" s="10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5">
        <f>IF(COUNT(C132:P132)=0,"",IFERROR(C132/D132*1000,0))</f>
        <v/>
      </c>
      <c r="R132" s="16">
        <f>IF(COUNT(C132:P132)=0,"",IFERROR(D132/E132,0))</f>
        <v/>
      </c>
      <c r="S132" s="17">
        <f>IF(COUNT(C132:P132)=0,"",IFERROR(F132/D132,0))</f>
        <v/>
      </c>
      <c r="T132" s="15">
        <f>IF(COUNT(C132:P132)=0,"",IFERROR(C132/F132,0))</f>
        <v/>
      </c>
      <c r="U132" s="18">
        <f>IF(COUNT(C132:P132)=0,"",IFERROR(G132/F132,0))</f>
        <v/>
      </c>
      <c r="V132" s="15">
        <f>IF(COUNT(C132:P132)=0,"",IFERROR(C132/G132,0))</f>
        <v/>
      </c>
      <c r="W132" s="19">
        <f>IF(COUNT(C132:P132)=0,"",IFERROR(G132/D132*1000,0))</f>
        <v/>
      </c>
      <c r="X132" s="18">
        <f>IF(COUNT(C132:P132)=0,"",IFERROR(H132/G132,0))</f>
        <v/>
      </c>
      <c r="Y132" s="18">
        <f>IF(COUNT(C132:P132)=0,"",IFERROR(I132/H132,0))</f>
        <v/>
      </c>
      <c r="Z132" s="17">
        <f>IF(COUNT(C132:P132)=0,"",IFERROR(I132/G132,0))</f>
        <v/>
      </c>
      <c r="AA132" s="15">
        <f>IF(COUNT(C132:P132)=0,"",IFERROR(C132/I132,0))</f>
        <v/>
      </c>
      <c r="AB132" s="18">
        <f>IF(COUNT(C132:P132)=0,"",IFERROR(J132/I132,0))</f>
        <v/>
      </c>
      <c r="AC132" s="18">
        <f>IF(COUNT(C132:P132)=0,"",IFERROR(K132/I132,0))</f>
        <v/>
      </c>
      <c r="AD132" s="18">
        <f>IF(COUNT(C132:P132)=0,"",IFERROR(L132/I132,0))</f>
        <v/>
      </c>
      <c r="AE132" s="18">
        <f>IF(COUNT(C132:P132)=0,"",IFERROR(P132/I132,0))</f>
        <v/>
      </c>
      <c r="AF132" s="20">
        <f>IF(COUNT(C132:P132)=0,"",IFERROR(I132*Config!$C$7+J132*Config!$C$8+K132*Config!$C$9+L132*Config!$C$10+M132*Config!$C$11+N132*Config!$C$12+O132*Config!$C$13+P132*Config!$C$14,0))</f>
        <v/>
      </c>
      <c r="AG132" s="15">
        <f>IF(COUNT(C132:P132)=0,"",IFERROR(AF132/I132,0))</f>
        <v/>
      </c>
      <c r="AH132" s="20">
        <f>IF(COUNT(C132:P132)=0,"",IFERROR(AF132*(1-Config!$C$15-Config!$C$16-Config!$C$17),0))</f>
        <v/>
      </c>
      <c r="AI132" s="20">
        <f>IF(COUNT(C132:P132)=0,"",IFERROR(AH132-C132-Config!$C$18,0))</f>
        <v/>
      </c>
      <c r="AJ132" s="21">
        <f>IF(COUNT(C132:P132)=0,"",IFERROR(AH132/C132,0))</f>
        <v/>
      </c>
      <c r="AK132" s="15">
        <f>IF(COUNT(C132:P132)=0,"",IFERROR(AI132/G132,0))</f>
        <v/>
      </c>
      <c r="AL132" s="21">
        <f>IF(COUNT(C132:P132)=0,"",IFERROR(AK132/V132,0))</f>
        <v/>
      </c>
      <c r="AM132" s="15">
        <f>IF(COUNT(C132:P132)=0,"",IFERROR(AI132/I132,0))</f>
        <v/>
      </c>
      <c r="AN132" s="15">
        <f>IF(COUNT(C132:P132)=0,"",IFERROR(AH132/I132-AA132,0))</f>
        <v/>
      </c>
    </row>
    <row r="133">
      <c r="A133" s="12">
        <f>Config!$C$6+127</f>
        <v/>
      </c>
      <c r="B133" s="13">
        <f>INT((A133-Config!$C$6)/7)+1</f>
        <v/>
      </c>
      <c r="C133" s="10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5">
        <f>IF(COUNT(C133:P133)=0,"",IFERROR(C133/D133*1000,0))</f>
        <v/>
      </c>
      <c r="R133" s="16">
        <f>IF(COUNT(C133:P133)=0,"",IFERROR(D133/E133,0))</f>
        <v/>
      </c>
      <c r="S133" s="17">
        <f>IF(COUNT(C133:P133)=0,"",IFERROR(F133/D133,0))</f>
        <v/>
      </c>
      <c r="T133" s="15">
        <f>IF(COUNT(C133:P133)=0,"",IFERROR(C133/F133,0))</f>
        <v/>
      </c>
      <c r="U133" s="18">
        <f>IF(COUNT(C133:P133)=0,"",IFERROR(G133/F133,0))</f>
        <v/>
      </c>
      <c r="V133" s="15">
        <f>IF(COUNT(C133:P133)=0,"",IFERROR(C133/G133,0))</f>
        <v/>
      </c>
      <c r="W133" s="19">
        <f>IF(COUNT(C133:P133)=0,"",IFERROR(G133/D133*1000,0))</f>
        <v/>
      </c>
      <c r="X133" s="18">
        <f>IF(COUNT(C133:P133)=0,"",IFERROR(H133/G133,0))</f>
        <v/>
      </c>
      <c r="Y133" s="18">
        <f>IF(COUNT(C133:P133)=0,"",IFERROR(I133/H133,0))</f>
        <v/>
      </c>
      <c r="Z133" s="17">
        <f>IF(COUNT(C133:P133)=0,"",IFERROR(I133/G133,0))</f>
        <v/>
      </c>
      <c r="AA133" s="15">
        <f>IF(COUNT(C133:P133)=0,"",IFERROR(C133/I133,0))</f>
        <v/>
      </c>
      <c r="AB133" s="18">
        <f>IF(COUNT(C133:P133)=0,"",IFERROR(J133/I133,0))</f>
        <v/>
      </c>
      <c r="AC133" s="18">
        <f>IF(COUNT(C133:P133)=0,"",IFERROR(K133/I133,0))</f>
        <v/>
      </c>
      <c r="AD133" s="18">
        <f>IF(COUNT(C133:P133)=0,"",IFERROR(L133/I133,0))</f>
        <v/>
      </c>
      <c r="AE133" s="18">
        <f>IF(COUNT(C133:P133)=0,"",IFERROR(P133/I133,0))</f>
        <v/>
      </c>
      <c r="AF133" s="20">
        <f>IF(COUNT(C133:P133)=0,"",IFERROR(I133*Config!$C$7+J133*Config!$C$8+K133*Config!$C$9+L133*Config!$C$10+M133*Config!$C$11+N133*Config!$C$12+O133*Config!$C$13+P133*Config!$C$14,0))</f>
        <v/>
      </c>
      <c r="AG133" s="15">
        <f>IF(COUNT(C133:P133)=0,"",IFERROR(AF133/I133,0))</f>
        <v/>
      </c>
      <c r="AH133" s="20">
        <f>IF(COUNT(C133:P133)=0,"",IFERROR(AF133*(1-Config!$C$15-Config!$C$16-Config!$C$17),0))</f>
        <v/>
      </c>
      <c r="AI133" s="20">
        <f>IF(COUNT(C133:P133)=0,"",IFERROR(AH133-C133-Config!$C$18,0))</f>
        <v/>
      </c>
      <c r="AJ133" s="21">
        <f>IF(COUNT(C133:P133)=0,"",IFERROR(AH133/C133,0))</f>
        <v/>
      </c>
      <c r="AK133" s="15">
        <f>IF(COUNT(C133:P133)=0,"",IFERROR(AI133/G133,0))</f>
        <v/>
      </c>
      <c r="AL133" s="21">
        <f>IF(COUNT(C133:P133)=0,"",IFERROR(AK133/V133,0))</f>
        <v/>
      </c>
      <c r="AM133" s="15">
        <f>IF(COUNT(C133:P133)=0,"",IFERROR(AI133/I133,0))</f>
        <v/>
      </c>
      <c r="AN133" s="15">
        <f>IF(COUNT(C133:P133)=0,"",IFERROR(AH133/I133-AA133,0))</f>
        <v/>
      </c>
    </row>
    <row r="134">
      <c r="A134" s="12">
        <f>Config!$C$6+128</f>
        <v/>
      </c>
      <c r="B134" s="13">
        <f>INT((A134-Config!$C$6)/7)+1</f>
        <v/>
      </c>
      <c r="C134" s="10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5">
        <f>IF(COUNT(C134:P134)=0,"",IFERROR(C134/D134*1000,0))</f>
        <v/>
      </c>
      <c r="R134" s="16">
        <f>IF(COUNT(C134:P134)=0,"",IFERROR(D134/E134,0))</f>
        <v/>
      </c>
      <c r="S134" s="17">
        <f>IF(COUNT(C134:P134)=0,"",IFERROR(F134/D134,0))</f>
        <v/>
      </c>
      <c r="T134" s="15">
        <f>IF(COUNT(C134:P134)=0,"",IFERROR(C134/F134,0))</f>
        <v/>
      </c>
      <c r="U134" s="18">
        <f>IF(COUNT(C134:P134)=0,"",IFERROR(G134/F134,0))</f>
        <v/>
      </c>
      <c r="V134" s="15">
        <f>IF(COUNT(C134:P134)=0,"",IFERROR(C134/G134,0))</f>
        <v/>
      </c>
      <c r="W134" s="19">
        <f>IF(COUNT(C134:P134)=0,"",IFERROR(G134/D134*1000,0))</f>
        <v/>
      </c>
      <c r="X134" s="18">
        <f>IF(COUNT(C134:P134)=0,"",IFERROR(H134/G134,0))</f>
        <v/>
      </c>
      <c r="Y134" s="18">
        <f>IF(COUNT(C134:P134)=0,"",IFERROR(I134/H134,0))</f>
        <v/>
      </c>
      <c r="Z134" s="17">
        <f>IF(COUNT(C134:P134)=0,"",IFERROR(I134/G134,0))</f>
        <v/>
      </c>
      <c r="AA134" s="15">
        <f>IF(COUNT(C134:P134)=0,"",IFERROR(C134/I134,0))</f>
        <v/>
      </c>
      <c r="AB134" s="18">
        <f>IF(COUNT(C134:P134)=0,"",IFERROR(J134/I134,0))</f>
        <v/>
      </c>
      <c r="AC134" s="18">
        <f>IF(COUNT(C134:P134)=0,"",IFERROR(K134/I134,0))</f>
        <v/>
      </c>
      <c r="AD134" s="18">
        <f>IF(COUNT(C134:P134)=0,"",IFERROR(L134/I134,0))</f>
        <v/>
      </c>
      <c r="AE134" s="18">
        <f>IF(COUNT(C134:P134)=0,"",IFERROR(P134/I134,0))</f>
        <v/>
      </c>
      <c r="AF134" s="20">
        <f>IF(COUNT(C134:P134)=0,"",IFERROR(I134*Config!$C$7+J134*Config!$C$8+K134*Config!$C$9+L134*Config!$C$10+M134*Config!$C$11+N134*Config!$C$12+O134*Config!$C$13+P134*Config!$C$14,0))</f>
        <v/>
      </c>
      <c r="AG134" s="15">
        <f>IF(COUNT(C134:P134)=0,"",IFERROR(AF134/I134,0))</f>
        <v/>
      </c>
      <c r="AH134" s="20">
        <f>IF(COUNT(C134:P134)=0,"",IFERROR(AF134*(1-Config!$C$15-Config!$C$16-Config!$C$17),0))</f>
        <v/>
      </c>
      <c r="AI134" s="20">
        <f>IF(COUNT(C134:P134)=0,"",IFERROR(AH134-C134-Config!$C$18,0))</f>
        <v/>
      </c>
      <c r="AJ134" s="21">
        <f>IF(COUNT(C134:P134)=0,"",IFERROR(AH134/C134,0))</f>
        <v/>
      </c>
      <c r="AK134" s="15">
        <f>IF(COUNT(C134:P134)=0,"",IFERROR(AI134/G134,0))</f>
        <v/>
      </c>
      <c r="AL134" s="21">
        <f>IF(COUNT(C134:P134)=0,"",IFERROR(AK134/V134,0))</f>
        <v/>
      </c>
      <c r="AM134" s="15">
        <f>IF(COUNT(C134:P134)=0,"",IFERROR(AI134/I134,0))</f>
        <v/>
      </c>
      <c r="AN134" s="15">
        <f>IF(COUNT(C134:P134)=0,"",IFERROR(AH134/I134-AA134,0))</f>
        <v/>
      </c>
    </row>
    <row r="135">
      <c r="A135" s="12">
        <f>Config!$C$6+129</f>
        <v/>
      </c>
      <c r="B135" s="13">
        <f>INT((A135-Config!$C$6)/7)+1</f>
        <v/>
      </c>
      <c r="C135" s="10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5">
        <f>IF(COUNT(C135:P135)=0,"",IFERROR(C135/D135*1000,0))</f>
        <v/>
      </c>
      <c r="R135" s="16">
        <f>IF(COUNT(C135:P135)=0,"",IFERROR(D135/E135,0))</f>
        <v/>
      </c>
      <c r="S135" s="17">
        <f>IF(COUNT(C135:P135)=0,"",IFERROR(F135/D135,0))</f>
        <v/>
      </c>
      <c r="T135" s="15">
        <f>IF(COUNT(C135:P135)=0,"",IFERROR(C135/F135,0))</f>
        <v/>
      </c>
      <c r="U135" s="18">
        <f>IF(COUNT(C135:P135)=0,"",IFERROR(G135/F135,0))</f>
        <v/>
      </c>
      <c r="V135" s="15">
        <f>IF(COUNT(C135:P135)=0,"",IFERROR(C135/G135,0))</f>
        <v/>
      </c>
      <c r="W135" s="19">
        <f>IF(COUNT(C135:P135)=0,"",IFERROR(G135/D135*1000,0))</f>
        <v/>
      </c>
      <c r="X135" s="18">
        <f>IF(COUNT(C135:P135)=0,"",IFERROR(H135/G135,0))</f>
        <v/>
      </c>
      <c r="Y135" s="18">
        <f>IF(COUNT(C135:P135)=0,"",IFERROR(I135/H135,0))</f>
        <v/>
      </c>
      <c r="Z135" s="17">
        <f>IF(COUNT(C135:P135)=0,"",IFERROR(I135/G135,0))</f>
        <v/>
      </c>
      <c r="AA135" s="15">
        <f>IF(COUNT(C135:P135)=0,"",IFERROR(C135/I135,0))</f>
        <v/>
      </c>
      <c r="AB135" s="18">
        <f>IF(COUNT(C135:P135)=0,"",IFERROR(J135/I135,0))</f>
        <v/>
      </c>
      <c r="AC135" s="18">
        <f>IF(COUNT(C135:P135)=0,"",IFERROR(K135/I135,0))</f>
        <v/>
      </c>
      <c r="AD135" s="18">
        <f>IF(COUNT(C135:P135)=0,"",IFERROR(L135/I135,0))</f>
        <v/>
      </c>
      <c r="AE135" s="18">
        <f>IF(COUNT(C135:P135)=0,"",IFERROR(P135/I135,0))</f>
        <v/>
      </c>
      <c r="AF135" s="20">
        <f>IF(COUNT(C135:P135)=0,"",IFERROR(I135*Config!$C$7+J135*Config!$C$8+K135*Config!$C$9+L135*Config!$C$10+M135*Config!$C$11+N135*Config!$C$12+O135*Config!$C$13+P135*Config!$C$14,0))</f>
        <v/>
      </c>
      <c r="AG135" s="15">
        <f>IF(COUNT(C135:P135)=0,"",IFERROR(AF135/I135,0))</f>
        <v/>
      </c>
      <c r="AH135" s="20">
        <f>IF(COUNT(C135:P135)=0,"",IFERROR(AF135*(1-Config!$C$15-Config!$C$16-Config!$C$17),0))</f>
        <v/>
      </c>
      <c r="AI135" s="20">
        <f>IF(COUNT(C135:P135)=0,"",IFERROR(AH135-C135-Config!$C$18,0))</f>
        <v/>
      </c>
      <c r="AJ135" s="21">
        <f>IF(COUNT(C135:P135)=0,"",IFERROR(AH135/C135,0))</f>
        <v/>
      </c>
      <c r="AK135" s="15">
        <f>IF(COUNT(C135:P135)=0,"",IFERROR(AI135/G135,0))</f>
        <v/>
      </c>
      <c r="AL135" s="21">
        <f>IF(COUNT(C135:P135)=0,"",IFERROR(AK135/V135,0))</f>
        <v/>
      </c>
      <c r="AM135" s="15">
        <f>IF(COUNT(C135:P135)=0,"",IFERROR(AI135/I135,0))</f>
        <v/>
      </c>
      <c r="AN135" s="15">
        <f>IF(COUNT(C135:P135)=0,"",IFERROR(AH135/I135-AA135,0))</f>
        <v/>
      </c>
    </row>
    <row r="136">
      <c r="A136" s="12">
        <f>Config!$C$6+130</f>
        <v/>
      </c>
      <c r="B136" s="13">
        <f>INT((A136-Config!$C$6)/7)+1</f>
        <v/>
      </c>
      <c r="C136" s="10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5">
        <f>IF(COUNT(C136:P136)=0,"",IFERROR(C136/D136*1000,0))</f>
        <v/>
      </c>
      <c r="R136" s="16">
        <f>IF(COUNT(C136:P136)=0,"",IFERROR(D136/E136,0))</f>
        <v/>
      </c>
      <c r="S136" s="17">
        <f>IF(COUNT(C136:P136)=0,"",IFERROR(F136/D136,0))</f>
        <v/>
      </c>
      <c r="T136" s="15">
        <f>IF(COUNT(C136:P136)=0,"",IFERROR(C136/F136,0))</f>
        <v/>
      </c>
      <c r="U136" s="18">
        <f>IF(COUNT(C136:P136)=0,"",IFERROR(G136/F136,0))</f>
        <v/>
      </c>
      <c r="V136" s="15">
        <f>IF(COUNT(C136:P136)=0,"",IFERROR(C136/G136,0))</f>
        <v/>
      </c>
      <c r="W136" s="19">
        <f>IF(COUNT(C136:P136)=0,"",IFERROR(G136/D136*1000,0))</f>
        <v/>
      </c>
      <c r="X136" s="18">
        <f>IF(COUNT(C136:P136)=0,"",IFERROR(H136/G136,0))</f>
        <v/>
      </c>
      <c r="Y136" s="18">
        <f>IF(COUNT(C136:P136)=0,"",IFERROR(I136/H136,0))</f>
        <v/>
      </c>
      <c r="Z136" s="17">
        <f>IF(COUNT(C136:P136)=0,"",IFERROR(I136/G136,0))</f>
        <v/>
      </c>
      <c r="AA136" s="15">
        <f>IF(COUNT(C136:P136)=0,"",IFERROR(C136/I136,0))</f>
        <v/>
      </c>
      <c r="AB136" s="18">
        <f>IF(COUNT(C136:P136)=0,"",IFERROR(J136/I136,0))</f>
        <v/>
      </c>
      <c r="AC136" s="18">
        <f>IF(COUNT(C136:P136)=0,"",IFERROR(K136/I136,0))</f>
        <v/>
      </c>
      <c r="AD136" s="18">
        <f>IF(COUNT(C136:P136)=0,"",IFERROR(L136/I136,0))</f>
        <v/>
      </c>
      <c r="AE136" s="18">
        <f>IF(COUNT(C136:P136)=0,"",IFERROR(P136/I136,0))</f>
        <v/>
      </c>
      <c r="AF136" s="20">
        <f>IF(COUNT(C136:P136)=0,"",IFERROR(I136*Config!$C$7+J136*Config!$C$8+K136*Config!$C$9+L136*Config!$C$10+M136*Config!$C$11+N136*Config!$C$12+O136*Config!$C$13+P136*Config!$C$14,0))</f>
        <v/>
      </c>
      <c r="AG136" s="15">
        <f>IF(COUNT(C136:P136)=0,"",IFERROR(AF136/I136,0))</f>
        <v/>
      </c>
      <c r="AH136" s="20">
        <f>IF(COUNT(C136:P136)=0,"",IFERROR(AF136*(1-Config!$C$15-Config!$C$16-Config!$C$17),0))</f>
        <v/>
      </c>
      <c r="AI136" s="20">
        <f>IF(COUNT(C136:P136)=0,"",IFERROR(AH136-C136-Config!$C$18,0))</f>
        <v/>
      </c>
      <c r="AJ136" s="21">
        <f>IF(COUNT(C136:P136)=0,"",IFERROR(AH136/C136,0))</f>
        <v/>
      </c>
      <c r="AK136" s="15">
        <f>IF(COUNT(C136:P136)=0,"",IFERROR(AI136/G136,0))</f>
        <v/>
      </c>
      <c r="AL136" s="21">
        <f>IF(COUNT(C136:P136)=0,"",IFERROR(AK136/V136,0))</f>
        <v/>
      </c>
      <c r="AM136" s="15">
        <f>IF(COUNT(C136:P136)=0,"",IFERROR(AI136/I136,0))</f>
        <v/>
      </c>
      <c r="AN136" s="15">
        <f>IF(COUNT(C136:P136)=0,"",IFERROR(AH136/I136-AA136,0))</f>
        <v/>
      </c>
    </row>
    <row r="137">
      <c r="A137" s="12">
        <f>Config!$C$6+131</f>
        <v/>
      </c>
      <c r="B137" s="13">
        <f>INT((A137-Config!$C$6)/7)+1</f>
        <v/>
      </c>
      <c r="C137" s="10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5">
        <f>IF(COUNT(C137:P137)=0,"",IFERROR(C137/D137*1000,0))</f>
        <v/>
      </c>
      <c r="R137" s="16">
        <f>IF(COUNT(C137:P137)=0,"",IFERROR(D137/E137,0))</f>
        <v/>
      </c>
      <c r="S137" s="17">
        <f>IF(COUNT(C137:P137)=0,"",IFERROR(F137/D137,0))</f>
        <v/>
      </c>
      <c r="T137" s="15">
        <f>IF(COUNT(C137:P137)=0,"",IFERROR(C137/F137,0))</f>
        <v/>
      </c>
      <c r="U137" s="18">
        <f>IF(COUNT(C137:P137)=0,"",IFERROR(G137/F137,0))</f>
        <v/>
      </c>
      <c r="V137" s="15">
        <f>IF(COUNT(C137:P137)=0,"",IFERROR(C137/G137,0))</f>
        <v/>
      </c>
      <c r="W137" s="19">
        <f>IF(COUNT(C137:P137)=0,"",IFERROR(G137/D137*1000,0))</f>
        <v/>
      </c>
      <c r="X137" s="18">
        <f>IF(COUNT(C137:P137)=0,"",IFERROR(H137/G137,0))</f>
        <v/>
      </c>
      <c r="Y137" s="18">
        <f>IF(COUNT(C137:P137)=0,"",IFERROR(I137/H137,0))</f>
        <v/>
      </c>
      <c r="Z137" s="17">
        <f>IF(COUNT(C137:P137)=0,"",IFERROR(I137/G137,0))</f>
        <v/>
      </c>
      <c r="AA137" s="15">
        <f>IF(COUNT(C137:P137)=0,"",IFERROR(C137/I137,0))</f>
        <v/>
      </c>
      <c r="AB137" s="18">
        <f>IF(COUNT(C137:P137)=0,"",IFERROR(J137/I137,0))</f>
        <v/>
      </c>
      <c r="AC137" s="18">
        <f>IF(COUNT(C137:P137)=0,"",IFERROR(K137/I137,0))</f>
        <v/>
      </c>
      <c r="AD137" s="18">
        <f>IF(COUNT(C137:P137)=0,"",IFERROR(L137/I137,0))</f>
        <v/>
      </c>
      <c r="AE137" s="18">
        <f>IF(COUNT(C137:P137)=0,"",IFERROR(P137/I137,0))</f>
        <v/>
      </c>
      <c r="AF137" s="20">
        <f>IF(COUNT(C137:P137)=0,"",IFERROR(I137*Config!$C$7+J137*Config!$C$8+K137*Config!$C$9+L137*Config!$C$10+M137*Config!$C$11+N137*Config!$C$12+O137*Config!$C$13+P137*Config!$C$14,0))</f>
        <v/>
      </c>
      <c r="AG137" s="15">
        <f>IF(COUNT(C137:P137)=0,"",IFERROR(AF137/I137,0))</f>
        <v/>
      </c>
      <c r="AH137" s="20">
        <f>IF(COUNT(C137:P137)=0,"",IFERROR(AF137*(1-Config!$C$15-Config!$C$16-Config!$C$17),0))</f>
        <v/>
      </c>
      <c r="AI137" s="20">
        <f>IF(COUNT(C137:P137)=0,"",IFERROR(AH137-C137-Config!$C$18,0))</f>
        <v/>
      </c>
      <c r="AJ137" s="21">
        <f>IF(COUNT(C137:P137)=0,"",IFERROR(AH137/C137,0))</f>
        <v/>
      </c>
      <c r="AK137" s="15">
        <f>IF(COUNT(C137:P137)=0,"",IFERROR(AI137/G137,0))</f>
        <v/>
      </c>
      <c r="AL137" s="21">
        <f>IF(COUNT(C137:P137)=0,"",IFERROR(AK137/V137,0))</f>
        <v/>
      </c>
      <c r="AM137" s="15">
        <f>IF(COUNT(C137:P137)=0,"",IFERROR(AI137/I137,0))</f>
        <v/>
      </c>
      <c r="AN137" s="15">
        <f>IF(COUNT(C137:P137)=0,"",IFERROR(AH137/I137-AA137,0))</f>
        <v/>
      </c>
    </row>
    <row r="138">
      <c r="A138" s="12">
        <f>Config!$C$6+132</f>
        <v/>
      </c>
      <c r="B138" s="13">
        <f>INT((A138-Config!$C$6)/7)+1</f>
        <v/>
      </c>
      <c r="C138" s="10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5">
        <f>IF(COUNT(C138:P138)=0,"",IFERROR(C138/D138*1000,0))</f>
        <v/>
      </c>
      <c r="R138" s="16">
        <f>IF(COUNT(C138:P138)=0,"",IFERROR(D138/E138,0))</f>
        <v/>
      </c>
      <c r="S138" s="17">
        <f>IF(COUNT(C138:P138)=0,"",IFERROR(F138/D138,0))</f>
        <v/>
      </c>
      <c r="T138" s="15">
        <f>IF(COUNT(C138:P138)=0,"",IFERROR(C138/F138,0))</f>
        <v/>
      </c>
      <c r="U138" s="18">
        <f>IF(COUNT(C138:P138)=0,"",IFERROR(G138/F138,0))</f>
        <v/>
      </c>
      <c r="V138" s="15">
        <f>IF(COUNT(C138:P138)=0,"",IFERROR(C138/G138,0))</f>
        <v/>
      </c>
      <c r="W138" s="19">
        <f>IF(COUNT(C138:P138)=0,"",IFERROR(G138/D138*1000,0))</f>
        <v/>
      </c>
      <c r="X138" s="18">
        <f>IF(COUNT(C138:P138)=0,"",IFERROR(H138/G138,0))</f>
        <v/>
      </c>
      <c r="Y138" s="18">
        <f>IF(COUNT(C138:P138)=0,"",IFERROR(I138/H138,0))</f>
        <v/>
      </c>
      <c r="Z138" s="17">
        <f>IF(COUNT(C138:P138)=0,"",IFERROR(I138/G138,0))</f>
        <v/>
      </c>
      <c r="AA138" s="15">
        <f>IF(COUNT(C138:P138)=0,"",IFERROR(C138/I138,0))</f>
        <v/>
      </c>
      <c r="AB138" s="18">
        <f>IF(COUNT(C138:P138)=0,"",IFERROR(J138/I138,0))</f>
        <v/>
      </c>
      <c r="AC138" s="18">
        <f>IF(COUNT(C138:P138)=0,"",IFERROR(K138/I138,0))</f>
        <v/>
      </c>
      <c r="AD138" s="18">
        <f>IF(COUNT(C138:P138)=0,"",IFERROR(L138/I138,0))</f>
        <v/>
      </c>
      <c r="AE138" s="18">
        <f>IF(COUNT(C138:P138)=0,"",IFERROR(P138/I138,0))</f>
        <v/>
      </c>
      <c r="AF138" s="20">
        <f>IF(COUNT(C138:P138)=0,"",IFERROR(I138*Config!$C$7+J138*Config!$C$8+K138*Config!$C$9+L138*Config!$C$10+M138*Config!$C$11+N138*Config!$C$12+O138*Config!$C$13+P138*Config!$C$14,0))</f>
        <v/>
      </c>
      <c r="AG138" s="15">
        <f>IF(COUNT(C138:P138)=0,"",IFERROR(AF138/I138,0))</f>
        <v/>
      </c>
      <c r="AH138" s="20">
        <f>IF(COUNT(C138:P138)=0,"",IFERROR(AF138*(1-Config!$C$15-Config!$C$16-Config!$C$17),0))</f>
        <v/>
      </c>
      <c r="AI138" s="20">
        <f>IF(COUNT(C138:P138)=0,"",IFERROR(AH138-C138-Config!$C$18,0))</f>
        <v/>
      </c>
      <c r="AJ138" s="21">
        <f>IF(COUNT(C138:P138)=0,"",IFERROR(AH138/C138,0))</f>
        <v/>
      </c>
      <c r="AK138" s="15">
        <f>IF(COUNT(C138:P138)=0,"",IFERROR(AI138/G138,0))</f>
        <v/>
      </c>
      <c r="AL138" s="21">
        <f>IF(COUNT(C138:P138)=0,"",IFERROR(AK138/V138,0))</f>
        <v/>
      </c>
      <c r="AM138" s="15">
        <f>IF(COUNT(C138:P138)=0,"",IFERROR(AI138/I138,0))</f>
        <v/>
      </c>
      <c r="AN138" s="15">
        <f>IF(COUNT(C138:P138)=0,"",IFERROR(AH138/I138-AA138,0))</f>
        <v/>
      </c>
    </row>
    <row r="139">
      <c r="A139" s="12">
        <f>Config!$C$6+133</f>
        <v/>
      </c>
      <c r="B139" s="13">
        <f>INT((A139-Config!$C$6)/7)+1</f>
        <v/>
      </c>
      <c r="C139" s="10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5">
        <f>IF(COUNT(C139:P139)=0,"",IFERROR(C139/D139*1000,0))</f>
        <v/>
      </c>
      <c r="R139" s="16">
        <f>IF(COUNT(C139:P139)=0,"",IFERROR(D139/E139,0))</f>
        <v/>
      </c>
      <c r="S139" s="17">
        <f>IF(COUNT(C139:P139)=0,"",IFERROR(F139/D139,0))</f>
        <v/>
      </c>
      <c r="T139" s="15">
        <f>IF(COUNT(C139:P139)=0,"",IFERROR(C139/F139,0))</f>
        <v/>
      </c>
      <c r="U139" s="18">
        <f>IF(COUNT(C139:P139)=0,"",IFERROR(G139/F139,0))</f>
        <v/>
      </c>
      <c r="V139" s="15">
        <f>IF(COUNT(C139:P139)=0,"",IFERROR(C139/G139,0))</f>
        <v/>
      </c>
      <c r="W139" s="19">
        <f>IF(COUNT(C139:P139)=0,"",IFERROR(G139/D139*1000,0))</f>
        <v/>
      </c>
      <c r="X139" s="18">
        <f>IF(COUNT(C139:P139)=0,"",IFERROR(H139/G139,0))</f>
        <v/>
      </c>
      <c r="Y139" s="18">
        <f>IF(COUNT(C139:P139)=0,"",IFERROR(I139/H139,0))</f>
        <v/>
      </c>
      <c r="Z139" s="17">
        <f>IF(COUNT(C139:P139)=0,"",IFERROR(I139/G139,0))</f>
        <v/>
      </c>
      <c r="AA139" s="15">
        <f>IF(COUNT(C139:P139)=0,"",IFERROR(C139/I139,0))</f>
        <v/>
      </c>
      <c r="AB139" s="18">
        <f>IF(COUNT(C139:P139)=0,"",IFERROR(J139/I139,0))</f>
        <v/>
      </c>
      <c r="AC139" s="18">
        <f>IF(COUNT(C139:P139)=0,"",IFERROR(K139/I139,0))</f>
        <v/>
      </c>
      <c r="AD139" s="18">
        <f>IF(COUNT(C139:P139)=0,"",IFERROR(L139/I139,0))</f>
        <v/>
      </c>
      <c r="AE139" s="18">
        <f>IF(COUNT(C139:P139)=0,"",IFERROR(P139/I139,0))</f>
        <v/>
      </c>
      <c r="AF139" s="20">
        <f>IF(COUNT(C139:P139)=0,"",IFERROR(I139*Config!$C$7+J139*Config!$C$8+K139*Config!$C$9+L139*Config!$C$10+M139*Config!$C$11+N139*Config!$C$12+O139*Config!$C$13+P139*Config!$C$14,0))</f>
        <v/>
      </c>
      <c r="AG139" s="15">
        <f>IF(COUNT(C139:P139)=0,"",IFERROR(AF139/I139,0))</f>
        <v/>
      </c>
      <c r="AH139" s="20">
        <f>IF(COUNT(C139:P139)=0,"",IFERROR(AF139*(1-Config!$C$15-Config!$C$16-Config!$C$17),0))</f>
        <v/>
      </c>
      <c r="AI139" s="20">
        <f>IF(COUNT(C139:P139)=0,"",IFERROR(AH139-C139-Config!$C$18,0))</f>
        <v/>
      </c>
      <c r="AJ139" s="21">
        <f>IF(COUNT(C139:P139)=0,"",IFERROR(AH139/C139,0))</f>
        <v/>
      </c>
      <c r="AK139" s="15">
        <f>IF(COUNT(C139:P139)=0,"",IFERROR(AI139/G139,0))</f>
        <v/>
      </c>
      <c r="AL139" s="21">
        <f>IF(COUNT(C139:P139)=0,"",IFERROR(AK139/V139,0))</f>
        <v/>
      </c>
      <c r="AM139" s="15">
        <f>IF(COUNT(C139:P139)=0,"",IFERROR(AI139/I139,0))</f>
        <v/>
      </c>
      <c r="AN139" s="15">
        <f>IF(COUNT(C139:P139)=0,"",IFERROR(AH139/I139-AA139,0))</f>
        <v/>
      </c>
    </row>
    <row r="140">
      <c r="A140" s="12">
        <f>Config!$C$6+134</f>
        <v/>
      </c>
      <c r="B140" s="13">
        <f>INT((A140-Config!$C$6)/7)+1</f>
        <v/>
      </c>
      <c r="C140" s="10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5">
        <f>IF(COUNT(C140:P140)=0,"",IFERROR(C140/D140*1000,0))</f>
        <v/>
      </c>
      <c r="R140" s="16">
        <f>IF(COUNT(C140:P140)=0,"",IFERROR(D140/E140,0))</f>
        <v/>
      </c>
      <c r="S140" s="17">
        <f>IF(COUNT(C140:P140)=0,"",IFERROR(F140/D140,0))</f>
        <v/>
      </c>
      <c r="T140" s="15">
        <f>IF(COUNT(C140:P140)=0,"",IFERROR(C140/F140,0))</f>
        <v/>
      </c>
      <c r="U140" s="18">
        <f>IF(COUNT(C140:P140)=0,"",IFERROR(G140/F140,0))</f>
        <v/>
      </c>
      <c r="V140" s="15">
        <f>IF(COUNT(C140:P140)=0,"",IFERROR(C140/G140,0))</f>
        <v/>
      </c>
      <c r="W140" s="19">
        <f>IF(COUNT(C140:P140)=0,"",IFERROR(G140/D140*1000,0))</f>
        <v/>
      </c>
      <c r="X140" s="18">
        <f>IF(COUNT(C140:P140)=0,"",IFERROR(H140/G140,0))</f>
        <v/>
      </c>
      <c r="Y140" s="18">
        <f>IF(COUNT(C140:P140)=0,"",IFERROR(I140/H140,0))</f>
        <v/>
      </c>
      <c r="Z140" s="17">
        <f>IF(COUNT(C140:P140)=0,"",IFERROR(I140/G140,0))</f>
        <v/>
      </c>
      <c r="AA140" s="15">
        <f>IF(COUNT(C140:P140)=0,"",IFERROR(C140/I140,0))</f>
        <v/>
      </c>
      <c r="AB140" s="18">
        <f>IF(COUNT(C140:P140)=0,"",IFERROR(J140/I140,0))</f>
        <v/>
      </c>
      <c r="AC140" s="18">
        <f>IF(COUNT(C140:P140)=0,"",IFERROR(K140/I140,0))</f>
        <v/>
      </c>
      <c r="AD140" s="18">
        <f>IF(COUNT(C140:P140)=0,"",IFERROR(L140/I140,0))</f>
        <v/>
      </c>
      <c r="AE140" s="18">
        <f>IF(COUNT(C140:P140)=0,"",IFERROR(P140/I140,0))</f>
        <v/>
      </c>
      <c r="AF140" s="20">
        <f>IF(COUNT(C140:P140)=0,"",IFERROR(I140*Config!$C$7+J140*Config!$C$8+K140*Config!$C$9+L140*Config!$C$10+M140*Config!$C$11+N140*Config!$C$12+O140*Config!$C$13+P140*Config!$C$14,0))</f>
        <v/>
      </c>
      <c r="AG140" s="15">
        <f>IF(COUNT(C140:P140)=0,"",IFERROR(AF140/I140,0))</f>
        <v/>
      </c>
      <c r="AH140" s="20">
        <f>IF(COUNT(C140:P140)=0,"",IFERROR(AF140*(1-Config!$C$15-Config!$C$16-Config!$C$17),0))</f>
        <v/>
      </c>
      <c r="AI140" s="20">
        <f>IF(COUNT(C140:P140)=0,"",IFERROR(AH140-C140-Config!$C$18,0))</f>
        <v/>
      </c>
      <c r="AJ140" s="21">
        <f>IF(COUNT(C140:P140)=0,"",IFERROR(AH140/C140,0))</f>
        <v/>
      </c>
      <c r="AK140" s="15">
        <f>IF(COUNT(C140:P140)=0,"",IFERROR(AI140/G140,0))</f>
        <v/>
      </c>
      <c r="AL140" s="21">
        <f>IF(COUNT(C140:P140)=0,"",IFERROR(AK140/V140,0))</f>
        <v/>
      </c>
      <c r="AM140" s="15">
        <f>IF(COUNT(C140:P140)=0,"",IFERROR(AI140/I140,0))</f>
        <v/>
      </c>
      <c r="AN140" s="15">
        <f>IF(COUNT(C140:P140)=0,"",IFERROR(AH140/I140-AA140,0))</f>
        <v/>
      </c>
    </row>
    <row r="141">
      <c r="A141" s="12">
        <f>Config!$C$6+135</f>
        <v/>
      </c>
      <c r="B141" s="13">
        <f>INT((A141-Config!$C$6)/7)+1</f>
        <v/>
      </c>
      <c r="C141" s="10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5">
        <f>IF(COUNT(C141:P141)=0,"",IFERROR(C141/D141*1000,0))</f>
        <v/>
      </c>
      <c r="R141" s="16">
        <f>IF(COUNT(C141:P141)=0,"",IFERROR(D141/E141,0))</f>
        <v/>
      </c>
      <c r="S141" s="17">
        <f>IF(COUNT(C141:P141)=0,"",IFERROR(F141/D141,0))</f>
        <v/>
      </c>
      <c r="T141" s="15">
        <f>IF(COUNT(C141:P141)=0,"",IFERROR(C141/F141,0))</f>
        <v/>
      </c>
      <c r="U141" s="18">
        <f>IF(COUNT(C141:P141)=0,"",IFERROR(G141/F141,0))</f>
        <v/>
      </c>
      <c r="V141" s="15">
        <f>IF(COUNT(C141:P141)=0,"",IFERROR(C141/G141,0))</f>
        <v/>
      </c>
      <c r="W141" s="19">
        <f>IF(COUNT(C141:P141)=0,"",IFERROR(G141/D141*1000,0))</f>
        <v/>
      </c>
      <c r="X141" s="18">
        <f>IF(COUNT(C141:P141)=0,"",IFERROR(H141/G141,0))</f>
        <v/>
      </c>
      <c r="Y141" s="18">
        <f>IF(COUNT(C141:P141)=0,"",IFERROR(I141/H141,0))</f>
        <v/>
      </c>
      <c r="Z141" s="17">
        <f>IF(COUNT(C141:P141)=0,"",IFERROR(I141/G141,0))</f>
        <v/>
      </c>
      <c r="AA141" s="15">
        <f>IF(COUNT(C141:P141)=0,"",IFERROR(C141/I141,0))</f>
        <v/>
      </c>
      <c r="AB141" s="18">
        <f>IF(COUNT(C141:P141)=0,"",IFERROR(J141/I141,0))</f>
        <v/>
      </c>
      <c r="AC141" s="18">
        <f>IF(COUNT(C141:P141)=0,"",IFERROR(K141/I141,0))</f>
        <v/>
      </c>
      <c r="AD141" s="18">
        <f>IF(COUNT(C141:P141)=0,"",IFERROR(L141/I141,0))</f>
        <v/>
      </c>
      <c r="AE141" s="18">
        <f>IF(COUNT(C141:P141)=0,"",IFERROR(P141/I141,0))</f>
        <v/>
      </c>
      <c r="AF141" s="20">
        <f>IF(COUNT(C141:P141)=0,"",IFERROR(I141*Config!$C$7+J141*Config!$C$8+K141*Config!$C$9+L141*Config!$C$10+M141*Config!$C$11+N141*Config!$C$12+O141*Config!$C$13+P141*Config!$C$14,0))</f>
        <v/>
      </c>
      <c r="AG141" s="15">
        <f>IF(COUNT(C141:P141)=0,"",IFERROR(AF141/I141,0))</f>
        <v/>
      </c>
      <c r="AH141" s="20">
        <f>IF(COUNT(C141:P141)=0,"",IFERROR(AF141*(1-Config!$C$15-Config!$C$16-Config!$C$17),0))</f>
        <v/>
      </c>
      <c r="AI141" s="20">
        <f>IF(COUNT(C141:P141)=0,"",IFERROR(AH141-C141-Config!$C$18,0))</f>
        <v/>
      </c>
      <c r="AJ141" s="21">
        <f>IF(COUNT(C141:P141)=0,"",IFERROR(AH141/C141,0))</f>
        <v/>
      </c>
      <c r="AK141" s="15">
        <f>IF(COUNT(C141:P141)=0,"",IFERROR(AI141/G141,0))</f>
        <v/>
      </c>
      <c r="AL141" s="21">
        <f>IF(COUNT(C141:P141)=0,"",IFERROR(AK141/V141,0))</f>
        <v/>
      </c>
      <c r="AM141" s="15">
        <f>IF(COUNT(C141:P141)=0,"",IFERROR(AI141/I141,0))</f>
        <v/>
      </c>
      <c r="AN141" s="15">
        <f>IF(COUNT(C141:P141)=0,"",IFERROR(AH141/I141-AA141,0))</f>
        <v/>
      </c>
    </row>
    <row r="142">
      <c r="A142" s="12">
        <f>Config!$C$6+136</f>
        <v/>
      </c>
      <c r="B142" s="13">
        <f>INT((A142-Config!$C$6)/7)+1</f>
        <v/>
      </c>
      <c r="C142" s="10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5">
        <f>IF(COUNT(C142:P142)=0,"",IFERROR(C142/D142*1000,0))</f>
        <v/>
      </c>
      <c r="R142" s="16">
        <f>IF(COUNT(C142:P142)=0,"",IFERROR(D142/E142,0))</f>
        <v/>
      </c>
      <c r="S142" s="17">
        <f>IF(COUNT(C142:P142)=0,"",IFERROR(F142/D142,0))</f>
        <v/>
      </c>
      <c r="T142" s="15">
        <f>IF(COUNT(C142:P142)=0,"",IFERROR(C142/F142,0))</f>
        <v/>
      </c>
      <c r="U142" s="18">
        <f>IF(COUNT(C142:P142)=0,"",IFERROR(G142/F142,0))</f>
        <v/>
      </c>
      <c r="V142" s="15">
        <f>IF(COUNT(C142:P142)=0,"",IFERROR(C142/G142,0))</f>
        <v/>
      </c>
      <c r="W142" s="19">
        <f>IF(COUNT(C142:P142)=0,"",IFERROR(G142/D142*1000,0))</f>
        <v/>
      </c>
      <c r="X142" s="18">
        <f>IF(COUNT(C142:P142)=0,"",IFERROR(H142/G142,0))</f>
        <v/>
      </c>
      <c r="Y142" s="18">
        <f>IF(COUNT(C142:P142)=0,"",IFERROR(I142/H142,0))</f>
        <v/>
      </c>
      <c r="Z142" s="17">
        <f>IF(COUNT(C142:P142)=0,"",IFERROR(I142/G142,0))</f>
        <v/>
      </c>
      <c r="AA142" s="15">
        <f>IF(COUNT(C142:P142)=0,"",IFERROR(C142/I142,0))</f>
        <v/>
      </c>
      <c r="AB142" s="18">
        <f>IF(COUNT(C142:P142)=0,"",IFERROR(J142/I142,0))</f>
        <v/>
      </c>
      <c r="AC142" s="18">
        <f>IF(COUNT(C142:P142)=0,"",IFERROR(K142/I142,0))</f>
        <v/>
      </c>
      <c r="AD142" s="18">
        <f>IF(COUNT(C142:P142)=0,"",IFERROR(L142/I142,0))</f>
        <v/>
      </c>
      <c r="AE142" s="18">
        <f>IF(COUNT(C142:P142)=0,"",IFERROR(P142/I142,0))</f>
        <v/>
      </c>
      <c r="AF142" s="20">
        <f>IF(COUNT(C142:P142)=0,"",IFERROR(I142*Config!$C$7+J142*Config!$C$8+K142*Config!$C$9+L142*Config!$C$10+M142*Config!$C$11+N142*Config!$C$12+O142*Config!$C$13+P142*Config!$C$14,0))</f>
        <v/>
      </c>
      <c r="AG142" s="15">
        <f>IF(COUNT(C142:P142)=0,"",IFERROR(AF142/I142,0))</f>
        <v/>
      </c>
      <c r="AH142" s="20">
        <f>IF(COUNT(C142:P142)=0,"",IFERROR(AF142*(1-Config!$C$15-Config!$C$16-Config!$C$17),0))</f>
        <v/>
      </c>
      <c r="AI142" s="20">
        <f>IF(COUNT(C142:P142)=0,"",IFERROR(AH142-C142-Config!$C$18,0))</f>
        <v/>
      </c>
      <c r="AJ142" s="21">
        <f>IF(COUNT(C142:P142)=0,"",IFERROR(AH142/C142,0))</f>
        <v/>
      </c>
      <c r="AK142" s="15">
        <f>IF(COUNT(C142:P142)=0,"",IFERROR(AI142/G142,0))</f>
        <v/>
      </c>
      <c r="AL142" s="21">
        <f>IF(COUNT(C142:P142)=0,"",IFERROR(AK142/V142,0))</f>
        <v/>
      </c>
      <c r="AM142" s="15">
        <f>IF(COUNT(C142:P142)=0,"",IFERROR(AI142/I142,0))</f>
        <v/>
      </c>
      <c r="AN142" s="15">
        <f>IF(COUNT(C142:P142)=0,"",IFERROR(AH142/I142-AA142,0))</f>
        <v/>
      </c>
    </row>
    <row r="143">
      <c r="A143" s="12">
        <f>Config!$C$6+137</f>
        <v/>
      </c>
      <c r="B143" s="13">
        <f>INT((A143-Config!$C$6)/7)+1</f>
        <v/>
      </c>
      <c r="C143" s="10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5">
        <f>IF(COUNT(C143:P143)=0,"",IFERROR(C143/D143*1000,0))</f>
        <v/>
      </c>
      <c r="R143" s="16">
        <f>IF(COUNT(C143:P143)=0,"",IFERROR(D143/E143,0))</f>
        <v/>
      </c>
      <c r="S143" s="17">
        <f>IF(COUNT(C143:P143)=0,"",IFERROR(F143/D143,0))</f>
        <v/>
      </c>
      <c r="T143" s="15">
        <f>IF(COUNT(C143:P143)=0,"",IFERROR(C143/F143,0))</f>
        <v/>
      </c>
      <c r="U143" s="18">
        <f>IF(COUNT(C143:P143)=0,"",IFERROR(G143/F143,0))</f>
        <v/>
      </c>
      <c r="V143" s="15">
        <f>IF(COUNT(C143:P143)=0,"",IFERROR(C143/G143,0))</f>
        <v/>
      </c>
      <c r="W143" s="19">
        <f>IF(COUNT(C143:P143)=0,"",IFERROR(G143/D143*1000,0))</f>
        <v/>
      </c>
      <c r="X143" s="18">
        <f>IF(COUNT(C143:P143)=0,"",IFERROR(H143/G143,0))</f>
        <v/>
      </c>
      <c r="Y143" s="18">
        <f>IF(COUNT(C143:P143)=0,"",IFERROR(I143/H143,0))</f>
        <v/>
      </c>
      <c r="Z143" s="17">
        <f>IF(COUNT(C143:P143)=0,"",IFERROR(I143/G143,0))</f>
        <v/>
      </c>
      <c r="AA143" s="15">
        <f>IF(COUNT(C143:P143)=0,"",IFERROR(C143/I143,0))</f>
        <v/>
      </c>
      <c r="AB143" s="18">
        <f>IF(COUNT(C143:P143)=0,"",IFERROR(J143/I143,0))</f>
        <v/>
      </c>
      <c r="AC143" s="18">
        <f>IF(COUNT(C143:P143)=0,"",IFERROR(K143/I143,0))</f>
        <v/>
      </c>
      <c r="AD143" s="18">
        <f>IF(COUNT(C143:P143)=0,"",IFERROR(L143/I143,0))</f>
        <v/>
      </c>
      <c r="AE143" s="18">
        <f>IF(COUNT(C143:P143)=0,"",IFERROR(P143/I143,0))</f>
        <v/>
      </c>
      <c r="AF143" s="20">
        <f>IF(COUNT(C143:P143)=0,"",IFERROR(I143*Config!$C$7+J143*Config!$C$8+K143*Config!$C$9+L143*Config!$C$10+M143*Config!$C$11+N143*Config!$C$12+O143*Config!$C$13+P143*Config!$C$14,0))</f>
        <v/>
      </c>
      <c r="AG143" s="15">
        <f>IF(COUNT(C143:P143)=0,"",IFERROR(AF143/I143,0))</f>
        <v/>
      </c>
      <c r="AH143" s="20">
        <f>IF(COUNT(C143:P143)=0,"",IFERROR(AF143*(1-Config!$C$15-Config!$C$16-Config!$C$17),0))</f>
        <v/>
      </c>
      <c r="AI143" s="20">
        <f>IF(COUNT(C143:P143)=0,"",IFERROR(AH143-C143-Config!$C$18,0))</f>
        <v/>
      </c>
      <c r="AJ143" s="21">
        <f>IF(COUNT(C143:P143)=0,"",IFERROR(AH143/C143,0))</f>
        <v/>
      </c>
      <c r="AK143" s="15">
        <f>IF(COUNT(C143:P143)=0,"",IFERROR(AI143/G143,0))</f>
        <v/>
      </c>
      <c r="AL143" s="21">
        <f>IF(COUNT(C143:P143)=0,"",IFERROR(AK143/V143,0))</f>
        <v/>
      </c>
      <c r="AM143" s="15">
        <f>IF(COUNT(C143:P143)=0,"",IFERROR(AI143/I143,0))</f>
        <v/>
      </c>
      <c r="AN143" s="15">
        <f>IF(COUNT(C143:P143)=0,"",IFERROR(AH143/I143-AA143,0))</f>
        <v/>
      </c>
    </row>
    <row r="144">
      <c r="A144" s="12">
        <f>Config!$C$6+138</f>
        <v/>
      </c>
      <c r="B144" s="13">
        <f>INT((A144-Config!$C$6)/7)+1</f>
        <v/>
      </c>
      <c r="C144" s="10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5">
        <f>IF(COUNT(C144:P144)=0,"",IFERROR(C144/D144*1000,0))</f>
        <v/>
      </c>
      <c r="R144" s="16">
        <f>IF(COUNT(C144:P144)=0,"",IFERROR(D144/E144,0))</f>
        <v/>
      </c>
      <c r="S144" s="17">
        <f>IF(COUNT(C144:P144)=0,"",IFERROR(F144/D144,0))</f>
        <v/>
      </c>
      <c r="T144" s="15">
        <f>IF(COUNT(C144:P144)=0,"",IFERROR(C144/F144,0))</f>
        <v/>
      </c>
      <c r="U144" s="18">
        <f>IF(COUNT(C144:P144)=0,"",IFERROR(G144/F144,0))</f>
        <v/>
      </c>
      <c r="V144" s="15">
        <f>IF(COUNT(C144:P144)=0,"",IFERROR(C144/G144,0))</f>
        <v/>
      </c>
      <c r="W144" s="19">
        <f>IF(COUNT(C144:P144)=0,"",IFERROR(G144/D144*1000,0))</f>
        <v/>
      </c>
      <c r="X144" s="18">
        <f>IF(COUNT(C144:P144)=0,"",IFERROR(H144/G144,0))</f>
        <v/>
      </c>
      <c r="Y144" s="18">
        <f>IF(COUNT(C144:P144)=0,"",IFERROR(I144/H144,0))</f>
        <v/>
      </c>
      <c r="Z144" s="17">
        <f>IF(COUNT(C144:P144)=0,"",IFERROR(I144/G144,0))</f>
        <v/>
      </c>
      <c r="AA144" s="15">
        <f>IF(COUNT(C144:P144)=0,"",IFERROR(C144/I144,0))</f>
        <v/>
      </c>
      <c r="AB144" s="18">
        <f>IF(COUNT(C144:P144)=0,"",IFERROR(J144/I144,0))</f>
        <v/>
      </c>
      <c r="AC144" s="18">
        <f>IF(COUNT(C144:P144)=0,"",IFERROR(K144/I144,0))</f>
        <v/>
      </c>
      <c r="AD144" s="18">
        <f>IF(COUNT(C144:P144)=0,"",IFERROR(L144/I144,0))</f>
        <v/>
      </c>
      <c r="AE144" s="18">
        <f>IF(COUNT(C144:P144)=0,"",IFERROR(P144/I144,0))</f>
        <v/>
      </c>
      <c r="AF144" s="20">
        <f>IF(COUNT(C144:P144)=0,"",IFERROR(I144*Config!$C$7+J144*Config!$C$8+K144*Config!$C$9+L144*Config!$C$10+M144*Config!$C$11+N144*Config!$C$12+O144*Config!$C$13+P144*Config!$C$14,0))</f>
        <v/>
      </c>
      <c r="AG144" s="15">
        <f>IF(COUNT(C144:P144)=0,"",IFERROR(AF144/I144,0))</f>
        <v/>
      </c>
      <c r="AH144" s="20">
        <f>IF(COUNT(C144:P144)=0,"",IFERROR(AF144*(1-Config!$C$15-Config!$C$16-Config!$C$17),0))</f>
        <v/>
      </c>
      <c r="AI144" s="20">
        <f>IF(COUNT(C144:P144)=0,"",IFERROR(AH144-C144-Config!$C$18,0))</f>
        <v/>
      </c>
      <c r="AJ144" s="21">
        <f>IF(COUNT(C144:P144)=0,"",IFERROR(AH144/C144,0))</f>
        <v/>
      </c>
      <c r="AK144" s="15">
        <f>IF(COUNT(C144:P144)=0,"",IFERROR(AI144/G144,0))</f>
        <v/>
      </c>
      <c r="AL144" s="21">
        <f>IF(COUNT(C144:P144)=0,"",IFERROR(AK144/V144,0))</f>
        <v/>
      </c>
      <c r="AM144" s="15">
        <f>IF(COUNT(C144:P144)=0,"",IFERROR(AI144/I144,0))</f>
        <v/>
      </c>
      <c r="AN144" s="15">
        <f>IF(COUNT(C144:P144)=0,"",IFERROR(AH144/I144-AA144,0))</f>
        <v/>
      </c>
    </row>
    <row r="145">
      <c r="A145" s="12">
        <f>Config!$C$6+139</f>
        <v/>
      </c>
      <c r="B145" s="13">
        <f>INT((A145-Config!$C$6)/7)+1</f>
        <v/>
      </c>
      <c r="C145" s="10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5">
        <f>IF(COUNT(C145:P145)=0,"",IFERROR(C145/D145*1000,0))</f>
        <v/>
      </c>
      <c r="R145" s="16">
        <f>IF(COUNT(C145:P145)=0,"",IFERROR(D145/E145,0))</f>
        <v/>
      </c>
      <c r="S145" s="17">
        <f>IF(COUNT(C145:P145)=0,"",IFERROR(F145/D145,0))</f>
        <v/>
      </c>
      <c r="T145" s="15">
        <f>IF(COUNT(C145:P145)=0,"",IFERROR(C145/F145,0))</f>
        <v/>
      </c>
      <c r="U145" s="18">
        <f>IF(COUNT(C145:P145)=0,"",IFERROR(G145/F145,0))</f>
        <v/>
      </c>
      <c r="V145" s="15">
        <f>IF(COUNT(C145:P145)=0,"",IFERROR(C145/G145,0))</f>
        <v/>
      </c>
      <c r="W145" s="19">
        <f>IF(COUNT(C145:P145)=0,"",IFERROR(G145/D145*1000,0))</f>
        <v/>
      </c>
      <c r="X145" s="18">
        <f>IF(COUNT(C145:P145)=0,"",IFERROR(H145/G145,0))</f>
        <v/>
      </c>
      <c r="Y145" s="18">
        <f>IF(COUNT(C145:P145)=0,"",IFERROR(I145/H145,0))</f>
        <v/>
      </c>
      <c r="Z145" s="17">
        <f>IF(COUNT(C145:P145)=0,"",IFERROR(I145/G145,0))</f>
        <v/>
      </c>
      <c r="AA145" s="15">
        <f>IF(COUNT(C145:P145)=0,"",IFERROR(C145/I145,0))</f>
        <v/>
      </c>
      <c r="AB145" s="18">
        <f>IF(COUNT(C145:P145)=0,"",IFERROR(J145/I145,0))</f>
        <v/>
      </c>
      <c r="AC145" s="18">
        <f>IF(COUNT(C145:P145)=0,"",IFERROR(K145/I145,0))</f>
        <v/>
      </c>
      <c r="AD145" s="18">
        <f>IF(COUNT(C145:P145)=0,"",IFERROR(L145/I145,0))</f>
        <v/>
      </c>
      <c r="AE145" s="18">
        <f>IF(COUNT(C145:P145)=0,"",IFERROR(P145/I145,0))</f>
        <v/>
      </c>
      <c r="AF145" s="20">
        <f>IF(COUNT(C145:P145)=0,"",IFERROR(I145*Config!$C$7+J145*Config!$C$8+K145*Config!$C$9+L145*Config!$C$10+M145*Config!$C$11+N145*Config!$C$12+O145*Config!$C$13+P145*Config!$C$14,0))</f>
        <v/>
      </c>
      <c r="AG145" s="15">
        <f>IF(COUNT(C145:P145)=0,"",IFERROR(AF145/I145,0))</f>
        <v/>
      </c>
      <c r="AH145" s="20">
        <f>IF(COUNT(C145:P145)=0,"",IFERROR(AF145*(1-Config!$C$15-Config!$C$16-Config!$C$17),0))</f>
        <v/>
      </c>
      <c r="AI145" s="20">
        <f>IF(COUNT(C145:P145)=0,"",IFERROR(AH145-C145-Config!$C$18,0))</f>
        <v/>
      </c>
      <c r="AJ145" s="21">
        <f>IF(COUNT(C145:P145)=0,"",IFERROR(AH145/C145,0))</f>
        <v/>
      </c>
      <c r="AK145" s="15">
        <f>IF(COUNT(C145:P145)=0,"",IFERROR(AI145/G145,0))</f>
        <v/>
      </c>
      <c r="AL145" s="21">
        <f>IF(COUNT(C145:P145)=0,"",IFERROR(AK145/V145,0))</f>
        <v/>
      </c>
      <c r="AM145" s="15">
        <f>IF(COUNT(C145:P145)=0,"",IFERROR(AI145/I145,0))</f>
        <v/>
      </c>
      <c r="AN145" s="15">
        <f>IF(COUNT(C145:P145)=0,"",IFERROR(AH145/I145-AA145,0))</f>
        <v/>
      </c>
    </row>
    <row r="146">
      <c r="A146" s="12">
        <f>Config!$C$6+140</f>
        <v/>
      </c>
      <c r="B146" s="13">
        <f>INT((A146-Config!$C$6)/7)+1</f>
        <v/>
      </c>
      <c r="C146" s="10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5">
        <f>IF(COUNT(C146:P146)=0,"",IFERROR(C146/D146*1000,0))</f>
        <v/>
      </c>
      <c r="R146" s="16">
        <f>IF(COUNT(C146:P146)=0,"",IFERROR(D146/E146,0))</f>
        <v/>
      </c>
      <c r="S146" s="17">
        <f>IF(COUNT(C146:P146)=0,"",IFERROR(F146/D146,0))</f>
        <v/>
      </c>
      <c r="T146" s="15">
        <f>IF(COUNT(C146:P146)=0,"",IFERROR(C146/F146,0))</f>
        <v/>
      </c>
      <c r="U146" s="18">
        <f>IF(COUNT(C146:P146)=0,"",IFERROR(G146/F146,0))</f>
        <v/>
      </c>
      <c r="V146" s="15">
        <f>IF(COUNT(C146:P146)=0,"",IFERROR(C146/G146,0))</f>
        <v/>
      </c>
      <c r="W146" s="19">
        <f>IF(COUNT(C146:P146)=0,"",IFERROR(G146/D146*1000,0))</f>
        <v/>
      </c>
      <c r="X146" s="18">
        <f>IF(COUNT(C146:P146)=0,"",IFERROR(H146/G146,0))</f>
        <v/>
      </c>
      <c r="Y146" s="18">
        <f>IF(COUNT(C146:P146)=0,"",IFERROR(I146/H146,0))</f>
        <v/>
      </c>
      <c r="Z146" s="17">
        <f>IF(COUNT(C146:P146)=0,"",IFERROR(I146/G146,0))</f>
        <v/>
      </c>
      <c r="AA146" s="15">
        <f>IF(COUNT(C146:P146)=0,"",IFERROR(C146/I146,0))</f>
        <v/>
      </c>
      <c r="AB146" s="18">
        <f>IF(COUNT(C146:P146)=0,"",IFERROR(J146/I146,0))</f>
        <v/>
      </c>
      <c r="AC146" s="18">
        <f>IF(COUNT(C146:P146)=0,"",IFERROR(K146/I146,0))</f>
        <v/>
      </c>
      <c r="AD146" s="18">
        <f>IF(COUNT(C146:P146)=0,"",IFERROR(L146/I146,0))</f>
        <v/>
      </c>
      <c r="AE146" s="18">
        <f>IF(COUNT(C146:P146)=0,"",IFERROR(P146/I146,0))</f>
        <v/>
      </c>
      <c r="AF146" s="20">
        <f>IF(COUNT(C146:P146)=0,"",IFERROR(I146*Config!$C$7+J146*Config!$C$8+K146*Config!$C$9+L146*Config!$C$10+M146*Config!$C$11+N146*Config!$C$12+O146*Config!$C$13+P146*Config!$C$14,0))</f>
        <v/>
      </c>
      <c r="AG146" s="15">
        <f>IF(COUNT(C146:P146)=0,"",IFERROR(AF146/I146,0))</f>
        <v/>
      </c>
      <c r="AH146" s="20">
        <f>IF(COUNT(C146:P146)=0,"",IFERROR(AF146*(1-Config!$C$15-Config!$C$16-Config!$C$17),0))</f>
        <v/>
      </c>
      <c r="AI146" s="20">
        <f>IF(COUNT(C146:P146)=0,"",IFERROR(AH146-C146-Config!$C$18,0))</f>
        <v/>
      </c>
      <c r="AJ146" s="21">
        <f>IF(COUNT(C146:P146)=0,"",IFERROR(AH146/C146,0))</f>
        <v/>
      </c>
      <c r="AK146" s="15">
        <f>IF(COUNT(C146:P146)=0,"",IFERROR(AI146/G146,0))</f>
        <v/>
      </c>
      <c r="AL146" s="21">
        <f>IF(COUNT(C146:P146)=0,"",IFERROR(AK146/V146,0))</f>
        <v/>
      </c>
      <c r="AM146" s="15">
        <f>IF(COUNT(C146:P146)=0,"",IFERROR(AI146/I146,0))</f>
        <v/>
      </c>
      <c r="AN146" s="15">
        <f>IF(COUNT(C146:P146)=0,"",IFERROR(AH146/I146-AA146,0))</f>
        <v/>
      </c>
    </row>
    <row r="147">
      <c r="A147" s="12">
        <f>Config!$C$6+141</f>
        <v/>
      </c>
      <c r="B147" s="13">
        <f>INT((A147-Config!$C$6)/7)+1</f>
        <v/>
      </c>
      <c r="C147" s="10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5">
        <f>IF(COUNT(C147:P147)=0,"",IFERROR(C147/D147*1000,0))</f>
        <v/>
      </c>
      <c r="R147" s="16">
        <f>IF(COUNT(C147:P147)=0,"",IFERROR(D147/E147,0))</f>
        <v/>
      </c>
      <c r="S147" s="17">
        <f>IF(COUNT(C147:P147)=0,"",IFERROR(F147/D147,0))</f>
        <v/>
      </c>
      <c r="T147" s="15">
        <f>IF(COUNT(C147:P147)=0,"",IFERROR(C147/F147,0))</f>
        <v/>
      </c>
      <c r="U147" s="18">
        <f>IF(COUNT(C147:P147)=0,"",IFERROR(G147/F147,0))</f>
        <v/>
      </c>
      <c r="V147" s="15">
        <f>IF(COUNT(C147:P147)=0,"",IFERROR(C147/G147,0))</f>
        <v/>
      </c>
      <c r="W147" s="19">
        <f>IF(COUNT(C147:P147)=0,"",IFERROR(G147/D147*1000,0))</f>
        <v/>
      </c>
      <c r="X147" s="18">
        <f>IF(COUNT(C147:P147)=0,"",IFERROR(H147/G147,0))</f>
        <v/>
      </c>
      <c r="Y147" s="18">
        <f>IF(COUNT(C147:P147)=0,"",IFERROR(I147/H147,0))</f>
        <v/>
      </c>
      <c r="Z147" s="17">
        <f>IF(COUNT(C147:P147)=0,"",IFERROR(I147/G147,0))</f>
        <v/>
      </c>
      <c r="AA147" s="15">
        <f>IF(COUNT(C147:P147)=0,"",IFERROR(C147/I147,0))</f>
        <v/>
      </c>
      <c r="AB147" s="18">
        <f>IF(COUNT(C147:P147)=0,"",IFERROR(J147/I147,0))</f>
        <v/>
      </c>
      <c r="AC147" s="18">
        <f>IF(COUNT(C147:P147)=0,"",IFERROR(K147/I147,0))</f>
        <v/>
      </c>
      <c r="AD147" s="18">
        <f>IF(COUNT(C147:P147)=0,"",IFERROR(L147/I147,0))</f>
        <v/>
      </c>
      <c r="AE147" s="18">
        <f>IF(COUNT(C147:P147)=0,"",IFERROR(P147/I147,0))</f>
        <v/>
      </c>
      <c r="AF147" s="20">
        <f>IF(COUNT(C147:P147)=0,"",IFERROR(I147*Config!$C$7+J147*Config!$C$8+K147*Config!$C$9+L147*Config!$C$10+M147*Config!$C$11+N147*Config!$C$12+O147*Config!$C$13+P147*Config!$C$14,0))</f>
        <v/>
      </c>
      <c r="AG147" s="15">
        <f>IF(COUNT(C147:P147)=0,"",IFERROR(AF147/I147,0))</f>
        <v/>
      </c>
      <c r="AH147" s="20">
        <f>IF(COUNT(C147:P147)=0,"",IFERROR(AF147*(1-Config!$C$15-Config!$C$16-Config!$C$17),0))</f>
        <v/>
      </c>
      <c r="AI147" s="20">
        <f>IF(COUNT(C147:P147)=0,"",IFERROR(AH147-C147-Config!$C$18,0))</f>
        <v/>
      </c>
      <c r="AJ147" s="21">
        <f>IF(COUNT(C147:P147)=0,"",IFERROR(AH147/C147,0))</f>
        <v/>
      </c>
      <c r="AK147" s="15">
        <f>IF(COUNT(C147:P147)=0,"",IFERROR(AI147/G147,0))</f>
        <v/>
      </c>
      <c r="AL147" s="21">
        <f>IF(COUNT(C147:P147)=0,"",IFERROR(AK147/V147,0))</f>
        <v/>
      </c>
      <c r="AM147" s="15">
        <f>IF(COUNT(C147:P147)=0,"",IFERROR(AI147/I147,0))</f>
        <v/>
      </c>
      <c r="AN147" s="15">
        <f>IF(COUNT(C147:P147)=0,"",IFERROR(AH147/I147-AA147,0))</f>
        <v/>
      </c>
    </row>
    <row r="148">
      <c r="A148" s="12">
        <f>Config!$C$6+142</f>
        <v/>
      </c>
      <c r="B148" s="13">
        <f>INT((A148-Config!$C$6)/7)+1</f>
        <v/>
      </c>
      <c r="C148" s="10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5">
        <f>IF(COUNT(C148:P148)=0,"",IFERROR(C148/D148*1000,0))</f>
        <v/>
      </c>
      <c r="R148" s="16">
        <f>IF(COUNT(C148:P148)=0,"",IFERROR(D148/E148,0))</f>
        <v/>
      </c>
      <c r="S148" s="17">
        <f>IF(COUNT(C148:P148)=0,"",IFERROR(F148/D148,0))</f>
        <v/>
      </c>
      <c r="T148" s="15">
        <f>IF(COUNT(C148:P148)=0,"",IFERROR(C148/F148,0))</f>
        <v/>
      </c>
      <c r="U148" s="18">
        <f>IF(COUNT(C148:P148)=0,"",IFERROR(G148/F148,0))</f>
        <v/>
      </c>
      <c r="V148" s="15">
        <f>IF(COUNT(C148:P148)=0,"",IFERROR(C148/G148,0))</f>
        <v/>
      </c>
      <c r="W148" s="19">
        <f>IF(COUNT(C148:P148)=0,"",IFERROR(G148/D148*1000,0))</f>
        <v/>
      </c>
      <c r="X148" s="18">
        <f>IF(COUNT(C148:P148)=0,"",IFERROR(H148/G148,0))</f>
        <v/>
      </c>
      <c r="Y148" s="18">
        <f>IF(COUNT(C148:P148)=0,"",IFERROR(I148/H148,0))</f>
        <v/>
      </c>
      <c r="Z148" s="17">
        <f>IF(COUNT(C148:P148)=0,"",IFERROR(I148/G148,0))</f>
        <v/>
      </c>
      <c r="AA148" s="15">
        <f>IF(COUNT(C148:P148)=0,"",IFERROR(C148/I148,0))</f>
        <v/>
      </c>
      <c r="AB148" s="18">
        <f>IF(COUNT(C148:P148)=0,"",IFERROR(J148/I148,0))</f>
        <v/>
      </c>
      <c r="AC148" s="18">
        <f>IF(COUNT(C148:P148)=0,"",IFERROR(K148/I148,0))</f>
        <v/>
      </c>
      <c r="AD148" s="18">
        <f>IF(COUNT(C148:P148)=0,"",IFERROR(L148/I148,0))</f>
        <v/>
      </c>
      <c r="AE148" s="18">
        <f>IF(COUNT(C148:P148)=0,"",IFERROR(P148/I148,0))</f>
        <v/>
      </c>
      <c r="AF148" s="20">
        <f>IF(COUNT(C148:P148)=0,"",IFERROR(I148*Config!$C$7+J148*Config!$C$8+K148*Config!$C$9+L148*Config!$C$10+M148*Config!$C$11+N148*Config!$C$12+O148*Config!$C$13+P148*Config!$C$14,0))</f>
        <v/>
      </c>
      <c r="AG148" s="15">
        <f>IF(COUNT(C148:P148)=0,"",IFERROR(AF148/I148,0))</f>
        <v/>
      </c>
      <c r="AH148" s="20">
        <f>IF(COUNT(C148:P148)=0,"",IFERROR(AF148*(1-Config!$C$15-Config!$C$16-Config!$C$17),0))</f>
        <v/>
      </c>
      <c r="AI148" s="20">
        <f>IF(COUNT(C148:P148)=0,"",IFERROR(AH148-C148-Config!$C$18,0))</f>
        <v/>
      </c>
      <c r="AJ148" s="21">
        <f>IF(COUNT(C148:P148)=0,"",IFERROR(AH148/C148,0))</f>
        <v/>
      </c>
      <c r="AK148" s="15">
        <f>IF(COUNT(C148:P148)=0,"",IFERROR(AI148/G148,0))</f>
        <v/>
      </c>
      <c r="AL148" s="21">
        <f>IF(COUNT(C148:P148)=0,"",IFERROR(AK148/V148,0))</f>
        <v/>
      </c>
      <c r="AM148" s="15">
        <f>IF(COUNT(C148:P148)=0,"",IFERROR(AI148/I148,0))</f>
        <v/>
      </c>
      <c r="AN148" s="15">
        <f>IF(COUNT(C148:P148)=0,"",IFERROR(AH148/I148-AA148,0))</f>
        <v/>
      </c>
    </row>
    <row r="149">
      <c r="A149" s="12">
        <f>Config!$C$6+143</f>
        <v/>
      </c>
      <c r="B149" s="13">
        <f>INT((A149-Config!$C$6)/7)+1</f>
        <v/>
      </c>
      <c r="C149" s="10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5">
        <f>IF(COUNT(C149:P149)=0,"",IFERROR(C149/D149*1000,0))</f>
        <v/>
      </c>
      <c r="R149" s="16">
        <f>IF(COUNT(C149:P149)=0,"",IFERROR(D149/E149,0))</f>
        <v/>
      </c>
      <c r="S149" s="17">
        <f>IF(COUNT(C149:P149)=0,"",IFERROR(F149/D149,0))</f>
        <v/>
      </c>
      <c r="T149" s="15">
        <f>IF(COUNT(C149:P149)=0,"",IFERROR(C149/F149,0))</f>
        <v/>
      </c>
      <c r="U149" s="18">
        <f>IF(COUNT(C149:P149)=0,"",IFERROR(G149/F149,0))</f>
        <v/>
      </c>
      <c r="V149" s="15">
        <f>IF(COUNT(C149:P149)=0,"",IFERROR(C149/G149,0))</f>
        <v/>
      </c>
      <c r="W149" s="19">
        <f>IF(COUNT(C149:P149)=0,"",IFERROR(G149/D149*1000,0))</f>
        <v/>
      </c>
      <c r="X149" s="18">
        <f>IF(COUNT(C149:P149)=0,"",IFERROR(H149/G149,0))</f>
        <v/>
      </c>
      <c r="Y149" s="18">
        <f>IF(COUNT(C149:P149)=0,"",IFERROR(I149/H149,0))</f>
        <v/>
      </c>
      <c r="Z149" s="17">
        <f>IF(COUNT(C149:P149)=0,"",IFERROR(I149/G149,0))</f>
        <v/>
      </c>
      <c r="AA149" s="15">
        <f>IF(COUNT(C149:P149)=0,"",IFERROR(C149/I149,0))</f>
        <v/>
      </c>
      <c r="AB149" s="18">
        <f>IF(COUNT(C149:P149)=0,"",IFERROR(J149/I149,0))</f>
        <v/>
      </c>
      <c r="AC149" s="18">
        <f>IF(COUNT(C149:P149)=0,"",IFERROR(K149/I149,0))</f>
        <v/>
      </c>
      <c r="AD149" s="18">
        <f>IF(COUNT(C149:P149)=0,"",IFERROR(L149/I149,0))</f>
        <v/>
      </c>
      <c r="AE149" s="18">
        <f>IF(COUNT(C149:P149)=0,"",IFERROR(P149/I149,0))</f>
        <v/>
      </c>
      <c r="AF149" s="20">
        <f>IF(COUNT(C149:P149)=0,"",IFERROR(I149*Config!$C$7+J149*Config!$C$8+K149*Config!$C$9+L149*Config!$C$10+M149*Config!$C$11+N149*Config!$C$12+O149*Config!$C$13+P149*Config!$C$14,0))</f>
        <v/>
      </c>
      <c r="AG149" s="15">
        <f>IF(COUNT(C149:P149)=0,"",IFERROR(AF149/I149,0))</f>
        <v/>
      </c>
      <c r="AH149" s="20">
        <f>IF(COUNT(C149:P149)=0,"",IFERROR(AF149*(1-Config!$C$15-Config!$C$16-Config!$C$17),0))</f>
        <v/>
      </c>
      <c r="AI149" s="20">
        <f>IF(COUNT(C149:P149)=0,"",IFERROR(AH149-C149-Config!$C$18,0))</f>
        <v/>
      </c>
      <c r="AJ149" s="21">
        <f>IF(COUNT(C149:P149)=0,"",IFERROR(AH149/C149,0))</f>
        <v/>
      </c>
      <c r="AK149" s="15">
        <f>IF(COUNT(C149:P149)=0,"",IFERROR(AI149/G149,0))</f>
        <v/>
      </c>
      <c r="AL149" s="21">
        <f>IF(COUNT(C149:P149)=0,"",IFERROR(AK149/V149,0))</f>
        <v/>
      </c>
      <c r="AM149" s="15">
        <f>IF(COUNT(C149:P149)=0,"",IFERROR(AI149/I149,0))</f>
        <v/>
      </c>
      <c r="AN149" s="15">
        <f>IF(COUNT(C149:P149)=0,"",IFERROR(AH149/I149-AA149,0))</f>
        <v/>
      </c>
    </row>
    <row r="150">
      <c r="A150" s="12">
        <f>Config!$C$6+144</f>
        <v/>
      </c>
      <c r="B150" s="13">
        <f>INT((A150-Config!$C$6)/7)+1</f>
        <v/>
      </c>
      <c r="C150" s="10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5">
        <f>IF(COUNT(C150:P150)=0,"",IFERROR(C150/D150*1000,0))</f>
        <v/>
      </c>
      <c r="R150" s="16">
        <f>IF(COUNT(C150:P150)=0,"",IFERROR(D150/E150,0))</f>
        <v/>
      </c>
      <c r="S150" s="17">
        <f>IF(COUNT(C150:P150)=0,"",IFERROR(F150/D150,0))</f>
        <v/>
      </c>
      <c r="T150" s="15">
        <f>IF(COUNT(C150:P150)=0,"",IFERROR(C150/F150,0))</f>
        <v/>
      </c>
      <c r="U150" s="18">
        <f>IF(COUNT(C150:P150)=0,"",IFERROR(G150/F150,0))</f>
        <v/>
      </c>
      <c r="V150" s="15">
        <f>IF(COUNT(C150:P150)=0,"",IFERROR(C150/G150,0))</f>
        <v/>
      </c>
      <c r="W150" s="19">
        <f>IF(COUNT(C150:P150)=0,"",IFERROR(G150/D150*1000,0))</f>
        <v/>
      </c>
      <c r="X150" s="18">
        <f>IF(COUNT(C150:P150)=0,"",IFERROR(H150/G150,0))</f>
        <v/>
      </c>
      <c r="Y150" s="18">
        <f>IF(COUNT(C150:P150)=0,"",IFERROR(I150/H150,0))</f>
        <v/>
      </c>
      <c r="Z150" s="17">
        <f>IF(COUNT(C150:P150)=0,"",IFERROR(I150/G150,0))</f>
        <v/>
      </c>
      <c r="AA150" s="15">
        <f>IF(COUNT(C150:P150)=0,"",IFERROR(C150/I150,0))</f>
        <v/>
      </c>
      <c r="AB150" s="18">
        <f>IF(COUNT(C150:P150)=0,"",IFERROR(J150/I150,0))</f>
        <v/>
      </c>
      <c r="AC150" s="18">
        <f>IF(COUNT(C150:P150)=0,"",IFERROR(K150/I150,0))</f>
        <v/>
      </c>
      <c r="AD150" s="18">
        <f>IF(COUNT(C150:P150)=0,"",IFERROR(L150/I150,0))</f>
        <v/>
      </c>
      <c r="AE150" s="18">
        <f>IF(COUNT(C150:P150)=0,"",IFERROR(P150/I150,0))</f>
        <v/>
      </c>
      <c r="AF150" s="20">
        <f>IF(COUNT(C150:P150)=0,"",IFERROR(I150*Config!$C$7+J150*Config!$C$8+K150*Config!$C$9+L150*Config!$C$10+M150*Config!$C$11+N150*Config!$C$12+O150*Config!$C$13+P150*Config!$C$14,0))</f>
        <v/>
      </c>
      <c r="AG150" s="15">
        <f>IF(COUNT(C150:P150)=0,"",IFERROR(AF150/I150,0))</f>
        <v/>
      </c>
      <c r="AH150" s="20">
        <f>IF(COUNT(C150:P150)=0,"",IFERROR(AF150*(1-Config!$C$15-Config!$C$16-Config!$C$17),0))</f>
        <v/>
      </c>
      <c r="AI150" s="20">
        <f>IF(COUNT(C150:P150)=0,"",IFERROR(AH150-C150-Config!$C$18,0))</f>
        <v/>
      </c>
      <c r="AJ150" s="21">
        <f>IF(COUNT(C150:P150)=0,"",IFERROR(AH150/C150,0))</f>
        <v/>
      </c>
      <c r="AK150" s="15">
        <f>IF(COUNT(C150:P150)=0,"",IFERROR(AI150/G150,0))</f>
        <v/>
      </c>
      <c r="AL150" s="21">
        <f>IF(COUNT(C150:P150)=0,"",IFERROR(AK150/V150,0))</f>
        <v/>
      </c>
      <c r="AM150" s="15">
        <f>IF(COUNT(C150:P150)=0,"",IFERROR(AI150/I150,0))</f>
        <v/>
      </c>
      <c r="AN150" s="15">
        <f>IF(COUNT(C150:P150)=0,"",IFERROR(AH150/I150-AA150,0))</f>
        <v/>
      </c>
    </row>
    <row r="151">
      <c r="A151" s="12">
        <f>Config!$C$6+145</f>
        <v/>
      </c>
      <c r="B151" s="13">
        <f>INT((A151-Config!$C$6)/7)+1</f>
        <v/>
      </c>
      <c r="C151" s="10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5">
        <f>IF(COUNT(C151:P151)=0,"",IFERROR(C151/D151*1000,0))</f>
        <v/>
      </c>
      <c r="R151" s="16">
        <f>IF(COUNT(C151:P151)=0,"",IFERROR(D151/E151,0))</f>
        <v/>
      </c>
      <c r="S151" s="17">
        <f>IF(COUNT(C151:P151)=0,"",IFERROR(F151/D151,0))</f>
        <v/>
      </c>
      <c r="T151" s="15">
        <f>IF(COUNT(C151:P151)=0,"",IFERROR(C151/F151,0))</f>
        <v/>
      </c>
      <c r="U151" s="18">
        <f>IF(COUNT(C151:P151)=0,"",IFERROR(G151/F151,0))</f>
        <v/>
      </c>
      <c r="V151" s="15">
        <f>IF(COUNT(C151:P151)=0,"",IFERROR(C151/G151,0))</f>
        <v/>
      </c>
      <c r="W151" s="19">
        <f>IF(COUNT(C151:P151)=0,"",IFERROR(G151/D151*1000,0))</f>
        <v/>
      </c>
      <c r="X151" s="18">
        <f>IF(COUNT(C151:P151)=0,"",IFERROR(H151/G151,0))</f>
        <v/>
      </c>
      <c r="Y151" s="18">
        <f>IF(COUNT(C151:P151)=0,"",IFERROR(I151/H151,0))</f>
        <v/>
      </c>
      <c r="Z151" s="17">
        <f>IF(COUNT(C151:P151)=0,"",IFERROR(I151/G151,0))</f>
        <v/>
      </c>
      <c r="AA151" s="15">
        <f>IF(COUNT(C151:P151)=0,"",IFERROR(C151/I151,0))</f>
        <v/>
      </c>
      <c r="AB151" s="18">
        <f>IF(COUNT(C151:P151)=0,"",IFERROR(J151/I151,0))</f>
        <v/>
      </c>
      <c r="AC151" s="18">
        <f>IF(COUNT(C151:P151)=0,"",IFERROR(K151/I151,0))</f>
        <v/>
      </c>
      <c r="AD151" s="18">
        <f>IF(COUNT(C151:P151)=0,"",IFERROR(L151/I151,0))</f>
        <v/>
      </c>
      <c r="AE151" s="18">
        <f>IF(COUNT(C151:P151)=0,"",IFERROR(P151/I151,0))</f>
        <v/>
      </c>
      <c r="AF151" s="20">
        <f>IF(COUNT(C151:P151)=0,"",IFERROR(I151*Config!$C$7+J151*Config!$C$8+K151*Config!$C$9+L151*Config!$C$10+M151*Config!$C$11+N151*Config!$C$12+O151*Config!$C$13+P151*Config!$C$14,0))</f>
        <v/>
      </c>
      <c r="AG151" s="15">
        <f>IF(COUNT(C151:P151)=0,"",IFERROR(AF151/I151,0))</f>
        <v/>
      </c>
      <c r="AH151" s="20">
        <f>IF(COUNT(C151:P151)=0,"",IFERROR(AF151*(1-Config!$C$15-Config!$C$16-Config!$C$17),0))</f>
        <v/>
      </c>
      <c r="AI151" s="20">
        <f>IF(COUNT(C151:P151)=0,"",IFERROR(AH151-C151-Config!$C$18,0))</f>
        <v/>
      </c>
      <c r="AJ151" s="21">
        <f>IF(COUNT(C151:P151)=0,"",IFERROR(AH151/C151,0))</f>
        <v/>
      </c>
      <c r="AK151" s="15">
        <f>IF(COUNT(C151:P151)=0,"",IFERROR(AI151/G151,0))</f>
        <v/>
      </c>
      <c r="AL151" s="21">
        <f>IF(COUNT(C151:P151)=0,"",IFERROR(AK151/V151,0))</f>
        <v/>
      </c>
      <c r="AM151" s="15">
        <f>IF(COUNT(C151:P151)=0,"",IFERROR(AI151/I151,0))</f>
        <v/>
      </c>
      <c r="AN151" s="15">
        <f>IF(COUNT(C151:P151)=0,"",IFERROR(AH151/I151-AA151,0))</f>
        <v/>
      </c>
    </row>
    <row r="152">
      <c r="A152" s="12">
        <f>Config!$C$6+146</f>
        <v/>
      </c>
      <c r="B152" s="13">
        <f>INT((A152-Config!$C$6)/7)+1</f>
        <v/>
      </c>
      <c r="C152" s="10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5">
        <f>IF(COUNT(C152:P152)=0,"",IFERROR(C152/D152*1000,0))</f>
        <v/>
      </c>
      <c r="R152" s="16">
        <f>IF(COUNT(C152:P152)=0,"",IFERROR(D152/E152,0))</f>
        <v/>
      </c>
      <c r="S152" s="17">
        <f>IF(COUNT(C152:P152)=0,"",IFERROR(F152/D152,0))</f>
        <v/>
      </c>
      <c r="T152" s="15">
        <f>IF(COUNT(C152:P152)=0,"",IFERROR(C152/F152,0))</f>
        <v/>
      </c>
      <c r="U152" s="18">
        <f>IF(COUNT(C152:P152)=0,"",IFERROR(G152/F152,0))</f>
        <v/>
      </c>
      <c r="V152" s="15">
        <f>IF(COUNT(C152:P152)=0,"",IFERROR(C152/G152,0))</f>
        <v/>
      </c>
      <c r="W152" s="19">
        <f>IF(COUNT(C152:P152)=0,"",IFERROR(G152/D152*1000,0))</f>
        <v/>
      </c>
      <c r="X152" s="18">
        <f>IF(COUNT(C152:P152)=0,"",IFERROR(H152/G152,0))</f>
        <v/>
      </c>
      <c r="Y152" s="18">
        <f>IF(COUNT(C152:P152)=0,"",IFERROR(I152/H152,0))</f>
        <v/>
      </c>
      <c r="Z152" s="17">
        <f>IF(COUNT(C152:P152)=0,"",IFERROR(I152/G152,0))</f>
        <v/>
      </c>
      <c r="AA152" s="15">
        <f>IF(COUNT(C152:P152)=0,"",IFERROR(C152/I152,0))</f>
        <v/>
      </c>
      <c r="AB152" s="18">
        <f>IF(COUNT(C152:P152)=0,"",IFERROR(J152/I152,0))</f>
        <v/>
      </c>
      <c r="AC152" s="18">
        <f>IF(COUNT(C152:P152)=0,"",IFERROR(K152/I152,0))</f>
        <v/>
      </c>
      <c r="AD152" s="18">
        <f>IF(COUNT(C152:P152)=0,"",IFERROR(L152/I152,0))</f>
        <v/>
      </c>
      <c r="AE152" s="18">
        <f>IF(COUNT(C152:P152)=0,"",IFERROR(P152/I152,0))</f>
        <v/>
      </c>
      <c r="AF152" s="20">
        <f>IF(COUNT(C152:P152)=0,"",IFERROR(I152*Config!$C$7+J152*Config!$C$8+K152*Config!$C$9+L152*Config!$C$10+M152*Config!$C$11+N152*Config!$C$12+O152*Config!$C$13+P152*Config!$C$14,0))</f>
        <v/>
      </c>
      <c r="AG152" s="15">
        <f>IF(COUNT(C152:P152)=0,"",IFERROR(AF152/I152,0))</f>
        <v/>
      </c>
      <c r="AH152" s="20">
        <f>IF(COUNT(C152:P152)=0,"",IFERROR(AF152*(1-Config!$C$15-Config!$C$16-Config!$C$17),0))</f>
        <v/>
      </c>
      <c r="AI152" s="20">
        <f>IF(COUNT(C152:P152)=0,"",IFERROR(AH152-C152-Config!$C$18,0))</f>
        <v/>
      </c>
      <c r="AJ152" s="21">
        <f>IF(COUNT(C152:P152)=0,"",IFERROR(AH152/C152,0))</f>
        <v/>
      </c>
      <c r="AK152" s="15">
        <f>IF(COUNT(C152:P152)=0,"",IFERROR(AI152/G152,0))</f>
        <v/>
      </c>
      <c r="AL152" s="21">
        <f>IF(COUNT(C152:P152)=0,"",IFERROR(AK152/V152,0))</f>
        <v/>
      </c>
      <c r="AM152" s="15">
        <f>IF(COUNT(C152:P152)=0,"",IFERROR(AI152/I152,0))</f>
        <v/>
      </c>
      <c r="AN152" s="15">
        <f>IF(COUNT(C152:P152)=0,"",IFERROR(AH152/I152-AA152,0))</f>
        <v/>
      </c>
    </row>
    <row r="153">
      <c r="A153" s="12">
        <f>Config!$C$6+147</f>
        <v/>
      </c>
      <c r="B153" s="13">
        <f>INT((A153-Config!$C$6)/7)+1</f>
        <v/>
      </c>
      <c r="C153" s="10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5">
        <f>IF(COUNT(C153:P153)=0,"",IFERROR(C153/D153*1000,0))</f>
        <v/>
      </c>
      <c r="R153" s="16">
        <f>IF(COUNT(C153:P153)=0,"",IFERROR(D153/E153,0))</f>
        <v/>
      </c>
      <c r="S153" s="17">
        <f>IF(COUNT(C153:P153)=0,"",IFERROR(F153/D153,0))</f>
        <v/>
      </c>
      <c r="T153" s="15">
        <f>IF(COUNT(C153:P153)=0,"",IFERROR(C153/F153,0))</f>
        <v/>
      </c>
      <c r="U153" s="18">
        <f>IF(COUNT(C153:P153)=0,"",IFERROR(G153/F153,0))</f>
        <v/>
      </c>
      <c r="V153" s="15">
        <f>IF(COUNT(C153:P153)=0,"",IFERROR(C153/G153,0))</f>
        <v/>
      </c>
      <c r="W153" s="19">
        <f>IF(COUNT(C153:P153)=0,"",IFERROR(G153/D153*1000,0))</f>
        <v/>
      </c>
      <c r="X153" s="18">
        <f>IF(COUNT(C153:P153)=0,"",IFERROR(H153/G153,0))</f>
        <v/>
      </c>
      <c r="Y153" s="18">
        <f>IF(COUNT(C153:P153)=0,"",IFERROR(I153/H153,0))</f>
        <v/>
      </c>
      <c r="Z153" s="17">
        <f>IF(COUNT(C153:P153)=0,"",IFERROR(I153/G153,0))</f>
        <v/>
      </c>
      <c r="AA153" s="15">
        <f>IF(COUNT(C153:P153)=0,"",IFERROR(C153/I153,0))</f>
        <v/>
      </c>
      <c r="AB153" s="18">
        <f>IF(COUNT(C153:P153)=0,"",IFERROR(J153/I153,0))</f>
        <v/>
      </c>
      <c r="AC153" s="18">
        <f>IF(COUNT(C153:P153)=0,"",IFERROR(K153/I153,0))</f>
        <v/>
      </c>
      <c r="AD153" s="18">
        <f>IF(COUNT(C153:P153)=0,"",IFERROR(L153/I153,0))</f>
        <v/>
      </c>
      <c r="AE153" s="18">
        <f>IF(COUNT(C153:P153)=0,"",IFERROR(P153/I153,0))</f>
        <v/>
      </c>
      <c r="AF153" s="20">
        <f>IF(COUNT(C153:P153)=0,"",IFERROR(I153*Config!$C$7+J153*Config!$C$8+K153*Config!$C$9+L153*Config!$C$10+M153*Config!$C$11+N153*Config!$C$12+O153*Config!$C$13+P153*Config!$C$14,0))</f>
        <v/>
      </c>
      <c r="AG153" s="15">
        <f>IF(COUNT(C153:P153)=0,"",IFERROR(AF153/I153,0))</f>
        <v/>
      </c>
      <c r="AH153" s="20">
        <f>IF(COUNT(C153:P153)=0,"",IFERROR(AF153*(1-Config!$C$15-Config!$C$16-Config!$C$17),0))</f>
        <v/>
      </c>
      <c r="AI153" s="20">
        <f>IF(COUNT(C153:P153)=0,"",IFERROR(AH153-C153-Config!$C$18,0))</f>
        <v/>
      </c>
      <c r="AJ153" s="21">
        <f>IF(COUNT(C153:P153)=0,"",IFERROR(AH153/C153,0))</f>
        <v/>
      </c>
      <c r="AK153" s="15">
        <f>IF(COUNT(C153:P153)=0,"",IFERROR(AI153/G153,0))</f>
        <v/>
      </c>
      <c r="AL153" s="21">
        <f>IF(COUNT(C153:P153)=0,"",IFERROR(AK153/V153,0))</f>
        <v/>
      </c>
      <c r="AM153" s="15">
        <f>IF(COUNT(C153:P153)=0,"",IFERROR(AI153/I153,0))</f>
        <v/>
      </c>
      <c r="AN153" s="15">
        <f>IF(COUNT(C153:P153)=0,"",IFERROR(AH153/I153-AA153,0))</f>
        <v/>
      </c>
    </row>
    <row r="154">
      <c r="A154" s="12">
        <f>Config!$C$6+148</f>
        <v/>
      </c>
      <c r="B154" s="13">
        <f>INT((A154-Config!$C$6)/7)+1</f>
        <v/>
      </c>
      <c r="C154" s="10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5">
        <f>IF(COUNT(C154:P154)=0,"",IFERROR(C154/D154*1000,0))</f>
        <v/>
      </c>
      <c r="R154" s="16">
        <f>IF(COUNT(C154:P154)=0,"",IFERROR(D154/E154,0))</f>
        <v/>
      </c>
      <c r="S154" s="17">
        <f>IF(COUNT(C154:P154)=0,"",IFERROR(F154/D154,0))</f>
        <v/>
      </c>
      <c r="T154" s="15">
        <f>IF(COUNT(C154:P154)=0,"",IFERROR(C154/F154,0))</f>
        <v/>
      </c>
      <c r="U154" s="18">
        <f>IF(COUNT(C154:P154)=0,"",IFERROR(G154/F154,0))</f>
        <v/>
      </c>
      <c r="V154" s="15">
        <f>IF(COUNT(C154:P154)=0,"",IFERROR(C154/G154,0))</f>
        <v/>
      </c>
      <c r="W154" s="19">
        <f>IF(COUNT(C154:P154)=0,"",IFERROR(G154/D154*1000,0))</f>
        <v/>
      </c>
      <c r="X154" s="18">
        <f>IF(COUNT(C154:P154)=0,"",IFERROR(H154/G154,0))</f>
        <v/>
      </c>
      <c r="Y154" s="18">
        <f>IF(COUNT(C154:P154)=0,"",IFERROR(I154/H154,0))</f>
        <v/>
      </c>
      <c r="Z154" s="17">
        <f>IF(COUNT(C154:P154)=0,"",IFERROR(I154/G154,0))</f>
        <v/>
      </c>
      <c r="AA154" s="15">
        <f>IF(COUNT(C154:P154)=0,"",IFERROR(C154/I154,0))</f>
        <v/>
      </c>
      <c r="AB154" s="18">
        <f>IF(COUNT(C154:P154)=0,"",IFERROR(J154/I154,0))</f>
        <v/>
      </c>
      <c r="AC154" s="18">
        <f>IF(COUNT(C154:P154)=0,"",IFERROR(K154/I154,0))</f>
        <v/>
      </c>
      <c r="AD154" s="18">
        <f>IF(COUNT(C154:P154)=0,"",IFERROR(L154/I154,0))</f>
        <v/>
      </c>
      <c r="AE154" s="18">
        <f>IF(COUNT(C154:P154)=0,"",IFERROR(P154/I154,0))</f>
        <v/>
      </c>
      <c r="AF154" s="20">
        <f>IF(COUNT(C154:P154)=0,"",IFERROR(I154*Config!$C$7+J154*Config!$C$8+K154*Config!$C$9+L154*Config!$C$10+M154*Config!$C$11+N154*Config!$C$12+O154*Config!$C$13+P154*Config!$C$14,0))</f>
        <v/>
      </c>
      <c r="AG154" s="15">
        <f>IF(COUNT(C154:P154)=0,"",IFERROR(AF154/I154,0))</f>
        <v/>
      </c>
      <c r="AH154" s="20">
        <f>IF(COUNT(C154:P154)=0,"",IFERROR(AF154*(1-Config!$C$15-Config!$C$16-Config!$C$17),0))</f>
        <v/>
      </c>
      <c r="AI154" s="20">
        <f>IF(COUNT(C154:P154)=0,"",IFERROR(AH154-C154-Config!$C$18,0))</f>
        <v/>
      </c>
      <c r="AJ154" s="21">
        <f>IF(COUNT(C154:P154)=0,"",IFERROR(AH154/C154,0))</f>
        <v/>
      </c>
      <c r="AK154" s="15">
        <f>IF(COUNT(C154:P154)=0,"",IFERROR(AI154/G154,0))</f>
        <v/>
      </c>
      <c r="AL154" s="21">
        <f>IF(COUNT(C154:P154)=0,"",IFERROR(AK154/V154,0))</f>
        <v/>
      </c>
      <c r="AM154" s="15">
        <f>IF(COUNT(C154:P154)=0,"",IFERROR(AI154/I154,0))</f>
        <v/>
      </c>
      <c r="AN154" s="15">
        <f>IF(COUNT(C154:P154)=0,"",IFERROR(AH154/I154-AA154,0))</f>
        <v/>
      </c>
    </row>
    <row r="155">
      <c r="A155" s="12">
        <f>Config!$C$6+149</f>
        <v/>
      </c>
      <c r="B155" s="13">
        <f>INT((A155-Config!$C$6)/7)+1</f>
        <v/>
      </c>
      <c r="C155" s="10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5">
        <f>IF(COUNT(C155:P155)=0,"",IFERROR(C155/D155*1000,0))</f>
        <v/>
      </c>
      <c r="R155" s="16">
        <f>IF(COUNT(C155:P155)=0,"",IFERROR(D155/E155,0))</f>
        <v/>
      </c>
      <c r="S155" s="17">
        <f>IF(COUNT(C155:P155)=0,"",IFERROR(F155/D155,0))</f>
        <v/>
      </c>
      <c r="T155" s="15">
        <f>IF(COUNT(C155:P155)=0,"",IFERROR(C155/F155,0))</f>
        <v/>
      </c>
      <c r="U155" s="18">
        <f>IF(COUNT(C155:P155)=0,"",IFERROR(G155/F155,0))</f>
        <v/>
      </c>
      <c r="V155" s="15">
        <f>IF(COUNT(C155:P155)=0,"",IFERROR(C155/G155,0))</f>
        <v/>
      </c>
      <c r="W155" s="19">
        <f>IF(COUNT(C155:P155)=0,"",IFERROR(G155/D155*1000,0))</f>
        <v/>
      </c>
      <c r="X155" s="18">
        <f>IF(COUNT(C155:P155)=0,"",IFERROR(H155/G155,0))</f>
        <v/>
      </c>
      <c r="Y155" s="18">
        <f>IF(COUNT(C155:P155)=0,"",IFERROR(I155/H155,0))</f>
        <v/>
      </c>
      <c r="Z155" s="17">
        <f>IF(COUNT(C155:P155)=0,"",IFERROR(I155/G155,0))</f>
        <v/>
      </c>
      <c r="AA155" s="15">
        <f>IF(COUNT(C155:P155)=0,"",IFERROR(C155/I155,0))</f>
        <v/>
      </c>
      <c r="AB155" s="18">
        <f>IF(COUNT(C155:P155)=0,"",IFERROR(J155/I155,0))</f>
        <v/>
      </c>
      <c r="AC155" s="18">
        <f>IF(COUNT(C155:P155)=0,"",IFERROR(K155/I155,0))</f>
        <v/>
      </c>
      <c r="AD155" s="18">
        <f>IF(COUNT(C155:P155)=0,"",IFERROR(L155/I155,0))</f>
        <v/>
      </c>
      <c r="AE155" s="18">
        <f>IF(COUNT(C155:P155)=0,"",IFERROR(P155/I155,0))</f>
        <v/>
      </c>
      <c r="AF155" s="20">
        <f>IF(COUNT(C155:P155)=0,"",IFERROR(I155*Config!$C$7+J155*Config!$C$8+K155*Config!$C$9+L155*Config!$C$10+M155*Config!$C$11+N155*Config!$C$12+O155*Config!$C$13+P155*Config!$C$14,0))</f>
        <v/>
      </c>
      <c r="AG155" s="15">
        <f>IF(COUNT(C155:P155)=0,"",IFERROR(AF155/I155,0))</f>
        <v/>
      </c>
      <c r="AH155" s="20">
        <f>IF(COUNT(C155:P155)=0,"",IFERROR(AF155*(1-Config!$C$15-Config!$C$16-Config!$C$17),0))</f>
        <v/>
      </c>
      <c r="AI155" s="20">
        <f>IF(COUNT(C155:P155)=0,"",IFERROR(AH155-C155-Config!$C$18,0))</f>
        <v/>
      </c>
      <c r="AJ155" s="21">
        <f>IF(COUNT(C155:P155)=0,"",IFERROR(AH155/C155,0))</f>
        <v/>
      </c>
      <c r="AK155" s="15">
        <f>IF(COUNT(C155:P155)=0,"",IFERROR(AI155/G155,0))</f>
        <v/>
      </c>
      <c r="AL155" s="21">
        <f>IF(COUNT(C155:P155)=0,"",IFERROR(AK155/V155,0))</f>
        <v/>
      </c>
      <c r="AM155" s="15">
        <f>IF(COUNT(C155:P155)=0,"",IFERROR(AI155/I155,0))</f>
        <v/>
      </c>
      <c r="AN155" s="15">
        <f>IF(COUNT(C155:P155)=0,"",IFERROR(AH155/I155-AA155,0))</f>
        <v/>
      </c>
    </row>
    <row r="156">
      <c r="A156" s="12">
        <f>Config!$C$6+150</f>
        <v/>
      </c>
      <c r="B156" s="13">
        <f>INT((A156-Config!$C$6)/7)+1</f>
        <v/>
      </c>
      <c r="C156" s="10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5">
        <f>IF(COUNT(C156:P156)=0,"",IFERROR(C156/D156*1000,0))</f>
        <v/>
      </c>
      <c r="R156" s="16">
        <f>IF(COUNT(C156:P156)=0,"",IFERROR(D156/E156,0))</f>
        <v/>
      </c>
      <c r="S156" s="17">
        <f>IF(COUNT(C156:P156)=0,"",IFERROR(F156/D156,0))</f>
        <v/>
      </c>
      <c r="T156" s="15">
        <f>IF(COUNT(C156:P156)=0,"",IFERROR(C156/F156,0))</f>
        <v/>
      </c>
      <c r="U156" s="18">
        <f>IF(COUNT(C156:P156)=0,"",IFERROR(G156/F156,0))</f>
        <v/>
      </c>
      <c r="V156" s="15">
        <f>IF(COUNT(C156:P156)=0,"",IFERROR(C156/G156,0))</f>
        <v/>
      </c>
      <c r="W156" s="19">
        <f>IF(COUNT(C156:P156)=0,"",IFERROR(G156/D156*1000,0))</f>
        <v/>
      </c>
      <c r="X156" s="18">
        <f>IF(COUNT(C156:P156)=0,"",IFERROR(H156/G156,0))</f>
        <v/>
      </c>
      <c r="Y156" s="18">
        <f>IF(COUNT(C156:P156)=0,"",IFERROR(I156/H156,0))</f>
        <v/>
      </c>
      <c r="Z156" s="17">
        <f>IF(COUNT(C156:P156)=0,"",IFERROR(I156/G156,0))</f>
        <v/>
      </c>
      <c r="AA156" s="15">
        <f>IF(COUNT(C156:P156)=0,"",IFERROR(C156/I156,0))</f>
        <v/>
      </c>
      <c r="AB156" s="18">
        <f>IF(COUNT(C156:P156)=0,"",IFERROR(J156/I156,0))</f>
        <v/>
      </c>
      <c r="AC156" s="18">
        <f>IF(COUNT(C156:P156)=0,"",IFERROR(K156/I156,0))</f>
        <v/>
      </c>
      <c r="AD156" s="18">
        <f>IF(COUNT(C156:P156)=0,"",IFERROR(L156/I156,0))</f>
        <v/>
      </c>
      <c r="AE156" s="18">
        <f>IF(COUNT(C156:P156)=0,"",IFERROR(P156/I156,0))</f>
        <v/>
      </c>
      <c r="AF156" s="20">
        <f>IF(COUNT(C156:P156)=0,"",IFERROR(I156*Config!$C$7+J156*Config!$C$8+K156*Config!$C$9+L156*Config!$C$10+M156*Config!$C$11+N156*Config!$C$12+O156*Config!$C$13+P156*Config!$C$14,0))</f>
        <v/>
      </c>
      <c r="AG156" s="15">
        <f>IF(COUNT(C156:P156)=0,"",IFERROR(AF156/I156,0))</f>
        <v/>
      </c>
      <c r="AH156" s="20">
        <f>IF(COUNT(C156:P156)=0,"",IFERROR(AF156*(1-Config!$C$15-Config!$C$16-Config!$C$17),0))</f>
        <v/>
      </c>
      <c r="AI156" s="20">
        <f>IF(COUNT(C156:P156)=0,"",IFERROR(AH156-C156-Config!$C$18,0))</f>
        <v/>
      </c>
      <c r="AJ156" s="21">
        <f>IF(COUNT(C156:P156)=0,"",IFERROR(AH156/C156,0))</f>
        <v/>
      </c>
      <c r="AK156" s="15">
        <f>IF(COUNT(C156:P156)=0,"",IFERROR(AI156/G156,0))</f>
        <v/>
      </c>
      <c r="AL156" s="21">
        <f>IF(COUNT(C156:P156)=0,"",IFERROR(AK156/V156,0))</f>
        <v/>
      </c>
      <c r="AM156" s="15">
        <f>IF(COUNT(C156:P156)=0,"",IFERROR(AI156/I156,0))</f>
        <v/>
      </c>
      <c r="AN156" s="15">
        <f>IF(COUNT(C156:P156)=0,"",IFERROR(AH156/I156-AA156,0))</f>
        <v/>
      </c>
    </row>
    <row r="157">
      <c r="A157" s="12">
        <f>Config!$C$6+151</f>
        <v/>
      </c>
      <c r="B157" s="13">
        <f>INT((A157-Config!$C$6)/7)+1</f>
        <v/>
      </c>
      <c r="C157" s="10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5">
        <f>IF(COUNT(C157:P157)=0,"",IFERROR(C157/D157*1000,0))</f>
        <v/>
      </c>
      <c r="R157" s="16">
        <f>IF(COUNT(C157:P157)=0,"",IFERROR(D157/E157,0))</f>
        <v/>
      </c>
      <c r="S157" s="17">
        <f>IF(COUNT(C157:P157)=0,"",IFERROR(F157/D157,0))</f>
        <v/>
      </c>
      <c r="T157" s="15">
        <f>IF(COUNT(C157:P157)=0,"",IFERROR(C157/F157,0))</f>
        <v/>
      </c>
      <c r="U157" s="18">
        <f>IF(COUNT(C157:P157)=0,"",IFERROR(G157/F157,0))</f>
        <v/>
      </c>
      <c r="V157" s="15">
        <f>IF(COUNT(C157:P157)=0,"",IFERROR(C157/G157,0))</f>
        <v/>
      </c>
      <c r="W157" s="19">
        <f>IF(COUNT(C157:P157)=0,"",IFERROR(G157/D157*1000,0))</f>
        <v/>
      </c>
      <c r="X157" s="18">
        <f>IF(COUNT(C157:P157)=0,"",IFERROR(H157/G157,0))</f>
        <v/>
      </c>
      <c r="Y157" s="18">
        <f>IF(COUNT(C157:P157)=0,"",IFERROR(I157/H157,0))</f>
        <v/>
      </c>
      <c r="Z157" s="17">
        <f>IF(COUNT(C157:P157)=0,"",IFERROR(I157/G157,0))</f>
        <v/>
      </c>
      <c r="AA157" s="15">
        <f>IF(COUNT(C157:P157)=0,"",IFERROR(C157/I157,0))</f>
        <v/>
      </c>
      <c r="AB157" s="18">
        <f>IF(COUNT(C157:P157)=0,"",IFERROR(J157/I157,0))</f>
        <v/>
      </c>
      <c r="AC157" s="18">
        <f>IF(COUNT(C157:P157)=0,"",IFERROR(K157/I157,0))</f>
        <v/>
      </c>
      <c r="AD157" s="18">
        <f>IF(COUNT(C157:P157)=0,"",IFERROR(L157/I157,0))</f>
        <v/>
      </c>
      <c r="AE157" s="18">
        <f>IF(COUNT(C157:P157)=0,"",IFERROR(P157/I157,0))</f>
        <v/>
      </c>
      <c r="AF157" s="20">
        <f>IF(COUNT(C157:P157)=0,"",IFERROR(I157*Config!$C$7+J157*Config!$C$8+K157*Config!$C$9+L157*Config!$C$10+M157*Config!$C$11+N157*Config!$C$12+O157*Config!$C$13+P157*Config!$C$14,0))</f>
        <v/>
      </c>
      <c r="AG157" s="15">
        <f>IF(COUNT(C157:P157)=0,"",IFERROR(AF157/I157,0))</f>
        <v/>
      </c>
      <c r="AH157" s="20">
        <f>IF(COUNT(C157:P157)=0,"",IFERROR(AF157*(1-Config!$C$15-Config!$C$16-Config!$C$17),0))</f>
        <v/>
      </c>
      <c r="AI157" s="20">
        <f>IF(COUNT(C157:P157)=0,"",IFERROR(AH157-C157-Config!$C$18,0))</f>
        <v/>
      </c>
      <c r="AJ157" s="21">
        <f>IF(COUNT(C157:P157)=0,"",IFERROR(AH157/C157,0))</f>
        <v/>
      </c>
      <c r="AK157" s="15">
        <f>IF(COUNT(C157:P157)=0,"",IFERROR(AI157/G157,0))</f>
        <v/>
      </c>
      <c r="AL157" s="21">
        <f>IF(COUNT(C157:P157)=0,"",IFERROR(AK157/V157,0))</f>
        <v/>
      </c>
      <c r="AM157" s="15">
        <f>IF(COUNT(C157:P157)=0,"",IFERROR(AI157/I157,0))</f>
        <v/>
      </c>
      <c r="AN157" s="15">
        <f>IF(COUNT(C157:P157)=0,"",IFERROR(AH157/I157-AA157,0))</f>
        <v/>
      </c>
    </row>
    <row r="158">
      <c r="A158" s="12">
        <f>Config!$C$6+152</f>
        <v/>
      </c>
      <c r="B158" s="13">
        <f>INT((A158-Config!$C$6)/7)+1</f>
        <v/>
      </c>
      <c r="C158" s="10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5">
        <f>IF(COUNT(C158:P158)=0,"",IFERROR(C158/D158*1000,0))</f>
        <v/>
      </c>
      <c r="R158" s="16">
        <f>IF(COUNT(C158:P158)=0,"",IFERROR(D158/E158,0))</f>
        <v/>
      </c>
      <c r="S158" s="17">
        <f>IF(COUNT(C158:P158)=0,"",IFERROR(F158/D158,0))</f>
        <v/>
      </c>
      <c r="T158" s="15">
        <f>IF(COUNT(C158:P158)=0,"",IFERROR(C158/F158,0))</f>
        <v/>
      </c>
      <c r="U158" s="18">
        <f>IF(COUNT(C158:P158)=0,"",IFERROR(G158/F158,0))</f>
        <v/>
      </c>
      <c r="V158" s="15">
        <f>IF(COUNT(C158:P158)=0,"",IFERROR(C158/G158,0))</f>
        <v/>
      </c>
      <c r="W158" s="19">
        <f>IF(COUNT(C158:P158)=0,"",IFERROR(G158/D158*1000,0))</f>
        <v/>
      </c>
      <c r="X158" s="18">
        <f>IF(COUNT(C158:P158)=0,"",IFERROR(H158/G158,0))</f>
        <v/>
      </c>
      <c r="Y158" s="18">
        <f>IF(COUNT(C158:P158)=0,"",IFERROR(I158/H158,0))</f>
        <v/>
      </c>
      <c r="Z158" s="17">
        <f>IF(COUNT(C158:P158)=0,"",IFERROR(I158/G158,0))</f>
        <v/>
      </c>
      <c r="AA158" s="15">
        <f>IF(COUNT(C158:P158)=0,"",IFERROR(C158/I158,0))</f>
        <v/>
      </c>
      <c r="AB158" s="18">
        <f>IF(COUNT(C158:P158)=0,"",IFERROR(J158/I158,0))</f>
        <v/>
      </c>
      <c r="AC158" s="18">
        <f>IF(COUNT(C158:P158)=0,"",IFERROR(K158/I158,0))</f>
        <v/>
      </c>
      <c r="AD158" s="18">
        <f>IF(COUNT(C158:P158)=0,"",IFERROR(L158/I158,0))</f>
        <v/>
      </c>
      <c r="AE158" s="18">
        <f>IF(COUNT(C158:P158)=0,"",IFERROR(P158/I158,0))</f>
        <v/>
      </c>
      <c r="AF158" s="20">
        <f>IF(COUNT(C158:P158)=0,"",IFERROR(I158*Config!$C$7+J158*Config!$C$8+K158*Config!$C$9+L158*Config!$C$10+M158*Config!$C$11+N158*Config!$C$12+O158*Config!$C$13+P158*Config!$C$14,0))</f>
        <v/>
      </c>
      <c r="AG158" s="15">
        <f>IF(COUNT(C158:P158)=0,"",IFERROR(AF158/I158,0))</f>
        <v/>
      </c>
      <c r="AH158" s="20">
        <f>IF(COUNT(C158:P158)=0,"",IFERROR(AF158*(1-Config!$C$15-Config!$C$16-Config!$C$17),0))</f>
        <v/>
      </c>
      <c r="AI158" s="20">
        <f>IF(COUNT(C158:P158)=0,"",IFERROR(AH158-C158-Config!$C$18,0))</f>
        <v/>
      </c>
      <c r="AJ158" s="21">
        <f>IF(COUNT(C158:P158)=0,"",IFERROR(AH158/C158,0))</f>
        <v/>
      </c>
      <c r="AK158" s="15">
        <f>IF(COUNT(C158:P158)=0,"",IFERROR(AI158/G158,0))</f>
        <v/>
      </c>
      <c r="AL158" s="21">
        <f>IF(COUNT(C158:P158)=0,"",IFERROR(AK158/V158,0))</f>
        <v/>
      </c>
      <c r="AM158" s="15">
        <f>IF(COUNT(C158:P158)=0,"",IFERROR(AI158/I158,0))</f>
        <v/>
      </c>
      <c r="AN158" s="15">
        <f>IF(COUNT(C158:P158)=0,"",IFERROR(AH158/I158-AA158,0))</f>
        <v/>
      </c>
    </row>
    <row r="159">
      <c r="A159" s="12">
        <f>Config!$C$6+153</f>
        <v/>
      </c>
      <c r="B159" s="13">
        <f>INT((A159-Config!$C$6)/7)+1</f>
        <v/>
      </c>
      <c r="C159" s="10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5">
        <f>IF(COUNT(C159:P159)=0,"",IFERROR(C159/D159*1000,0))</f>
        <v/>
      </c>
      <c r="R159" s="16">
        <f>IF(COUNT(C159:P159)=0,"",IFERROR(D159/E159,0))</f>
        <v/>
      </c>
      <c r="S159" s="17">
        <f>IF(COUNT(C159:P159)=0,"",IFERROR(F159/D159,0))</f>
        <v/>
      </c>
      <c r="T159" s="15">
        <f>IF(COUNT(C159:P159)=0,"",IFERROR(C159/F159,0))</f>
        <v/>
      </c>
      <c r="U159" s="18">
        <f>IF(COUNT(C159:P159)=0,"",IFERROR(G159/F159,0))</f>
        <v/>
      </c>
      <c r="V159" s="15">
        <f>IF(COUNT(C159:P159)=0,"",IFERROR(C159/G159,0))</f>
        <v/>
      </c>
      <c r="W159" s="19">
        <f>IF(COUNT(C159:P159)=0,"",IFERROR(G159/D159*1000,0))</f>
        <v/>
      </c>
      <c r="X159" s="18">
        <f>IF(COUNT(C159:P159)=0,"",IFERROR(H159/G159,0))</f>
        <v/>
      </c>
      <c r="Y159" s="18">
        <f>IF(COUNT(C159:P159)=0,"",IFERROR(I159/H159,0))</f>
        <v/>
      </c>
      <c r="Z159" s="17">
        <f>IF(COUNT(C159:P159)=0,"",IFERROR(I159/G159,0))</f>
        <v/>
      </c>
      <c r="AA159" s="15">
        <f>IF(COUNT(C159:P159)=0,"",IFERROR(C159/I159,0))</f>
        <v/>
      </c>
      <c r="AB159" s="18">
        <f>IF(COUNT(C159:P159)=0,"",IFERROR(J159/I159,0))</f>
        <v/>
      </c>
      <c r="AC159" s="18">
        <f>IF(COUNT(C159:P159)=0,"",IFERROR(K159/I159,0))</f>
        <v/>
      </c>
      <c r="AD159" s="18">
        <f>IF(COUNT(C159:P159)=0,"",IFERROR(L159/I159,0))</f>
        <v/>
      </c>
      <c r="AE159" s="18">
        <f>IF(COUNT(C159:P159)=0,"",IFERROR(P159/I159,0))</f>
        <v/>
      </c>
      <c r="AF159" s="20">
        <f>IF(COUNT(C159:P159)=0,"",IFERROR(I159*Config!$C$7+J159*Config!$C$8+K159*Config!$C$9+L159*Config!$C$10+M159*Config!$C$11+N159*Config!$C$12+O159*Config!$C$13+P159*Config!$C$14,0))</f>
        <v/>
      </c>
      <c r="AG159" s="15">
        <f>IF(COUNT(C159:P159)=0,"",IFERROR(AF159/I159,0))</f>
        <v/>
      </c>
      <c r="AH159" s="20">
        <f>IF(COUNT(C159:P159)=0,"",IFERROR(AF159*(1-Config!$C$15-Config!$C$16-Config!$C$17),0))</f>
        <v/>
      </c>
      <c r="AI159" s="20">
        <f>IF(COUNT(C159:P159)=0,"",IFERROR(AH159-C159-Config!$C$18,0))</f>
        <v/>
      </c>
      <c r="AJ159" s="21">
        <f>IF(COUNT(C159:P159)=0,"",IFERROR(AH159/C159,0))</f>
        <v/>
      </c>
      <c r="AK159" s="15">
        <f>IF(COUNT(C159:P159)=0,"",IFERROR(AI159/G159,0))</f>
        <v/>
      </c>
      <c r="AL159" s="21">
        <f>IF(COUNT(C159:P159)=0,"",IFERROR(AK159/V159,0))</f>
        <v/>
      </c>
      <c r="AM159" s="15">
        <f>IF(COUNT(C159:P159)=0,"",IFERROR(AI159/I159,0))</f>
        <v/>
      </c>
      <c r="AN159" s="15">
        <f>IF(COUNT(C159:P159)=0,"",IFERROR(AH159/I159-AA159,0))</f>
        <v/>
      </c>
    </row>
    <row r="160">
      <c r="A160" s="12">
        <f>Config!$C$6+154</f>
        <v/>
      </c>
      <c r="B160" s="13">
        <f>INT((A160-Config!$C$6)/7)+1</f>
        <v/>
      </c>
      <c r="C160" s="10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5">
        <f>IF(COUNT(C160:P160)=0,"",IFERROR(C160/D160*1000,0))</f>
        <v/>
      </c>
      <c r="R160" s="16">
        <f>IF(COUNT(C160:P160)=0,"",IFERROR(D160/E160,0))</f>
        <v/>
      </c>
      <c r="S160" s="17">
        <f>IF(COUNT(C160:P160)=0,"",IFERROR(F160/D160,0))</f>
        <v/>
      </c>
      <c r="T160" s="15">
        <f>IF(COUNT(C160:P160)=0,"",IFERROR(C160/F160,0))</f>
        <v/>
      </c>
      <c r="U160" s="18">
        <f>IF(COUNT(C160:P160)=0,"",IFERROR(G160/F160,0))</f>
        <v/>
      </c>
      <c r="V160" s="15">
        <f>IF(COUNT(C160:P160)=0,"",IFERROR(C160/G160,0))</f>
        <v/>
      </c>
      <c r="W160" s="19">
        <f>IF(COUNT(C160:P160)=0,"",IFERROR(G160/D160*1000,0))</f>
        <v/>
      </c>
      <c r="X160" s="18">
        <f>IF(COUNT(C160:P160)=0,"",IFERROR(H160/G160,0))</f>
        <v/>
      </c>
      <c r="Y160" s="18">
        <f>IF(COUNT(C160:P160)=0,"",IFERROR(I160/H160,0))</f>
        <v/>
      </c>
      <c r="Z160" s="17">
        <f>IF(COUNT(C160:P160)=0,"",IFERROR(I160/G160,0))</f>
        <v/>
      </c>
      <c r="AA160" s="15">
        <f>IF(COUNT(C160:P160)=0,"",IFERROR(C160/I160,0))</f>
        <v/>
      </c>
      <c r="AB160" s="18">
        <f>IF(COUNT(C160:P160)=0,"",IFERROR(J160/I160,0))</f>
        <v/>
      </c>
      <c r="AC160" s="18">
        <f>IF(COUNT(C160:P160)=0,"",IFERROR(K160/I160,0))</f>
        <v/>
      </c>
      <c r="AD160" s="18">
        <f>IF(COUNT(C160:P160)=0,"",IFERROR(L160/I160,0))</f>
        <v/>
      </c>
      <c r="AE160" s="18">
        <f>IF(COUNT(C160:P160)=0,"",IFERROR(P160/I160,0))</f>
        <v/>
      </c>
      <c r="AF160" s="20">
        <f>IF(COUNT(C160:P160)=0,"",IFERROR(I160*Config!$C$7+J160*Config!$C$8+K160*Config!$C$9+L160*Config!$C$10+M160*Config!$C$11+N160*Config!$C$12+O160*Config!$C$13+P160*Config!$C$14,0))</f>
        <v/>
      </c>
      <c r="AG160" s="15">
        <f>IF(COUNT(C160:P160)=0,"",IFERROR(AF160/I160,0))</f>
        <v/>
      </c>
      <c r="AH160" s="20">
        <f>IF(COUNT(C160:P160)=0,"",IFERROR(AF160*(1-Config!$C$15-Config!$C$16-Config!$C$17),0))</f>
        <v/>
      </c>
      <c r="AI160" s="20">
        <f>IF(COUNT(C160:P160)=0,"",IFERROR(AH160-C160-Config!$C$18,0))</f>
        <v/>
      </c>
      <c r="AJ160" s="21">
        <f>IF(COUNT(C160:P160)=0,"",IFERROR(AH160/C160,0))</f>
        <v/>
      </c>
      <c r="AK160" s="15">
        <f>IF(COUNT(C160:P160)=0,"",IFERROR(AI160/G160,0))</f>
        <v/>
      </c>
      <c r="AL160" s="21">
        <f>IF(COUNT(C160:P160)=0,"",IFERROR(AK160/V160,0))</f>
        <v/>
      </c>
      <c r="AM160" s="15">
        <f>IF(COUNT(C160:P160)=0,"",IFERROR(AI160/I160,0))</f>
        <v/>
      </c>
      <c r="AN160" s="15">
        <f>IF(COUNT(C160:P160)=0,"",IFERROR(AH160/I160-AA160,0))</f>
        <v/>
      </c>
    </row>
    <row r="161">
      <c r="A161" s="12">
        <f>Config!$C$6+155</f>
        <v/>
      </c>
      <c r="B161" s="13">
        <f>INT((A161-Config!$C$6)/7)+1</f>
        <v/>
      </c>
      <c r="C161" s="10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5">
        <f>IF(COUNT(C161:P161)=0,"",IFERROR(C161/D161*1000,0))</f>
        <v/>
      </c>
      <c r="R161" s="16">
        <f>IF(COUNT(C161:P161)=0,"",IFERROR(D161/E161,0))</f>
        <v/>
      </c>
      <c r="S161" s="17">
        <f>IF(COUNT(C161:P161)=0,"",IFERROR(F161/D161,0))</f>
        <v/>
      </c>
      <c r="T161" s="15">
        <f>IF(COUNT(C161:P161)=0,"",IFERROR(C161/F161,0))</f>
        <v/>
      </c>
      <c r="U161" s="18">
        <f>IF(COUNT(C161:P161)=0,"",IFERROR(G161/F161,0))</f>
        <v/>
      </c>
      <c r="V161" s="15">
        <f>IF(COUNT(C161:P161)=0,"",IFERROR(C161/G161,0))</f>
        <v/>
      </c>
      <c r="W161" s="19">
        <f>IF(COUNT(C161:P161)=0,"",IFERROR(G161/D161*1000,0))</f>
        <v/>
      </c>
      <c r="X161" s="18">
        <f>IF(COUNT(C161:P161)=0,"",IFERROR(H161/G161,0))</f>
        <v/>
      </c>
      <c r="Y161" s="18">
        <f>IF(COUNT(C161:P161)=0,"",IFERROR(I161/H161,0))</f>
        <v/>
      </c>
      <c r="Z161" s="17">
        <f>IF(COUNT(C161:P161)=0,"",IFERROR(I161/G161,0))</f>
        <v/>
      </c>
      <c r="AA161" s="15">
        <f>IF(COUNT(C161:P161)=0,"",IFERROR(C161/I161,0))</f>
        <v/>
      </c>
      <c r="AB161" s="18">
        <f>IF(COUNT(C161:P161)=0,"",IFERROR(J161/I161,0))</f>
        <v/>
      </c>
      <c r="AC161" s="18">
        <f>IF(COUNT(C161:P161)=0,"",IFERROR(K161/I161,0))</f>
        <v/>
      </c>
      <c r="AD161" s="18">
        <f>IF(COUNT(C161:P161)=0,"",IFERROR(L161/I161,0))</f>
        <v/>
      </c>
      <c r="AE161" s="18">
        <f>IF(COUNT(C161:P161)=0,"",IFERROR(P161/I161,0))</f>
        <v/>
      </c>
      <c r="AF161" s="20">
        <f>IF(COUNT(C161:P161)=0,"",IFERROR(I161*Config!$C$7+J161*Config!$C$8+K161*Config!$C$9+L161*Config!$C$10+M161*Config!$C$11+N161*Config!$C$12+O161*Config!$C$13+P161*Config!$C$14,0))</f>
        <v/>
      </c>
      <c r="AG161" s="15">
        <f>IF(COUNT(C161:P161)=0,"",IFERROR(AF161/I161,0))</f>
        <v/>
      </c>
      <c r="AH161" s="20">
        <f>IF(COUNT(C161:P161)=0,"",IFERROR(AF161*(1-Config!$C$15-Config!$C$16-Config!$C$17),0))</f>
        <v/>
      </c>
      <c r="AI161" s="20">
        <f>IF(COUNT(C161:P161)=0,"",IFERROR(AH161-C161-Config!$C$18,0))</f>
        <v/>
      </c>
      <c r="AJ161" s="21">
        <f>IF(COUNT(C161:P161)=0,"",IFERROR(AH161/C161,0))</f>
        <v/>
      </c>
      <c r="AK161" s="15">
        <f>IF(COUNT(C161:P161)=0,"",IFERROR(AI161/G161,0))</f>
        <v/>
      </c>
      <c r="AL161" s="21">
        <f>IF(COUNT(C161:P161)=0,"",IFERROR(AK161/V161,0))</f>
        <v/>
      </c>
      <c r="AM161" s="15">
        <f>IF(COUNT(C161:P161)=0,"",IFERROR(AI161/I161,0))</f>
        <v/>
      </c>
      <c r="AN161" s="15">
        <f>IF(COUNT(C161:P161)=0,"",IFERROR(AH161/I161-AA161,0))</f>
        <v/>
      </c>
    </row>
    <row r="162">
      <c r="A162" s="12">
        <f>Config!$C$6+156</f>
        <v/>
      </c>
      <c r="B162" s="13">
        <f>INT((A162-Config!$C$6)/7)+1</f>
        <v/>
      </c>
      <c r="C162" s="10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5">
        <f>IF(COUNT(C162:P162)=0,"",IFERROR(C162/D162*1000,0))</f>
        <v/>
      </c>
      <c r="R162" s="16">
        <f>IF(COUNT(C162:P162)=0,"",IFERROR(D162/E162,0))</f>
        <v/>
      </c>
      <c r="S162" s="17">
        <f>IF(COUNT(C162:P162)=0,"",IFERROR(F162/D162,0))</f>
        <v/>
      </c>
      <c r="T162" s="15">
        <f>IF(COUNT(C162:P162)=0,"",IFERROR(C162/F162,0))</f>
        <v/>
      </c>
      <c r="U162" s="18">
        <f>IF(COUNT(C162:P162)=0,"",IFERROR(G162/F162,0))</f>
        <v/>
      </c>
      <c r="V162" s="15">
        <f>IF(COUNT(C162:P162)=0,"",IFERROR(C162/G162,0))</f>
        <v/>
      </c>
      <c r="W162" s="19">
        <f>IF(COUNT(C162:P162)=0,"",IFERROR(G162/D162*1000,0))</f>
        <v/>
      </c>
      <c r="X162" s="18">
        <f>IF(COUNT(C162:P162)=0,"",IFERROR(H162/G162,0))</f>
        <v/>
      </c>
      <c r="Y162" s="18">
        <f>IF(COUNT(C162:P162)=0,"",IFERROR(I162/H162,0))</f>
        <v/>
      </c>
      <c r="Z162" s="17">
        <f>IF(COUNT(C162:P162)=0,"",IFERROR(I162/G162,0))</f>
        <v/>
      </c>
      <c r="AA162" s="15">
        <f>IF(COUNT(C162:P162)=0,"",IFERROR(C162/I162,0))</f>
        <v/>
      </c>
      <c r="AB162" s="18">
        <f>IF(COUNT(C162:P162)=0,"",IFERROR(J162/I162,0))</f>
        <v/>
      </c>
      <c r="AC162" s="18">
        <f>IF(COUNT(C162:P162)=0,"",IFERROR(K162/I162,0))</f>
        <v/>
      </c>
      <c r="AD162" s="18">
        <f>IF(COUNT(C162:P162)=0,"",IFERROR(L162/I162,0))</f>
        <v/>
      </c>
      <c r="AE162" s="18">
        <f>IF(COUNT(C162:P162)=0,"",IFERROR(P162/I162,0))</f>
        <v/>
      </c>
      <c r="AF162" s="20">
        <f>IF(COUNT(C162:P162)=0,"",IFERROR(I162*Config!$C$7+J162*Config!$C$8+K162*Config!$C$9+L162*Config!$C$10+M162*Config!$C$11+N162*Config!$C$12+O162*Config!$C$13+P162*Config!$C$14,0))</f>
        <v/>
      </c>
      <c r="AG162" s="15">
        <f>IF(COUNT(C162:P162)=0,"",IFERROR(AF162/I162,0))</f>
        <v/>
      </c>
      <c r="AH162" s="20">
        <f>IF(COUNT(C162:P162)=0,"",IFERROR(AF162*(1-Config!$C$15-Config!$C$16-Config!$C$17),0))</f>
        <v/>
      </c>
      <c r="AI162" s="20">
        <f>IF(COUNT(C162:P162)=0,"",IFERROR(AH162-C162-Config!$C$18,0))</f>
        <v/>
      </c>
      <c r="AJ162" s="21">
        <f>IF(COUNT(C162:P162)=0,"",IFERROR(AH162/C162,0))</f>
        <v/>
      </c>
      <c r="AK162" s="15">
        <f>IF(COUNT(C162:P162)=0,"",IFERROR(AI162/G162,0))</f>
        <v/>
      </c>
      <c r="AL162" s="21">
        <f>IF(COUNT(C162:P162)=0,"",IFERROR(AK162/V162,0))</f>
        <v/>
      </c>
      <c r="AM162" s="15">
        <f>IF(COUNT(C162:P162)=0,"",IFERROR(AI162/I162,0))</f>
        <v/>
      </c>
      <c r="AN162" s="15">
        <f>IF(COUNT(C162:P162)=0,"",IFERROR(AH162/I162-AA162,0))</f>
        <v/>
      </c>
    </row>
    <row r="163">
      <c r="A163" s="12">
        <f>Config!$C$6+157</f>
        <v/>
      </c>
      <c r="B163" s="13">
        <f>INT((A163-Config!$C$6)/7)+1</f>
        <v/>
      </c>
      <c r="C163" s="10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5">
        <f>IF(COUNT(C163:P163)=0,"",IFERROR(C163/D163*1000,0))</f>
        <v/>
      </c>
      <c r="R163" s="16">
        <f>IF(COUNT(C163:P163)=0,"",IFERROR(D163/E163,0))</f>
        <v/>
      </c>
      <c r="S163" s="17">
        <f>IF(COUNT(C163:P163)=0,"",IFERROR(F163/D163,0))</f>
        <v/>
      </c>
      <c r="T163" s="15">
        <f>IF(COUNT(C163:P163)=0,"",IFERROR(C163/F163,0))</f>
        <v/>
      </c>
      <c r="U163" s="18">
        <f>IF(COUNT(C163:P163)=0,"",IFERROR(G163/F163,0))</f>
        <v/>
      </c>
      <c r="V163" s="15">
        <f>IF(COUNT(C163:P163)=0,"",IFERROR(C163/G163,0))</f>
        <v/>
      </c>
      <c r="W163" s="19">
        <f>IF(COUNT(C163:P163)=0,"",IFERROR(G163/D163*1000,0))</f>
        <v/>
      </c>
      <c r="X163" s="18">
        <f>IF(COUNT(C163:P163)=0,"",IFERROR(H163/G163,0))</f>
        <v/>
      </c>
      <c r="Y163" s="18">
        <f>IF(COUNT(C163:P163)=0,"",IFERROR(I163/H163,0))</f>
        <v/>
      </c>
      <c r="Z163" s="17">
        <f>IF(COUNT(C163:P163)=0,"",IFERROR(I163/G163,0))</f>
        <v/>
      </c>
      <c r="AA163" s="15">
        <f>IF(COUNT(C163:P163)=0,"",IFERROR(C163/I163,0))</f>
        <v/>
      </c>
      <c r="AB163" s="18">
        <f>IF(COUNT(C163:P163)=0,"",IFERROR(J163/I163,0))</f>
        <v/>
      </c>
      <c r="AC163" s="18">
        <f>IF(COUNT(C163:P163)=0,"",IFERROR(K163/I163,0))</f>
        <v/>
      </c>
      <c r="AD163" s="18">
        <f>IF(COUNT(C163:P163)=0,"",IFERROR(L163/I163,0))</f>
        <v/>
      </c>
      <c r="AE163" s="18">
        <f>IF(COUNT(C163:P163)=0,"",IFERROR(P163/I163,0))</f>
        <v/>
      </c>
      <c r="AF163" s="20">
        <f>IF(COUNT(C163:P163)=0,"",IFERROR(I163*Config!$C$7+J163*Config!$C$8+K163*Config!$C$9+L163*Config!$C$10+M163*Config!$C$11+N163*Config!$C$12+O163*Config!$C$13+P163*Config!$C$14,0))</f>
        <v/>
      </c>
      <c r="AG163" s="15">
        <f>IF(COUNT(C163:P163)=0,"",IFERROR(AF163/I163,0))</f>
        <v/>
      </c>
      <c r="AH163" s="20">
        <f>IF(COUNT(C163:P163)=0,"",IFERROR(AF163*(1-Config!$C$15-Config!$C$16-Config!$C$17),0))</f>
        <v/>
      </c>
      <c r="AI163" s="20">
        <f>IF(COUNT(C163:P163)=0,"",IFERROR(AH163-C163-Config!$C$18,0))</f>
        <v/>
      </c>
      <c r="AJ163" s="21">
        <f>IF(COUNT(C163:P163)=0,"",IFERROR(AH163/C163,0))</f>
        <v/>
      </c>
      <c r="AK163" s="15">
        <f>IF(COUNT(C163:P163)=0,"",IFERROR(AI163/G163,0))</f>
        <v/>
      </c>
      <c r="AL163" s="21">
        <f>IF(COUNT(C163:P163)=0,"",IFERROR(AK163/V163,0))</f>
        <v/>
      </c>
      <c r="AM163" s="15">
        <f>IF(COUNT(C163:P163)=0,"",IFERROR(AI163/I163,0))</f>
        <v/>
      </c>
      <c r="AN163" s="15">
        <f>IF(COUNT(C163:P163)=0,"",IFERROR(AH163/I163-AA163,0))</f>
        <v/>
      </c>
    </row>
    <row r="164">
      <c r="A164" s="12">
        <f>Config!$C$6+158</f>
        <v/>
      </c>
      <c r="B164" s="13">
        <f>INT((A164-Config!$C$6)/7)+1</f>
        <v/>
      </c>
      <c r="C164" s="10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5">
        <f>IF(COUNT(C164:P164)=0,"",IFERROR(C164/D164*1000,0))</f>
        <v/>
      </c>
      <c r="R164" s="16">
        <f>IF(COUNT(C164:P164)=0,"",IFERROR(D164/E164,0))</f>
        <v/>
      </c>
      <c r="S164" s="17">
        <f>IF(COUNT(C164:P164)=0,"",IFERROR(F164/D164,0))</f>
        <v/>
      </c>
      <c r="T164" s="15">
        <f>IF(COUNT(C164:P164)=0,"",IFERROR(C164/F164,0))</f>
        <v/>
      </c>
      <c r="U164" s="18">
        <f>IF(COUNT(C164:P164)=0,"",IFERROR(G164/F164,0))</f>
        <v/>
      </c>
      <c r="V164" s="15">
        <f>IF(COUNT(C164:P164)=0,"",IFERROR(C164/G164,0))</f>
        <v/>
      </c>
      <c r="W164" s="19">
        <f>IF(COUNT(C164:P164)=0,"",IFERROR(G164/D164*1000,0))</f>
        <v/>
      </c>
      <c r="X164" s="18">
        <f>IF(COUNT(C164:P164)=0,"",IFERROR(H164/G164,0))</f>
        <v/>
      </c>
      <c r="Y164" s="18">
        <f>IF(COUNT(C164:P164)=0,"",IFERROR(I164/H164,0))</f>
        <v/>
      </c>
      <c r="Z164" s="17">
        <f>IF(COUNT(C164:P164)=0,"",IFERROR(I164/G164,0))</f>
        <v/>
      </c>
      <c r="AA164" s="15">
        <f>IF(COUNT(C164:P164)=0,"",IFERROR(C164/I164,0))</f>
        <v/>
      </c>
      <c r="AB164" s="18">
        <f>IF(COUNT(C164:P164)=0,"",IFERROR(J164/I164,0))</f>
        <v/>
      </c>
      <c r="AC164" s="18">
        <f>IF(COUNT(C164:P164)=0,"",IFERROR(K164/I164,0))</f>
        <v/>
      </c>
      <c r="AD164" s="18">
        <f>IF(COUNT(C164:P164)=0,"",IFERROR(L164/I164,0))</f>
        <v/>
      </c>
      <c r="AE164" s="18">
        <f>IF(COUNT(C164:P164)=0,"",IFERROR(P164/I164,0))</f>
        <v/>
      </c>
      <c r="AF164" s="20">
        <f>IF(COUNT(C164:P164)=0,"",IFERROR(I164*Config!$C$7+J164*Config!$C$8+K164*Config!$C$9+L164*Config!$C$10+M164*Config!$C$11+N164*Config!$C$12+O164*Config!$C$13+P164*Config!$C$14,0))</f>
        <v/>
      </c>
      <c r="AG164" s="15">
        <f>IF(COUNT(C164:P164)=0,"",IFERROR(AF164/I164,0))</f>
        <v/>
      </c>
      <c r="AH164" s="20">
        <f>IF(COUNT(C164:P164)=0,"",IFERROR(AF164*(1-Config!$C$15-Config!$C$16-Config!$C$17),0))</f>
        <v/>
      </c>
      <c r="AI164" s="20">
        <f>IF(COUNT(C164:P164)=0,"",IFERROR(AH164-C164-Config!$C$18,0))</f>
        <v/>
      </c>
      <c r="AJ164" s="21">
        <f>IF(COUNT(C164:P164)=0,"",IFERROR(AH164/C164,0))</f>
        <v/>
      </c>
      <c r="AK164" s="15">
        <f>IF(COUNT(C164:P164)=0,"",IFERROR(AI164/G164,0))</f>
        <v/>
      </c>
      <c r="AL164" s="21">
        <f>IF(COUNT(C164:P164)=0,"",IFERROR(AK164/V164,0))</f>
        <v/>
      </c>
      <c r="AM164" s="15">
        <f>IF(COUNT(C164:P164)=0,"",IFERROR(AI164/I164,0))</f>
        <v/>
      </c>
      <c r="AN164" s="15">
        <f>IF(COUNT(C164:P164)=0,"",IFERROR(AH164/I164-AA164,0))</f>
        <v/>
      </c>
    </row>
    <row r="165">
      <c r="A165" s="12">
        <f>Config!$C$6+159</f>
        <v/>
      </c>
      <c r="B165" s="13">
        <f>INT((A165-Config!$C$6)/7)+1</f>
        <v/>
      </c>
      <c r="C165" s="10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5">
        <f>IF(COUNT(C165:P165)=0,"",IFERROR(C165/D165*1000,0))</f>
        <v/>
      </c>
      <c r="R165" s="16">
        <f>IF(COUNT(C165:P165)=0,"",IFERROR(D165/E165,0))</f>
        <v/>
      </c>
      <c r="S165" s="17">
        <f>IF(COUNT(C165:P165)=0,"",IFERROR(F165/D165,0))</f>
        <v/>
      </c>
      <c r="T165" s="15">
        <f>IF(COUNT(C165:P165)=0,"",IFERROR(C165/F165,0))</f>
        <v/>
      </c>
      <c r="U165" s="18">
        <f>IF(COUNT(C165:P165)=0,"",IFERROR(G165/F165,0))</f>
        <v/>
      </c>
      <c r="V165" s="15">
        <f>IF(COUNT(C165:P165)=0,"",IFERROR(C165/G165,0))</f>
        <v/>
      </c>
      <c r="W165" s="19">
        <f>IF(COUNT(C165:P165)=0,"",IFERROR(G165/D165*1000,0))</f>
        <v/>
      </c>
      <c r="X165" s="18">
        <f>IF(COUNT(C165:P165)=0,"",IFERROR(H165/G165,0))</f>
        <v/>
      </c>
      <c r="Y165" s="18">
        <f>IF(COUNT(C165:P165)=0,"",IFERROR(I165/H165,0))</f>
        <v/>
      </c>
      <c r="Z165" s="17">
        <f>IF(COUNT(C165:P165)=0,"",IFERROR(I165/G165,0))</f>
        <v/>
      </c>
      <c r="AA165" s="15">
        <f>IF(COUNT(C165:P165)=0,"",IFERROR(C165/I165,0))</f>
        <v/>
      </c>
      <c r="AB165" s="18">
        <f>IF(COUNT(C165:P165)=0,"",IFERROR(J165/I165,0))</f>
        <v/>
      </c>
      <c r="AC165" s="18">
        <f>IF(COUNT(C165:P165)=0,"",IFERROR(K165/I165,0))</f>
        <v/>
      </c>
      <c r="AD165" s="18">
        <f>IF(COUNT(C165:P165)=0,"",IFERROR(L165/I165,0))</f>
        <v/>
      </c>
      <c r="AE165" s="18">
        <f>IF(COUNT(C165:P165)=0,"",IFERROR(P165/I165,0))</f>
        <v/>
      </c>
      <c r="AF165" s="20">
        <f>IF(COUNT(C165:P165)=0,"",IFERROR(I165*Config!$C$7+J165*Config!$C$8+K165*Config!$C$9+L165*Config!$C$10+M165*Config!$C$11+N165*Config!$C$12+O165*Config!$C$13+P165*Config!$C$14,0))</f>
        <v/>
      </c>
      <c r="AG165" s="15">
        <f>IF(COUNT(C165:P165)=0,"",IFERROR(AF165/I165,0))</f>
        <v/>
      </c>
      <c r="AH165" s="20">
        <f>IF(COUNT(C165:P165)=0,"",IFERROR(AF165*(1-Config!$C$15-Config!$C$16-Config!$C$17),0))</f>
        <v/>
      </c>
      <c r="AI165" s="20">
        <f>IF(COUNT(C165:P165)=0,"",IFERROR(AH165-C165-Config!$C$18,0))</f>
        <v/>
      </c>
      <c r="AJ165" s="21">
        <f>IF(COUNT(C165:P165)=0,"",IFERROR(AH165/C165,0))</f>
        <v/>
      </c>
      <c r="AK165" s="15">
        <f>IF(COUNT(C165:P165)=0,"",IFERROR(AI165/G165,0))</f>
        <v/>
      </c>
      <c r="AL165" s="21">
        <f>IF(COUNT(C165:P165)=0,"",IFERROR(AK165/V165,0))</f>
        <v/>
      </c>
      <c r="AM165" s="15">
        <f>IF(COUNT(C165:P165)=0,"",IFERROR(AI165/I165,0))</f>
        <v/>
      </c>
      <c r="AN165" s="15">
        <f>IF(COUNT(C165:P165)=0,"",IFERROR(AH165/I165-AA165,0))</f>
        <v/>
      </c>
    </row>
    <row r="166">
      <c r="A166" s="12">
        <f>Config!$C$6+160</f>
        <v/>
      </c>
      <c r="B166" s="13">
        <f>INT((A166-Config!$C$6)/7)+1</f>
        <v/>
      </c>
      <c r="C166" s="10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5">
        <f>IF(COUNT(C166:P166)=0,"",IFERROR(C166/D166*1000,0))</f>
        <v/>
      </c>
      <c r="R166" s="16">
        <f>IF(COUNT(C166:P166)=0,"",IFERROR(D166/E166,0))</f>
        <v/>
      </c>
      <c r="S166" s="17">
        <f>IF(COUNT(C166:P166)=0,"",IFERROR(F166/D166,0))</f>
        <v/>
      </c>
      <c r="T166" s="15">
        <f>IF(COUNT(C166:P166)=0,"",IFERROR(C166/F166,0))</f>
        <v/>
      </c>
      <c r="U166" s="18">
        <f>IF(COUNT(C166:P166)=0,"",IFERROR(G166/F166,0))</f>
        <v/>
      </c>
      <c r="V166" s="15">
        <f>IF(COUNT(C166:P166)=0,"",IFERROR(C166/G166,0))</f>
        <v/>
      </c>
      <c r="W166" s="19">
        <f>IF(COUNT(C166:P166)=0,"",IFERROR(G166/D166*1000,0))</f>
        <v/>
      </c>
      <c r="X166" s="18">
        <f>IF(COUNT(C166:P166)=0,"",IFERROR(H166/G166,0))</f>
        <v/>
      </c>
      <c r="Y166" s="18">
        <f>IF(COUNT(C166:P166)=0,"",IFERROR(I166/H166,0))</f>
        <v/>
      </c>
      <c r="Z166" s="17">
        <f>IF(COUNT(C166:P166)=0,"",IFERROR(I166/G166,0))</f>
        <v/>
      </c>
      <c r="AA166" s="15">
        <f>IF(COUNT(C166:P166)=0,"",IFERROR(C166/I166,0))</f>
        <v/>
      </c>
      <c r="AB166" s="18">
        <f>IF(COUNT(C166:P166)=0,"",IFERROR(J166/I166,0))</f>
        <v/>
      </c>
      <c r="AC166" s="18">
        <f>IF(COUNT(C166:P166)=0,"",IFERROR(K166/I166,0))</f>
        <v/>
      </c>
      <c r="AD166" s="18">
        <f>IF(COUNT(C166:P166)=0,"",IFERROR(L166/I166,0))</f>
        <v/>
      </c>
      <c r="AE166" s="18">
        <f>IF(COUNT(C166:P166)=0,"",IFERROR(P166/I166,0))</f>
        <v/>
      </c>
      <c r="AF166" s="20">
        <f>IF(COUNT(C166:P166)=0,"",IFERROR(I166*Config!$C$7+J166*Config!$C$8+K166*Config!$C$9+L166*Config!$C$10+M166*Config!$C$11+N166*Config!$C$12+O166*Config!$C$13+P166*Config!$C$14,0))</f>
        <v/>
      </c>
      <c r="AG166" s="15">
        <f>IF(COUNT(C166:P166)=0,"",IFERROR(AF166/I166,0))</f>
        <v/>
      </c>
      <c r="AH166" s="20">
        <f>IF(COUNT(C166:P166)=0,"",IFERROR(AF166*(1-Config!$C$15-Config!$C$16-Config!$C$17),0))</f>
        <v/>
      </c>
      <c r="AI166" s="20">
        <f>IF(COUNT(C166:P166)=0,"",IFERROR(AH166-C166-Config!$C$18,0))</f>
        <v/>
      </c>
      <c r="AJ166" s="21">
        <f>IF(COUNT(C166:P166)=0,"",IFERROR(AH166/C166,0))</f>
        <v/>
      </c>
      <c r="AK166" s="15">
        <f>IF(COUNT(C166:P166)=0,"",IFERROR(AI166/G166,0))</f>
        <v/>
      </c>
      <c r="AL166" s="21">
        <f>IF(COUNT(C166:P166)=0,"",IFERROR(AK166/V166,0))</f>
        <v/>
      </c>
      <c r="AM166" s="15">
        <f>IF(COUNT(C166:P166)=0,"",IFERROR(AI166/I166,0))</f>
        <v/>
      </c>
      <c r="AN166" s="15">
        <f>IF(COUNT(C166:P166)=0,"",IFERROR(AH166/I166-AA166,0))</f>
        <v/>
      </c>
    </row>
    <row r="167">
      <c r="A167" s="12">
        <f>Config!$C$6+161</f>
        <v/>
      </c>
      <c r="B167" s="13">
        <f>INT((A167-Config!$C$6)/7)+1</f>
        <v/>
      </c>
      <c r="C167" s="10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5">
        <f>IF(COUNT(C167:P167)=0,"",IFERROR(C167/D167*1000,0))</f>
        <v/>
      </c>
      <c r="R167" s="16">
        <f>IF(COUNT(C167:P167)=0,"",IFERROR(D167/E167,0))</f>
        <v/>
      </c>
      <c r="S167" s="17">
        <f>IF(COUNT(C167:P167)=0,"",IFERROR(F167/D167,0))</f>
        <v/>
      </c>
      <c r="T167" s="15">
        <f>IF(COUNT(C167:P167)=0,"",IFERROR(C167/F167,0))</f>
        <v/>
      </c>
      <c r="U167" s="18">
        <f>IF(COUNT(C167:P167)=0,"",IFERROR(G167/F167,0))</f>
        <v/>
      </c>
      <c r="V167" s="15">
        <f>IF(COUNT(C167:P167)=0,"",IFERROR(C167/G167,0))</f>
        <v/>
      </c>
      <c r="W167" s="19">
        <f>IF(COUNT(C167:P167)=0,"",IFERROR(G167/D167*1000,0))</f>
        <v/>
      </c>
      <c r="X167" s="18">
        <f>IF(COUNT(C167:P167)=0,"",IFERROR(H167/G167,0))</f>
        <v/>
      </c>
      <c r="Y167" s="18">
        <f>IF(COUNT(C167:P167)=0,"",IFERROR(I167/H167,0))</f>
        <v/>
      </c>
      <c r="Z167" s="17">
        <f>IF(COUNT(C167:P167)=0,"",IFERROR(I167/G167,0))</f>
        <v/>
      </c>
      <c r="AA167" s="15">
        <f>IF(COUNT(C167:P167)=0,"",IFERROR(C167/I167,0))</f>
        <v/>
      </c>
      <c r="AB167" s="18">
        <f>IF(COUNT(C167:P167)=0,"",IFERROR(J167/I167,0))</f>
        <v/>
      </c>
      <c r="AC167" s="18">
        <f>IF(COUNT(C167:P167)=0,"",IFERROR(K167/I167,0))</f>
        <v/>
      </c>
      <c r="AD167" s="18">
        <f>IF(COUNT(C167:P167)=0,"",IFERROR(L167/I167,0))</f>
        <v/>
      </c>
      <c r="AE167" s="18">
        <f>IF(COUNT(C167:P167)=0,"",IFERROR(P167/I167,0))</f>
        <v/>
      </c>
      <c r="AF167" s="20">
        <f>IF(COUNT(C167:P167)=0,"",IFERROR(I167*Config!$C$7+J167*Config!$C$8+K167*Config!$C$9+L167*Config!$C$10+M167*Config!$C$11+N167*Config!$C$12+O167*Config!$C$13+P167*Config!$C$14,0))</f>
        <v/>
      </c>
      <c r="AG167" s="15">
        <f>IF(COUNT(C167:P167)=0,"",IFERROR(AF167/I167,0))</f>
        <v/>
      </c>
      <c r="AH167" s="20">
        <f>IF(COUNT(C167:P167)=0,"",IFERROR(AF167*(1-Config!$C$15-Config!$C$16-Config!$C$17),0))</f>
        <v/>
      </c>
      <c r="AI167" s="20">
        <f>IF(COUNT(C167:P167)=0,"",IFERROR(AH167-C167-Config!$C$18,0))</f>
        <v/>
      </c>
      <c r="AJ167" s="21">
        <f>IF(COUNT(C167:P167)=0,"",IFERROR(AH167/C167,0))</f>
        <v/>
      </c>
      <c r="AK167" s="15">
        <f>IF(COUNT(C167:P167)=0,"",IFERROR(AI167/G167,0))</f>
        <v/>
      </c>
      <c r="AL167" s="21">
        <f>IF(COUNT(C167:P167)=0,"",IFERROR(AK167/V167,0))</f>
        <v/>
      </c>
      <c r="AM167" s="15">
        <f>IF(COUNT(C167:P167)=0,"",IFERROR(AI167/I167,0))</f>
        <v/>
      </c>
      <c r="AN167" s="15">
        <f>IF(COUNT(C167:P167)=0,"",IFERROR(AH167/I167-AA167,0))</f>
        <v/>
      </c>
    </row>
    <row r="168">
      <c r="A168" s="12">
        <f>Config!$C$6+162</f>
        <v/>
      </c>
      <c r="B168" s="13">
        <f>INT((A168-Config!$C$6)/7)+1</f>
        <v/>
      </c>
      <c r="C168" s="10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5">
        <f>IF(COUNT(C168:P168)=0,"",IFERROR(C168/D168*1000,0))</f>
        <v/>
      </c>
      <c r="R168" s="16">
        <f>IF(COUNT(C168:P168)=0,"",IFERROR(D168/E168,0))</f>
        <v/>
      </c>
      <c r="S168" s="17">
        <f>IF(COUNT(C168:P168)=0,"",IFERROR(F168/D168,0))</f>
        <v/>
      </c>
      <c r="T168" s="15">
        <f>IF(COUNT(C168:P168)=0,"",IFERROR(C168/F168,0))</f>
        <v/>
      </c>
      <c r="U168" s="18">
        <f>IF(COUNT(C168:P168)=0,"",IFERROR(G168/F168,0))</f>
        <v/>
      </c>
      <c r="V168" s="15">
        <f>IF(COUNT(C168:P168)=0,"",IFERROR(C168/G168,0))</f>
        <v/>
      </c>
      <c r="W168" s="19">
        <f>IF(COUNT(C168:P168)=0,"",IFERROR(G168/D168*1000,0))</f>
        <v/>
      </c>
      <c r="X168" s="18">
        <f>IF(COUNT(C168:P168)=0,"",IFERROR(H168/G168,0))</f>
        <v/>
      </c>
      <c r="Y168" s="18">
        <f>IF(COUNT(C168:P168)=0,"",IFERROR(I168/H168,0))</f>
        <v/>
      </c>
      <c r="Z168" s="17">
        <f>IF(COUNT(C168:P168)=0,"",IFERROR(I168/G168,0))</f>
        <v/>
      </c>
      <c r="AA168" s="15">
        <f>IF(COUNT(C168:P168)=0,"",IFERROR(C168/I168,0))</f>
        <v/>
      </c>
      <c r="AB168" s="18">
        <f>IF(COUNT(C168:P168)=0,"",IFERROR(J168/I168,0))</f>
        <v/>
      </c>
      <c r="AC168" s="18">
        <f>IF(COUNT(C168:P168)=0,"",IFERROR(K168/I168,0))</f>
        <v/>
      </c>
      <c r="AD168" s="18">
        <f>IF(COUNT(C168:P168)=0,"",IFERROR(L168/I168,0))</f>
        <v/>
      </c>
      <c r="AE168" s="18">
        <f>IF(COUNT(C168:P168)=0,"",IFERROR(P168/I168,0))</f>
        <v/>
      </c>
      <c r="AF168" s="20">
        <f>IF(COUNT(C168:P168)=0,"",IFERROR(I168*Config!$C$7+J168*Config!$C$8+K168*Config!$C$9+L168*Config!$C$10+M168*Config!$C$11+N168*Config!$C$12+O168*Config!$C$13+P168*Config!$C$14,0))</f>
        <v/>
      </c>
      <c r="AG168" s="15">
        <f>IF(COUNT(C168:P168)=0,"",IFERROR(AF168/I168,0))</f>
        <v/>
      </c>
      <c r="AH168" s="20">
        <f>IF(COUNT(C168:P168)=0,"",IFERROR(AF168*(1-Config!$C$15-Config!$C$16-Config!$C$17),0))</f>
        <v/>
      </c>
      <c r="AI168" s="20">
        <f>IF(COUNT(C168:P168)=0,"",IFERROR(AH168-C168-Config!$C$18,0))</f>
        <v/>
      </c>
      <c r="AJ168" s="21">
        <f>IF(COUNT(C168:P168)=0,"",IFERROR(AH168/C168,0))</f>
        <v/>
      </c>
      <c r="AK168" s="15">
        <f>IF(COUNT(C168:P168)=0,"",IFERROR(AI168/G168,0))</f>
        <v/>
      </c>
      <c r="AL168" s="21">
        <f>IF(COUNT(C168:P168)=0,"",IFERROR(AK168/V168,0))</f>
        <v/>
      </c>
      <c r="AM168" s="15">
        <f>IF(COUNT(C168:P168)=0,"",IFERROR(AI168/I168,0))</f>
        <v/>
      </c>
      <c r="AN168" s="15">
        <f>IF(COUNT(C168:P168)=0,"",IFERROR(AH168/I168-AA168,0))</f>
        <v/>
      </c>
    </row>
    <row r="169">
      <c r="A169" s="12">
        <f>Config!$C$6+163</f>
        <v/>
      </c>
      <c r="B169" s="13">
        <f>INT((A169-Config!$C$6)/7)+1</f>
        <v/>
      </c>
      <c r="C169" s="10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5">
        <f>IF(COUNT(C169:P169)=0,"",IFERROR(C169/D169*1000,0))</f>
        <v/>
      </c>
      <c r="R169" s="16">
        <f>IF(COUNT(C169:P169)=0,"",IFERROR(D169/E169,0))</f>
        <v/>
      </c>
      <c r="S169" s="17">
        <f>IF(COUNT(C169:P169)=0,"",IFERROR(F169/D169,0))</f>
        <v/>
      </c>
      <c r="T169" s="15">
        <f>IF(COUNT(C169:P169)=0,"",IFERROR(C169/F169,0))</f>
        <v/>
      </c>
      <c r="U169" s="18">
        <f>IF(COUNT(C169:P169)=0,"",IFERROR(G169/F169,0))</f>
        <v/>
      </c>
      <c r="V169" s="15">
        <f>IF(COUNT(C169:P169)=0,"",IFERROR(C169/G169,0))</f>
        <v/>
      </c>
      <c r="W169" s="19">
        <f>IF(COUNT(C169:P169)=0,"",IFERROR(G169/D169*1000,0))</f>
        <v/>
      </c>
      <c r="X169" s="18">
        <f>IF(COUNT(C169:P169)=0,"",IFERROR(H169/G169,0))</f>
        <v/>
      </c>
      <c r="Y169" s="18">
        <f>IF(COUNT(C169:P169)=0,"",IFERROR(I169/H169,0))</f>
        <v/>
      </c>
      <c r="Z169" s="17">
        <f>IF(COUNT(C169:P169)=0,"",IFERROR(I169/G169,0))</f>
        <v/>
      </c>
      <c r="AA169" s="15">
        <f>IF(COUNT(C169:P169)=0,"",IFERROR(C169/I169,0))</f>
        <v/>
      </c>
      <c r="AB169" s="18">
        <f>IF(COUNT(C169:P169)=0,"",IFERROR(J169/I169,0))</f>
        <v/>
      </c>
      <c r="AC169" s="18">
        <f>IF(COUNT(C169:P169)=0,"",IFERROR(K169/I169,0))</f>
        <v/>
      </c>
      <c r="AD169" s="18">
        <f>IF(COUNT(C169:P169)=0,"",IFERROR(L169/I169,0))</f>
        <v/>
      </c>
      <c r="AE169" s="18">
        <f>IF(COUNT(C169:P169)=0,"",IFERROR(P169/I169,0))</f>
        <v/>
      </c>
      <c r="AF169" s="20">
        <f>IF(COUNT(C169:P169)=0,"",IFERROR(I169*Config!$C$7+J169*Config!$C$8+K169*Config!$C$9+L169*Config!$C$10+M169*Config!$C$11+N169*Config!$C$12+O169*Config!$C$13+P169*Config!$C$14,0))</f>
        <v/>
      </c>
      <c r="AG169" s="15">
        <f>IF(COUNT(C169:P169)=0,"",IFERROR(AF169/I169,0))</f>
        <v/>
      </c>
      <c r="AH169" s="20">
        <f>IF(COUNT(C169:P169)=0,"",IFERROR(AF169*(1-Config!$C$15-Config!$C$16-Config!$C$17),0))</f>
        <v/>
      </c>
      <c r="AI169" s="20">
        <f>IF(COUNT(C169:P169)=0,"",IFERROR(AH169-C169-Config!$C$18,0))</f>
        <v/>
      </c>
      <c r="AJ169" s="21">
        <f>IF(COUNT(C169:P169)=0,"",IFERROR(AH169/C169,0))</f>
        <v/>
      </c>
      <c r="AK169" s="15">
        <f>IF(COUNT(C169:P169)=0,"",IFERROR(AI169/G169,0))</f>
        <v/>
      </c>
      <c r="AL169" s="21">
        <f>IF(COUNT(C169:P169)=0,"",IFERROR(AK169/V169,0))</f>
        <v/>
      </c>
      <c r="AM169" s="15">
        <f>IF(COUNT(C169:P169)=0,"",IFERROR(AI169/I169,0))</f>
        <v/>
      </c>
      <c r="AN169" s="15">
        <f>IF(COUNT(C169:P169)=0,"",IFERROR(AH169/I169-AA169,0))</f>
        <v/>
      </c>
    </row>
    <row r="170">
      <c r="A170" s="12">
        <f>Config!$C$6+164</f>
        <v/>
      </c>
      <c r="B170" s="13">
        <f>INT((A170-Config!$C$6)/7)+1</f>
        <v/>
      </c>
      <c r="C170" s="10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5">
        <f>IF(COUNT(C170:P170)=0,"",IFERROR(C170/D170*1000,0))</f>
        <v/>
      </c>
      <c r="R170" s="16">
        <f>IF(COUNT(C170:P170)=0,"",IFERROR(D170/E170,0))</f>
        <v/>
      </c>
      <c r="S170" s="17">
        <f>IF(COUNT(C170:P170)=0,"",IFERROR(F170/D170,0))</f>
        <v/>
      </c>
      <c r="T170" s="15">
        <f>IF(COUNT(C170:P170)=0,"",IFERROR(C170/F170,0))</f>
        <v/>
      </c>
      <c r="U170" s="18">
        <f>IF(COUNT(C170:P170)=0,"",IFERROR(G170/F170,0))</f>
        <v/>
      </c>
      <c r="V170" s="15">
        <f>IF(COUNT(C170:P170)=0,"",IFERROR(C170/G170,0))</f>
        <v/>
      </c>
      <c r="W170" s="19">
        <f>IF(COUNT(C170:P170)=0,"",IFERROR(G170/D170*1000,0))</f>
        <v/>
      </c>
      <c r="X170" s="18">
        <f>IF(COUNT(C170:P170)=0,"",IFERROR(H170/G170,0))</f>
        <v/>
      </c>
      <c r="Y170" s="18">
        <f>IF(COUNT(C170:P170)=0,"",IFERROR(I170/H170,0))</f>
        <v/>
      </c>
      <c r="Z170" s="17">
        <f>IF(COUNT(C170:P170)=0,"",IFERROR(I170/G170,0))</f>
        <v/>
      </c>
      <c r="AA170" s="15">
        <f>IF(COUNT(C170:P170)=0,"",IFERROR(C170/I170,0))</f>
        <v/>
      </c>
      <c r="AB170" s="18">
        <f>IF(COUNT(C170:P170)=0,"",IFERROR(J170/I170,0))</f>
        <v/>
      </c>
      <c r="AC170" s="18">
        <f>IF(COUNT(C170:P170)=0,"",IFERROR(K170/I170,0))</f>
        <v/>
      </c>
      <c r="AD170" s="18">
        <f>IF(COUNT(C170:P170)=0,"",IFERROR(L170/I170,0))</f>
        <v/>
      </c>
      <c r="AE170" s="18">
        <f>IF(COUNT(C170:P170)=0,"",IFERROR(P170/I170,0))</f>
        <v/>
      </c>
      <c r="AF170" s="20">
        <f>IF(COUNT(C170:P170)=0,"",IFERROR(I170*Config!$C$7+J170*Config!$C$8+K170*Config!$C$9+L170*Config!$C$10+M170*Config!$C$11+N170*Config!$C$12+O170*Config!$C$13+P170*Config!$C$14,0))</f>
        <v/>
      </c>
      <c r="AG170" s="15">
        <f>IF(COUNT(C170:P170)=0,"",IFERROR(AF170/I170,0))</f>
        <v/>
      </c>
      <c r="AH170" s="20">
        <f>IF(COUNT(C170:P170)=0,"",IFERROR(AF170*(1-Config!$C$15-Config!$C$16-Config!$C$17),0))</f>
        <v/>
      </c>
      <c r="AI170" s="20">
        <f>IF(COUNT(C170:P170)=0,"",IFERROR(AH170-C170-Config!$C$18,0))</f>
        <v/>
      </c>
      <c r="AJ170" s="21">
        <f>IF(COUNT(C170:P170)=0,"",IFERROR(AH170/C170,0))</f>
        <v/>
      </c>
      <c r="AK170" s="15">
        <f>IF(COUNT(C170:P170)=0,"",IFERROR(AI170/G170,0))</f>
        <v/>
      </c>
      <c r="AL170" s="21">
        <f>IF(COUNT(C170:P170)=0,"",IFERROR(AK170/V170,0))</f>
        <v/>
      </c>
      <c r="AM170" s="15">
        <f>IF(COUNT(C170:P170)=0,"",IFERROR(AI170/I170,0))</f>
        <v/>
      </c>
      <c r="AN170" s="15">
        <f>IF(COUNT(C170:P170)=0,"",IFERROR(AH170/I170-AA170,0))</f>
        <v/>
      </c>
    </row>
    <row r="171">
      <c r="A171" s="12">
        <f>Config!$C$6+165</f>
        <v/>
      </c>
      <c r="B171" s="13">
        <f>INT((A171-Config!$C$6)/7)+1</f>
        <v/>
      </c>
      <c r="C171" s="10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5">
        <f>IF(COUNT(C171:P171)=0,"",IFERROR(C171/D171*1000,0))</f>
        <v/>
      </c>
      <c r="R171" s="16">
        <f>IF(COUNT(C171:P171)=0,"",IFERROR(D171/E171,0))</f>
        <v/>
      </c>
      <c r="S171" s="17">
        <f>IF(COUNT(C171:P171)=0,"",IFERROR(F171/D171,0))</f>
        <v/>
      </c>
      <c r="T171" s="15">
        <f>IF(COUNT(C171:P171)=0,"",IFERROR(C171/F171,0))</f>
        <v/>
      </c>
      <c r="U171" s="18">
        <f>IF(COUNT(C171:P171)=0,"",IFERROR(G171/F171,0))</f>
        <v/>
      </c>
      <c r="V171" s="15">
        <f>IF(COUNT(C171:P171)=0,"",IFERROR(C171/G171,0))</f>
        <v/>
      </c>
      <c r="W171" s="19">
        <f>IF(COUNT(C171:P171)=0,"",IFERROR(G171/D171*1000,0))</f>
        <v/>
      </c>
      <c r="X171" s="18">
        <f>IF(COUNT(C171:P171)=0,"",IFERROR(H171/G171,0))</f>
        <v/>
      </c>
      <c r="Y171" s="18">
        <f>IF(COUNT(C171:P171)=0,"",IFERROR(I171/H171,0))</f>
        <v/>
      </c>
      <c r="Z171" s="17">
        <f>IF(COUNT(C171:P171)=0,"",IFERROR(I171/G171,0))</f>
        <v/>
      </c>
      <c r="AA171" s="15">
        <f>IF(COUNT(C171:P171)=0,"",IFERROR(C171/I171,0))</f>
        <v/>
      </c>
      <c r="AB171" s="18">
        <f>IF(COUNT(C171:P171)=0,"",IFERROR(J171/I171,0))</f>
        <v/>
      </c>
      <c r="AC171" s="18">
        <f>IF(COUNT(C171:P171)=0,"",IFERROR(K171/I171,0))</f>
        <v/>
      </c>
      <c r="AD171" s="18">
        <f>IF(COUNT(C171:P171)=0,"",IFERROR(L171/I171,0))</f>
        <v/>
      </c>
      <c r="AE171" s="18">
        <f>IF(COUNT(C171:P171)=0,"",IFERROR(P171/I171,0))</f>
        <v/>
      </c>
      <c r="AF171" s="20">
        <f>IF(COUNT(C171:P171)=0,"",IFERROR(I171*Config!$C$7+J171*Config!$C$8+K171*Config!$C$9+L171*Config!$C$10+M171*Config!$C$11+N171*Config!$C$12+O171*Config!$C$13+P171*Config!$C$14,0))</f>
        <v/>
      </c>
      <c r="AG171" s="15">
        <f>IF(COUNT(C171:P171)=0,"",IFERROR(AF171/I171,0))</f>
        <v/>
      </c>
      <c r="AH171" s="20">
        <f>IF(COUNT(C171:P171)=0,"",IFERROR(AF171*(1-Config!$C$15-Config!$C$16-Config!$C$17),0))</f>
        <v/>
      </c>
      <c r="AI171" s="20">
        <f>IF(COUNT(C171:P171)=0,"",IFERROR(AH171-C171-Config!$C$18,0))</f>
        <v/>
      </c>
      <c r="AJ171" s="21">
        <f>IF(COUNT(C171:P171)=0,"",IFERROR(AH171/C171,0))</f>
        <v/>
      </c>
      <c r="AK171" s="15">
        <f>IF(COUNT(C171:P171)=0,"",IFERROR(AI171/G171,0))</f>
        <v/>
      </c>
      <c r="AL171" s="21">
        <f>IF(COUNT(C171:P171)=0,"",IFERROR(AK171/V171,0))</f>
        <v/>
      </c>
      <c r="AM171" s="15">
        <f>IF(COUNT(C171:P171)=0,"",IFERROR(AI171/I171,0))</f>
        <v/>
      </c>
      <c r="AN171" s="15">
        <f>IF(COUNT(C171:P171)=0,"",IFERROR(AH171/I171-AA171,0))</f>
        <v/>
      </c>
    </row>
    <row r="172">
      <c r="A172" s="12">
        <f>Config!$C$6+166</f>
        <v/>
      </c>
      <c r="B172" s="13">
        <f>INT((A172-Config!$C$6)/7)+1</f>
        <v/>
      </c>
      <c r="C172" s="10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5">
        <f>IF(COUNT(C172:P172)=0,"",IFERROR(C172/D172*1000,0))</f>
        <v/>
      </c>
      <c r="R172" s="16">
        <f>IF(COUNT(C172:P172)=0,"",IFERROR(D172/E172,0))</f>
        <v/>
      </c>
      <c r="S172" s="17">
        <f>IF(COUNT(C172:P172)=0,"",IFERROR(F172/D172,0))</f>
        <v/>
      </c>
      <c r="T172" s="15">
        <f>IF(COUNT(C172:P172)=0,"",IFERROR(C172/F172,0))</f>
        <v/>
      </c>
      <c r="U172" s="18">
        <f>IF(COUNT(C172:P172)=0,"",IFERROR(G172/F172,0))</f>
        <v/>
      </c>
      <c r="V172" s="15">
        <f>IF(COUNT(C172:P172)=0,"",IFERROR(C172/G172,0))</f>
        <v/>
      </c>
      <c r="W172" s="19">
        <f>IF(COUNT(C172:P172)=0,"",IFERROR(G172/D172*1000,0))</f>
        <v/>
      </c>
      <c r="X172" s="18">
        <f>IF(COUNT(C172:P172)=0,"",IFERROR(H172/G172,0))</f>
        <v/>
      </c>
      <c r="Y172" s="18">
        <f>IF(COUNT(C172:P172)=0,"",IFERROR(I172/H172,0))</f>
        <v/>
      </c>
      <c r="Z172" s="17">
        <f>IF(COUNT(C172:P172)=0,"",IFERROR(I172/G172,0))</f>
        <v/>
      </c>
      <c r="AA172" s="15">
        <f>IF(COUNT(C172:P172)=0,"",IFERROR(C172/I172,0))</f>
        <v/>
      </c>
      <c r="AB172" s="18">
        <f>IF(COUNT(C172:P172)=0,"",IFERROR(J172/I172,0))</f>
        <v/>
      </c>
      <c r="AC172" s="18">
        <f>IF(COUNT(C172:P172)=0,"",IFERROR(K172/I172,0))</f>
        <v/>
      </c>
      <c r="AD172" s="18">
        <f>IF(COUNT(C172:P172)=0,"",IFERROR(L172/I172,0))</f>
        <v/>
      </c>
      <c r="AE172" s="18">
        <f>IF(COUNT(C172:P172)=0,"",IFERROR(P172/I172,0))</f>
        <v/>
      </c>
      <c r="AF172" s="20">
        <f>IF(COUNT(C172:P172)=0,"",IFERROR(I172*Config!$C$7+J172*Config!$C$8+K172*Config!$C$9+L172*Config!$C$10+M172*Config!$C$11+N172*Config!$C$12+O172*Config!$C$13+P172*Config!$C$14,0))</f>
        <v/>
      </c>
      <c r="AG172" s="15">
        <f>IF(COUNT(C172:P172)=0,"",IFERROR(AF172/I172,0))</f>
        <v/>
      </c>
      <c r="AH172" s="20">
        <f>IF(COUNT(C172:P172)=0,"",IFERROR(AF172*(1-Config!$C$15-Config!$C$16-Config!$C$17),0))</f>
        <v/>
      </c>
      <c r="AI172" s="20">
        <f>IF(COUNT(C172:P172)=0,"",IFERROR(AH172-C172-Config!$C$18,0))</f>
        <v/>
      </c>
      <c r="AJ172" s="21">
        <f>IF(COUNT(C172:P172)=0,"",IFERROR(AH172/C172,0))</f>
        <v/>
      </c>
      <c r="AK172" s="15">
        <f>IF(COUNT(C172:P172)=0,"",IFERROR(AI172/G172,0))</f>
        <v/>
      </c>
      <c r="AL172" s="21">
        <f>IF(COUNT(C172:P172)=0,"",IFERROR(AK172/V172,0))</f>
        <v/>
      </c>
      <c r="AM172" s="15">
        <f>IF(COUNT(C172:P172)=0,"",IFERROR(AI172/I172,0))</f>
        <v/>
      </c>
      <c r="AN172" s="15">
        <f>IF(COUNT(C172:P172)=0,"",IFERROR(AH172/I172-AA172,0))</f>
        <v/>
      </c>
    </row>
    <row r="173">
      <c r="A173" s="12">
        <f>Config!$C$6+167</f>
        <v/>
      </c>
      <c r="B173" s="13">
        <f>INT((A173-Config!$C$6)/7)+1</f>
        <v/>
      </c>
      <c r="C173" s="10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5">
        <f>IF(COUNT(C173:P173)=0,"",IFERROR(C173/D173*1000,0))</f>
        <v/>
      </c>
      <c r="R173" s="16">
        <f>IF(COUNT(C173:P173)=0,"",IFERROR(D173/E173,0))</f>
        <v/>
      </c>
      <c r="S173" s="17">
        <f>IF(COUNT(C173:P173)=0,"",IFERROR(F173/D173,0))</f>
        <v/>
      </c>
      <c r="T173" s="15">
        <f>IF(COUNT(C173:P173)=0,"",IFERROR(C173/F173,0))</f>
        <v/>
      </c>
      <c r="U173" s="18">
        <f>IF(COUNT(C173:P173)=0,"",IFERROR(G173/F173,0))</f>
        <v/>
      </c>
      <c r="V173" s="15">
        <f>IF(COUNT(C173:P173)=0,"",IFERROR(C173/G173,0))</f>
        <v/>
      </c>
      <c r="W173" s="19">
        <f>IF(COUNT(C173:P173)=0,"",IFERROR(G173/D173*1000,0))</f>
        <v/>
      </c>
      <c r="X173" s="18">
        <f>IF(COUNT(C173:P173)=0,"",IFERROR(H173/G173,0))</f>
        <v/>
      </c>
      <c r="Y173" s="18">
        <f>IF(COUNT(C173:P173)=0,"",IFERROR(I173/H173,0))</f>
        <v/>
      </c>
      <c r="Z173" s="17">
        <f>IF(COUNT(C173:P173)=0,"",IFERROR(I173/G173,0))</f>
        <v/>
      </c>
      <c r="AA173" s="15">
        <f>IF(COUNT(C173:P173)=0,"",IFERROR(C173/I173,0))</f>
        <v/>
      </c>
      <c r="AB173" s="18">
        <f>IF(COUNT(C173:P173)=0,"",IFERROR(J173/I173,0))</f>
        <v/>
      </c>
      <c r="AC173" s="18">
        <f>IF(COUNT(C173:P173)=0,"",IFERROR(K173/I173,0))</f>
        <v/>
      </c>
      <c r="AD173" s="18">
        <f>IF(COUNT(C173:P173)=0,"",IFERROR(L173/I173,0))</f>
        <v/>
      </c>
      <c r="AE173" s="18">
        <f>IF(COUNT(C173:P173)=0,"",IFERROR(P173/I173,0))</f>
        <v/>
      </c>
      <c r="AF173" s="20">
        <f>IF(COUNT(C173:P173)=0,"",IFERROR(I173*Config!$C$7+J173*Config!$C$8+K173*Config!$C$9+L173*Config!$C$10+M173*Config!$C$11+N173*Config!$C$12+O173*Config!$C$13+P173*Config!$C$14,0))</f>
        <v/>
      </c>
      <c r="AG173" s="15">
        <f>IF(COUNT(C173:P173)=0,"",IFERROR(AF173/I173,0))</f>
        <v/>
      </c>
      <c r="AH173" s="20">
        <f>IF(COUNT(C173:P173)=0,"",IFERROR(AF173*(1-Config!$C$15-Config!$C$16-Config!$C$17),0))</f>
        <v/>
      </c>
      <c r="AI173" s="20">
        <f>IF(COUNT(C173:P173)=0,"",IFERROR(AH173-C173-Config!$C$18,0))</f>
        <v/>
      </c>
      <c r="AJ173" s="21">
        <f>IF(COUNT(C173:P173)=0,"",IFERROR(AH173/C173,0))</f>
        <v/>
      </c>
      <c r="AK173" s="15">
        <f>IF(COUNT(C173:P173)=0,"",IFERROR(AI173/G173,0))</f>
        <v/>
      </c>
      <c r="AL173" s="21">
        <f>IF(COUNT(C173:P173)=0,"",IFERROR(AK173/V173,0))</f>
        <v/>
      </c>
      <c r="AM173" s="15">
        <f>IF(COUNT(C173:P173)=0,"",IFERROR(AI173/I173,0))</f>
        <v/>
      </c>
      <c r="AN173" s="15">
        <f>IF(COUNT(C173:P173)=0,"",IFERROR(AH173/I173-AA173,0))</f>
        <v/>
      </c>
    </row>
    <row r="174">
      <c r="A174" s="12">
        <f>Config!$C$6+168</f>
        <v/>
      </c>
      <c r="B174" s="13">
        <f>INT((A174-Config!$C$6)/7)+1</f>
        <v/>
      </c>
      <c r="C174" s="10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5">
        <f>IF(COUNT(C174:P174)=0,"",IFERROR(C174/D174*1000,0))</f>
        <v/>
      </c>
      <c r="R174" s="16">
        <f>IF(COUNT(C174:P174)=0,"",IFERROR(D174/E174,0))</f>
        <v/>
      </c>
      <c r="S174" s="17">
        <f>IF(COUNT(C174:P174)=0,"",IFERROR(F174/D174,0))</f>
        <v/>
      </c>
      <c r="T174" s="15">
        <f>IF(COUNT(C174:P174)=0,"",IFERROR(C174/F174,0))</f>
        <v/>
      </c>
      <c r="U174" s="18">
        <f>IF(COUNT(C174:P174)=0,"",IFERROR(G174/F174,0))</f>
        <v/>
      </c>
      <c r="V174" s="15">
        <f>IF(COUNT(C174:P174)=0,"",IFERROR(C174/G174,0))</f>
        <v/>
      </c>
      <c r="W174" s="19">
        <f>IF(COUNT(C174:P174)=0,"",IFERROR(G174/D174*1000,0))</f>
        <v/>
      </c>
      <c r="X174" s="18">
        <f>IF(COUNT(C174:P174)=0,"",IFERROR(H174/G174,0))</f>
        <v/>
      </c>
      <c r="Y174" s="18">
        <f>IF(COUNT(C174:P174)=0,"",IFERROR(I174/H174,0))</f>
        <v/>
      </c>
      <c r="Z174" s="17">
        <f>IF(COUNT(C174:P174)=0,"",IFERROR(I174/G174,0))</f>
        <v/>
      </c>
      <c r="AA174" s="15">
        <f>IF(COUNT(C174:P174)=0,"",IFERROR(C174/I174,0))</f>
        <v/>
      </c>
      <c r="AB174" s="18">
        <f>IF(COUNT(C174:P174)=0,"",IFERROR(J174/I174,0))</f>
        <v/>
      </c>
      <c r="AC174" s="18">
        <f>IF(COUNT(C174:P174)=0,"",IFERROR(K174/I174,0))</f>
        <v/>
      </c>
      <c r="AD174" s="18">
        <f>IF(COUNT(C174:P174)=0,"",IFERROR(L174/I174,0))</f>
        <v/>
      </c>
      <c r="AE174" s="18">
        <f>IF(COUNT(C174:P174)=0,"",IFERROR(P174/I174,0))</f>
        <v/>
      </c>
      <c r="AF174" s="20">
        <f>IF(COUNT(C174:P174)=0,"",IFERROR(I174*Config!$C$7+J174*Config!$C$8+K174*Config!$C$9+L174*Config!$C$10+M174*Config!$C$11+N174*Config!$C$12+O174*Config!$C$13+P174*Config!$C$14,0))</f>
        <v/>
      </c>
      <c r="AG174" s="15">
        <f>IF(COUNT(C174:P174)=0,"",IFERROR(AF174/I174,0))</f>
        <v/>
      </c>
      <c r="AH174" s="20">
        <f>IF(COUNT(C174:P174)=0,"",IFERROR(AF174*(1-Config!$C$15-Config!$C$16-Config!$C$17),0))</f>
        <v/>
      </c>
      <c r="AI174" s="20">
        <f>IF(COUNT(C174:P174)=0,"",IFERROR(AH174-C174-Config!$C$18,0))</f>
        <v/>
      </c>
      <c r="AJ174" s="21">
        <f>IF(COUNT(C174:P174)=0,"",IFERROR(AH174/C174,0))</f>
        <v/>
      </c>
      <c r="AK174" s="15">
        <f>IF(COUNT(C174:P174)=0,"",IFERROR(AI174/G174,0))</f>
        <v/>
      </c>
      <c r="AL174" s="21">
        <f>IF(COUNT(C174:P174)=0,"",IFERROR(AK174/V174,0))</f>
        <v/>
      </c>
      <c r="AM174" s="15">
        <f>IF(COUNT(C174:P174)=0,"",IFERROR(AI174/I174,0))</f>
        <v/>
      </c>
      <c r="AN174" s="15">
        <f>IF(COUNT(C174:P174)=0,"",IFERROR(AH174/I174-AA174,0))</f>
        <v/>
      </c>
    </row>
    <row r="175">
      <c r="A175" s="12">
        <f>Config!$C$6+169</f>
        <v/>
      </c>
      <c r="B175" s="13">
        <f>INT((A175-Config!$C$6)/7)+1</f>
        <v/>
      </c>
      <c r="C175" s="10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5">
        <f>IF(COUNT(C175:P175)=0,"",IFERROR(C175/D175*1000,0))</f>
        <v/>
      </c>
      <c r="R175" s="16">
        <f>IF(COUNT(C175:P175)=0,"",IFERROR(D175/E175,0))</f>
        <v/>
      </c>
      <c r="S175" s="17">
        <f>IF(COUNT(C175:P175)=0,"",IFERROR(F175/D175,0))</f>
        <v/>
      </c>
      <c r="T175" s="15">
        <f>IF(COUNT(C175:P175)=0,"",IFERROR(C175/F175,0))</f>
        <v/>
      </c>
      <c r="U175" s="18">
        <f>IF(COUNT(C175:P175)=0,"",IFERROR(G175/F175,0))</f>
        <v/>
      </c>
      <c r="V175" s="15">
        <f>IF(COUNT(C175:P175)=0,"",IFERROR(C175/G175,0))</f>
        <v/>
      </c>
      <c r="W175" s="19">
        <f>IF(COUNT(C175:P175)=0,"",IFERROR(G175/D175*1000,0))</f>
        <v/>
      </c>
      <c r="X175" s="18">
        <f>IF(COUNT(C175:P175)=0,"",IFERROR(H175/G175,0))</f>
        <v/>
      </c>
      <c r="Y175" s="18">
        <f>IF(COUNT(C175:P175)=0,"",IFERROR(I175/H175,0))</f>
        <v/>
      </c>
      <c r="Z175" s="17">
        <f>IF(COUNT(C175:P175)=0,"",IFERROR(I175/G175,0))</f>
        <v/>
      </c>
      <c r="AA175" s="15">
        <f>IF(COUNT(C175:P175)=0,"",IFERROR(C175/I175,0))</f>
        <v/>
      </c>
      <c r="AB175" s="18">
        <f>IF(COUNT(C175:P175)=0,"",IFERROR(J175/I175,0))</f>
        <v/>
      </c>
      <c r="AC175" s="18">
        <f>IF(COUNT(C175:P175)=0,"",IFERROR(K175/I175,0))</f>
        <v/>
      </c>
      <c r="AD175" s="18">
        <f>IF(COUNT(C175:P175)=0,"",IFERROR(L175/I175,0))</f>
        <v/>
      </c>
      <c r="AE175" s="18">
        <f>IF(COUNT(C175:P175)=0,"",IFERROR(P175/I175,0))</f>
        <v/>
      </c>
      <c r="AF175" s="20">
        <f>IF(COUNT(C175:P175)=0,"",IFERROR(I175*Config!$C$7+J175*Config!$C$8+K175*Config!$C$9+L175*Config!$C$10+M175*Config!$C$11+N175*Config!$C$12+O175*Config!$C$13+P175*Config!$C$14,0))</f>
        <v/>
      </c>
      <c r="AG175" s="15">
        <f>IF(COUNT(C175:P175)=0,"",IFERROR(AF175/I175,0))</f>
        <v/>
      </c>
      <c r="AH175" s="20">
        <f>IF(COUNT(C175:P175)=0,"",IFERROR(AF175*(1-Config!$C$15-Config!$C$16-Config!$C$17),0))</f>
        <v/>
      </c>
      <c r="AI175" s="20">
        <f>IF(COUNT(C175:P175)=0,"",IFERROR(AH175-C175-Config!$C$18,0))</f>
        <v/>
      </c>
      <c r="AJ175" s="21">
        <f>IF(COUNT(C175:P175)=0,"",IFERROR(AH175/C175,0))</f>
        <v/>
      </c>
      <c r="AK175" s="15">
        <f>IF(COUNT(C175:P175)=0,"",IFERROR(AI175/G175,0))</f>
        <v/>
      </c>
      <c r="AL175" s="21">
        <f>IF(COUNT(C175:P175)=0,"",IFERROR(AK175/V175,0))</f>
        <v/>
      </c>
      <c r="AM175" s="15">
        <f>IF(COUNT(C175:P175)=0,"",IFERROR(AI175/I175,0))</f>
        <v/>
      </c>
      <c r="AN175" s="15">
        <f>IF(COUNT(C175:P175)=0,"",IFERROR(AH175/I175-AA175,0))</f>
        <v/>
      </c>
    </row>
    <row r="176">
      <c r="A176" s="12">
        <f>Config!$C$6+170</f>
        <v/>
      </c>
      <c r="B176" s="13">
        <f>INT((A176-Config!$C$6)/7)+1</f>
        <v/>
      </c>
      <c r="C176" s="10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5">
        <f>IF(COUNT(C176:P176)=0,"",IFERROR(C176/D176*1000,0))</f>
        <v/>
      </c>
      <c r="R176" s="16">
        <f>IF(COUNT(C176:P176)=0,"",IFERROR(D176/E176,0))</f>
        <v/>
      </c>
      <c r="S176" s="17">
        <f>IF(COUNT(C176:P176)=0,"",IFERROR(F176/D176,0))</f>
        <v/>
      </c>
      <c r="T176" s="15">
        <f>IF(COUNT(C176:P176)=0,"",IFERROR(C176/F176,0))</f>
        <v/>
      </c>
      <c r="U176" s="18">
        <f>IF(COUNT(C176:P176)=0,"",IFERROR(G176/F176,0))</f>
        <v/>
      </c>
      <c r="V176" s="15">
        <f>IF(COUNT(C176:P176)=0,"",IFERROR(C176/G176,0))</f>
        <v/>
      </c>
      <c r="W176" s="19">
        <f>IF(COUNT(C176:P176)=0,"",IFERROR(G176/D176*1000,0))</f>
        <v/>
      </c>
      <c r="X176" s="18">
        <f>IF(COUNT(C176:P176)=0,"",IFERROR(H176/G176,0))</f>
        <v/>
      </c>
      <c r="Y176" s="18">
        <f>IF(COUNT(C176:P176)=0,"",IFERROR(I176/H176,0))</f>
        <v/>
      </c>
      <c r="Z176" s="17">
        <f>IF(COUNT(C176:P176)=0,"",IFERROR(I176/G176,0))</f>
        <v/>
      </c>
      <c r="AA176" s="15">
        <f>IF(COUNT(C176:P176)=0,"",IFERROR(C176/I176,0))</f>
        <v/>
      </c>
      <c r="AB176" s="18">
        <f>IF(COUNT(C176:P176)=0,"",IFERROR(J176/I176,0))</f>
        <v/>
      </c>
      <c r="AC176" s="18">
        <f>IF(COUNT(C176:P176)=0,"",IFERROR(K176/I176,0))</f>
        <v/>
      </c>
      <c r="AD176" s="18">
        <f>IF(COUNT(C176:P176)=0,"",IFERROR(L176/I176,0))</f>
        <v/>
      </c>
      <c r="AE176" s="18">
        <f>IF(COUNT(C176:P176)=0,"",IFERROR(P176/I176,0))</f>
        <v/>
      </c>
      <c r="AF176" s="20">
        <f>IF(COUNT(C176:P176)=0,"",IFERROR(I176*Config!$C$7+J176*Config!$C$8+K176*Config!$C$9+L176*Config!$C$10+M176*Config!$C$11+N176*Config!$C$12+O176*Config!$C$13+P176*Config!$C$14,0))</f>
        <v/>
      </c>
      <c r="AG176" s="15">
        <f>IF(COUNT(C176:P176)=0,"",IFERROR(AF176/I176,0))</f>
        <v/>
      </c>
      <c r="AH176" s="20">
        <f>IF(COUNT(C176:P176)=0,"",IFERROR(AF176*(1-Config!$C$15-Config!$C$16-Config!$C$17),0))</f>
        <v/>
      </c>
      <c r="AI176" s="20">
        <f>IF(COUNT(C176:P176)=0,"",IFERROR(AH176-C176-Config!$C$18,0))</f>
        <v/>
      </c>
      <c r="AJ176" s="21">
        <f>IF(COUNT(C176:P176)=0,"",IFERROR(AH176/C176,0))</f>
        <v/>
      </c>
      <c r="AK176" s="15">
        <f>IF(COUNT(C176:P176)=0,"",IFERROR(AI176/G176,0))</f>
        <v/>
      </c>
      <c r="AL176" s="21">
        <f>IF(COUNT(C176:P176)=0,"",IFERROR(AK176/V176,0))</f>
        <v/>
      </c>
      <c r="AM176" s="15">
        <f>IF(COUNT(C176:P176)=0,"",IFERROR(AI176/I176,0))</f>
        <v/>
      </c>
      <c r="AN176" s="15">
        <f>IF(COUNT(C176:P176)=0,"",IFERROR(AH176/I176-AA176,0))</f>
        <v/>
      </c>
    </row>
    <row r="177">
      <c r="A177" s="12">
        <f>Config!$C$6+171</f>
        <v/>
      </c>
      <c r="B177" s="13">
        <f>INT((A177-Config!$C$6)/7)+1</f>
        <v/>
      </c>
      <c r="C177" s="10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5">
        <f>IF(COUNT(C177:P177)=0,"",IFERROR(C177/D177*1000,0))</f>
        <v/>
      </c>
      <c r="R177" s="16">
        <f>IF(COUNT(C177:P177)=0,"",IFERROR(D177/E177,0))</f>
        <v/>
      </c>
      <c r="S177" s="17">
        <f>IF(COUNT(C177:P177)=0,"",IFERROR(F177/D177,0))</f>
        <v/>
      </c>
      <c r="T177" s="15">
        <f>IF(COUNT(C177:P177)=0,"",IFERROR(C177/F177,0))</f>
        <v/>
      </c>
      <c r="U177" s="18">
        <f>IF(COUNT(C177:P177)=0,"",IFERROR(G177/F177,0))</f>
        <v/>
      </c>
      <c r="V177" s="15">
        <f>IF(COUNT(C177:P177)=0,"",IFERROR(C177/G177,0))</f>
        <v/>
      </c>
      <c r="W177" s="19">
        <f>IF(COUNT(C177:P177)=0,"",IFERROR(G177/D177*1000,0))</f>
        <v/>
      </c>
      <c r="X177" s="18">
        <f>IF(COUNT(C177:P177)=0,"",IFERROR(H177/G177,0))</f>
        <v/>
      </c>
      <c r="Y177" s="18">
        <f>IF(COUNT(C177:P177)=0,"",IFERROR(I177/H177,0))</f>
        <v/>
      </c>
      <c r="Z177" s="17">
        <f>IF(COUNT(C177:P177)=0,"",IFERROR(I177/G177,0))</f>
        <v/>
      </c>
      <c r="AA177" s="15">
        <f>IF(COUNT(C177:P177)=0,"",IFERROR(C177/I177,0))</f>
        <v/>
      </c>
      <c r="AB177" s="18">
        <f>IF(COUNT(C177:P177)=0,"",IFERROR(J177/I177,0))</f>
        <v/>
      </c>
      <c r="AC177" s="18">
        <f>IF(COUNT(C177:P177)=0,"",IFERROR(K177/I177,0))</f>
        <v/>
      </c>
      <c r="AD177" s="18">
        <f>IF(COUNT(C177:P177)=0,"",IFERROR(L177/I177,0))</f>
        <v/>
      </c>
      <c r="AE177" s="18">
        <f>IF(COUNT(C177:P177)=0,"",IFERROR(P177/I177,0))</f>
        <v/>
      </c>
      <c r="AF177" s="20">
        <f>IF(COUNT(C177:P177)=0,"",IFERROR(I177*Config!$C$7+J177*Config!$C$8+K177*Config!$C$9+L177*Config!$C$10+M177*Config!$C$11+N177*Config!$C$12+O177*Config!$C$13+P177*Config!$C$14,0))</f>
        <v/>
      </c>
      <c r="AG177" s="15">
        <f>IF(COUNT(C177:P177)=0,"",IFERROR(AF177/I177,0))</f>
        <v/>
      </c>
      <c r="AH177" s="20">
        <f>IF(COUNT(C177:P177)=0,"",IFERROR(AF177*(1-Config!$C$15-Config!$C$16-Config!$C$17),0))</f>
        <v/>
      </c>
      <c r="AI177" s="20">
        <f>IF(COUNT(C177:P177)=0,"",IFERROR(AH177-C177-Config!$C$18,0))</f>
        <v/>
      </c>
      <c r="AJ177" s="21">
        <f>IF(COUNT(C177:P177)=0,"",IFERROR(AH177/C177,0))</f>
        <v/>
      </c>
      <c r="AK177" s="15">
        <f>IF(COUNT(C177:P177)=0,"",IFERROR(AI177/G177,0))</f>
        <v/>
      </c>
      <c r="AL177" s="21">
        <f>IF(COUNT(C177:P177)=0,"",IFERROR(AK177/V177,0))</f>
        <v/>
      </c>
      <c r="AM177" s="15">
        <f>IF(COUNT(C177:P177)=0,"",IFERROR(AI177/I177,0))</f>
        <v/>
      </c>
      <c r="AN177" s="15">
        <f>IF(COUNT(C177:P177)=0,"",IFERROR(AH177/I177-AA177,0))</f>
        <v/>
      </c>
    </row>
    <row r="178">
      <c r="A178" s="12">
        <f>Config!$C$6+172</f>
        <v/>
      </c>
      <c r="B178" s="13">
        <f>INT((A178-Config!$C$6)/7)+1</f>
        <v/>
      </c>
      <c r="C178" s="10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5">
        <f>IF(COUNT(C178:P178)=0,"",IFERROR(C178/D178*1000,0))</f>
        <v/>
      </c>
      <c r="R178" s="16">
        <f>IF(COUNT(C178:P178)=0,"",IFERROR(D178/E178,0))</f>
        <v/>
      </c>
      <c r="S178" s="17">
        <f>IF(COUNT(C178:P178)=0,"",IFERROR(F178/D178,0))</f>
        <v/>
      </c>
      <c r="T178" s="15">
        <f>IF(COUNT(C178:P178)=0,"",IFERROR(C178/F178,0))</f>
        <v/>
      </c>
      <c r="U178" s="18">
        <f>IF(COUNT(C178:P178)=0,"",IFERROR(G178/F178,0))</f>
        <v/>
      </c>
      <c r="V178" s="15">
        <f>IF(COUNT(C178:P178)=0,"",IFERROR(C178/G178,0))</f>
        <v/>
      </c>
      <c r="W178" s="19">
        <f>IF(COUNT(C178:P178)=0,"",IFERROR(G178/D178*1000,0))</f>
        <v/>
      </c>
      <c r="X178" s="18">
        <f>IF(COUNT(C178:P178)=0,"",IFERROR(H178/G178,0))</f>
        <v/>
      </c>
      <c r="Y178" s="18">
        <f>IF(COUNT(C178:P178)=0,"",IFERROR(I178/H178,0))</f>
        <v/>
      </c>
      <c r="Z178" s="17">
        <f>IF(COUNT(C178:P178)=0,"",IFERROR(I178/G178,0))</f>
        <v/>
      </c>
      <c r="AA178" s="15">
        <f>IF(COUNT(C178:P178)=0,"",IFERROR(C178/I178,0))</f>
        <v/>
      </c>
      <c r="AB178" s="18">
        <f>IF(COUNT(C178:P178)=0,"",IFERROR(J178/I178,0))</f>
        <v/>
      </c>
      <c r="AC178" s="18">
        <f>IF(COUNT(C178:P178)=0,"",IFERROR(K178/I178,0))</f>
        <v/>
      </c>
      <c r="AD178" s="18">
        <f>IF(COUNT(C178:P178)=0,"",IFERROR(L178/I178,0))</f>
        <v/>
      </c>
      <c r="AE178" s="18">
        <f>IF(COUNT(C178:P178)=0,"",IFERROR(P178/I178,0))</f>
        <v/>
      </c>
      <c r="AF178" s="20">
        <f>IF(COUNT(C178:P178)=0,"",IFERROR(I178*Config!$C$7+J178*Config!$C$8+K178*Config!$C$9+L178*Config!$C$10+M178*Config!$C$11+N178*Config!$C$12+O178*Config!$C$13+P178*Config!$C$14,0))</f>
        <v/>
      </c>
      <c r="AG178" s="15">
        <f>IF(COUNT(C178:P178)=0,"",IFERROR(AF178/I178,0))</f>
        <v/>
      </c>
      <c r="AH178" s="20">
        <f>IF(COUNT(C178:P178)=0,"",IFERROR(AF178*(1-Config!$C$15-Config!$C$16-Config!$C$17),0))</f>
        <v/>
      </c>
      <c r="AI178" s="20">
        <f>IF(COUNT(C178:P178)=0,"",IFERROR(AH178-C178-Config!$C$18,0))</f>
        <v/>
      </c>
      <c r="AJ178" s="21">
        <f>IF(COUNT(C178:P178)=0,"",IFERROR(AH178/C178,0))</f>
        <v/>
      </c>
      <c r="AK178" s="15">
        <f>IF(COUNT(C178:P178)=0,"",IFERROR(AI178/G178,0))</f>
        <v/>
      </c>
      <c r="AL178" s="21">
        <f>IF(COUNT(C178:P178)=0,"",IFERROR(AK178/V178,0))</f>
        <v/>
      </c>
      <c r="AM178" s="15">
        <f>IF(COUNT(C178:P178)=0,"",IFERROR(AI178/I178,0))</f>
        <v/>
      </c>
      <c r="AN178" s="15">
        <f>IF(COUNT(C178:P178)=0,"",IFERROR(AH178/I178-AA178,0))</f>
        <v/>
      </c>
    </row>
    <row r="179">
      <c r="A179" s="12">
        <f>Config!$C$6+173</f>
        <v/>
      </c>
      <c r="B179" s="13">
        <f>INT((A179-Config!$C$6)/7)+1</f>
        <v/>
      </c>
      <c r="C179" s="10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5">
        <f>IF(COUNT(C179:P179)=0,"",IFERROR(C179/D179*1000,0))</f>
        <v/>
      </c>
      <c r="R179" s="16">
        <f>IF(COUNT(C179:P179)=0,"",IFERROR(D179/E179,0))</f>
        <v/>
      </c>
      <c r="S179" s="17">
        <f>IF(COUNT(C179:P179)=0,"",IFERROR(F179/D179,0))</f>
        <v/>
      </c>
      <c r="T179" s="15">
        <f>IF(COUNT(C179:P179)=0,"",IFERROR(C179/F179,0))</f>
        <v/>
      </c>
      <c r="U179" s="18">
        <f>IF(COUNT(C179:P179)=0,"",IFERROR(G179/F179,0))</f>
        <v/>
      </c>
      <c r="V179" s="15">
        <f>IF(COUNT(C179:P179)=0,"",IFERROR(C179/G179,0))</f>
        <v/>
      </c>
      <c r="W179" s="19">
        <f>IF(COUNT(C179:P179)=0,"",IFERROR(G179/D179*1000,0))</f>
        <v/>
      </c>
      <c r="X179" s="18">
        <f>IF(COUNT(C179:P179)=0,"",IFERROR(H179/G179,0))</f>
        <v/>
      </c>
      <c r="Y179" s="18">
        <f>IF(COUNT(C179:P179)=0,"",IFERROR(I179/H179,0))</f>
        <v/>
      </c>
      <c r="Z179" s="17">
        <f>IF(COUNT(C179:P179)=0,"",IFERROR(I179/G179,0))</f>
        <v/>
      </c>
      <c r="AA179" s="15">
        <f>IF(COUNT(C179:P179)=0,"",IFERROR(C179/I179,0))</f>
        <v/>
      </c>
      <c r="AB179" s="18">
        <f>IF(COUNT(C179:P179)=0,"",IFERROR(J179/I179,0))</f>
        <v/>
      </c>
      <c r="AC179" s="18">
        <f>IF(COUNT(C179:P179)=0,"",IFERROR(K179/I179,0))</f>
        <v/>
      </c>
      <c r="AD179" s="18">
        <f>IF(COUNT(C179:P179)=0,"",IFERROR(L179/I179,0))</f>
        <v/>
      </c>
      <c r="AE179" s="18">
        <f>IF(COUNT(C179:P179)=0,"",IFERROR(P179/I179,0))</f>
        <v/>
      </c>
      <c r="AF179" s="20">
        <f>IF(COUNT(C179:P179)=0,"",IFERROR(I179*Config!$C$7+J179*Config!$C$8+K179*Config!$C$9+L179*Config!$C$10+M179*Config!$C$11+N179*Config!$C$12+O179*Config!$C$13+P179*Config!$C$14,0))</f>
        <v/>
      </c>
      <c r="AG179" s="15">
        <f>IF(COUNT(C179:P179)=0,"",IFERROR(AF179/I179,0))</f>
        <v/>
      </c>
      <c r="AH179" s="20">
        <f>IF(COUNT(C179:P179)=0,"",IFERROR(AF179*(1-Config!$C$15-Config!$C$16-Config!$C$17),0))</f>
        <v/>
      </c>
      <c r="AI179" s="20">
        <f>IF(COUNT(C179:P179)=0,"",IFERROR(AH179-C179-Config!$C$18,0))</f>
        <v/>
      </c>
      <c r="AJ179" s="21">
        <f>IF(COUNT(C179:P179)=0,"",IFERROR(AH179/C179,0))</f>
        <v/>
      </c>
      <c r="AK179" s="15">
        <f>IF(COUNT(C179:P179)=0,"",IFERROR(AI179/G179,0))</f>
        <v/>
      </c>
      <c r="AL179" s="21">
        <f>IF(COUNT(C179:P179)=0,"",IFERROR(AK179/V179,0))</f>
        <v/>
      </c>
      <c r="AM179" s="15">
        <f>IF(COUNT(C179:P179)=0,"",IFERROR(AI179/I179,0))</f>
        <v/>
      </c>
      <c r="AN179" s="15">
        <f>IF(COUNT(C179:P179)=0,"",IFERROR(AH179/I179-AA179,0))</f>
        <v/>
      </c>
    </row>
    <row r="180">
      <c r="A180" s="12">
        <f>Config!$C$6+174</f>
        <v/>
      </c>
      <c r="B180" s="13">
        <f>INT((A180-Config!$C$6)/7)+1</f>
        <v/>
      </c>
      <c r="C180" s="10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5">
        <f>IF(COUNT(C180:P180)=0,"",IFERROR(C180/D180*1000,0))</f>
        <v/>
      </c>
      <c r="R180" s="16">
        <f>IF(COUNT(C180:P180)=0,"",IFERROR(D180/E180,0))</f>
        <v/>
      </c>
      <c r="S180" s="17">
        <f>IF(COUNT(C180:P180)=0,"",IFERROR(F180/D180,0))</f>
        <v/>
      </c>
      <c r="T180" s="15">
        <f>IF(COUNT(C180:P180)=0,"",IFERROR(C180/F180,0))</f>
        <v/>
      </c>
      <c r="U180" s="18">
        <f>IF(COUNT(C180:P180)=0,"",IFERROR(G180/F180,0))</f>
        <v/>
      </c>
      <c r="V180" s="15">
        <f>IF(COUNT(C180:P180)=0,"",IFERROR(C180/G180,0))</f>
        <v/>
      </c>
      <c r="W180" s="19">
        <f>IF(COUNT(C180:P180)=0,"",IFERROR(G180/D180*1000,0))</f>
        <v/>
      </c>
      <c r="X180" s="18">
        <f>IF(COUNT(C180:P180)=0,"",IFERROR(H180/G180,0))</f>
        <v/>
      </c>
      <c r="Y180" s="18">
        <f>IF(COUNT(C180:P180)=0,"",IFERROR(I180/H180,0))</f>
        <v/>
      </c>
      <c r="Z180" s="17">
        <f>IF(COUNT(C180:P180)=0,"",IFERROR(I180/G180,0))</f>
        <v/>
      </c>
      <c r="AA180" s="15">
        <f>IF(COUNT(C180:P180)=0,"",IFERROR(C180/I180,0))</f>
        <v/>
      </c>
      <c r="AB180" s="18">
        <f>IF(COUNT(C180:P180)=0,"",IFERROR(J180/I180,0))</f>
        <v/>
      </c>
      <c r="AC180" s="18">
        <f>IF(COUNT(C180:P180)=0,"",IFERROR(K180/I180,0))</f>
        <v/>
      </c>
      <c r="AD180" s="18">
        <f>IF(COUNT(C180:P180)=0,"",IFERROR(L180/I180,0))</f>
        <v/>
      </c>
      <c r="AE180" s="18">
        <f>IF(COUNT(C180:P180)=0,"",IFERROR(P180/I180,0))</f>
        <v/>
      </c>
      <c r="AF180" s="20">
        <f>IF(COUNT(C180:P180)=0,"",IFERROR(I180*Config!$C$7+J180*Config!$C$8+K180*Config!$C$9+L180*Config!$C$10+M180*Config!$C$11+N180*Config!$C$12+O180*Config!$C$13+P180*Config!$C$14,0))</f>
        <v/>
      </c>
      <c r="AG180" s="15">
        <f>IF(COUNT(C180:P180)=0,"",IFERROR(AF180/I180,0))</f>
        <v/>
      </c>
      <c r="AH180" s="20">
        <f>IF(COUNT(C180:P180)=0,"",IFERROR(AF180*(1-Config!$C$15-Config!$C$16-Config!$C$17),0))</f>
        <v/>
      </c>
      <c r="AI180" s="20">
        <f>IF(COUNT(C180:P180)=0,"",IFERROR(AH180-C180-Config!$C$18,0))</f>
        <v/>
      </c>
      <c r="AJ180" s="21">
        <f>IF(COUNT(C180:P180)=0,"",IFERROR(AH180/C180,0))</f>
        <v/>
      </c>
      <c r="AK180" s="15">
        <f>IF(COUNT(C180:P180)=0,"",IFERROR(AI180/G180,0))</f>
        <v/>
      </c>
      <c r="AL180" s="21">
        <f>IF(COUNT(C180:P180)=0,"",IFERROR(AK180/V180,0))</f>
        <v/>
      </c>
      <c r="AM180" s="15">
        <f>IF(COUNT(C180:P180)=0,"",IFERROR(AI180/I180,0))</f>
        <v/>
      </c>
      <c r="AN180" s="15">
        <f>IF(COUNT(C180:P180)=0,"",IFERROR(AH180/I180-AA180,0))</f>
        <v/>
      </c>
    </row>
    <row r="181">
      <c r="A181" s="12">
        <f>Config!$C$6+175</f>
        <v/>
      </c>
      <c r="B181" s="13">
        <f>INT((A181-Config!$C$6)/7)+1</f>
        <v/>
      </c>
      <c r="C181" s="10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5">
        <f>IF(COUNT(C181:P181)=0,"",IFERROR(C181/D181*1000,0))</f>
        <v/>
      </c>
      <c r="R181" s="16">
        <f>IF(COUNT(C181:P181)=0,"",IFERROR(D181/E181,0))</f>
        <v/>
      </c>
      <c r="S181" s="17">
        <f>IF(COUNT(C181:P181)=0,"",IFERROR(F181/D181,0))</f>
        <v/>
      </c>
      <c r="T181" s="15">
        <f>IF(COUNT(C181:P181)=0,"",IFERROR(C181/F181,0))</f>
        <v/>
      </c>
      <c r="U181" s="18">
        <f>IF(COUNT(C181:P181)=0,"",IFERROR(G181/F181,0))</f>
        <v/>
      </c>
      <c r="V181" s="15">
        <f>IF(COUNT(C181:P181)=0,"",IFERROR(C181/G181,0))</f>
        <v/>
      </c>
      <c r="W181" s="19">
        <f>IF(COUNT(C181:P181)=0,"",IFERROR(G181/D181*1000,0))</f>
        <v/>
      </c>
      <c r="X181" s="18">
        <f>IF(COUNT(C181:P181)=0,"",IFERROR(H181/G181,0))</f>
        <v/>
      </c>
      <c r="Y181" s="18">
        <f>IF(COUNT(C181:P181)=0,"",IFERROR(I181/H181,0))</f>
        <v/>
      </c>
      <c r="Z181" s="17">
        <f>IF(COUNT(C181:P181)=0,"",IFERROR(I181/G181,0))</f>
        <v/>
      </c>
      <c r="AA181" s="15">
        <f>IF(COUNT(C181:P181)=0,"",IFERROR(C181/I181,0))</f>
        <v/>
      </c>
      <c r="AB181" s="18">
        <f>IF(COUNT(C181:P181)=0,"",IFERROR(J181/I181,0))</f>
        <v/>
      </c>
      <c r="AC181" s="18">
        <f>IF(COUNT(C181:P181)=0,"",IFERROR(K181/I181,0))</f>
        <v/>
      </c>
      <c r="AD181" s="18">
        <f>IF(COUNT(C181:P181)=0,"",IFERROR(L181/I181,0))</f>
        <v/>
      </c>
      <c r="AE181" s="18">
        <f>IF(COUNT(C181:P181)=0,"",IFERROR(P181/I181,0))</f>
        <v/>
      </c>
      <c r="AF181" s="20">
        <f>IF(COUNT(C181:P181)=0,"",IFERROR(I181*Config!$C$7+J181*Config!$C$8+K181*Config!$C$9+L181*Config!$C$10+M181*Config!$C$11+N181*Config!$C$12+O181*Config!$C$13+P181*Config!$C$14,0))</f>
        <v/>
      </c>
      <c r="AG181" s="15">
        <f>IF(COUNT(C181:P181)=0,"",IFERROR(AF181/I181,0))</f>
        <v/>
      </c>
      <c r="AH181" s="20">
        <f>IF(COUNT(C181:P181)=0,"",IFERROR(AF181*(1-Config!$C$15-Config!$C$16-Config!$C$17),0))</f>
        <v/>
      </c>
      <c r="AI181" s="20">
        <f>IF(COUNT(C181:P181)=0,"",IFERROR(AH181-C181-Config!$C$18,0))</f>
        <v/>
      </c>
      <c r="AJ181" s="21">
        <f>IF(COUNT(C181:P181)=0,"",IFERROR(AH181/C181,0))</f>
        <v/>
      </c>
      <c r="AK181" s="15">
        <f>IF(COUNT(C181:P181)=0,"",IFERROR(AI181/G181,0))</f>
        <v/>
      </c>
      <c r="AL181" s="21">
        <f>IF(COUNT(C181:P181)=0,"",IFERROR(AK181/V181,0))</f>
        <v/>
      </c>
      <c r="AM181" s="15">
        <f>IF(COUNT(C181:P181)=0,"",IFERROR(AI181/I181,0))</f>
        <v/>
      </c>
      <c r="AN181" s="15">
        <f>IF(COUNT(C181:P181)=0,"",IFERROR(AH181/I181-AA181,0))</f>
        <v/>
      </c>
    </row>
    <row r="182">
      <c r="A182" s="12">
        <f>Config!$C$6+176</f>
        <v/>
      </c>
      <c r="B182" s="13">
        <f>INT((A182-Config!$C$6)/7)+1</f>
        <v/>
      </c>
      <c r="C182" s="10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5">
        <f>IF(COUNT(C182:P182)=0,"",IFERROR(C182/D182*1000,0))</f>
        <v/>
      </c>
      <c r="R182" s="16">
        <f>IF(COUNT(C182:P182)=0,"",IFERROR(D182/E182,0))</f>
        <v/>
      </c>
      <c r="S182" s="17">
        <f>IF(COUNT(C182:P182)=0,"",IFERROR(F182/D182,0))</f>
        <v/>
      </c>
      <c r="T182" s="15">
        <f>IF(COUNT(C182:P182)=0,"",IFERROR(C182/F182,0))</f>
        <v/>
      </c>
      <c r="U182" s="18">
        <f>IF(COUNT(C182:P182)=0,"",IFERROR(G182/F182,0))</f>
        <v/>
      </c>
      <c r="V182" s="15">
        <f>IF(COUNT(C182:P182)=0,"",IFERROR(C182/G182,0))</f>
        <v/>
      </c>
      <c r="W182" s="19">
        <f>IF(COUNT(C182:P182)=0,"",IFERROR(G182/D182*1000,0))</f>
        <v/>
      </c>
      <c r="X182" s="18">
        <f>IF(COUNT(C182:P182)=0,"",IFERROR(H182/G182,0))</f>
        <v/>
      </c>
      <c r="Y182" s="18">
        <f>IF(COUNT(C182:P182)=0,"",IFERROR(I182/H182,0))</f>
        <v/>
      </c>
      <c r="Z182" s="17">
        <f>IF(COUNT(C182:P182)=0,"",IFERROR(I182/G182,0))</f>
        <v/>
      </c>
      <c r="AA182" s="15">
        <f>IF(COUNT(C182:P182)=0,"",IFERROR(C182/I182,0))</f>
        <v/>
      </c>
      <c r="AB182" s="18">
        <f>IF(COUNT(C182:P182)=0,"",IFERROR(J182/I182,0))</f>
        <v/>
      </c>
      <c r="AC182" s="18">
        <f>IF(COUNT(C182:P182)=0,"",IFERROR(K182/I182,0))</f>
        <v/>
      </c>
      <c r="AD182" s="18">
        <f>IF(COUNT(C182:P182)=0,"",IFERROR(L182/I182,0))</f>
        <v/>
      </c>
      <c r="AE182" s="18">
        <f>IF(COUNT(C182:P182)=0,"",IFERROR(P182/I182,0))</f>
        <v/>
      </c>
      <c r="AF182" s="20">
        <f>IF(COUNT(C182:P182)=0,"",IFERROR(I182*Config!$C$7+J182*Config!$C$8+K182*Config!$C$9+L182*Config!$C$10+M182*Config!$C$11+N182*Config!$C$12+O182*Config!$C$13+P182*Config!$C$14,0))</f>
        <v/>
      </c>
      <c r="AG182" s="15">
        <f>IF(COUNT(C182:P182)=0,"",IFERROR(AF182/I182,0))</f>
        <v/>
      </c>
      <c r="AH182" s="20">
        <f>IF(COUNT(C182:P182)=0,"",IFERROR(AF182*(1-Config!$C$15-Config!$C$16-Config!$C$17),0))</f>
        <v/>
      </c>
      <c r="AI182" s="20">
        <f>IF(COUNT(C182:P182)=0,"",IFERROR(AH182-C182-Config!$C$18,0))</f>
        <v/>
      </c>
      <c r="AJ182" s="21">
        <f>IF(COUNT(C182:P182)=0,"",IFERROR(AH182/C182,0))</f>
        <v/>
      </c>
      <c r="AK182" s="15">
        <f>IF(COUNT(C182:P182)=0,"",IFERROR(AI182/G182,0))</f>
        <v/>
      </c>
      <c r="AL182" s="21">
        <f>IF(COUNT(C182:P182)=0,"",IFERROR(AK182/V182,0))</f>
        <v/>
      </c>
      <c r="AM182" s="15">
        <f>IF(COUNT(C182:P182)=0,"",IFERROR(AI182/I182,0))</f>
        <v/>
      </c>
      <c r="AN182" s="15">
        <f>IF(COUNT(C182:P182)=0,"",IFERROR(AH182/I182-AA182,0))</f>
        <v/>
      </c>
    </row>
    <row r="183">
      <c r="A183" s="12">
        <f>Config!$C$6+177</f>
        <v/>
      </c>
      <c r="B183" s="13">
        <f>INT((A183-Config!$C$6)/7)+1</f>
        <v/>
      </c>
      <c r="C183" s="10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5">
        <f>IF(COUNT(C183:P183)=0,"",IFERROR(C183/D183*1000,0))</f>
        <v/>
      </c>
      <c r="R183" s="16">
        <f>IF(COUNT(C183:P183)=0,"",IFERROR(D183/E183,0))</f>
        <v/>
      </c>
      <c r="S183" s="17">
        <f>IF(COUNT(C183:P183)=0,"",IFERROR(F183/D183,0))</f>
        <v/>
      </c>
      <c r="T183" s="15">
        <f>IF(COUNT(C183:P183)=0,"",IFERROR(C183/F183,0))</f>
        <v/>
      </c>
      <c r="U183" s="18">
        <f>IF(COUNT(C183:P183)=0,"",IFERROR(G183/F183,0))</f>
        <v/>
      </c>
      <c r="V183" s="15">
        <f>IF(COUNT(C183:P183)=0,"",IFERROR(C183/G183,0))</f>
        <v/>
      </c>
      <c r="W183" s="19">
        <f>IF(COUNT(C183:P183)=0,"",IFERROR(G183/D183*1000,0))</f>
        <v/>
      </c>
      <c r="X183" s="18">
        <f>IF(COUNT(C183:P183)=0,"",IFERROR(H183/G183,0))</f>
        <v/>
      </c>
      <c r="Y183" s="18">
        <f>IF(COUNT(C183:P183)=0,"",IFERROR(I183/H183,0))</f>
        <v/>
      </c>
      <c r="Z183" s="17">
        <f>IF(COUNT(C183:P183)=0,"",IFERROR(I183/G183,0))</f>
        <v/>
      </c>
      <c r="AA183" s="15">
        <f>IF(COUNT(C183:P183)=0,"",IFERROR(C183/I183,0))</f>
        <v/>
      </c>
      <c r="AB183" s="18">
        <f>IF(COUNT(C183:P183)=0,"",IFERROR(J183/I183,0))</f>
        <v/>
      </c>
      <c r="AC183" s="18">
        <f>IF(COUNT(C183:P183)=0,"",IFERROR(K183/I183,0))</f>
        <v/>
      </c>
      <c r="AD183" s="18">
        <f>IF(COUNT(C183:P183)=0,"",IFERROR(L183/I183,0))</f>
        <v/>
      </c>
      <c r="AE183" s="18">
        <f>IF(COUNT(C183:P183)=0,"",IFERROR(P183/I183,0))</f>
        <v/>
      </c>
      <c r="AF183" s="20">
        <f>IF(COUNT(C183:P183)=0,"",IFERROR(I183*Config!$C$7+J183*Config!$C$8+K183*Config!$C$9+L183*Config!$C$10+M183*Config!$C$11+N183*Config!$C$12+O183*Config!$C$13+P183*Config!$C$14,0))</f>
        <v/>
      </c>
      <c r="AG183" s="15">
        <f>IF(COUNT(C183:P183)=0,"",IFERROR(AF183/I183,0))</f>
        <v/>
      </c>
      <c r="AH183" s="20">
        <f>IF(COUNT(C183:P183)=0,"",IFERROR(AF183*(1-Config!$C$15-Config!$C$16-Config!$C$17),0))</f>
        <v/>
      </c>
      <c r="AI183" s="20">
        <f>IF(COUNT(C183:P183)=0,"",IFERROR(AH183-C183-Config!$C$18,0))</f>
        <v/>
      </c>
      <c r="AJ183" s="21">
        <f>IF(COUNT(C183:P183)=0,"",IFERROR(AH183/C183,0))</f>
        <v/>
      </c>
      <c r="AK183" s="15">
        <f>IF(COUNT(C183:P183)=0,"",IFERROR(AI183/G183,0))</f>
        <v/>
      </c>
      <c r="AL183" s="21">
        <f>IF(COUNT(C183:P183)=0,"",IFERROR(AK183/V183,0))</f>
        <v/>
      </c>
      <c r="AM183" s="15">
        <f>IF(COUNT(C183:P183)=0,"",IFERROR(AI183/I183,0))</f>
        <v/>
      </c>
      <c r="AN183" s="15">
        <f>IF(COUNT(C183:P183)=0,"",IFERROR(AH183/I183-AA183,0))</f>
        <v/>
      </c>
    </row>
    <row r="184">
      <c r="A184" s="12">
        <f>Config!$C$6+178</f>
        <v/>
      </c>
      <c r="B184" s="13">
        <f>INT((A184-Config!$C$6)/7)+1</f>
        <v/>
      </c>
      <c r="C184" s="10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5">
        <f>IF(COUNT(C184:P184)=0,"",IFERROR(C184/D184*1000,0))</f>
        <v/>
      </c>
      <c r="R184" s="16">
        <f>IF(COUNT(C184:P184)=0,"",IFERROR(D184/E184,0))</f>
        <v/>
      </c>
      <c r="S184" s="17">
        <f>IF(COUNT(C184:P184)=0,"",IFERROR(F184/D184,0))</f>
        <v/>
      </c>
      <c r="T184" s="15">
        <f>IF(COUNT(C184:P184)=0,"",IFERROR(C184/F184,0))</f>
        <v/>
      </c>
      <c r="U184" s="18">
        <f>IF(COUNT(C184:P184)=0,"",IFERROR(G184/F184,0))</f>
        <v/>
      </c>
      <c r="V184" s="15">
        <f>IF(COUNT(C184:P184)=0,"",IFERROR(C184/G184,0))</f>
        <v/>
      </c>
      <c r="W184" s="19">
        <f>IF(COUNT(C184:P184)=0,"",IFERROR(G184/D184*1000,0))</f>
        <v/>
      </c>
      <c r="X184" s="18">
        <f>IF(COUNT(C184:P184)=0,"",IFERROR(H184/G184,0))</f>
        <v/>
      </c>
      <c r="Y184" s="18">
        <f>IF(COUNT(C184:P184)=0,"",IFERROR(I184/H184,0))</f>
        <v/>
      </c>
      <c r="Z184" s="17">
        <f>IF(COUNT(C184:P184)=0,"",IFERROR(I184/G184,0))</f>
        <v/>
      </c>
      <c r="AA184" s="15">
        <f>IF(COUNT(C184:P184)=0,"",IFERROR(C184/I184,0))</f>
        <v/>
      </c>
      <c r="AB184" s="18">
        <f>IF(COUNT(C184:P184)=0,"",IFERROR(J184/I184,0))</f>
        <v/>
      </c>
      <c r="AC184" s="18">
        <f>IF(COUNT(C184:P184)=0,"",IFERROR(K184/I184,0))</f>
        <v/>
      </c>
      <c r="AD184" s="18">
        <f>IF(COUNT(C184:P184)=0,"",IFERROR(L184/I184,0))</f>
        <v/>
      </c>
      <c r="AE184" s="18">
        <f>IF(COUNT(C184:P184)=0,"",IFERROR(P184/I184,0))</f>
        <v/>
      </c>
      <c r="AF184" s="20">
        <f>IF(COUNT(C184:P184)=0,"",IFERROR(I184*Config!$C$7+J184*Config!$C$8+K184*Config!$C$9+L184*Config!$C$10+M184*Config!$C$11+N184*Config!$C$12+O184*Config!$C$13+P184*Config!$C$14,0))</f>
        <v/>
      </c>
      <c r="AG184" s="15">
        <f>IF(COUNT(C184:P184)=0,"",IFERROR(AF184/I184,0))</f>
        <v/>
      </c>
      <c r="AH184" s="20">
        <f>IF(COUNT(C184:P184)=0,"",IFERROR(AF184*(1-Config!$C$15-Config!$C$16-Config!$C$17),0))</f>
        <v/>
      </c>
      <c r="AI184" s="20">
        <f>IF(COUNT(C184:P184)=0,"",IFERROR(AH184-C184-Config!$C$18,0))</f>
        <v/>
      </c>
      <c r="AJ184" s="21">
        <f>IF(COUNT(C184:P184)=0,"",IFERROR(AH184/C184,0))</f>
        <v/>
      </c>
      <c r="AK184" s="15">
        <f>IF(COUNT(C184:P184)=0,"",IFERROR(AI184/G184,0))</f>
        <v/>
      </c>
      <c r="AL184" s="21">
        <f>IF(COUNT(C184:P184)=0,"",IFERROR(AK184/V184,0))</f>
        <v/>
      </c>
      <c r="AM184" s="15">
        <f>IF(COUNT(C184:P184)=0,"",IFERROR(AI184/I184,0))</f>
        <v/>
      </c>
      <c r="AN184" s="15">
        <f>IF(COUNT(C184:P184)=0,"",IFERROR(AH184/I184-AA184,0))</f>
        <v/>
      </c>
    </row>
    <row r="185">
      <c r="A185" s="12">
        <f>Config!$C$6+179</f>
        <v/>
      </c>
      <c r="B185" s="13">
        <f>INT((A185-Config!$C$6)/7)+1</f>
        <v/>
      </c>
      <c r="C185" s="10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5">
        <f>IF(COUNT(C185:P185)=0,"",IFERROR(C185/D185*1000,0))</f>
        <v/>
      </c>
      <c r="R185" s="16">
        <f>IF(COUNT(C185:P185)=0,"",IFERROR(D185/E185,0))</f>
        <v/>
      </c>
      <c r="S185" s="17">
        <f>IF(COUNT(C185:P185)=0,"",IFERROR(F185/D185,0))</f>
        <v/>
      </c>
      <c r="T185" s="15">
        <f>IF(COUNT(C185:P185)=0,"",IFERROR(C185/F185,0))</f>
        <v/>
      </c>
      <c r="U185" s="18">
        <f>IF(COUNT(C185:P185)=0,"",IFERROR(G185/F185,0))</f>
        <v/>
      </c>
      <c r="V185" s="15">
        <f>IF(COUNT(C185:P185)=0,"",IFERROR(C185/G185,0))</f>
        <v/>
      </c>
      <c r="W185" s="19">
        <f>IF(COUNT(C185:P185)=0,"",IFERROR(G185/D185*1000,0))</f>
        <v/>
      </c>
      <c r="X185" s="18">
        <f>IF(COUNT(C185:P185)=0,"",IFERROR(H185/G185,0))</f>
        <v/>
      </c>
      <c r="Y185" s="18">
        <f>IF(COUNT(C185:P185)=0,"",IFERROR(I185/H185,0))</f>
        <v/>
      </c>
      <c r="Z185" s="17">
        <f>IF(COUNT(C185:P185)=0,"",IFERROR(I185/G185,0))</f>
        <v/>
      </c>
      <c r="AA185" s="15">
        <f>IF(COUNT(C185:P185)=0,"",IFERROR(C185/I185,0))</f>
        <v/>
      </c>
      <c r="AB185" s="18">
        <f>IF(COUNT(C185:P185)=0,"",IFERROR(J185/I185,0))</f>
        <v/>
      </c>
      <c r="AC185" s="18">
        <f>IF(COUNT(C185:P185)=0,"",IFERROR(K185/I185,0))</f>
        <v/>
      </c>
      <c r="AD185" s="18">
        <f>IF(COUNT(C185:P185)=0,"",IFERROR(L185/I185,0))</f>
        <v/>
      </c>
      <c r="AE185" s="18">
        <f>IF(COUNT(C185:P185)=0,"",IFERROR(P185/I185,0))</f>
        <v/>
      </c>
      <c r="AF185" s="20">
        <f>IF(COUNT(C185:P185)=0,"",IFERROR(I185*Config!$C$7+J185*Config!$C$8+K185*Config!$C$9+L185*Config!$C$10+M185*Config!$C$11+N185*Config!$C$12+O185*Config!$C$13+P185*Config!$C$14,0))</f>
        <v/>
      </c>
      <c r="AG185" s="15">
        <f>IF(COUNT(C185:P185)=0,"",IFERROR(AF185/I185,0))</f>
        <v/>
      </c>
      <c r="AH185" s="20">
        <f>IF(COUNT(C185:P185)=0,"",IFERROR(AF185*(1-Config!$C$15-Config!$C$16-Config!$C$17),0))</f>
        <v/>
      </c>
      <c r="AI185" s="20">
        <f>IF(COUNT(C185:P185)=0,"",IFERROR(AH185-C185-Config!$C$18,0))</f>
        <v/>
      </c>
      <c r="AJ185" s="21">
        <f>IF(COUNT(C185:P185)=0,"",IFERROR(AH185/C185,0))</f>
        <v/>
      </c>
      <c r="AK185" s="15">
        <f>IF(COUNT(C185:P185)=0,"",IFERROR(AI185/G185,0))</f>
        <v/>
      </c>
      <c r="AL185" s="21">
        <f>IF(COUNT(C185:P185)=0,"",IFERROR(AK185/V185,0))</f>
        <v/>
      </c>
      <c r="AM185" s="15">
        <f>IF(COUNT(C185:P185)=0,"",IFERROR(AI185/I185,0))</f>
        <v/>
      </c>
      <c r="AN185" s="15">
        <f>IF(COUNT(C185:P185)=0,"",IFERROR(AH185/I185-AA185,0))</f>
        <v/>
      </c>
    </row>
    <row r="186">
      <c r="A186" s="12">
        <f>Config!$C$6+180</f>
        <v/>
      </c>
      <c r="B186" s="13">
        <f>INT((A186-Config!$C$6)/7)+1</f>
        <v/>
      </c>
      <c r="C186" s="10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5">
        <f>IF(COUNT(C186:P186)=0,"",IFERROR(C186/D186*1000,0))</f>
        <v/>
      </c>
      <c r="R186" s="16">
        <f>IF(COUNT(C186:P186)=0,"",IFERROR(D186/E186,0))</f>
        <v/>
      </c>
      <c r="S186" s="17">
        <f>IF(COUNT(C186:P186)=0,"",IFERROR(F186/D186,0))</f>
        <v/>
      </c>
      <c r="T186" s="15">
        <f>IF(COUNT(C186:P186)=0,"",IFERROR(C186/F186,0))</f>
        <v/>
      </c>
      <c r="U186" s="18">
        <f>IF(COUNT(C186:P186)=0,"",IFERROR(G186/F186,0))</f>
        <v/>
      </c>
      <c r="V186" s="15">
        <f>IF(COUNT(C186:P186)=0,"",IFERROR(C186/G186,0))</f>
        <v/>
      </c>
      <c r="W186" s="19">
        <f>IF(COUNT(C186:P186)=0,"",IFERROR(G186/D186*1000,0))</f>
        <v/>
      </c>
      <c r="X186" s="18">
        <f>IF(COUNT(C186:P186)=0,"",IFERROR(H186/G186,0))</f>
        <v/>
      </c>
      <c r="Y186" s="18">
        <f>IF(COUNT(C186:P186)=0,"",IFERROR(I186/H186,0))</f>
        <v/>
      </c>
      <c r="Z186" s="17">
        <f>IF(COUNT(C186:P186)=0,"",IFERROR(I186/G186,0))</f>
        <v/>
      </c>
      <c r="AA186" s="15">
        <f>IF(COUNT(C186:P186)=0,"",IFERROR(C186/I186,0))</f>
        <v/>
      </c>
      <c r="AB186" s="18">
        <f>IF(COUNT(C186:P186)=0,"",IFERROR(J186/I186,0))</f>
        <v/>
      </c>
      <c r="AC186" s="18">
        <f>IF(COUNT(C186:P186)=0,"",IFERROR(K186/I186,0))</f>
        <v/>
      </c>
      <c r="AD186" s="18">
        <f>IF(COUNT(C186:P186)=0,"",IFERROR(L186/I186,0))</f>
        <v/>
      </c>
      <c r="AE186" s="18">
        <f>IF(COUNT(C186:P186)=0,"",IFERROR(P186/I186,0))</f>
        <v/>
      </c>
      <c r="AF186" s="20">
        <f>IF(COUNT(C186:P186)=0,"",IFERROR(I186*Config!$C$7+J186*Config!$C$8+K186*Config!$C$9+L186*Config!$C$10+M186*Config!$C$11+N186*Config!$C$12+O186*Config!$C$13+P186*Config!$C$14,0))</f>
        <v/>
      </c>
      <c r="AG186" s="15">
        <f>IF(COUNT(C186:P186)=0,"",IFERROR(AF186/I186,0))</f>
        <v/>
      </c>
      <c r="AH186" s="20">
        <f>IF(COUNT(C186:P186)=0,"",IFERROR(AF186*(1-Config!$C$15-Config!$C$16-Config!$C$17),0))</f>
        <v/>
      </c>
      <c r="AI186" s="20">
        <f>IF(COUNT(C186:P186)=0,"",IFERROR(AH186-C186-Config!$C$18,0))</f>
        <v/>
      </c>
      <c r="AJ186" s="21">
        <f>IF(COUNT(C186:P186)=0,"",IFERROR(AH186/C186,0))</f>
        <v/>
      </c>
      <c r="AK186" s="15">
        <f>IF(COUNT(C186:P186)=0,"",IFERROR(AI186/G186,0))</f>
        <v/>
      </c>
      <c r="AL186" s="21">
        <f>IF(COUNT(C186:P186)=0,"",IFERROR(AK186/V186,0))</f>
        <v/>
      </c>
      <c r="AM186" s="15">
        <f>IF(COUNT(C186:P186)=0,"",IFERROR(AI186/I186,0))</f>
        <v/>
      </c>
      <c r="AN186" s="15">
        <f>IF(COUNT(C186:P186)=0,"",IFERROR(AH186/I186-AA186,0))</f>
        <v/>
      </c>
    </row>
    <row r="187">
      <c r="A187" s="12">
        <f>Config!$C$6+181</f>
        <v/>
      </c>
      <c r="B187" s="13">
        <f>INT((A187-Config!$C$6)/7)+1</f>
        <v/>
      </c>
      <c r="C187" s="10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5">
        <f>IF(COUNT(C187:P187)=0,"",IFERROR(C187/D187*1000,0))</f>
        <v/>
      </c>
      <c r="R187" s="16">
        <f>IF(COUNT(C187:P187)=0,"",IFERROR(D187/E187,0))</f>
        <v/>
      </c>
      <c r="S187" s="17">
        <f>IF(COUNT(C187:P187)=0,"",IFERROR(F187/D187,0))</f>
        <v/>
      </c>
      <c r="T187" s="15">
        <f>IF(COUNT(C187:P187)=0,"",IFERROR(C187/F187,0))</f>
        <v/>
      </c>
      <c r="U187" s="18">
        <f>IF(COUNT(C187:P187)=0,"",IFERROR(G187/F187,0))</f>
        <v/>
      </c>
      <c r="V187" s="15">
        <f>IF(COUNT(C187:P187)=0,"",IFERROR(C187/G187,0))</f>
        <v/>
      </c>
      <c r="W187" s="19">
        <f>IF(COUNT(C187:P187)=0,"",IFERROR(G187/D187*1000,0))</f>
        <v/>
      </c>
      <c r="X187" s="18">
        <f>IF(COUNT(C187:P187)=0,"",IFERROR(H187/G187,0))</f>
        <v/>
      </c>
      <c r="Y187" s="18">
        <f>IF(COUNT(C187:P187)=0,"",IFERROR(I187/H187,0))</f>
        <v/>
      </c>
      <c r="Z187" s="17">
        <f>IF(COUNT(C187:P187)=0,"",IFERROR(I187/G187,0))</f>
        <v/>
      </c>
      <c r="AA187" s="15">
        <f>IF(COUNT(C187:P187)=0,"",IFERROR(C187/I187,0))</f>
        <v/>
      </c>
      <c r="AB187" s="18">
        <f>IF(COUNT(C187:P187)=0,"",IFERROR(J187/I187,0))</f>
        <v/>
      </c>
      <c r="AC187" s="18">
        <f>IF(COUNT(C187:P187)=0,"",IFERROR(K187/I187,0))</f>
        <v/>
      </c>
      <c r="AD187" s="18">
        <f>IF(COUNT(C187:P187)=0,"",IFERROR(L187/I187,0))</f>
        <v/>
      </c>
      <c r="AE187" s="18">
        <f>IF(COUNT(C187:P187)=0,"",IFERROR(P187/I187,0))</f>
        <v/>
      </c>
      <c r="AF187" s="20">
        <f>IF(COUNT(C187:P187)=0,"",IFERROR(I187*Config!$C$7+J187*Config!$C$8+K187*Config!$C$9+L187*Config!$C$10+M187*Config!$C$11+N187*Config!$C$12+O187*Config!$C$13+P187*Config!$C$14,0))</f>
        <v/>
      </c>
      <c r="AG187" s="15">
        <f>IF(COUNT(C187:P187)=0,"",IFERROR(AF187/I187,0))</f>
        <v/>
      </c>
      <c r="AH187" s="20">
        <f>IF(COUNT(C187:P187)=0,"",IFERROR(AF187*(1-Config!$C$15-Config!$C$16-Config!$C$17),0))</f>
        <v/>
      </c>
      <c r="AI187" s="20">
        <f>IF(COUNT(C187:P187)=0,"",IFERROR(AH187-C187-Config!$C$18,0))</f>
        <v/>
      </c>
      <c r="AJ187" s="21">
        <f>IF(COUNT(C187:P187)=0,"",IFERROR(AH187/C187,0))</f>
        <v/>
      </c>
      <c r="AK187" s="15">
        <f>IF(COUNT(C187:P187)=0,"",IFERROR(AI187/G187,0))</f>
        <v/>
      </c>
      <c r="AL187" s="21">
        <f>IF(COUNT(C187:P187)=0,"",IFERROR(AK187/V187,0))</f>
        <v/>
      </c>
      <c r="AM187" s="15">
        <f>IF(COUNT(C187:P187)=0,"",IFERROR(AI187/I187,0))</f>
        <v/>
      </c>
      <c r="AN187" s="15">
        <f>IF(COUNT(C187:P187)=0,"",IFERROR(AH187/I187-AA187,0))</f>
        <v/>
      </c>
    </row>
    <row r="188">
      <c r="A188" s="12">
        <f>Config!$C$6+182</f>
        <v/>
      </c>
      <c r="B188" s="13">
        <f>INT((A188-Config!$C$6)/7)+1</f>
        <v/>
      </c>
      <c r="C188" s="10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5">
        <f>IF(COUNT(C188:P188)=0,"",IFERROR(C188/D188*1000,0))</f>
        <v/>
      </c>
      <c r="R188" s="16">
        <f>IF(COUNT(C188:P188)=0,"",IFERROR(D188/E188,0))</f>
        <v/>
      </c>
      <c r="S188" s="17">
        <f>IF(COUNT(C188:P188)=0,"",IFERROR(F188/D188,0))</f>
        <v/>
      </c>
      <c r="T188" s="15">
        <f>IF(COUNT(C188:P188)=0,"",IFERROR(C188/F188,0))</f>
        <v/>
      </c>
      <c r="U188" s="18">
        <f>IF(COUNT(C188:P188)=0,"",IFERROR(G188/F188,0))</f>
        <v/>
      </c>
      <c r="V188" s="15">
        <f>IF(COUNT(C188:P188)=0,"",IFERROR(C188/G188,0))</f>
        <v/>
      </c>
      <c r="W188" s="19">
        <f>IF(COUNT(C188:P188)=0,"",IFERROR(G188/D188*1000,0))</f>
        <v/>
      </c>
      <c r="X188" s="18">
        <f>IF(COUNT(C188:P188)=0,"",IFERROR(H188/G188,0))</f>
        <v/>
      </c>
      <c r="Y188" s="18">
        <f>IF(COUNT(C188:P188)=0,"",IFERROR(I188/H188,0))</f>
        <v/>
      </c>
      <c r="Z188" s="17">
        <f>IF(COUNT(C188:P188)=0,"",IFERROR(I188/G188,0))</f>
        <v/>
      </c>
      <c r="AA188" s="15">
        <f>IF(COUNT(C188:P188)=0,"",IFERROR(C188/I188,0))</f>
        <v/>
      </c>
      <c r="AB188" s="18">
        <f>IF(COUNT(C188:P188)=0,"",IFERROR(J188/I188,0))</f>
        <v/>
      </c>
      <c r="AC188" s="18">
        <f>IF(COUNT(C188:P188)=0,"",IFERROR(K188/I188,0))</f>
        <v/>
      </c>
      <c r="AD188" s="18">
        <f>IF(COUNT(C188:P188)=0,"",IFERROR(L188/I188,0))</f>
        <v/>
      </c>
      <c r="AE188" s="18">
        <f>IF(COUNT(C188:P188)=0,"",IFERROR(P188/I188,0))</f>
        <v/>
      </c>
      <c r="AF188" s="20">
        <f>IF(COUNT(C188:P188)=0,"",IFERROR(I188*Config!$C$7+J188*Config!$C$8+K188*Config!$C$9+L188*Config!$C$10+M188*Config!$C$11+N188*Config!$C$12+O188*Config!$C$13+P188*Config!$C$14,0))</f>
        <v/>
      </c>
      <c r="AG188" s="15">
        <f>IF(COUNT(C188:P188)=0,"",IFERROR(AF188/I188,0))</f>
        <v/>
      </c>
      <c r="AH188" s="20">
        <f>IF(COUNT(C188:P188)=0,"",IFERROR(AF188*(1-Config!$C$15-Config!$C$16-Config!$C$17),0))</f>
        <v/>
      </c>
      <c r="AI188" s="20">
        <f>IF(COUNT(C188:P188)=0,"",IFERROR(AH188-C188-Config!$C$18,0))</f>
        <v/>
      </c>
      <c r="AJ188" s="21">
        <f>IF(COUNT(C188:P188)=0,"",IFERROR(AH188/C188,0))</f>
        <v/>
      </c>
      <c r="AK188" s="15">
        <f>IF(COUNT(C188:P188)=0,"",IFERROR(AI188/G188,0))</f>
        <v/>
      </c>
      <c r="AL188" s="21">
        <f>IF(COUNT(C188:P188)=0,"",IFERROR(AK188/V188,0))</f>
        <v/>
      </c>
      <c r="AM188" s="15">
        <f>IF(COUNT(C188:P188)=0,"",IFERROR(AI188/I188,0))</f>
        <v/>
      </c>
      <c r="AN188" s="15">
        <f>IF(COUNT(C188:P188)=0,"",IFERROR(AH188/I188-AA188,0))</f>
        <v/>
      </c>
    </row>
    <row r="189">
      <c r="A189" s="12">
        <f>Config!$C$6+183</f>
        <v/>
      </c>
      <c r="B189" s="13">
        <f>INT((A189-Config!$C$6)/7)+1</f>
        <v/>
      </c>
      <c r="C189" s="10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5">
        <f>IF(COUNT(C189:P189)=0,"",IFERROR(C189/D189*1000,0))</f>
        <v/>
      </c>
      <c r="R189" s="16">
        <f>IF(COUNT(C189:P189)=0,"",IFERROR(D189/E189,0))</f>
        <v/>
      </c>
      <c r="S189" s="17">
        <f>IF(COUNT(C189:P189)=0,"",IFERROR(F189/D189,0))</f>
        <v/>
      </c>
      <c r="T189" s="15">
        <f>IF(COUNT(C189:P189)=0,"",IFERROR(C189/F189,0))</f>
        <v/>
      </c>
      <c r="U189" s="18">
        <f>IF(COUNT(C189:P189)=0,"",IFERROR(G189/F189,0))</f>
        <v/>
      </c>
      <c r="V189" s="15">
        <f>IF(COUNT(C189:P189)=0,"",IFERROR(C189/G189,0))</f>
        <v/>
      </c>
      <c r="W189" s="19">
        <f>IF(COUNT(C189:P189)=0,"",IFERROR(G189/D189*1000,0))</f>
        <v/>
      </c>
      <c r="X189" s="18">
        <f>IF(COUNT(C189:P189)=0,"",IFERROR(H189/G189,0))</f>
        <v/>
      </c>
      <c r="Y189" s="18">
        <f>IF(COUNT(C189:P189)=0,"",IFERROR(I189/H189,0))</f>
        <v/>
      </c>
      <c r="Z189" s="17">
        <f>IF(COUNT(C189:P189)=0,"",IFERROR(I189/G189,0))</f>
        <v/>
      </c>
      <c r="AA189" s="15">
        <f>IF(COUNT(C189:P189)=0,"",IFERROR(C189/I189,0))</f>
        <v/>
      </c>
      <c r="AB189" s="18">
        <f>IF(COUNT(C189:P189)=0,"",IFERROR(J189/I189,0))</f>
        <v/>
      </c>
      <c r="AC189" s="18">
        <f>IF(COUNT(C189:P189)=0,"",IFERROR(K189/I189,0))</f>
        <v/>
      </c>
      <c r="AD189" s="18">
        <f>IF(COUNT(C189:P189)=0,"",IFERROR(L189/I189,0))</f>
        <v/>
      </c>
      <c r="AE189" s="18">
        <f>IF(COUNT(C189:P189)=0,"",IFERROR(P189/I189,0))</f>
        <v/>
      </c>
      <c r="AF189" s="20">
        <f>IF(COUNT(C189:P189)=0,"",IFERROR(I189*Config!$C$7+J189*Config!$C$8+K189*Config!$C$9+L189*Config!$C$10+M189*Config!$C$11+N189*Config!$C$12+O189*Config!$C$13+P189*Config!$C$14,0))</f>
        <v/>
      </c>
      <c r="AG189" s="15">
        <f>IF(COUNT(C189:P189)=0,"",IFERROR(AF189/I189,0))</f>
        <v/>
      </c>
      <c r="AH189" s="20">
        <f>IF(COUNT(C189:P189)=0,"",IFERROR(AF189*(1-Config!$C$15-Config!$C$16-Config!$C$17),0))</f>
        <v/>
      </c>
      <c r="AI189" s="20">
        <f>IF(COUNT(C189:P189)=0,"",IFERROR(AH189-C189-Config!$C$18,0))</f>
        <v/>
      </c>
      <c r="AJ189" s="21">
        <f>IF(COUNT(C189:P189)=0,"",IFERROR(AH189/C189,0))</f>
        <v/>
      </c>
      <c r="AK189" s="15">
        <f>IF(COUNT(C189:P189)=0,"",IFERROR(AI189/G189,0))</f>
        <v/>
      </c>
      <c r="AL189" s="21">
        <f>IF(COUNT(C189:P189)=0,"",IFERROR(AK189/V189,0))</f>
        <v/>
      </c>
      <c r="AM189" s="15">
        <f>IF(COUNT(C189:P189)=0,"",IFERROR(AI189/I189,0))</f>
        <v/>
      </c>
      <c r="AN189" s="15">
        <f>IF(COUNT(C189:P189)=0,"",IFERROR(AH189/I189-AA189,0))</f>
        <v/>
      </c>
    </row>
    <row r="190">
      <c r="A190" s="12">
        <f>Config!$C$6+184</f>
        <v/>
      </c>
      <c r="B190" s="13">
        <f>INT((A190-Config!$C$6)/7)+1</f>
        <v/>
      </c>
      <c r="C190" s="10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5">
        <f>IF(COUNT(C190:P190)=0,"",IFERROR(C190/D190*1000,0))</f>
        <v/>
      </c>
      <c r="R190" s="16">
        <f>IF(COUNT(C190:P190)=0,"",IFERROR(D190/E190,0))</f>
        <v/>
      </c>
      <c r="S190" s="17">
        <f>IF(COUNT(C190:P190)=0,"",IFERROR(F190/D190,0))</f>
        <v/>
      </c>
      <c r="T190" s="15">
        <f>IF(COUNT(C190:P190)=0,"",IFERROR(C190/F190,0))</f>
        <v/>
      </c>
      <c r="U190" s="18">
        <f>IF(COUNT(C190:P190)=0,"",IFERROR(G190/F190,0))</f>
        <v/>
      </c>
      <c r="V190" s="15">
        <f>IF(COUNT(C190:P190)=0,"",IFERROR(C190/G190,0))</f>
        <v/>
      </c>
      <c r="W190" s="19">
        <f>IF(COUNT(C190:P190)=0,"",IFERROR(G190/D190*1000,0))</f>
        <v/>
      </c>
      <c r="X190" s="18">
        <f>IF(COUNT(C190:P190)=0,"",IFERROR(H190/G190,0))</f>
        <v/>
      </c>
      <c r="Y190" s="18">
        <f>IF(COUNT(C190:P190)=0,"",IFERROR(I190/H190,0))</f>
        <v/>
      </c>
      <c r="Z190" s="17">
        <f>IF(COUNT(C190:P190)=0,"",IFERROR(I190/G190,0))</f>
        <v/>
      </c>
      <c r="AA190" s="15">
        <f>IF(COUNT(C190:P190)=0,"",IFERROR(C190/I190,0))</f>
        <v/>
      </c>
      <c r="AB190" s="18">
        <f>IF(COUNT(C190:P190)=0,"",IFERROR(J190/I190,0))</f>
        <v/>
      </c>
      <c r="AC190" s="18">
        <f>IF(COUNT(C190:P190)=0,"",IFERROR(K190/I190,0))</f>
        <v/>
      </c>
      <c r="AD190" s="18">
        <f>IF(COUNT(C190:P190)=0,"",IFERROR(L190/I190,0))</f>
        <v/>
      </c>
      <c r="AE190" s="18">
        <f>IF(COUNT(C190:P190)=0,"",IFERROR(P190/I190,0))</f>
        <v/>
      </c>
      <c r="AF190" s="20">
        <f>IF(COUNT(C190:P190)=0,"",IFERROR(I190*Config!$C$7+J190*Config!$C$8+K190*Config!$C$9+L190*Config!$C$10+M190*Config!$C$11+N190*Config!$C$12+O190*Config!$C$13+P190*Config!$C$14,0))</f>
        <v/>
      </c>
      <c r="AG190" s="15">
        <f>IF(COUNT(C190:P190)=0,"",IFERROR(AF190/I190,0))</f>
        <v/>
      </c>
      <c r="AH190" s="20">
        <f>IF(COUNT(C190:P190)=0,"",IFERROR(AF190*(1-Config!$C$15-Config!$C$16-Config!$C$17),0))</f>
        <v/>
      </c>
      <c r="AI190" s="20">
        <f>IF(COUNT(C190:P190)=0,"",IFERROR(AH190-C190-Config!$C$18,0))</f>
        <v/>
      </c>
      <c r="AJ190" s="21">
        <f>IF(COUNT(C190:P190)=0,"",IFERROR(AH190/C190,0))</f>
        <v/>
      </c>
      <c r="AK190" s="15">
        <f>IF(COUNT(C190:P190)=0,"",IFERROR(AI190/G190,0))</f>
        <v/>
      </c>
      <c r="AL190" s="21">
        <f>IF(COUNT(C190:P190)=0,"",IFERROR(AK190/V190,0))</f>
        <v/>
      </c>
      <c r="AM190" s="15">
        <f>IF(COUNT(C190:P190)=0,"",IFERROR(AI190/I190,0))</f>
        <v/>
      </c>
      <c r="AN190" s="15">
        <f>IF(COUNT(C190:P190)=0,"",IFERROR(AH190/I190-AA190,0))</f>
        <v/>
      </c>
    </row>
    <row r="191">
      <c r="A191" s="12">
        <f>Config!$C$6+185</f>
        <v/>
      </c>
      <c r="B191" s="13">
        <f>INT((A191-Config!$C$6)/7)+1</f>
        <v/>
      </c>
      <c r="C191" s="10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5">
        <f>IF(COUNT(C191:P191)=0,"",IFERROR(C191/D191*1000,0))</f>
        <v/>
      </c>
      <c r="R191" s="16">
        <f>IF(COUNT(C191:P191)=0,"",IFERROR(D191/E191,0))</f>
        <v/>
      </c>
      <c r="S191" s="17">
        <f>IF(COUNT(C191:P191)=0,"",IFERROR(F191/D191,0))</f>
        <v/>
      </c>
      <c r="T191" s="15">
        <f>IF(COUNT(C191:P191)=0,"",IFERROR(C191/F191,0))</f>
        <v/>
      </c>
      <c r="U191" s="18">
        <f>IF(COUNT(C191:P191)=0,"",IFERROR(G191/F191,0))</f>
        <v/>
      </c>
      <c r="V191" s="15">
        <f>IF(COUNT(C191:P191)=0,"",IFERROR(C191/G191,0))</f>
        <v/>
      </c>
      <c r="W191" s="19">
        <f>IF(COUNT(C191:P191)=0,"",IFERROR(G191/D191*1000,0))</f>
        <v/>
      </c>
      <c r="X191" s="18">
        <f>IF(COUNT(C191:P191)=0,"",IFERROR(H191/G191,0))</f>
        <v/>
      </c>
      <c r="Y191" s="18">
        <f>IF(COUNT(C191:P191)=0,"",IFERROR(I191/H191,0))</f>
        <v/>
      </c>
      <c r="Z191" s="17">
        <f>IF(COUNT(C191:P191)=0,"",IFERROR(I191/G191,0))</f>
        <v/>
      </c>
      <c r="AA191" s="15">
        <f>IF(COUNT(C191:P191)=0,"",IFERROR(C191/I191,0))</f>
        <v/>
      </c>
      <c r="AB191" s="18">
        <f>IF(COUNT(C191:P191)=0,"",IFERROR(J191/I191,0))</f>
        <v/>
      </c>
      <c r="AC191" s="18">
        <f>IF(COUNT(C191:P191)=0,"",IFERROR(K191/I191,0))</f>
        <v/>
      </c>
      <c r="AD191" s="18">
        <f>IF(COUNT(C191:P191)=0,"",IFERROR(L191/I191,0))</f>
        <v/>
      </c>
      <c r="AE191" s="18">
        <f>IF(COUNT(C191:P191)=0,"",IFERROR(P191/I191,0))</f>
        <v/>
      </c>
      <c r="AF191" s="20">
        <f>IF(COUNT(C191:P191)=0,"",IFERROR(I191*Config!$C$7+J191*Config!$C$8+K191*Config!$C$9+L191*Config!$C$10+M191*Config!$C$11+N191*Config!$C$12+O191*Config!$C$13+P191*Config!$C$14,0))</f>
        <v/>
      </c>
      <c r="AG191" s="15">
        <f>IF(COUNT(C191:P191)=0,"",IFERROR(AF191/I191,0))</f>
        <v/>
      </c>
      <c r="AH191" s="20">
        <f>IF(COUNT(C191:P191)=0,"",IFERROR(AF191*(1-Config!$C$15-Config!$C$16-Config!$C$17),0))</f>
        <v/>
      </c>
      <c r="AI191" s="20">
        <f>IF(COUNT(C191:P191)=0,"",IFERROR(AH191-C191-Config!$C$18,0))</f>
        <v/>
      </c>
      <c r="AJ191" s="21">
        <f>IF(COUNT(C191:P191)=0,"",IFERROR(AH191/C191,0))</f>
        <v/>
      </c>
      <c r="AK191" s="15">
        <f>IF(COUNT(C191:P191)=0,"",IFERROR(AI191/G191,0))</f>
        <v/>
      </c>
      <c r="AL191" s="21">
        <f>IF(COUNT(C191:P191)=0,"",IFERROR(AK191/V191,0))</f>
        <v/>
      </c>
      <c r="AM191" s="15">
        <f>IF(COUNT(C191:P191)=0,"",IFERROR(AI191/I191,0))</f>
        <v/>
      </c>
      <c r="AN191" s="15">
        <f>IF(COUNT(C191:P191)=0,"",IFERROR(AH191/I191-AA191,0))</f>
        <v/>
      </c>
    </row>
    <row r="192">
      <c r="A192" s="12">
        <f>Config!$C$6+186</f>
        <v/>
      </c>
      <c r="B192" s="13">
        <f>INT((A192-Config!$C$6)/7)+1</f>
        <v/>
      </c>
      <c r="C192" s="10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5">
        <f>IF(COUNT(C192:P192)=0,"",IFERROR(C192/D192*1000,0))</f>
        <v/>
      </c>
      <c r="R192" s="16">
        <f>IF(COUNT(C192:P192)=0,"",IFERROR(D192/E192,0))</f>
        <v/>
      </c>
      <c r="S192" s="17">
        <f>IF(COUNT(C192:P192)=0,"",IFERROR(F192/D192,0))</f>
        <v/>
      </c>
      <c r="T192" s="15">
        <f>IF(COUNT(C192:P192)=0,"",IFERROR(C192/F192,0))</f>
        <v/>
      </c>
      <c r="U192" s="18">
        <f>IF(COUNT(C192:P192)=0,"",IFERROR(G192/F192,0))</f>
        <v/>
      </c>
      <c r="V192" s="15">
        <f>IF(COUNT(C192:P192)=0,"",IFERROR(C192/G192,0))</f>
        <v/>
      </c>
      <c r="W192" s="19">
        <f>IF(COUNT(C192:P192)=0,"",IFERROR(G192/D192*1000,0))</f>
        <v/>
      </c>
      <c r="X192" s="18">
        <f>IF(COUNT(C192:P192)=0,"",IFERROR(H192/G192,0))</f>
        <v/>
      </c>
      <c r="Y192" s="18">
        <f>IF(COUNT(C192:P192)=0,"",IFERROR(I192/H192,0))</f>
        <v/>
      </c>
      <c r="Z192" s="17">
        <f>IF(COUNT(C192:P192)=0,"",IFERROR(I192/G192,0))</f>
        <v/>
      </c>
      <c r="AA192" s="15">
        <f>IF(COUNT(C192:P192)=0,"",IFERROR(C192/I192,0))</f>
        <v/>
      </c>
      <c r="AB192" s="18">
        <f>IF(COUNT(C192:P192)=0,"",IFERROR(J192/I192,0))</f>
        <v/>
      </c>
      <c r="AC192" s="18">
        <f>IF(COUNT(C192:P192)=0,"",IFERROR(K192/I192,0))</f>
        <v/>
      </c>
      <c r="AD192" s="18">
        <f>IF(COUNT(C192:P192)=0,"",IFERROR(L192/I192,0))</f>
        <v/>
      </c>
      <c r="AE192" s="18">
        <f>IF(COUNT(C192:P192)=0,"",IFERROR(P192/I192,0))</f>
        <v/>
      </c>
      <c r="AF192" s="20">
        <f>IF(COUNT(C192:P192)=0,"",IFERROR(I192*Config!$C$7+J192*Config!$C$8+K192*Config!$C$9+L192*Config!$C$10+M192*Config!$C$11+N192*Config!$C$12+O192*Config!$C$13+P192*Config!$C$14,0))</f>
        <v/>
      </c>
      <c r="AG192" s="15">
        <f>IF(COUNT(C192:P192)=0,"",IFERROR(AF192/I192,0))</f>
        <v/>
      </c>
      <c r="AH192" s="20">
        <f>IF(COUNT(C192:P192)=0,"",IFERROR(AF192*(1-Config!$C$15-Config!$C$16-Config!$C$17),0))</f>
        <v/>
      </c>
      <c r="AI192" s="20">
        <f>IF(COUNT(C192:P192)=0,"",IFERROR(AH192-C192-Config!$C$18,0))</f>
        <v/>
      </c>
      <c r="AJ192" s="21">
        <f>IF(COUNT(C192:P192)=0,"",IFERROR(AH192/C192,0))</f>
        <v/>
      </c>
      <c r="AK192" s="15">
        <f>IF(COUNT(C192:P192)=0,"",IFERROR(AI192/G192,0))</f>
        <v/>
      </c>
      <c r="AL192" s="21">
        <f>IF(COUNT(C192:P192)=0,"",IFERROR(AK192/V192,0))</f>
        <v/>
      </c>
      <c r="AM192" s="15">
        <f>IF(COUNT(C192:P192)=0,"",IFERROR(AI192/I192,0))</f>
        <v/>
      </c>
      <c r="AN192" s="15">
        <f>IF(COUNT(C192:P192)=0,"",IFERROR(AH192/I192-AA192,0))</f>
        <v/>
      </c>
    </row>
    <row r="193">
      <c r="A193" s="12">
        <f>Config!$C$6+187</f>
        <v/>
      </c>
      <c r="B193" s="13">
        <f>INT((A193-Config!$C$6)/7)+1</f>
        <v/>
      </c>
      <c r="C193" s="10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5">
        <f>IF(COUNT(C193:P193)=0,"",IFERROR(C193/D193*1000,0))</f>
        <v/>
      </c>
      <c r="R193" s="16">
        <f>IF(COUNT(C193:P193)=0,"",IFERROR(D193/E193,0))</f>
        <v/>
      </c>
      <c r="S193" s="17">
        <f>IF(COUNT(C193:P193)=0,"",IFERROR(F193/D193,0))</f>
        <v/>
      </c>
      <c r="T193" s="15">
        <f>IF(COUNT(C193:P193)=0,"",IFERROR(C193/F193,0))</f>
        <v/>
      </c>
      <c r="U193" s="18">
        <f>IF(COUNT(C193:P193)=0,"",IFERROR(G193/F193,0))</f>
        <v/>
      </c>
      <c r="V193" s="15">
        <f>IF(COUNT(C193:P193)=0,"",IFERROR(C193/G193,0))</f>
        <v/>
      </c>
      <c r="W193" s="19">
        <f>IF(COUNT(C193:P193)=0,"",IFERROR(G193/D193*1000,0))</f>
        <v/>
      </c>
      <c r="X193" s="18">
        <f>IF(COUNT(C193:P193)=0,"",IFERROR(H193/G193,0))</f>
        <v/>
      </c>
      <c r="Y193" s="18">
        <f>IF(COUNT(C193:P193)=0,"",IFERROR(I193/H193,0))</f>
        <v/>
      </c>
      <c r="Z193" s="17">
        <f>IF(COUNT(C193:P193)=0,"",IFERROR(I193/G193,0))</f>
        <v/>
      </c>
      <c r="AA193" s="15">
        <f>IF(COUNT(C193:P193)=0,"",IFERROR(C193/I193,0))</f>
        <v/>
      </c>
      <c r="AB193" s="18">
        <f>IF(COUNT(C193:P193)=0,"",IFERROR(J193/I193,0))</f>
        <v/>
      </c>
      <c r="AC193" s="18">
        <f>IF(COUNT(C193:P193)=0,"",IFERROR(K193/I193,0))</f>
        <v/>
      </c>
      <c r="AD193" s="18">
        <f>IF(COUNT(C193:P193)=0,"",IFERROR(L193/I193,0))</f>
        <v/>
      </c>
      <c r="AE193" s="18">
        <f>IF(COUNT(C193:P193)=0,"",IFERROR(P193/I193,0))</f>
        <v/>
      </c>
      <c r="AF193" s="20">
        <f>IF(COUNT(C193:P193)=0,"",IFERROR(I193*Config!$C$7+J193*Config!$C$8+K193*Config!$C$9+L193*Config!$C$10+M193*Config!$C$11+N193*Config!$C$12+O193*Config!$C$13+P193*Config!$C$14,0))</f>
        <v/>
      </c>
      <c r="AG193" s="15">
        <f>IF(COUNT(C193:P193)=0,"",IFERROR(AF193/I193,0))</f>
        <v/>
      </c>
      <c r="AH193" s="20">
        <f>IF(COUNT(C193:P193)=0,"",IFERROR(AF193*(1-Config!$C$15-Config!$C$16-Config!$C$17),0))</f>
        <v/>
      </c>
      <c r="AI193" s="20">
        <f>IF(COUNT(C193:P193)=0,"",IFERROR(AH193-C193-Config!$C$18,0))</f>
        <v/>
      </c>
      <c r="AJ193" s="21">
        <f>IF(COUNT(C193:P193)=0,"",IFERROR(AH193/C193,0))</f>
        <v/>
      </c>
      <c r="AK193" s="15">
        <f>IF(COUNT(C193:P193)=0,"",IFERROR(AI193/G193,0))</f>
        <v/>
      </c>
      <c r="AL193" s="21">
        <f>IF(COUNT(C193:P193)=0,"",IFERROR(AK193/V193,0))</f>
        <v/>
      </c>
      <c r="AM193" s="15">
        <f>IF(COUNT(C193:P193)=0,"",IFERROR(AI193/I193,0))</f>
        <v/>
      </c>
      <c r="AN193" s="15">
        <f>IF(COUNT(C193:P193)=0,"",IFERROR(AH193/I193-AA193,0))</f>
        <v/>
      </c>
    </row>
    <row r="194">
      <c r="A194" s="12">
        <f>Config!$C$6+188</f>
        <v/>
      </c>
      <c r="B194" s="13">
        <f>INT((A194-Config!$C$6)/7)+1</f>
        <v/>
      </c>
      <c r="C194" s="10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5">
        <f>IF(COUNT(C194:P194)=0,"",IFERROR(C194/D194*1000,0))</f>
        <v/>
      </c>
      <c r="R194" s="16">
        <f>IF(COUNT(C194:P194)=0,"",IFERROR(D194/E194,0))</f>
        <v/>
      </c>
      <c r="S194" s="17">
        <f>IF(COUNT(C194:P194)=0,"",IFERROR(F194/D194,0))</f>
        <v/>
      </c>
      <c r="T194" s="15">
        <f>IF(COUNT(C194:P194)=0,"",IFERROR(C194/F194,0))</f>
        <v/>
      </c>
      <c r="U194" s="18">
        <f>IF(COUNT(C194:P194)=0,"",IFERROR(G194/F194,0))</f>
        <v/>
      </c>
      <c r="V194" s="15">
        <f>IF(COUNT(C194:P194)=0,"",IFERROR(C194/G194,0))</f>
        <v/>
      </c>
      <c r="W194" s="19">
        <f>IF(COUNT(C194:P194)=0,"",IFERROR(G194/D194*1000,0))</f>
        <v/>
      </c>
      <c r="X194" s="18">
        <f>IF(COUNT(C194:P194)=0,"",IFERROR(H194/G194,0))</f>
        <v/>
      </c>
      <c r="Y194" s="18">
        <f>IF(COUNT(C194:P194)=0,"",IFERROR(I194/H194,0))</f>
        <v/>
      </c>
      <c r="Z194" s="17">
        <f>IF(COUNT(C194:P194)=0,"",IFERROR(I194/G194,0))</f>
        <v/>
      </c>
      <c r="AA194" s="15">
        <f>IF(COUNT(C194:P194)=0,"",IFERROR(C194/I194,0))</f>
        <v/>
      </c>
      <c r="AB194" s="18">
        <f>IF(COUNT(C194:P194)=0,"",IFERROR(J194/I194,0))</f>
        <v/>
      </c>
      <c r="AC194" s="18">
        <f>IF(COUNT(C194:P194)=0,"",IFERROR(K194/I194,0))</f>
        <v/>
      </c>
      <c r="AD194" s="18">
        <f>IF(COUNT(C194:P194)=0,"",IFERROR(L194/I194,0))</f>
        <v/>
      </c>
      <c r="AE194" s="18">
        <f>IF(COUNT(C194:P194)=0,"",IFERROR(P194/I194,0))</f>
        <v/>
      </c>
      <c r="AF194" s="20">
        <f>IF(COUNT(C194:P194)=0,"",IFERROR(I194*Config!$C$7+J194*Config!$C$8+K194*Config!$C$9+L194*Config!$C$10+M194*Config!$C$11+N194*Config!$C$12+O194*Config!$C$13+P194*Config!$C$14,0))</f>
        <v/>
      </c>
      <c r="AG194" s="15">
        <f>IF(COUNT(C194:P194)=0,"",IFERROR(AF194/I194,0))</f>
        <v/>
      </c>
      <c r="AH194" s="20">
        <f>IF(COUNT(C194:P194)=0,"",IFERROR(AF194*(1-Config!$C$15-Config!$C$16-Config!$C$17),0))</f>
        <v/>
      </c>
      <c r="AI194" s="20">
        <f>IF(COUNT(C194:P194)=0,"",IFERROR(AH194-C194-Config!$C$18,0))</f>
        <v/>
      </c>
      <c r="AJ194" s="21">
        <f>IF(COUNT(C194:P194)=0,"",IFERROR(AH194/C194,0))</f>
        <v/>
      </c>
      <c r="AK194" s="15">
        <f>IF(COUNT(C194:P194)=0,"",IFERROR(AI194/G194,0))</f>
        <v/>
      </c>
      <c r="AL194" s="21">
        <f>IF(COUNT(C194:P194)=0,"",IFERROR(AK194/V194,0))</f>
        <v/>
      </c>
      <c r="AM194" s="15">
        <f>IF(COUNT(C194:P194)=0,"",IFERROR(AI194/I194,0))</f>
        <v/>
      </c>
      <c r="AN194" s="15">
        <f>IF(COUNT(C194:P194)=0,"",IFERROR(AH194/I194-AA194,0))</f>
        <v/>
      </c>
    </row>
    <row r="195">
      <c r="A195" s="12">
        <f>Config!$C$6+189</f>
        <v/>
      </c>
      <c r="B195" s="13">
        <f>INT((A195-Config!$C$6)/7)+1</f>
        <v/>
      </c>
      <c r="C195" s="10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5">
        <f>IF(COUNT(C195:P195)=0,"",IFERROR(C195/D195*1000,0))</f>
        <v/>
      </c>
      <c r="R195" s="16">
        <f>IF(COUNT(C195:P195)=0,"",IFERROR(D195/E195,0))</f>
        <v/>
      </c>
      <c r="S195" s="17">
        <f>IF(COUNT(C195:P195)=0,"",IFERROR(F195/D195,0))</f>
        <v/>
      </c>
      <c r="T195" s="15">
        <f>IF(COUNT(C195:P195)=0,"",IFERROR(C195/F195,0))</f>
        <v/>
      </c>
      <c r="U195" s="18">
        <f>IF(COUNT(C195:P195)=0,"",IFERROR(G195/F195,0))</f>
        <v/>
      </c>
      <c r="V195" s="15">
        <f>IF(COUNT(C195:P195)=0,"",IFERROR(C195/G195,0))</f>
        <v/>
      </c>
      <c r="W195" s="19">
        <f>IF(COUNT(C195:P195)=0,"",IFERROR(G195/D195*1000,0))</f>
        <v/>
      </c>
      <c r="X195" s="18">
        <f>IF(COUNT(C195:P195)=0,"",IFERROR(H195/G195,0))</f>
        <v/>
      </c>
      <c r="Y195" s="18">
        <f>IF(COUNT(C195:P195)=0,"",IFERROR(I195/H195,0))</f>
        <v/>
      </c>
      <c r="Z195" s="17">
        <f>IF(COUNT(C195:P195)=0,"",IFERROR(I195/G195,0))</f>
        <v/>
      </c>
      <c r="AA195" s="15">
        <f>IF(COUNT(C195:P195)=0,"",IFERROR(C195/I195,0))</f>
        <v/>
      </c>
      <c r="AB195" s="18">
        <f>IF(COUNT(C195:P195)=0,"",IFERROR(J195/I195,0))</f>
        <v/>
      </c>
      <c r="AC195" s="18">
        <f>IF(COUNT(C195:P195)=0,"",IFERROR(K195/I195,0))</f>
        <v/>
      </c>
      <c r="AD195" s="18">
        <f>IF(COUNT(C195:P195)=0,"",IFERROR(L195/I195,0))</f>
        <v/>
      </c>
      <c r="AE195" s="18">
        <f>IF(COUNT(C195:P195)=0,"",IFERROR(P195/I195,0))</f>
        <v/>
      </c>
      <c r="AF195" s="20">
        <f>IF(COUNT(C195:P195)=0,"",IFERROR(I195*Config!$C$7+J195*Config!$C$8+K195*Config!$C$9+L195*Config!$C$10+M195*Config!$C$11+N195*Config!$C$12+O195*Config!$C$13+P195*Config!$C$14,0))</f>
        <v/>
      </c>
      <c r="AG195" s="15">
        <f>IF(COUNT(C195:P195)=0,"",IFERROR(AF195/I195,0))</f>
        <v/>
      </c>
      <c r="AH195" s="20">
        <f>IF(COUNT(C195:P195)=0,"",IFERROR(AF195*(1-Config!$C$15-Config!$C$16-Config!$C$17),0))</f>
        <v/>
      </c>
      <c r="AI195" s="20">
        <f>IF(COUNT(C195:P195)=0,"",IFERROR(AH195-C195-Config!$C$18,0))</f>
        <v/>
      </c>
      <c r="AJ195" s="21">
        <f>IF(COUNT(C195:P195)=0,"",IFERROR(AH195/C195,0))</f>
        <v/>
      </c>
      <c r="AK195" s="15">
        <f>IF(COUNT(C195:P195)=0,"",IFERROR(AI195/G195,0))</f>
        <v/>
      </c>
      <c r="AL195" s="21">
        <f>IF(COUNT(C195:P195)=0,"",IFERROR(AK195/V195,0))</f>
        <v/>
      </c>
      <c r="AM195" s="15">
        <f>IF(COUNT(C195:P195)=0,"",IFERROR(AI195/I195,0))</f>
        <v/>
      </c>
      <c r="AN195" s="15">
        <f>IF(COUNT(C195:P195)=0,"",IFERROR(AH195/I195-AA195,0))</f>
        <v/>
      </c>
    </row>
    <row r="196">
      <c r="A196" s="12">
        <f>Config!$C$6+190</f>
        <v/>
      </c>
      <c r="B196" s="13">
        <f>INT((A196-Config!$C$6)/7)+1</f>
        <v/>
      </c>
      <c r="C196" s="10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5">
        <f>IF(COUNT(C196:P196)=0,"",IFERROR(C196/D196*1000,0))</f>
        <v/>
      </c>
      <c r="R196" s="16">
        <f>IF(COUNT(C196:P196)=0,"",IFERROR(D196/E196,0))</f>
        <v/>
      </c>
      <c r="S196" s="17">
        <f>IF(COUNT(C196:P196)=0,"",IFERROR(F196/D196,0))</f>
        <v/>
      </c>
      <c r="T196" s="15">
        <f>IF(COUNT(C196:P196)=0,"",IFERROR(C196/F196,0))</f>
        <v/>
      </c>
      <c r="U196" s="18">
        <f>IF(COUNT(C196:P196)=0,"",IFERROR(G196/F196,0))</f>
        <v/>
      </c>
      <c r="V196" s="15">
        <f>IF(COUNT(C196:P196)=0,"",IFERROR(C196/G196,0))</f>
        <v/>
      </c>
      <c r="W196" s="19">
        <f>IF(COUNT(C196:P196)=0,"",IFERROR(G196/D196*1000,0))</f>
        <v/>
      </c>
      <c r="X196" s="18">
        <f>IF(COUNT(C196:P196)=0,"",IFERROR(H196/G196,0))</f>
        <v/>
      </c>
      <c r="Y196" s="18">
        <f>IF(COUNT(C196:P196)=0,"",IFERROR(I196/H196,0))</f>
        <v/>
      </c>
      <c r="Z196" s="17">
        <f>IF(COUNT(C196:P196)=0,"",IFERROR(I196/G196,0))</f>
        <v/>
      </c>
      <c r="AA196" s="15">
        <f>IF(COUNT(C196:P196)=0,"",IFERROR(C196/I196,0))</f>
        <v/>
      </c>
      <c r="AB196" s="18">
        <f>IF(COUNT(C196:P196)=0,"",IFERROR(J196/I196,0))</f>
        <v/>
      </c>
      <c r="AC196" s="18">
        <f>IF(COUNT(C196:P196)=0,"",IFERROR(K196/I196,0))</f>
        <v/>
      </c>
      <c r="AD196" s="18">
        <f>IF(COUNT(C196:P196)=0,"",IFERROR(L196/I196,0))</f>
        <v/>
      </c>
      <c r="AE196" s="18">
        <f>IF(COUNT(C196:P196)=0,"",IFERROR(P196/I196,0))</f>
        <v/>
      </c>
      <c r="AF196" s="20">
        <f>IF(COUNT(C196:P196)=0,"",IFERROR(I196*Config!$C$7+J196*Config!$C$8+K196*Config!$C$9+L196*Config!$C$10+M196*Config!$C$11+N196*Config!$C$12+O196*Config!$C$13+P196*Config!$C$14,0))</f>
        <v/>
      </c>
      <c r="AG196" s="15">
        <f>IF(COUNT(C196:P196)=0,"",IFERROR(AF196/I196,0))</f>
        <v/>
      </c>
      <c r="AH196" s="20">
        <f>IF(COUNT(C196:P196)=0,"",IFERROR(AF196*(1-Config!$C$15-Config!$C$16-Config!$C$17),0))</f>
        <v/>
      </c>
      <c r="AI196" s="20">
        <f>IF(COUNT(C196:P196)=0,"",IFERROR(AH196-C196-Config!$C$18,0))</f>
        <v/>
      </c>
      <c r="AJ196" s="21">
        <f>IF(COUNT(C196:P196)=0,"",IFERROR(AH196/C196,0))</f>
        <v/>
      </c>
      <c r="AK196" s="15">
        <f>IF(COUNT(C196:P196)=0,"",IFERROR(AI196/G196,0))</f>
        <v/>
      </c>
      <c r="AL196" s="21">
        <f>IF(COUNT(C196:P196)=0,"",IFERROR(AK196/V196,0))</f>
        <v/>
      </c>
      <c r="AM196" s="15">
        <f>IF(COUNT(C196:P196)=0,"",IFERROR(AI196/I196,0))</f>
        <v/>
      </c>
      <c r="AN196" s="15">
        <f>IF(COUNT(C196:P196)=0,"",IFERROR(AH196/I196-AA196,0))</f>
        <v/>
      </c>
    </row>
    <row r="197">
      <c r="A197" s="12">
        <f>Config!$C$6+191</f>
        <v/>
      </c>
      <c r="B197" s="13">
        <f>INT((A197-Config!$C$6)/7)+1</f>
        <v/>
      </c>
      <c r="C197" s="10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5">
        <f>IF(COUNT(C197:P197)=0,"",IFERROR(C197/D197*1000,0))</f>
        <v/>
      </c>
      <c r="R197" s="16">
        <f>IF(COUNT(C197:P197)=0,"",IFERROR(D197/E197,0))</f>
        <v/>
      </c>
      <c r="S197" s="17">
        <f>IF(COUNT(C197:P197)=0,"",IFERROR(F197/D197,0))</f>
        <v/>
      </c>
      <c r="T197" s="15">
        <f>IF(COUNT(C197:P197)=0,"",IFERROR(C197/F197,0))</f>
        <v/>
      </c>
      <c r="U197" s="18">
        <f>IF(COUNT(C197:P197)=0,"",IFERROR(G197/F197,0))</f>
        <v/>
      </c>
      <c r="V197" s="15">
        <f>IF(COUNT(C197:P197)=0,"",IFERROR(C197/G197,0))</f>
        <v/>
      </c>
      <c r="W197" s="19">
        <f>IF(COUNT(C197:P197)=0,"",IFERROR(G197/D197*1000,0))</f>
        <v/>
      </c>
      <c r="X197" s="18">
        <f>IF(COUNT(C197:P197)=0,"",IFERROR(H197/G197,0))</f>
        <v/>
      </c>
      <c r="Y197" s="18">
        <f>IF(COUNT(C197:P197)=0,"",IFERROR(I197/H197,0))</f>
        <v/>
      </c>
      <c r="Z197" s="17">
        <f>IF(COUNT(C197:P197)=0,"",IFERROR(I197/G197,0))</f>
        <v/>
      </c>
      <c r="AA197" s="15">
        <f>IF(COUNT(C197:P197)=0,"",IFERROR(C197/I197,0))</f>
        <v/>
      </c>
      <c r="AB197" s="18">
        <f>IF(COUNT(C197:P197)=0,"",IFERROR(J197/I197,0))</f>
        <v/>
      </c>
      <c r="AC197" s="18">
        <f>IF(COUNT(C197:P197)=0,"",IFERROR(K197/I197,0))</f>
        <v/>
      </c>
      <c r="AD197" s="18">
        <f>IF(COUNT(C197:P197)=0,"",IFERROR(L197/I197,0))</f>
        <v/>
      </c>
      <c r="AE197" s="18">
        <f>IF(COUNT(C197:P197)=0,"",IFERROR(P197/I197,0))</f>
        <v/>
      </c>
      <c r="AF197" s="20">
        <f>IF(COUNT(C197:P197)=0,"",IFERROR(I197*Config!$C$7+J197*Config!$C$8+K197*Config!$C$9+L197*Config!$C$10+M197*Config!$C$11+N197*Config!$C$12+O197*Config!$C$13+P197*Config!$C$14,0))</f>
        <v/>
      </c>
      <c r="AG197" s="15">
        <f>IF(COUNT(C197:P197)=0,"",IFERROR(AF197/I197,0))</f>
        <v/>
      </c>
      <c r="AH197" s="20">
        <f>IF(COUNT(C197:P197)=0,"",IFERROR(AF197*(1-Config!$C$15-Config!$C$16-Config!$C$17),0))</f>
        <v/>
      </c>
      <c r="AI197" s="20">
        <f>IF(COUNT(C197:P197)=0,"",IFERROR(AH197-C197-Config!$C$18,0))</f>
        <v/>
      </c>
      <c r="AJ197" s="21">
        <f>IF(COUNT(C197:P197)=0,"",IFERROR(AH197/C197,0))</f>
        <v/>
      </c>
      <c r="AK197" s="15">
        <f>IF(COUNT(C197:P197)=0,"",IFERROR(AI197/G197,0))</f>
        <v/>
      </c>
      <c r="AL197" s="21">
        <f>IF(COUNT(C197:P197)=0,"",IFERROR(AK197/V197,0))</f>
        <v/>
      </c>
      <c r="AM197" s="15">
        <f>IF(COUNT(C197:P197)=0,"",IFERROR(AI197/I197,0))</f>
        <v/>
      </c>
      <c r="AN197" s="15">
        <f>IF(COUNT(C197:P197)=0,"",IFERROR(AH197/I197-AA197,0))</f>
        <v/>
      </c>
    </row>
    <row r="198">
      <c r="A198" s="12">
        <f>Config!$C$6+192</f>
        <v/>
      </c>
      <c r="B198" s="13">
        <f>INT((A198-Config!$C$6)/7)+1</f>
        <v/>
      </c>
      <c r="C198" s="10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5">
        <f>IF(COUNT(C198:P198)=0,"",IFERROR(C198/D198*1000,0))</f>
        <v/>
      </c>
      <c r="R198" s="16">
        <f>IF(COUNT(C198:P198)=0,"",IFERROR(D198/E198,0))</f>
        <v/>
      </c>
      <c r="S198" s="17">
        <f>IF(COUNT(C198:P198)=0,"",IFERROR(F198/D198,0))</f>
        <v/>
      </c>
      <c r="T198" s="15">
        <f>IF(COUNT(C198:P198)=0,"",IFERROR(C198/F198,0))</f>
        <v/>
      </c>
      <c r="U198" s="18">
        <f>IF(COUNT(C198:P198)=0,"",IFERROR(G198/F198,0))</f>
        <v/>
      </c>
      <c r="V198" s="15">
        <f>IF(COUNT(C198:P198)=0,"",IFERROR(C198/G198,0))</f>
        <v/>
      </c>
      <c r="W198" s="19">
        <f>IF(COUNT(C198:P198)=0,"",IFERROR(G198/D198*1000,0))</f>
        <v/>
      </c>
      <c r="X198" s="18">
        <f>IF(COUNT(C198:P198)=0,"",IFERROR(H198/G198,0))</f>
        <v/>
      </c>
      <c r="Y198" s="18">
        <f>IF(COUNT(C198:P198)=0,"",IFERROR(I198/H198,0))</f>
        <v/>
      </c>
      <c r="Z198" s="17">
        <f>IF(COUNT(C198:P198)=0,"",IFERROR(I198/G198,0))</f>
        <v/>
      </c>
      <c r="AA198" s="15">
        <f>IF(COUNT(C198:P198)=0,"",IFERROR(C198/I198,0))</f>
        <v/>
      </c>
      <c r="AB198" s="18">
        <f>IF(COUNT(C198:P198)=0,"",IFERROR(J198/I198,0))</f>
        <v/>
      </c>
      <c r="AC198" s="18">
        <f>IF(COUNT(C198:P198)=0,"",IFERROR(K198/I198,0))</f>
        <v/>
      </c>
      <c r="AD198" s="18">
        <f>IF(COUNT(C198:P198)=0,"",IFERROR(L198/I198,0))</f>
        <v/>
      </c>
      <c r="AE198" s="18">
        <f>IF(COUNT(C198:P198)=0,"",IFERROR(P198/I198,0))</f>
        <v/>
      </c>
      <c r="AF198" s="20">
        <f>IF(COUNT(C198:P198)=0,"",IFERROR(I198*Config!$C$7+J198*Config!$C$8+K198*Config!$C$9+L198*Config!$C$10+M198*Config!$C$11+N198*Config!$C$12+O198*Config!$C$13+P198*Config!$C$14,0))</f>
        <v/>
      </c>
      <c r="AG198" s="15">
        <f>IF(COUNT(C198:P198)=0,"",IFERROR(AF198/I198,0))</f>
        <v/>
      </c>
      <c r="AH198" s="20">
        <f>IF(COUNT(C198:P198)=0,"",IFERROR(AF198*(1-Config!$C$15-Config!$C$16-Config!$C$17),0))</f>
        <v/>
      </c>
      <c r="AI198" s="20">
        <f>IF(COUNT(C198:P198)=0,"",IFERROR(AH198-C198-Config!$C$18,0))</f>
        <v/>
      </c>
      <c r="AJ198" s="21">
        <f>IF(COUNT(C198:P198)=0,"",IFERROR(AH198/C198,0))</f>
        <v/>
      </c>
      <c r="AK198" s="15">
        <f>IF(COUNT(C198:P198)=0,"",IFERROR(AI198/G198,0))</f>
        <v/>
      </c>
      <c r="AL198" s="21">
        <f>IF(COUNT(C198:P198)=0,"",IFERROR(AK198/V198,0))</f>
        <v/>
      </c>
      <c r="AM198" s="15">
        <f>IF(COUNT(C198:P198)=0,"",IFERROR(AI198/I198,0))</f>
        <v/>
      </c>
      <c r="AN198" s="15">
        <f>IF(COUNT(C198:P198)=0,"",IFERROR(AH198/I198-AA198,0))</f>
        <v/>
      </c>
    </row>
    <row r="199">
      <c r="A199" s="12">
        <f>Config!$C$6+193</f>
        <v/>
      </c>
      <c r="B199" s="13">
        <f>INT((A199-Config!$C$6)/7)+1</f>
        <v/>
      </c>
      <c r="C199" s="10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5">
        <f>IF(COUNT(C199:P199)=0,"",IFERROR(C199/D199*1000,0))</f>
        <v/>
      </c>
      <c r="R199" s="16">
        <f>IF(COUNT(C199:P199)=0,"",IFERROR(D199/E199,0))</f>
        <v/>
      </c>
      <c r="S199" s="17">
        <f>IF(COUNT(C199:P199)=0,"",IFERROR(F199/D199,0))</f>
        <v/>
      </c>
      <c r="T199" s="15">
        <f>IF(COUNT(C199:P199)=0,"",IFERROR(C199/F199,0))</f>
        <v/>
      </c>
      <c r="U199" s="18">
        <f>IF(COUNT(C199:P199)=0,"",IFERROR(G199/F199,0))</f>
        <v/>
      </c>
      <c r="V199" s="15">
        <f>IF(COUNT(C199:P199)=0,"",IFERROR(C199/G199,0))</f>
        <v/>
      </c>
      <c r="W199" s="19">
        <f>IF(COUNT(C199:P199)=0,"",IFERROR(G199/D199*1000,0))</f>
        <v/>
      </c>
      <c r="X199" s="18">
        <f>IF(COUNT(C199:P199)=0,"",IFERROR(H199/G199,0))</f>
        <v/>
      </c>
      <c r="Y199" s="18">
        <f>IF(COUNT(C199:P199)=0,"",IFERROR(I199/H199,0))</f>
        <v/>
      </c>
      <c r="Z199" s="17">
        <f>IF(COUNT(C199:P199)=0,"",IFERROR(I199/G199,0))</f>
        <v/>
      </c>
      <c r="AA199" s="15">
        <f>IF(COUNT(C199:P199)=0,"",IFERROR(C199/I199,0))</f>
        <v/>
      </c>
      <c r="AB199" s="18">
        <f>IF(COUNT(C199:P199)=0,"",IFERROR(J199/I199,0))</f>
        <v/>
      </c>
      <c r="AC199" s="18">
        <f>IF(COUNT(C199:P199)=0,"",IFERROR(K199/I199,0))</f>
        <v/>
      </c>
      <c r="AD199" s="18">
        <f>IF(COUNT(C199:P199)=0,"",IFERROR(L199/I199,0))</f>
        <v/>
      </c>
      <c r="AE199" s="18">
        <f>IF(COUNT(C199:P199)=0,"",IFERROR(P199/I199,0))</f>
        <v/>
      </c>
      <c r="AF199" s="20">
        <f>IF(COUNT(C199:P199)=0,"",IFERROR(I199*Config!$C$7+J199*Config!$C$8+K199*Config!$C$9+L199*Config!$C$10+M199*Config!$C$11+N199*Config!$C$12+O199*Config!$C$13+P199*Config!$C$14,0))</f>
        <v/>
      </c>
      <c r="AG199" s="15">
        <f>IF(COUNT(C199:P199)=0,"",IFERROR(AF199/I199,0))</f>
        <v/>
      </c>
      <c r="AH199" s="20">
        <f>IF(COUNT(C199:P199)=0,"",IFERROR(AF199*(1-Config!$C$15-Config!$C$16-Config!$C$17),0))</f>
        <v/>
      </c>
      <c r="AI199" s="20">
        <f>IF(COUNT(C199:P199)=0,"",IFERROR(AH199-C199-Config!$C$18,0))</f>
        <v/>
      </c>
      <c r="AJ199" s="21">
        <f>IF(COUNT(C199:P199)=0,"",IFERROR(AH199/C199,0))</f>
        <v/>
      </c>
      <c r="AK199" s="15">
        <f>IF(COUNT(C199:P199)=0,"",IFERROR(AI199/G199,0))</f>
        <v/>
      </c>
      <c r="AL199" s="21">
        <f>IF(COUNT(C199:P199)=0,"",IFERROR(AK199/V199,0))</f>
        <v/>
      </c>
      <c r="AM199" s="15">
        <f>IF(COUNT(C199:P199)=0,"",IFERROR(AI199/I199,0))</f>
        <v/>
      </c>
      <c r="AN199" s="15">
        <f>IF(COUNT(C199:P199)=0,"",IFERROR(AH199/I199-AA199,0))</f>
        <v/>
      </c>
    </row>
    <row r="200">
      <c r="A200" s="12">
        <f>Config!$C$6+194</f>
        <v/>
      </c>
      <c r="B200" s="13">
        <f>INT((A200-Config!$C$6)/7)+1</f>
        <v/>
      </c>
      <c r="C200" s="10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5">
        <f>IF(COUNT(C200:P200)=0,"",IFERROR(C200/D200*1000,0))</f>
        <v/>
      </c>
      <c r="R200" s="16">
        <f>IF(COUNT(C200:P200)=0,"",IFERROR(D200/E200,0))</f>
        <v/>
      </c>
      <c r="S200" s="17">
        <f>IF(COUNT(C200:P200)=0,"",IFERROR(F200/D200,0))</f>
        <v/>
      </c>
      <c r="T200" s="15">
        <f>IF(COUNT(C200:P200)=0,"",IFERROR(C200/F200,0))</f>
        <v/>
      </c>
      <c r="U200" s="18">
        <f>IF(COUNT(C200:P200)=0,"",IFERROR(G200/F200,0))</f>
        <v/>
      </c>
      <c r="V200" s="15">
        <f>IF(COUNT(C200:P200)=0,"",IFERROR(C200/G200,0))</f>
        <v/>
      </c>
      <c r="W200" s="19">
        <f>IF(COUNT(C200:P200)=0,"",IFERROR(G200/D200*1000,0))</f>
        <v/>
      </c>
      <c r="X200" s="18">
        <f>IF(COUNT(C200:P200)=0,"",IFERROR(H200/G200,0))</f>
        <v/>
      </c>
      <c r="Y200" s="18">
        <f>IF(COUNT(C200:P200)=0,"",IFERROR(I200/H200,0))</f>
        <v/>
      </c>
      <c r="Z200" s="17">
        <f>IF(COUNT(C200:P200)=0,"",IFERROR(I200/G200,0))</f>
        <v/>
      </c>
      <c r="AA200" s="15">
        <f>IF(COUNT(C200:P200)=0,"",IFERROR(C200/I200,0))</f>
        <v/>
      </c>
      <c r="AB200" s="18">
        <f>IF(COUNT(C200:P200)=0,"",IFERROR(J200/I200,0))</f>
        <v/>
      </c>
      <c r="AC200" s="18">
        <f>IF(COUNT(C200:P200)=0,"",IFERROR(K200/I200,0))</f>
        <v/>
      </c>
      <c r="AD200" s="18">
        <f>IF(COUNT(C200:P200)=0,"",IFERROR(L200/I200,0))</f>
        <v/>
      </c>
      <c r="AE200" s="18">
        <f>IF(COUNT(C200:P200)=0,"",IFERROR(P200/I200,0))</f>
        <v/>
      </c>
      <c r="AF200" s="20">
        <f>IF(COUNT(C200:P200)=0,"",IFERROR(I200*Config!$C$7+J200*Config!$C$8+K200*Config!$C$9+L200*Config!$C$10+M200*Config!$C$11+N200*Config!$C$12+O200*Config!$C$13+P200*Config!$C$14,0))</f>
        <v/>
      </c>
      <c r="AG200" s="15">
        <f>IF(COUNT(C200:P200)=0,"",IFERROR(AF200/I200,0))</f>
        <v/>
      </c>
      <c r="AH200" s="20">
        <f>IF(COUNT(C200:P200)=0,"",IFERROR(AF200*(1-Config!$C$15-Config!$C$16-Config!$C$17),0))</f>
        <v/>
      </c>
      <c r="AI200" s="20">
        <f>IF(COUNT(C200:P200)=0,"",IFERROR(AH200-C200-Config!$C$18,0))</f>
        <v/>
      </c>
      <c r="AJ200" s="21">
        <f>IF(COUNT(C200:P200)=0,"",IFERROR(AH200/C200,0))</f>
        <v/>
      </c>
      <c r="AK200" s="15">
        <f>IF(COUNT(C200:P200)=0,"",IFERROR(AI200/G200,0))</f>
        <v/>
      </c>
      <c r="AL200" s="21">
        <f>IF(COUNT(C200:P200)=0,"",IFERROR(AK200/V200,0))</f>
        <v/>
      </c>
      <c r="AM200" s="15">
        <f>IF(COUNT(C200:P200)=0,"",IFERROR(AI200/I200,0))</f>
        <v/>
      </c>
      <c r="AN200" s="15">
        <f>IF(COUNT(C200:P200)=0,"",IFERROR(AH200/I200-AA200,0))</f>
        <v/>
      </c>
    </row>
    <row r="201">
      <c r="A201" s="12">
        <f>Config!$C$6+195</f>
        <v/>
      </c>
      <c r="B201" s="13">
        <f>INT((A201-Config!$C$6)/7)+1</f>
        <v/>
      </c>
      <c r="C201" s="10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5">
        <f>IF(COUNT(C201:P201)=0,"",IFERROR(C201/D201*1000,0))</f>
        <v/>
      </c>
      <c r="R201" s="16">
        <f>IF(COUNT(C201:P201)=0,"",IFERROR(D201/E201,0))</f>
        <v/>
      </c>
      <c r="S201" s="17">
        <f>IF(COUNT(C201:P201)=0,"",IFERROR(F201/D201,0))</f>
        <v/>
      </c>
      <c r="T201" s="15">
        <f>IF(COUNT(C201:P201)=0,"",IFERROR(C201/F201,0))</f>
        <v/>
      </c>
      <c r="U201" s="18">
        <f>IF(COUNT(C201:P201)=0,"",IFERROR(G201/F201,0))</f>
        <v/>
      </c>
      <c r="V201" s="15">
        <f>IF(COUNT(C201:P201)=0,"",IFERROR(C201/G201,0))</f>
        <v/>
      </c>
      <c r="W201" s="19">
        <f>IF(COUNT(C201:P201)=0,"",IFERROR(G201/D201*1000,0))</f>
        <v/>
      </c>
      <c r="X201" s="18">
        <f>IF(COUNT(C201:P201)=0,"",IFERROR(H201/G201,0))</f>
        <v/>
      </c>
      <c r="Y201" s="18">
        <f>IF(COUNT(C201:P201)=0,"",IFERROR(I201/H201,0))</f>
        <v/>
      </c>
      <c r="Z201" s="17">
        <f>IF(COUNT(C201:P201)=0,"",IFERROR(I201/G201,0))</f>
        <v/>
      </c>
      <c r="AA201" s="15">
        <f>IF(COUNT(C201:P201)=0,"",IFERROR(C201/I201,0))</f>
        <v/>
      </c>
      <c r="AB201" s="18">
        <f>IF(COUNT(C201:P201)=0,"",IFERROR(J201/I201,0))</f>
        <v/>
      </c>
      <c r="AC201" s="18">
        <f>IF(COUNT(C201:P201)=0,"",IFERROR(K201/I201,0))</f>
        <v/>
      </c>
      <c r="AD201" s="18">
        <f>IF(COUNT(C201:P201)=0,"",IFERROR(L201/I201,0))</f>
        <v/>
      </c>
      <c r="AE201" s="18">
        <f>IF(COUNT(C201:P201)=0,"",IFERROR(P201/I201,0))</f>
        <v/>
      </c>
      <c r="AF201" s="20">
        <f>IF(COUNT(C201:P201)=0,"",IFERROR(I201*Config!$C$7+J201*Config!$C$8+K201*Config!$C$9+L201*Config!$C$10+M201*Config!$C$11+N201*Config!$C$12+O201*Config!$C$13+P201*Config!$C$14,0))</f>
        <v/>
      </c>
      <c r="AG201" s="15">
        <f>IF(COUNT(C201:P201)=0,"",IFERROR(AF201/I201,0))</f>
        <v/>
      </c>
      <c r="AH201" s="20">
        <f>IF(COUNT(C201:P201)=0,"",IFERROR(AF201*(1-Config!$C$15-Config!$C$16-Config!$C$17),0))</f>
        <v/>
      </c>
      <c r="AI201" s="20">
        <f>IF(COUNT(C201:P201)=0,"",IFERROR(AH201-C201-Config!$C$18,0))</f>
        <v/>
      </c>
      <c r="AJ201" s="21">
        <f>IF(COUNT(C201:P201)=0,"",IFERROR(AH201/C201,0))</f>
        <v/>
      </c>
      <c r="AK201" s="15">
        <f>IF(COUNT(C201:P201)=0,"",IFERROR(AI201/G201,0))</f>
        <v/>
      </c>
      <c r="AL201" s="21">
        <f>IF(COUNT(C201:P201)=0,"",IFERROR(AK201/V201,0))</f>
        <v/>
      </c>
      <c r="AM201" s="15">
        <f>IF(COUNT(C201:P201)=0,"",IFERROR(AI201/I201,0))</f>
        <v/>
      </c>
      <c r="AN201" s="15">
        <f>IF(COUNT(C201:P201)=0,"",IFERROR(AH201/I201-AA201,0))</f>
        <v/>
      </c>
    </row>
    <row r="202">
      <c r="A202" s="12">
        <f>Config!$C$6+196</f>
        <v/>
      </c>
      <c r="B202" s="13">
        <f>INT((A202-Config!$C$6)/7)+1</f>
        <v/>
      </c>
      <c r="C202" s="10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5">
        <f>IF(COUNT(C202:P202)=0,"",IFERROR(C202/D202*1000,0))</f>
        <v/>
      </c>
      <c r="R202" s="16">
        <f>IF(COUNT(C202:P202)=0,"",IFERROR(D202/E202,0))</f>
        <v/>
      </c>
      <c r="S202" s="17">
        <f>IF(COUNT(C202:P202)=0,"",IFERROR(F202/D202,0))</f>
        <v/>
      </c>
      <c r="T202" s="15">
        <f>IF(COUNT(C202:P202)=0,"",IFERROR(C202/F202,0))</f>
        <v/>
      </c>
      <c r="U202" s="18">
        <f>IF(COUNT(C202:P202)=0,"",IFERROR(G202/F202,0))</f>
        <v/>
      </c>
      <c r="V202" s="15">
        <f>IF(COUNT(C202:P202)=0,"",IFERROR(C202/G202,0))</f>
        <v/>
      </c>
      <c r="W202" s="19">
        <f>IF(COUNT(C202:P202)=0,"",IFERROR(G202/D202*1000,0))</f>
        <v/>
      </c>
      <c r="X202" s="18">
        <f>IF(COUNT(C202:P202)=0,"",IFERROR(H202/G202,0))</f>
        <v/>
      </c>
      <c r="Y202" s="18">
        <f>IF(COUNT(C202:P202)=0,"",IFERROR(I202/H202,0))</f>
        <v/>
      </c>
      <c r="Z202" s="17">
        <f>IF(COUNT(C202:P202)=0,"",IFERROR(I202/G202,0))</f>
        <v/>
      </c>
      <c r="AA202" s="15">
        <f>IF(COUNT(C202:P202)=0,"",IFERROR(C202/I202,0))</f>
        <v/>
      </c>
      <c r="AB202" s="18">
        <f>IF(COUNT(C202:P202)=0,"",IFERROR(J202/I202,0))</f>
        <v/>
      </c>
      <c r="AC202" s="18">
        <f>IF(COUNT(C202:P202)=0,"",IFERROR(K202/I202,0))</f>
        <v/>
      </c>
      <c r="AD202" s="18">
        <f>IF(COUNT(C202:P202)=0,"",IFERROR(L202/I202,0))</f>
        <v/>
      </c>
      <c r="AE202" s="18">
        <f>IF(COUNT(C202:P202)=0,"",IFERROR(P202/I202,0))</f>
        <v/>
      </c>
      <c r="AF202" s="20">
        <f>IF(COUNT(C202:P202)=0,"",IFERROR(I202*Config!$C$7+J202*Config!$C$8+K202*Config!$C$9+L202*Config!$C$10+M202*Config!$C$11+N202*Config!$C$12+O202*Config!$C$13+P202*Config!$C$14,0))</f>
        <v/>
      </c>
      <c r="AG202" s="15">
        <f>IF(COUNT(C202:P202)=0,"",IFERROR(AF202/I202,0))</f>
        <v/>
      </c>
      <c r="AH202" s="20">
        <f>IF(COUNT(C202:P202)=0,"",IFERROR(AF202*(1-Config!$C$15-Config!$C$16-Config!$C$17),0))</f>
        <v/>
      </c>
      <c r="AI202" s="20">
        <f>IF(COUNT(C202:P202)=0,"",IFERROR(AH202-C202-Config!$C$18,0))</f>
        <v/>
      </c>
      <c r="AJ202" s="21">
        <f>IF(COUNT(C202:P202)=0,"",IFERROR(AH202/C202,0))</f>
        <v/>
      </c>
      <c r="AK202" s="15">
        <f>IF(COUNT(C202:P202)=0,"",IFERROR(AI202/G202,0))</f>
        <v/>
      </c>
      <c r="AL202" s="21">
        <f>IF(COUNT(C202:P202)=0,"",IFERROR(AK202/V202,0))</f>
        <v/>
      </c>
      <c r="AM202" s="15">
        <f>IF(COUNT(C202:P202)=0,"",IFERROR(AI202/I202,0))</f>
        <v/>
      </c>
      <c r="AN202" s="15">
        <f>IF(COUNT(C202:P202)=0,"",IFERROR(AH202/I202-AA202,0))</f>
        <v/>
      </c>
    </row>
    <row r="203">
      <c r="A203" s="12">
        <f>Config!$C$6+197</f>
        <v/>
      </c>
      <c r="B203" s="13">
        <f>INT((A203-Config!$C$6)/7)+1</f>
        <v/>
      </c>
      <c r="C203" s="10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5">
        <f>IF(COUNT(C203:P203)=0,"",IFERROR(C203/D203*1000,0))</f>
        <v/>
      </c>
      <c r="R203" s="16">
        <f>IF(COUNT(C203:P203)=0,"",IFERROR(D203/E203,0))</f>
        <v/>
      </c>
      <c r="S203" s="17">
        <f>IF(COUNT(C203:P203)=0,"",IFERROR(F203/D203,0))</f>
        <v/>
      </c>
      <c r="T203" s="15">
        <f>IF(COUNT(C203:P203)=0,"",IFERROR(C203/F203,0))</f>
        <v/>
      </c>
      <c r="U203" s="18">
        <f>IF(COUNT(C203:P203)=0,"",IFERROR(G203/F203,0))</f>
        <v/>
      </c>
      <c r="V203" s="15">
        <f>IF(COUNT(C203:P203)=0,"",IFERROR(C203/G203,0))</f>
        <v/>
      </c>
      <c r="W203" s="19">
        <f>IF(COUNT(C203:P203)=0,"",IFERROR(G203/D203*1000,0))</f>
        <v/>
      </c>
      <c r="X203" s="18">
        <f>IF(COUNT(C203:P203)=0,"",IFERROR(H203/G203,0))</f>
        <v/>
      </c>
      <c r="Y203" s="18">
        <f>IF(COUNT(C203:P203)=0,"",IFERROR(I203/H203,0))</f>
        <v/>
      </c>
      <c r="Z203" s="17">
        <f>IF(COUNT(C203:P203)=0,"",IFERROR(I203/G203,0))</f>
        <v/>
      </c>
      <c r="AA203" s="15">
        <f>IF(COUNT(C203:P203)=0,"",IFERROR(C203/I203,0))</f>
        <v/>
      </c>
      <c r="AB203" s="18">
        <f>IF(COUNT(C203:P203)=0,"",IFERROR(J203/I203,0))</f>
        <v/>
      </c>
      <c r="AC203" s="18">
        <f>IF(COUNT(C203:P203)=0,"",IFERROR(K203/I203,0))</f>
        <v/>
      </c>
      <c r="AD203" s="18">
        <f>IF(COUNT(C203:P203)=0,"",IFERROR(L203/I203,0))</f>
        <v/>
      </c>
      <c r="AE203" s="18">
        <f>IF(COUNT(C203:P203)=0,"",IFERROR(P203/I203,0))</f>
        <v/>
      </c>
      <c r="AF203" s="20">
        <f>IF(COUNT(C203:P203)=0,"",IFERROR(I203*Config!$C$7+J203*Config!$C$8+K203*Config!$C$9+L203*Config!$C$10+M203*Config!$C$11+N203*Config!$C$12+O203*Config!$C$13+P203*Config!$C$14,0))</f>
        <v/>
      </c>
      <c r="AG203" s="15">
        <f>IF(COUNT(C203:P203)=0,"",IFERROR(AF203/I203,0))</f>
        <v/>
      </c>
      <c r="AH203" s="20">
        <f>IF(COUNT(C203:P203)=0,"",IFERROR(AF203*(1-Config!$C$15-Config!$C$16-Config!$C$17),0))</f>
        <v/>
      </c>
      <c r="AI203" s="20">
        <f>IF(COUNT(C203:P203)=0,"",IFERROR(AH203-C203-Config!$C$18,0))</f>
        <v/>
      </c>
      <c r="AJ203" s="21">
        <f>IF(COUNT(C203:P203)=0,"",IFERROR(AH203/C203,0))</f>
        <v/>
      </c>
      <c r="AK203" s="15">
        <f>IF(COUNT(C203:P203)=0,"",IFERROR(AI203/G203,0))</f>
        <v/>
      </c>
      <c r="AL203" s="21">
        <f>IF(COUNT(C203:P203)=0,"",IFERROR(AK203/V203,0))</f>
        <v/>
      </c>
      <c r="AM203" s="15">
        <f>IF(COUNT(C203:P203)=0,"",IFERROR(AI203/I203,0))</f>
        <v/>
      </c>
      <c r="AN203" s="15">
        <f>IF(COUNT(C203:P203)=0,"",IFERROR(AH203/I203-AA203,0))</f>
        <v/>
      </c>
    </row>
    <row r="204">
      <c r="A204" s="12">
        <f>Config!$C$6+198</f>
        <v/>
      </c>
      <c r="B204" s="13">
        <f>INT((A204-Config!$C$6)/7)+1</f>
        <v/>
      </c>
      <c r="C204" s="10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5">
        <f>IF(COUNT(C204:P204)=0,"",IFERROR(C204/D204*1000,0))</f>
        <v/>
      </c>
      <c r="R204" s="16">
        <f>IF(COUNT(C204:P204)=0,"",IFERROR(D204/E204,0))</f>
        <v/>
      </c>
      <c r="S204" s="17">
        <f>IF(COUNT(C204:P204)=0,"",IFERROR(F204/D204,0))</f>
        <v/>
      </c>
      <c r="T204" s="15">
        <f>IF(COUNT(C204:P204)=0,"",IFERROR(C204/F204,0))</f>
        <v/>
      </c>
      <c r="U204" s="18">
        <f>IF(COUNT(C204:P204)=0,"",IFERROR(G204/F204,0))</f>
        <v/>
      </c>
      <c r="V204" s="15">
        <f>IF(COUNT(C204:P204)=0,"",IFERROR(C204/G204,0))</f>
        <v/>
      </c>
      <c r="W204" s="19">
        <f>IF(COUNT(C204:P204)=0,"",IFERROR(G204/D204*1000,0))</f>
        <v/>
      </c>
      <c r="X204" s="18">
        <f>IF(COUNT(C204:P204)=0,"",IFERROR(H204/G204,0))</f>
        <v/>
      </c>
      <c r="Y204" s="18">
        <f>IF(COUNT(C204:P204)=0,"",IFERROR(I204/H204,0))</f>
        <v/>
      </c>
      <c r="Z204" s="17">
        <f>IF(COUNT(C204:P204)=0,"",IFERROR(I204/G204,0))</f>
        <v/>
      </c>
      <c r="AA204" s="15">
        <f>IF(COUNT(C204:P204)=0,"",IFERROR(C204/I204,0))</f>
        <v/>
      </c>
      <c r="AB204" s="18">
        <f>IF(COUNT(C204:P204)=0,"",IFERROR(J204/I204,0))</f>
        <v/>
      </c>
      <c r="AC204" s="18">
        <f>IF(COUNT(C204:P204)=0,"",IFERROR(K204/I204,0))</f>
        <v/>
      </c>
      <c r="AD204" s="18">
        <f>IF(COUNT(C204:P204)=0,"",IFERROR(L204/I204,0))</f>
        <v/>
      </c>
      <c r="AE204" s="18">
        <f>IF(COUNT(C204:P204)=0,"",IFERROR(P204/I204,0))</f>
        <v/>
      </c>
      <c r="AF204" s="20">
        <f>IF(COUNT(C204:P204)=0,"",IFERROR(I204*Config!$C$7+J204*Config!$C$8+K204*Config!$C$9+L204*Config!$C$10+M204*Config!$C$11+N204*Config!$C$12+O204*Config!$C$13+P204*Config!$C$14,0))</f>
        <v/>
      </c>
      <c r="AG204" s="15">
        <f>IF(COUNT(C204:P204)=0,"",IFERROR(AF204/I204,0))</f>
        <v/>
      </c>
      <c r="AH204" s="20">
        <f>IF(COUNT(C204:P204)=0,"",IFERROR(AF204*(1-Config!$C$15-Config!$C$16-Config!$C$17),0))</f>
        <v/>
      </c>
      <c r="AI204" s="20">
        <f>IF(COUNT(C204:P204)=0,"",IFERROR(AH204-C204-Config!$C$18,0))</f>
        <v/>
      </c>
      <c r="AJ204" s="21">
        <f>IF(COUNT(C204:P204)=0,"",IFERROR(AH204/C204,0))</f>
        <v/>
      </c>
      <c r="AK204" s="15">
        <f>IF(COUNT(C204:P204)=0,"",IFERROR(AI204/G204,0))</f>
        <v/>
      </c>
      <c r="AL204" s="21">
        <f>IF(COUNT(C204:P204)=0,"",IFERROR(AK204/V204,0))</f>
        <v/>
      </c>
      <c r="AM204" s="15">
        <f>IF(COUNT(C204:P204)=0,"",IFERROR(AI204/I204,0))</f>
        <v/>
      </c>
      <c r="AN204" s="15">
        <f>IF(COUNT(C204:P204)=0,"",IFERROR(AH204/I204-AA204,0))</f>
        <v/>
      </c>
    </row>
    <row r="205">
      <c r="A205" s="12">
        <f>Config!$C$6+199</f>
        <v/>
      </c>
      <c r="B205" s="13">
        <f>INT((A205-Config!$C$6)/7)+1</f>
        <v/>
      </c>
      <c r="C205" s="10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5">
        <f>IF(COUNT(C205:P205)=0,"",IFERROR(C205/D205*1000,0))</f>
        <v/>
      </c>
      <c r="R205" s="16">
        <f>IF(COUNT(C205:P205)=0,"",IFERROR(D205/E205,0))</f>
        <v/>
      </c>
      <c r="S205" s="17">
        <f>IF(COUNT(C205:P205)=0,"",IFERROR(F205/D205,0))</f>
        <v/>
      </c>
      <c r="T205" s="15">
        <f>IF(COUNT(C205:P205)=0,"",IFERROR(C205/F205,0))</f>
        <v/>
      </c>
      <c r="U205" s="18">
        <f>IF(COUNT(C205:P205)=0,"",IFERROR(G205/F205,0))</f>
        <v/>
      </c>
      <c r="V205" s="15">
        <f>IF(COUNT(C205:P205)=0,"",IFERROR(C205/G205,0))</f>
        <v/>
      </c>
      <c r="W205" s="19">
        <f>IF(COUNT(C205:P205)=0,"",IFERROR(G205/D205*1000,0))</f>
        <v/>
      </c>
      <c r="X205" s="18">
        <f>IF(COUNT(C205:P205)=0,"",IFERROR(H205/G205,0))</f>
        <v/>
      </c>
      <c r="Y205" s="18">
        <f>IF(COUNT(C205:P205)=0,"",IFERROR(I205/H205,0))</f>
        <v/>
      </c>
      <c r="Z205" s="17">
        <f>IF(COUNT(C205:P205)=0,"",IFERROR(I205/G205,0))</f>
        <v/>
      </c>
      <c r="AA205" s="15">
        <f>IF(COUNT(C205:P205)=0,"",IFERROR(C205/I205,0))</f>
        <v/>
      </c>
      <c r="AB205" s="18">
        <f>IF(COUNT(C205:P205)=0,"",IFERROR(J205/I205,0))</f>
        <v/>
      </c>
      <c r="AC205" s="18">
        <f>IF(COUNT(C205:P205)=0,"",IFERROR(K205/I205,0))</f>
        <v/>
      </c>
      <c r="AD205" s="18">
        <f>IF(COUNT(C205:P205)=0,"",IFERROR(L205/I205,0))</f>
        <v/>
      </c>
      <c r="AE205" s="18">
        <f>IF(COUNT(C205:P205)=0,"",IFERROR(P205/I205,0))</f>
        <v/>
      </c>
      <c r="AF205" s="20">
        <f>IF(COUNT(C205:P205)=0,"",IFERROR(I205*Config!$C$7+J205*Config!$C$8+K205*Config!$C$9+L205*Config!$C$10+M205*Config!$C$11+N205*Config!$C$12+O205*Config!$C$13+P205*Config!$C$14,0))</f>
        <v/>
      </c>
      <c r="AG205" s="15">
        <f>IF(COUNT(C205:P205)=0,"",IFERROR(AF205/I205,0))</f>
        <v/>
      </c>
      <c r="AH205" s="20">
        <f>IF(COUNT(C205:P205)=0,"",IFERROR(AF205*(1-Config!$C$15-Config!$C$16-Config!$C$17),0))</f>
        <v/>
      </c>
      <c r="AI205" s="20">
        <f>IF(COUNT(C205:P205)=0,"",IFERROR(AH205-C205-Config!$C$18,0))</f>
        <v/>
      </c>
      <c r="AJ205" s="21">
        <f>IF(COUNT(C205:P205)=0,"",IFERROR(AH205/C205,0))</f>
        <v/>
      </c>
      <c r="AK205" s="15">
        <f>IF(COUNT(C205:P205)=0,"",IFERROR(AI205/G205,0))</f>
        <v/>
      </c>
      <c r="AL205" s="21">
        <f>IF(COUNT(C205:P205)=0,"",IFERROR(AK205/V205,0))</f>
        <v/>
      </c>
      <c r="AM205" s="15">
        <f>IF(COUNT(C205:P205)=0,"",IFERROR(AI205/I205,0))</f>
        <v/>
      </c>
      <c r="AN205" s="15">
        <f>IF(COUNT(C205:P205)=0,"",IFERROR(AH205/I205-AA205,0))</f>
        <v/>
      </c>
    </row>
    <row r="206">
      <c r="A206" s="12">
        <f>Config!$C$6+200</f>
        <v/>
      </c>
      <c r="B206" s="13">
        <f>INT((A206-Config!$C$6)/7)+1</f>
        <v/>
      </c>
      <c r="C206" s="10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5">
        <f>IF(COUNT(C206:P206)=0,"",IFERROR(C206/D206*1000,0))</f>
        <v/>
      </c>
      <c r="R206" s="16">
        <f>IF(COUNT(C206:P206)=0,"",IFERROR(D206/E206,0))</f>
        <v/>
      </c>
      <c r="S206" s="17">
        <f>IF(COUNT(C206:P206)=0,"",IFERROR(F206/D206,0))</f>
        <v/>
      </c>
      <c r="T206" s="15">
        <f>IF(COUNT(C206:P206)=0,"",IFERROR(C206/F206,0))</f>
        <v/>
      </c>
      <c r="U206" s="18">
        <f>IF(COUNT(C206:P206)=0,"",IFERROR(G206/F206,0))</f>
        <v/>
      </c>
      <c r="V206" s="15">
        <f>IF(COUNT(C206:P206)=0,"",IFERROR(C206/G206,0))</f>
        <v/>
      </c>
      <c r="W206" s="19">
        <f>IF(COUNT(C206:P206)=0,"",IFERROR(G206/D206*1000,0))</f>
        <v/>
      </c>
      <c r="X206" s="18">
        <f>IF(COUNT(C206:P206)=0,"",IFERROR(H206/G206,0))</f>
        <v/>
      </c>
      <c r="Y206" s="18">
        <f>IF(COUNT(C206:P206)=0,"",IFERROR(I206/H206,0))</f>
        <v/>
      </c>
      <c r="Z206" s="17">
        <f>IF(COUNT(C206:P206)=0,"",IFERROR(I206/G206,0))</f>
        <v/>
      </c>
      <c r="AA206" s="15">
        <f>IF(COUNT(C206:P206)=0,"",IFERROR(C206/I206,0))</f>
        <v/>
      </c>
      <c r="AB206" s="18">
        <f>IF(COUNT(C206:P206)=0,"",IFERROR(J206/I206,0))</f>
        <v/>
      </c>
      <c r="AC206" s="18">
        <f>IF(COUNT(C206:P206)=0,"",IFERROR(K206/I206,0))</f>
        <v/>
      </c>
      <c r="AD206" s="18">
        <f>IF(COUNT(C206:P206)=0,"",IFERROR(L206/I206,0))</f>
        <v/>
      </c>
      <c r="AE206" s="18">
        <f>IF(COUNT(C206:P206)=0,"",IFERROR(P206/I206,0))</f>
        <v/>
      </c>
      <c r="AF206" s="20">
        <f>IF(COUNT(C206:P206)=0,"",IFERROR(I206*Config!$C$7+J206*Config!$C$8+K206*Config!$C$9+L206*Config!$C$10+M206*Config!$C$11+N206*Config!$C$12+O206*Config!$C$13+P206*Config!$C$14,0))</f>
        <v/>
      </c>
      <c r="AG206" s="15">
        <f>IF(COUNT(C206:P206)=0,"",IFERROR(AF206/I206,0))</f>
        <v/>
      </c>
      <c r="AH206" s="20">
        <f>IF(COUNT(C206:P206)=0,"",IFERROR(AF206*(1-Config!$C$15-Config!$C$16-Config!$C$17),0))</f>
        <v/>
      </c>
      <c r="AI206" s="20">
        <f>IF(COUNT(C206:P206)=0,"",IFERROR(AH206-C206-Config!$C$18,0))</f>
        <v/>
      </c>
      <c r="AJ206" s="21">
        <f>IF(COUNT(C206:P206)=0,"",IFERROR(AH206/C206,0))</f>
        <v/>
      </c>
      <c r="AK206" s="15">
        <f>IF(COUNT(C206:P206)=0,"",IFERROR(AI206/G206,0))</f>
        <v/>
      </c>
      <c r="AL206" s="21">
        <f>IF(COUNT(C206:P206)=0,"",IFERROR(AK206/V206,0))</f>
        <v/>
      </c>
      <c r="AM206" s="15">
        <f>IF(COUNT(C206:P206)=0,"",IFERROR(AI206/I206,0))</f>
        <v/>
      </c>
      <c r="AN206" s="15">
        <f>IF(COUNT(C206:P206)=0,"",IFERROR(AH206/I206-AA206,0))</f>
        <v/>
      </c>
    </row>
    <row r="207">
      <c r="A207" s="12">
        <f>Config!$C$6+201</f>
        <v/>
      </c>
      <c r="B207" s="13">
        <f>INT((A207-Config!$C$6)/7)+1</f>
        <v/>
      </c>
      <c r="C207" s="10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5">
        <f>IF(COUNT(C207:P207)=0,"",IFERROR(C207/D207*1000,0))</f>
        <v/>
      </c>
      <c r="R207" s="16">
        <f>IF(COUNT(C207:P207)=0,"",IFERROR(D207/E207,0))</f>
        <v/>
      </c>
      <c r="S207" s="17">
        <f>IF(COUNT(C207:P207)=0,"",IFERROR(F207/D207,0))</f>
        <v/>
      </c>
      <c r="T207" s="15">
        <f>IF(COUNT(C207:P207)=0,"",IFERROR(C207/F207,0))</f>
        <v/>
      </c>
      <c r="U207" s="18">
        <f>IF(COUNT(C207:P207)=0,"",IFERROR(G207/F207,0))</f>
        <v/>
      </c>
      <c r="V207" s="15">
        <f>IF(COUNT(C207:P207)=0,"",IFERROR(C207/G207,0))</f>
        <v/>
      </c>
      <c r="W207" s="19">
        <f>IF(COUNT(C207:P207)=0,"",IFERROR(G207/D207*1000,0))</f>
        <v/>
      </c>
      <c r="X207" s="18">
        <f>IF(COUNT(C207:P207)=0,"",IFERROR(H207/G207,0))</f>
        <v/>
      </c>
      <c r="Y207" s="18">
        <f>IF(COUNT(C207:P207)=0,"",IFERROR(I207/H207,0))</f>
        <v/>
      </c>
      <c r="Z207" s="17">
        <f>IF(COUNT(C207:P207)=0,"",IFERROR(I207/G207,0))</f>
        <v/>
      </c>
      <c r="AA207" s="15">
        <f>IF(COUNT(C207:P207)=0,"",IFERROR(C207/I207,0))</f>
        <v/>
      </c>
      <c r="AB207" s="18">
        <f>IF(COUNT(C207:P207)=0,"",IFERROR(J207/I207,0))</f>
        <v/>
      </c>
      <c r="AC207" s="18">
        <f>IF(COUNT(C207:P207)=0,"",IFERROR(K207/I207,0))</f>
        <v/>
      </c>
      <c r="AD207" s="18">
        <f>IF(COUNT(C207:P207)=0,"",IFERROR(L207/I207,0))</f>
        <v/>
      </c>
      <c r="AE207" s="18">
        <f>IF(COUNT(C207:P207)=0,"",IFERROR(P207/I207,0))</f>
        <v/>
      </c>
      <c r="AF207" s="20">
        <f>IF(COUNT(C207:P207)=0,"",IFERROR(I207*Config!$C$7+J207*Config!$C$8+K207*Config!$C$9+L207*Config!$C$10+M207*Config!$C$11+N207*Config!$C$12+O207*Config!$C$13+P207*Config!$C$14,0))</f>
        <v/>
      </c>
      <c r="AG207" s="15">
        <f>IF(COUNT(C207:P207)=0,"",IFERROR(AF207/I207,0))</f>
        <v/>
      </c>
      <c r="AH207" s="20">
        <f>IF(COUNT(C207:P207)=0,"",IFERROR(AF207*(1-Config!$C$15-Config!$C$16-Config!$C$17),0))</f>
        <v/>
      </c>
      <c r="AI207" s="20">
        <f>IF(COUNT(C207:P207)=0,"",IFERROR(AH207-C207-Config!$C$18,0))</f>
        <v/>
      </c>
      <c r="AJ207" s="21">
        <f>IF(COUNT(C207:P207)=0,"",IFERROR(AH207/C207,0))</f>
        <v/>
      </c>
      <c r="AK207" s="15">
        <f>IF(COUNT(C207:P207)=0,"",IFERROR(AI207/G207,0))</f>
        <v/>
      </c>
      <c r="AL207" s="21">
        <f>IF(COUNT(C207:P207)=0,"",IFERROR(AK207/V207,0))</f>
        <v/>
      </c>
      <c r="AM207" s="15">
        <f>IF(COUNT(C207:P207)=0,"",IFERROR(AI207/I207,0))</f>
        <v/>
      </c>
      <c r="AN207" s="15">
        <f>IF(COUNT(C207:P207)=0,"",IFERROR(AH207/I207-AA207,0))</f>
        <v/>
      </c>
    </row>
    <row r="208">
      <c r="A208" s="12">
        <f>Config!$C$6+202</f>
        <v/>
      </c>
      <c r="B208" s="13">
        <f>INT((A208-Config!$C$6)/7)+1</f>
        <v/>
      </c>
      <c r="C208" s="10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5">
        <f>IF(COUNT(C208:P208)=0,"",IFERROR(C208/D208*1000,0))</f>
        <v/>
      </c>
      <c r="R208" s="16">
        <f>IF(COUNT(C208:P208)=0,"",IFERROR(D208/E208,0))</f>
        <v/>
      </c>
      <c r="S208" s="17">
        <f>IF(COUNT(C208:P208)=0,"",IFERROR(F208/D208,0))</f>
        <v/>
      </c>
      <c r="T208" s="15">
        <f>IF(COUNT(C208:P208)=0,"",IFERROR(C208/F208,0))</f>
        <v/>
      </c>
      <c r="U208" s="18">
        <f>IF(COUNT(C208:P208)=0,"",IFERROR(G208/F208,0))</f>
        <v/>
      </c>
      <c r="V208" s="15">
        <f>IF(COUNT(C208:P208)=0,"",IFERROR(C208/G208,0))</f>
        <v/>
      </c>
      <c r="W208" s="19">
        <f>IF(COUNT(C208:P208)=0,"",IFERROR(G208/D208*1000,0))</f>
        <v/>
      </c>
      <c r="X208" s="18">
        <f>IF(COUNT(C208:P208)=0,"",IFERROR(H208/G208,0))</f>
        <v/>
      </c>
      <c r="Y208" s="18">
        <f>IF(COUNT(C208:P208)=0,"",IFERROR(I208/H208,0))</f>
        <v/>
      </c>
      <c r="Z208" s="17">
        <f>IF(COUNT(C208:P208)=0,"",IFERROR(I208/G208,0))</f>
        <v/>
      </c>
      <c r="AA208" s="15">
        <f>IF(COUNT(C208:P208)=0,"",IFERROR(C208/I208,0))</f>
        <v/>
      </c>
      <c r="AB208" s="18">
        <f>IF(COUNT(C208:P208)=0,"",IFERROR(J208/I208,0))</f>
        <v/>
      </c>
      <c r="AC208" s="18">
        <f>IF(COUNT(C208:P208)=0,"",IFERROR(K208/I208,0))</f>
        <v/>
      </c>
      <c r="AD208" s="18">
        <f>IF(COUNT(C208:P208)=0,"",IFERROR(L208/I208,0))</f>
        <v/>
      </c>
      <c r="AE208" s="18">
        <f>IF(COUNT(C208:P208)=0,"",IFERROR(P208/I208,0))</f>
        <v/>
      </c>
      <c r="AF208" s="20">
        <f>IF(COUNT(C208:P208)=0,"",IFERROR(I208*Config!$C$7+J208*Config!$C$8+K208*Config!$C$9+L208*Config!$C$10+M208*Config!$C$11+N208*Config!$C$12+O208*Config!$C$13+P208*Config!$C$14,0))</f>
        <v/>
      </c>
      <c r="AG208" s="15">
        <f>IF(COUNT(C208:P208)=0,"",IFERROR(AF208/I208,0))</f>
        <v/>
      </c>
      <c r="AH208" s="20">
        <f>IF(COUNT(C208:P208)=0,"",IFERROR(AF208*(1-Config!$C$15-Config!$C$16-Config!$C$17),0))</f>
        <v/>
      </c>
      <c r="AI208" s="20">
        <f>IF(COUNT(C208:P208)=0,"",IFERROR(AH208-C208-Config!$C$18,0))</f>
        <v/>
      </c>
      <c r="AJ208" s="21">
        <f>IF(COUNT(C208:P208)=0,"",IFERROR(AH208/C208,0))</f>
        <v/>
      </c>
      <c r="AK208" s="15">
        <f>IF(COUNT(C208:P208)=0,"",IFERROR(AI208/G208,0))</f>
        <v/>
      </c>
      <c r="AL208" s="21">
        <f>IF(COUNT(C208:P208)=0,"",IFERROR(AK208/V208,0))</f>
        <v/>
      </c>
      <c r="AM208" s="15">
        <f>IF(COUNT(C208:P208)=0,"",IFERROR(AI208/I208,0))</f>
        <v/>
      </c>
      <c r="AN208" s="15">
        <f>IF(COUNT(C208:P208)=0,"",IFERROR(AH208/I208-AA208,0))</f>
        <v/>
      </c>
    </row>
    <row r="209">
      <c r="A209" s="12">
        <f>Config!$C$6+203</f>
        <v/>
      </c>
      <c r="B209" s="13">
        <f>INT((A209-Config!$C$6)/7)+1</f>
        <v/>
      </c>
      <c r="C209" s="10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5">
        <f>IF(COUNT(C209:P209)=0,"",IFERROR(C209/D209*1000,0))</f>
        <v/>
      </c>
      <c r="R209" s="16">
        <f>IF(COUNT(C209:P209)=0,"",IFERROR(D209/E209,0))</f>
        <v/>
      </c>
      <c r="S209" s="17">
        <f>IF(COUNT(C209:P209)=0,"",IFERROR(F209/D209,0))</f>
        <v/>
      </c>
      <c r="T209" s="15">
        <f>IF(COUNT(C209:P209)=0,"",IFERROR(C209/F209,0))</f>
        <v/>
      </c>
      <c r="U209" s="18">
        <f>IF(COUNT(C209:P209)=0,"",IFERROR(G209/F209,0))</f>
        <v/>
      </c>
      <c r="V209" s="15">
        <f>IF(COUNT(C209:P209)=0,"",IFERROR(C209/G209,0))</f>
        <v/>
      </c>
      <c r="W209" s="19">
        <f>IF(COUNT(C209:P209)=0,"",IFERROR(G209/D209*1000,0))</f>
        <v/>
      </c>
      <c r="X209" s="18">
        <f>IF(COUNT(C209:P209)=0,"",IFERROR(H209/G209,0))</f>
        <v/>
      </c>
      <c r="Y209" s="18">
        <f>IF(COUNT(C209:P209)=0,"",IFERROR(I209/H209,0))</f>
        <v/>
      </c>
      <c r="Z209" s="17">
        <f>IF(COUNT(C209:P209)=0,"",IFERROR(I209/G209,0))</f>
        <v/>
      </c>
      <c r="AA209" s="15">
        <f>IF(COUNT(C209:P209)=0,"",IFERROR(C209/I209,0))</f>
        <v/>
      </c>
      <c r="AB209" s="18">
        <f>IF(COUNT(C209:P209)=0,"",IFERROR(J209/I209,0))</f>
        <v/>
      </c>
      <c r="AC209" s="18">
        <f>IF(COUNT(C209:P209)=0,"",IFERROR(K209/I209,0))</f>
        <v/>
      </c>
      <c r="AD209" s="18">
        <f>IF(COUNT(C209:P209)=0,"",IFERROR(L209/I209,0))</f>
        <v/>
      </c>
      <c r="AE209" s="18">
        <f>IF(COUNT(C209:P209)=0,"",IFERROR(P209/I209,0))</f>
        <v/>
      </c>
      <c r="AF209" s="20">
        <f>IF(COUNT(C209:P209)=0,"",IFERROR(I209*Config!$C$7+J209*Config!$C$8+K209*Config!$C$9+L209*Config!$C$10+M209*Config!$C$11+N209*Config!$C$12+O209*Config!$C$13+P209*Config!$C$14,0))</f>
        <v/>
      </c>
      <c r="AG209" s="15">
        <f>IF(COUNT(C209:P209)=0,"",IFERROR(AF209/I209,0))</f>
        <v/>
      </c>
      <c r="AH209" s="20">
        <f>IF(COUNT(C209:P209)=0,"",IFERROR(AF209*(1-Config!$C$15-Config!$C$16-Config!$C$17),0))</f>
        <v/>
      </c>
      <c r="AI209" s="20">
        <f>IF(COUNT(C209:P209)=0,"",IFERROR(AH209-C209-Config!$C$18,0))</f>
        <v/>
      </c>
      <c r="AJ209" s="21">
        <f>IF(COUNT(C209:P209)=0,"",IFERROR(AH209/C209,0))</f>
        <v/>
      </c>
      <c r="AK209" s="15">
        <f>IF(COUNT(C209:P209)=0,"",IFERROR(AI209/G209,0))</f>
        <v/>
      </c>
      <c r="AL209" s="21">
        <f>IF(COUNT(C209:P209)=0,"",IFERROR(AK209/V209,0))</f>
        <v/>
      </c>
      <c r="AM209" s="15">
        <f>IF(COUNT(C209:P209)=0,"",IFERROR(AI209/I209,0))</f>
        <v/>
      </c>
      <c r="AN209" s="15">
        <f>IF(COUNT(C209:P209)=0,"",IFERROR(AH209/I209-AA209,0))</f>
        <v/>
      </c>
    </row>
    <row r="210">
      <c r="A210" s="12">
        <f>Config!$C$6+204</f>
        <v/>
      </c>
      <c r="B210" s="13">
        <f>INT((A210-Config!$C$6)/7)+1</f>
        <v/>
      </c>
      <c r="C210" s="10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5">
        <f>IF(COUNT(C210:P210)=0,"",IFERROR(C210/D210*1000,0))</f>
        <v/>
      </c>
      <c r="R210" s="16">
        <f>IF(COUNT(C210:P210)=0,"",IFERROR(D210/E210,0))</f>
        <v/>
      </c>
      <c r="S210" s="17">
        <f>IF(COUNT(C210:P210)=0,"",IFERROR(F210/D210,0))</f>
        <v/>
      </c>
      <c r="T210" s="15">
        <f>IF(COUNT(C210:P210)=0,"",IFERROR(C210/F210,0))</f>
        <v/>
      </c>
      <c r="U210" s="18">
        <f>IF(COUNT(C210:P210)=0,"",IFERROR(G210/F210,0))</f>
        <v/>
      </c>
      <c r="V210" s="15">
        <f>IF(COUNT(C210:P210)=0,"",IFERROR(C210/G210,0))</f>
        <v/>
      </c>
      <c r="W210" s="19">
        <f>IF(COUNT(C210:P210)=0,"",IFERROR(G210/D210*1000,0))</f>
        <v/>
      </c>
      <c r="X210" s="18">
        <f>IF(COUNT(C210:P210)=0,"",IFERROR(H210/G210,0))</f>
        <v/>
      </c>
      <c r="Y210" s="18">
        <f>IF(COUNT(C210:P210)=0,"",IFERROR(I210/H210,0))</f>
        <v/>
      </c>
      <c r="Z210" s="17">
        <f>IF(COUNT(C210:P210)=0,"",IFERROR(I210/G210,0))</f>
        <v/>
      </c>
      <c r="AA210" s="15">
        <f>IF(COUNT(C210:P210)=0,"",IFERROR(C210/I210,0))</f>
        <v/>
      </c>
      <c r="AB210" s="18">
        <f>IF(COUNT(C210:P210)=0,"",IFERROR(J210/I210,0))</f>
        <v/>
      </c>
      <c r="AC210" s="18">
        <f>IF(COUNT(C210:P210)=0,"",IFERROR(K210/I210,0))</f>
        <v/>
      </c>
      <c r="AD210" s="18">
        <f>IF(COUNT(C210:P210)=0,"",IFERROR(L210/I210,0))</f>
        <v/>
      </c>
      <c r="AE210" s="18">
        <f>IF(COUNT(C210:P210)=0,"",IFERROR(P210/I210,0))</f>
        <v/>
      </c>
      <c r="AF210" s="20">
        <f>IF(COUNT(C210:P210)=0,"",IFERROR(I210*Config!$C$7+J210*Config!$C$8+K210*Config!$C$9+L210*Config!$C$10+M210*Config!$C$11+N210*Config!$C$12+O210*Config!$C$13+P210*Config!$C$14,0))</f>
        <v/>
      </c>
      <c r="AG210" s="15">
        <f>IF(COUNT(C210:P210)=0,"",IFERROR(AF210/I210,0))</f>
        <v/>
      </c>
      <c r="AH210" s="20">
        <f>IF(COUNT(C210:P210)=0,"",IFERROR(AF210*(1-Config!$C$15-Config!$C$16-Config!$C$17),0))</f>
        <v/>
      </c>
      <c r="AI210" s="20">
        <f>IF(COUNT(C210:P210)=0,"",IFERROR(AH210-C210-Config!$C$18,0))</f>
        <v/>
      </c>
      <c r="AJ210" s="21">
        <f>IF(COUNT(C210:P210)=0,"",IFERROR(AH210/C210,0))</f>
        <v/>
      </c>
      <c r="AK210" s="15">
        <f>IF(COUNT(C210:P210)=0,"",IFERROR(AI210/G210,0))</f>
        <v/>
      </c>
      <c r="AL210" s="21">
        <f>IF(COUNT(C210:P210)=0,"",IFERROR(AK210/V210,0))</f>
        <v/>
      </c>
      <c r="AM210" s="15">
        <f>IF(COUNT(C210:P210)=0,"",IFERROR(AI210/I210,0))</f>
        <v/>
      </c>
      <c r="AN210" s="15">
        <f>IF(COUNT(C210:P210)=0,"",IFERROR(AH210/I210-AA210,0))</f>
        <v/>
      </c>
    </row>
    <row r="211">
      <c r="A211" s="12">
        <f>Config!$C$6+205</f>
        <v/>
      </c>
      <c r="B211" s="13">
        <f>INT((A211-Config!$C$6)/7)+1</f>
        <v/>
      </c>
      <c r="C211" s="10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5">
        <f>IF(COUNT(C211:P211)=0,"",IFERROR(C211/D211*1000,0))</f>
        <v/>
      </c>
      <c r="R211" s="16">
        <f>IF(COUNT(C211:P211)=0,"",IFERROR(D211/E211,0))</f>
        <v/>
      </c>
      <c r="S211" s="17">
        <f>IF(COUNT(C211:P211)=0,"",IFERROR(F211/D211,0))</f>
        <v/>
      </c>
      <c r="T211" s="15">
        <f>IF(COUNT(C211:P211)=0,"",IFERROR(C211/F211,0))</f>
        <v/>
      </c>
      <c r="U211" s="18">
        <f>IF(COUNT(C211:P211)=0,"",IFERROR(G211/F211,0))</f>
        <v/>
      </c>
      <c r="V211" s="15">
        <f>IF(COUNT(C211:P211)=0,"",IFERROR(C211/G211,0))</f>
        <v/>
      </c>
      <c r="W211" s="19">
        <f>IF(COUNT(C211:P211)=0,"",IFERROR(G211/D211*1000,0))</f>
        <v/>
      </c>
      <c r="X211" s="18">
        <f>IF(COUNT(C211:P211)=0,"",IFERROR(H211/G211,0))</f>
        <v/>
      </c>
      <c r="Y211" s="18">
        <f>IF(COUNT(C211:P211)=0,"",IFERROR(I211/H211,0))</f>
        <v/>
      </c>
      <c r="Z211" s="17">
        <f>IF(COUNT(C211:P211)=0,"",IFERROR(I211/G211,0))</f>
        <v/>
      </c>
      <c r="AA211" s="15">
        <f>IF(COUNT(C211:P211)=0,"",IFERROR(C211/I211,0))</f>
        <v/>
      </c>
      <c r="AB211" s="18">
        <f>IF(COUNT(C211:P211)=0,"",IFERROR(J211/I211,0))</f>
        <v/>
      </c>
      <c r="AC211" s="18">
        <f>IF(COUNT(C211:P211)=0,"",IFERROR(K211/I211,0))</f>
        <v/>
      </c>
      <c r="AD211" s="18">
        <f>IF(COUNT(C211:P211)=0,"",IFERROR(L211/I211,0))</f>
        <v/>
      </c>
      <c r="AE211" s="18">
        <f>IF(COUNT(C211:P211)=0,"",IFERROR(P211/I211,0))</f>
        <v/>
      </c>
      <c r="AF211" s="20">
        <f>IF(COUNT(C211:P211)=0,"",IFERROR(I211*Config!$C$7+J211*Config!$C$8+K211*Config!$C$9+L211*Config!$C$10+M211*Config!$C$11+N211*Config!$C$12+O211*Config!$C$13+P211*Config!$C$14,0))</f>
        <v/>
      </c>
      <c r="AG211" s="15">
        <f>IF(COUNT(C211:P211)=0,"",IFERROR(AF211/I211,0))</f>
        <v/>
      </c>
      <c r="AH211" s="20">
        <f>IF(COUNT(C211:P211)=0,"",IFERROR(AF211*(1-Config!$C$15-Config!$C$16-Config!$C$17),0))</f>
        <v/>
      </c>
      <c r="AI211" s="20">
        <f>IF(COUNT(C211:P211)=0,"",IFERROR(AH211-C211-Config!$C$18,0))</f>
        <v/>
      </c>
      <c r="AJ211" s="21">
        <f>IF(COUNT(C211:P211)=0,"",IFERROR(AH211/C211,0))</f>
        <v/>
      </c>
      <c r="AK211" s="15">
        <f>IF(COUNT(C211:P211)=0,"",IFERROR(AI211/G211,0))</f>
        <v/>
      </c>
      <c r="AL211" s="21">
        <f>IF(COUNT(C211:P211)=0,"",IFERROR(AK211/V211,0))</f>
        <v/>
      </c>
      <c r="AM211" s="15">
        <f>IF(COUNT(C211:P211)=0,"",IFERROR(AI211/I211,0))</f>
        <v/>
      </c>
      <c r="AN211" s="15">
        <f>IF(COUNT(C211:P211)=0,"",IFERROR(AH211/I211-AA211,0))</f>
        <v/>
      </c>
    </row>
    <row r="212">
      <c r="A212" s="12">
        <f>Config!$C$6+206</f>
        <v/>
      </c>
      <c r="B212" s="13">
        <f>INT((A212-Config!$C$6)/7)+1</f>
        <v/>
      </c>
      <c r="C212" s="10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5">
        <f>IF(COUNT(C212:P212)=0,"",IFERROR(C212/D212*1000,0))</f>
        <v/>
      </c>
      <c r="R212" s="16">
        <f>IF(COUNT(C212:P212)=0,"",IFERROR(D212/E212,0))</f>
        <v/>
      </c>
      <c r="S212" s="17">
        <f>IF(COUNT(C212:P212)=0,"",IFERROR(F212/D212,0))</f>
        <v/>
      </c>
      <c r="T212" s="15">
        <f>IF(COUNT(C212:P212)=0,"",IFERROR(C212/F212,0))</f>
        <v/>
      </c>
      <c r="U212" s="18">
        <f>IF(COUNT(C212:P212)=0,"",IFERROR(G212/F212,0))</f>
        <v/>
      </c>
      <c r="V212" s="15">
        <f>IF(COUNT(C212:P212)=0,"",IFERROR(C212/G212,0))</f>
        <v/>
      </c>
      <c r="W212" s="19">
        <f>IF(COUNT(C212:P212)=0,"",IFERROR(G212/D212*1000,0))</f>
        <v/>
      </c>
      <c r="X212" s="18">
        <f>IF(COUNT(C212:P212)=0,"",IFERROR(H212/G212,0))</f>
        <v/>
      </c>
      <c r="Y212" s="18">
        <f>IF(COUNT(C212:P212)=0,"",IFERROR(I212/H212,0))</f>
        <v/>
      </c>
      <c r="Z212" s="17">
        <f>IF(COUNT(C212:P212)=0,"",IFERROR(I212/G212,0))</f>
        <v/>
      </c>
      <c r="AA212" s="15">
        <f>IF(COUNT(C212:P212)=0,"",IFERROR(C212/I212,0))</f>
        <v/>
      </c>
      <c r="AB212" s="18">
        <f>IF(COUNT(C212:P212)=0,"",IFERROR(J212/I212,0))</f>
        <v/>
      </c>
      <c r="AC212" s="18">
        <f>IF(COUNT(C212:P212)=0,"",IFERROR(K212/I212,0))</f>
        <v/>
      </c>
      <c r="AD212" s="18">
        <f>IF(COUNT(C212:P212)=0,"",IFERROR(L212/I212,0))</f>
        <v/>
      </c>
      <c r="AE212" s="18">
        <f>IF(COUNT(C212:P212)=0,"",IFERROR(P212/I212,0))</f>
        <v/>
      </c>
      <c r="AF212" s="20">
        <f>IF(COUNT(C212:P212)=0,"",IFERROR(I212*Config!$C$7+J212*Config!$C$8+K212*Config!$C$9+L212*Config!$C$10+M212*Config!$C$11+N212*Config!$C$12+O212*Config!$C$13+P212*Config!$C$14,0))</f>
        <v/>
      </c>
      <c r="AG212" s="15">
        <f>IF(COUNT(C212:P212)=0,"",IFERROR(AF212/I212,0))</f>
        <v/>
      </c>
      <c r="AH212" s="20">
        <f>IF(COUNT(C212:P212)=0,"",IFERROR(AF212*(1-Config!$C$15-Config!$C$16-Config!$C$17),0))</f>
        <v/>
      </c>
      <c r="AI212" s="20">
        <f>IF(COUNT(C212:P212)=0,"",IFERROR(AH212-C212-Config!$C$18,0))</f>
        <v/>
      </c>
      <c r="AJ212" s="21">
        <f>IF(COUNT(C212:P212)=0,"",IFERROR(AH212/C212,0))</f>
        <v/>
      </c>
      <c r="AK212" s="15">
        <f>IF(COUNT(C212:P212)=0,"",IFERROR(AI212/G212,0))</f>
        <v/>
      </c>
      <c r="AL212" s="21">
        <f>IF(COUNT(C212:P212)=0,"",IFERROR(AK212/V212,0))</f>
        <v/>
      </c>
      <c r="AM212" s="15">
        <f>IF(COUNT(C212:P212)=0,"",IFERROR(AI212/I212,0))</f>
        <v/>
      </c>
      <c r="AN212" s="15">
        <f>IF(COUNT(C212:P212)=0,"",IFERROR(AH212/I212-AA212,0))</f>
        <v/>
      </c>
    </row>
    <row r="213">
      <c r="A213" s="12">
        <f>Config!$C$6+207</f>
        <v/>
      </c>
      <c r="B213" s="13">
        <f>INT((A213-Config!$C$6)/7)+1</f>
        <v/>
      </c>
      <c r="C213" s="10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5">
        <f>IF(COUNT(C213:P213)=0,"",IFERROR(C213/D213*1000,0))</f>
        <v/>
      </c>
      <c r="R213" s="16">
        <f>IF(COUNT(C213:P213)=0,"",IFERROR(D213/E213,0))</f>
        <v/>
      </c>
      <c r="S213" s="17">
        <f>IF(COUNT(C213:P213)=0,"",IFERROR(F213/D213,0))</f>
        <v/>
      </c>
      <c r="T213" s="15">
        <f>IF(COUNT(C213:P213)=0,"",IFERROR(C213/F213,0))</f>
        <v/>
      </c>
      <c r="U213" s="18">
        <f>IF(COUNT(C213:P213)=0,"",IFERROR(G213/F213,0))</f>
        <v/>
      </c>
      <c r="V213" s="15">
        <f>IF(COUNT(C213:P213)=0,"",IFERROR(C213/G213,0))</f>
        <v/>
      </c>
      <c r="W213" s="19">
        <f>IF(COUNT(C213:P213)=0,"",IFERROR(G213/D213*1000,0))</f>
        <v/>
      </c>
      <c r="X213" s="18">
        <f>IF(COUNT(C213:P213)=0,"",IFERROR(H213/G213,0))</f>
        <v/>
      </c>
      <c r="Y213" s="18">
        <f>IF(COUNT(C213:P213)=0,"",IFERROR(I213/H213,0))</f>
        <v/>
      </c>
      <c r="Z213" s="17">
        <f>IF(COUNT(C213:P213)=0,"",IFERROR(I213/G213,0))</f>
        <v/>
      </c>
      <c r="AA213" s="15">
        <f>IF(COUNT(C213:P213)=0,"",IFERROR(C213/I213,0))</f>
        <v/>
      </c>
      <c r="AB213" s="18">
        <f>IF(COUNT(C213:P213)=0,"",IFERROR(J213/I213,0))</f>
        <v/>
      </c>
      <c r="AC213" s="18">
        <f>IF(COUNT(C213:P213)=0,"",IFERROR(K213/I213,0))</f>
        <v/>
      </c>
      <c r="AD213" s="18">
        <f>IF(COUNT(C213:P213)=0,"",IFERROR(L213/I213,0))</f>
        <v/>
      </c>
      <c r="AE213" s="18">
        <f>IF(COUNT(C213:P213)=0,"",IFERROR(P213/I213,0))</f>
        <v/>
      </c>
      <c r="AF213" s="20">
        <f>IF(COUNT(C213:P213)=0,"",IFERROR(I213*Config!$C$7+J213*Config!$C$8+K213*Config!$C$9+L213*Config!$C$10+M213*Config!$C$11+N213*Config!$C$12+O213*Config!$C$13+P213*Config!$C$14,0))</f>
        <v/>
      </c>
      <c r="AG213" s="15">
        <f>IF(COUNT(C213:P213)=0,"",IFERROR(AF213/I213,0))</f>
        <v/>
      </c>
      <c r="AH213" s="20">
        <f>IF(COUNT(C213:P213)=0,"",IFERROR(AF213*(1-Config!$C$15-Config!$C$16-Config!$C$17),0))</f>
        <v/>
      </c>
      <c r="AI213" s="20">
        <f>IF(COUNT(C213:P213)=0,"",IFERROR(AH213-C213-Config!$C$18,0))</f>
        <v/>
      </c>
      <c r="AJ213" s="21">
        <f>IF(COUNT(C213:P213)=0,"",IFERROR(AH213/C213,0))</f>
        <v/>
      </c>
      <c r="AK213" s="15">
        <f>IF(COUNT(C213:P213)=0,"",IFERROR(AI213/G213,0))</f>
        <v/>
      </c>
      <c r="AL213" s="21">
        <f>IF(COUNT(C213:P213)=0,"",IFERROR(AK213/V213,0))</f>
        <v/>
      </c>
      <c r="AM213" s="15">
        <f>IF(COUNT(C213:P213)=0,"",IFERROR(AI213/I213,0))</f>
        <v/>
      </c>
      <c r="AN213" s="15">
        <f>IF(COUNT(C213:P213)=0,"",IFERROR(AH213/I213-AA213,0))</f>
        <v/>
      </c>
    </row>
    <row r="214">
      <c r="A214" s="12">
        <f>Config!$C$6+208</f>
        <v/>
      </c>
      <c r="B214" s="13">
        <f>INT((A214-Config!$C$6)/7)+1</f>
        <v/>
      </c>
      <c r="C214" s="10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5">
        <f>IF(COUNT(C214:P214)=0,"",IFERROR(C214/D214*1000,0))</f>
        <v/>
      </c>
      <c r="R214" s="16">
        <f>IF(COUNT(C214:P214)=0,"",IFERROR(D214/E214,0))</f>
        <v/>
      </c>
      <c r="S214" s="17">
        <f>IF(COUNT(C214:P214)=0,"",IFERROR(F214/D214,0))</f>
        <v/>
      </c>
      <c r="T214" s="15">
        <f>IF(COUNT(C214:P214)=0,"",IFERROR(C214/F214,0))</f>
        <v/>
      </c>
      <c r="U214" s="18">
        <f>IF(COUNT(C214:P214)=0,"",IFERROR(G214/F214,0))</f>
        <v/>
      </c>
      <c r="V214" s="15">
        <f>IF(COUNT(C214:P214)=0,"",IFERROR(C214/G214,0))</f>
        <v/>
      </c>
      <c r="W214" s="19">
        <f>IF(COUNT(C214:P214)=0,"",IFERROR(G214/D214*1000,0))</f>
        <v/>
      </c>
      <c r="X214" s="18">
        <f>IF(COUNT(C214:P214)=0,"",IFERROR(H214/G214,0))</f>
        <v/>
      </c>
      <c r="Y214" s="18">
        <f>IF(COUNT(C214:P214)=0,"",IFERROR(I214/H214,0))</f>
        <v/>
      </c>
      <c r="Z214" s="17">
        <f>IF(COUNT(C214:P214)=0,"",IFERROR(I214/G214,0))</f>
        <v/>
      </c>
      <c r="AA214" s="15">
        <f>IF(COUNT(C214:P214)=0,"",IFERROR(C214/I214,0))</f>
        <v/>
      </c>
      <c r="AB214" s="18">
        <f>IF(COUNT(C214:P214)=0,"",IFERROR(J214/I214,0))</f>
        <v/>
      </c>
      <c r="AC214" s="18">
        <f>IF(COUNT(C214:P214)=0,"",IFERROR(K214/I214,0))</f>
        <v/>
      </c>
      <c r="AD214" s="18">
        <f>IF(COUNT(C214:P214)=0,"",IFERROR(L214/I214,0))</f>
        <v/>
      </c>
      <c r="AE214" s="18">
        <f>IF(COUNT(C214:P214)=0,"",IFERROR(P214/I214,0))</f>
        <v/>
      </c>
      <c r="AF214" s="20">
        <f>IF(COUNT(C214:P214)=0,"",IFERROR(I214*Config!$C$7+J214*Config!$C$8+K214*Config!$C$9+L214*Config!$C$10+M214*Config!$C$11+N214*Config!$C$12+O214*Config!$C$13+P214*Config!$C$14,0))</f>
        <v/>
      </c>
      <c r="AG214" s="15">
        <f>IF(COUNT(C214:P214)=0,"",IFERROR(AF214/I214,0))</f>
        <v/>
      </c>
      <c r="AH214" s="20">
        <f>IF(COUNT(C214:P214)=0,"",IFERROR(AF214*(1-Config!$C$15-Config!$C$16-Config!$C$17),0))</f>
        <v/>
      </c>
      <c r="AI214" s="20">
        <f>IF(COUNT(C214:P214)=0,"",IFERROR(AH214-C214-Config!$C$18,0))</f>
        <v/>
      </c>
      <c r="AJ214" s="21">
        <f>IF(COUNT(C214:P214)=0,"",IFERROR(AH214/C214,0))</f>
        <v/>
      </c>
      <c r="AK214" s="15">
        <f>IF(COUNT(C214:P214)=0,"",IFERROR(AI214/G214,0))</f>
        <v/>
      </c>
      <c r="AL214" s="21">
        <f>IF(COUNT(C214:P214)=0,"",IFERROR(AK214/V214,0))</f>
        <v/>
      </c>
      <c r="AM214" s="15">
        <f>IF(COUNT(C214:P214)=0,"",IFERROR(AI214/I214,0))</f>
        <v/>
      </c>
      <c r="AN214" s="15">
        <f>IF(COUNT(C214:P214)=0,"",IFERROR(AH214/I214-AA214,0))</f>
        <v/>
      </c>
    </row>
    <row r="215">
      <c r="A215" s="12">
        <f>Config!$C$6+209</f>
        <v/>
      </c>
      <c r="B215" s="13">
        <f>INT((A215-Config!$C$6)/7)+1</f>
        <v/>
      </c>
      <c r="C215" s="10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5">
        <f>IF(COUNT(C215:P215)=0,"",IFERROR(C215/D215*1000,0))</f>
        <v/>
      </c>
      <c r="R215" s="16">
        <f>IF(COUNT(C215:P215)=0,"",IFERROR(D215/E215,0))</f>
        <v/>
      </c>
      <c r="S215" s="17">
        <f>IF(COUNT(C215:P215)=0,"",IFERROR(F215/D215,0))</f>
        <v/>
      </c>
      <c r="T215" s="15">
        <f>IF(COUNT(C215:P215)=0,"",IFERROR(C215/F215,0))</f>
        <v/>
      </c>
      <c r="U215" s="18">
        <f>IF(COUNT(C215:P215)=0,"",IFERROR(G215/F215,0))</f>
        <v/>
      </c>
      <c r="V215" s="15">
        <f>IF(COUNT(C215:P215)=0,"",IFERROR(C215/G215,0))</f>
        <v/>
      </c>
      <c r="W215" s="19">
        <f>IF(COUNT(C215:P215)=0,"",IFERROR(G215/D215*1000,0))</f>
        <v/>
      </c>
      <c r="X215" s="18">
        <f>IF(COUNT(C215:P215)=0,"",IFERROR(H215/G215,0))</f>
        <v/>
      </c>
      <c r="Y215" s="18">
        <f>IF(COUNT(C215:P215)=0,"",IFERROR(I215/H215,0))</f>
        <v/>
      </c>
      <c r="Z215" s="17">
        <f>IF(COUNT(C215:P215)=0,"",IFERROR(I215/G215,0))</f>
        <v/>
      </c>
      <c r="AA215" s="15">
        <f>IF(COUNT(C215:P215)=0,"",IFERROR(C215/I215,0))</f>
        <v/>
      </c>
      <c r="AB215" s="18">
        <f>IF(COUNT(C215:P215)=0,"",IFERROR(J215/I215,0))</f>
        <v/>
      </c>
      <c r="AC215" s="18">
        <f>IF(COUNT(C215:P215)=0,"",IFERROR(K215/I215,0))</f>
        <v/>
      </c>
      <c r="AD215" s="18">
        <f>IF(COUNT(C215:P215)=0,"",IFERROR(L215/I215,0))</f>
        <v/>
      </c>
      <c r="AE215" s="18">
        <f>IF(COUNT(C215:P215)=0,"",IFERROR(P215/I215,0))</f>
        <v/>
      </c>
      <c r="AF215" s="20">
        <f>IF(COUNT(C215:P215)=0,"",IFERROR(I215*Config!$C$7+J215*Config!$C$8+K215*Config!$C$9+L215*Config!$C$10+M215*Config!$C$11+N215*Config!$C$12+O215*Config!$C$13+P215*Config!$C$14,0))</f>
        <v/>
      </c>
      <c r="AG215" s="15">
        <f>IF(COUNT(C215:P215)=0,"",IFERROR(AF215/I215,0))</f>
        <v/>
      </c>
      <c r="AH215" s="20">
        <f>IF(COUNT(C215:P215)=0,"",IFERROR(AF215*(1-Config!$C$15-Config!$C$16-Config!$C$17),0))</f>
        <v/>
      </c>
      <c r="AI215" s="20">
        <f>IF(COUNT(C215:P215)=0,"",IFERROR(AH215-C215-Config!$C$18,0))</f>
        <v/>
      </c>
      <c r="AJ215" s="21">
        <f>IF(COUNT(C215:P215)=0,"",IFERROR(AH215/C215,0))</f>
        <v/>
      </c>
      <c r="AK215" s="15">
        <f>IF(COUNT(C215:P215)=0,"",IFERROR(AI215/G215,0))</f>
        <v/>
      </c>
      <c r="AL215" s="21">
        <f>IF(COUNT(C215:P215)=0,"",IFERROR(AK215/V215,0))</f>
        <v/>
      </c>
      <c r="AM215" s="15">
        <f>IF(COUNT(C215:P215)=0,"",IFERROR(AI215/I215,0))</f>
        <v/>
      </c>
      <c r="AN215" s="15">
        <f>IF(COUNT(C215:P215)=0,"",IFERROR(AH215/I215-AA215,0))</f>
        <v/>
      </c>
    </row>
    <row r="216">
      <c r="A216" s="12">
        <f>Config!$C$6+210</f>
        <v/>
      </c>
      <c r="B216" s="13">
        <f>INT((A216-Config!$C$6)/7)+1</f>
        <v/>
      </c>
      <c r="C216" s="10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5">
        <f>IF(COUNT(C216:P216)=0,"",IFERROR(C216/D216*1000,0))</f>
        <v/>
      </c>
      <c r="R216" s="16">
        <f>IF(COUNT(C216:P216)=0,"",IFERROR(D216/E216,0))</f>
        <v/>
      </c>
      <c r="S216" s="17">
        <f>IF(COUNT(C216:P216)=0,"",IFERROR(F216/D216,0))</f>
        <v/>
      </c>
      <c r="T216" s="15">
        <f>IF(COUNT(C216:P216)=0,"",IFERROR(C216/F216,0))</f>
        <v/>
      </c>
      <c r="U216" s="18">
        <f>IF(COUNT(C216:P216)=0,"",IFERROR(G216/F216,0))</f>
        <v/>
      </c>
      <c r="V216" s="15">
        <f>IF(COUNT(C216:P216)=0,"",IFERROR(C216/G216,0))</f>
        <v/>
      </c>
      <c r="W216" s="19">
        <f>IF(COUNT(C216:P216)=0,"",IFERROR(G216/D216*1000,0))</f>
        <v/>
      </c>
      <c r="X216" s="18">
        <f>IF(COUNT(C216:P216)=0,"",IFERROR(H216/G216,0))</f>
        <v/>
      </c>
      <c r="Y216" s="18">
        <f>IF(COUNT(C216:P216)=0,"",IFERROR(I216/H216,0))</f>
        <v/>
      </c>
      <c r="Z216" s="17">
        <f>IF(COUNT(C216:P216)=0,"",IFERROR(I216/G216,0))</f>
        <v/>
      </c>
      <c r="AA216" s="15">
        <f>IF(COUNT(C216:P216)=0,"",IFERROR(C216/I216,0))</f>
        <v/>
      </c>
      <c r="AB216" s="18">
        <f>IF(COUNT(C216:P216)=0,"",IFERROR(J216/I216,0))</f>
        <v/>
      </c>
      <c r="AC216" s="18">
        <f>IF(COUNT(C216:P216)=0,"",IFERROR(K216/I216,0))</f>
        <v/>
      </c>
      <c r="AD216" s="18">
        <f>IF(COUNT(C216:P216)=0,"",IFERROR(L216/I216,0))</f>
        <v/>
      </c>
      <c r="AE216" s="18">
        <f>IF(COUNT(C216:P216)=0,"",IFERROR(P216/I216,0))</f>
        <v/>
      </c>
      <c r="AF216" s="20">
        <f>IF(COUNT(C216:P216)=0,"",IFERROR(I216*Config!$C$7+J216*Config!$C$8+K216*Config!$C$9+L216*Config!$C$10+M216*Config!$C$11+N216*Config!$C$12+O216*Config!$C$13+P216*Config!$C$14,0))</f>
        <v/>
      </c>
      <c r="AG216" s="15">
        <f>IF(COUNT(C216:P216)=0,"",IFERROR(AF216/I216,0))</f>
        <v/>
      </c>
      <c r="AH216" s="20">
        <f>IF(COUNT(C216:P216)=0,"",IFERROR(AF216*(1-Config!$C$15-Config!$C$16-Config!$C$17),0))</f>
        <v/>
      </c>
      <c r="AI216" s="20">
        <f>IF(COUNT(C216:P216)=0,"",IFERROR(AH216-C216-Config!$C$18,0))</f>
        <v/>
      </c>
      <c r="AJ216" s="21">
        <f>IF(COUNT(C216:P216)=0,"",IFERROR(AH216/C216,0))</f>
        <v/>
      </c>
      <c r="AK216" s="15">
        <f>IF(COUNT(C216:P216)=0,"",IFERROR(AI216/G216,0))</f>
        <v/>
      </c>
      <c r="AL216" s="21">
        <f>IF(COUNT(C216:P216)=0,"",IFERROR(AK216/V216,0))</f>
        <v/>
      </c>
      <c r="AM216" s="15">
        <f>IF(COUNT(C216:P216)=0,"",IFERROR(AI216/I216,0))</f>
        <v/>
      </c>
      <c r="AN216" s="15">
        <f>IF(COUNT(C216:P216)=0,"",IFERROR(AH216/I216-AA216,0))</f>
        <v/>
      </c>
    </row>
    <row r="217">
      <c r="A217" s="12">
        <f>Config!$C$6+211</f>
        <v/>
      </c>
      <c r="B217" s="13">
        <f>INT((A217-Config!$C$6)/7)+1</f>
        <v/>
      </c>
      <c r="C217" s="10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5">
        <f>IF(COUNT(C217:P217)=0,"",IFERROR(C217/D217*1000,0))</f>
        <v/>
      </c>
      <c r="R217" s="16">
        <f>IF(COUNT(C217:P217)=0,"",IFERROR(D217/E217,0))</f>
        <v/>
      </c>
      <c r="S217" s="17">
        <f>IF(COUNT(C217:P217)=0,"",IFERROR(F217/D217,0))</f>
        <v/>
      </c>
      <c r="T217" s="15">
        <f>IF(COUNT(C217:P217)=0,"",IFERROR(C217/F217,0))</f>
        <v/>
      </c>
      <c r="U217" s="18">
        <f>IF(COUNT(C217:P217)=0,"",IFERROR(G217/F217,0))</f>
        <v/>
      </c>
      <c r="V217" s="15">
        <f>IF(COUNT(C217:P217)=0,"",IFERROR(C217/G217,0))</f>
        <v/>
      </c>
      <c r="W217" s="19">
        <f>IF(COUNT(C217:P217)=0,"",IFERROR(G217/D217*1000,0))</f>
        <v/>
      </c>
      <c r="X217" s="18">
        <f>IF(COUNT(C217:P217)=0,"",IFERROR(H217/G217,0))</f>
        <v/>
      </c>
      <c r="Y217" s="18">
        <f>IF(COUNT(C217:P217)=0,"",IFERROR(I217/H217,0))</f>
        <v/>
      </c>
      <c r="Z217" s="17">
        <f>IF(COUNT(C217:P217)=0,"",IFERROR(I217/G217,0))</f>
        <v/>
      </c>
      <c r="AA217" s="15">
        <f>IF(COUNT(C217:P217)=0,"",IFERROR(C217/I217,0))</f>
        <v/>
      </c>
      <c r="AB217" s="18">
        <f>IF(COUNT(C217:P217)=0,"",IFERROR(J217/I217,0))</f>
        <v/>
      </c>
      <c r="AC217" s="18">
        <f>IF(COUNT(C217:P217)=0,"",IFERROR(K217/I217,0))</f>
        <v/>
      </c>
      <c r="AD217" s="18">
        <f>IF(COUNT(C217:P217)=0,"",IFERROR(L217/I217,0))</f>
        <v/>
      </c>
      <c r="AE217" s="18">
        <f>IF(COUNT(C217:P217)=0,"",IFERROR(P217/I217,0))</f>
        <v/>
      </c>
      <c r="AF217" s="20">
        <f>IF(COUNT(C217:P217)=0,"",IFERROR(I217*Config!$C$7+J217*Config!$C$8+K217*Config!$C$9+L217*Config!$C$10+M217*Config!$C$11+N217*Config!$C$12+O217*Config!$C$13+P217*Config!$C$14,0))</f>
        <v/>
      </c>
      <c r="AG217" s="15">
        <f>IF(COUNT(C217:P217)=0,"",IFERROR(AF217/I217,0))</f>
        <v/>
      </c>
      <c r="AH217" s="20">
        <f>IF(COUNT(C217:P217)=0,"",IFERROR(AF217*(1-Config!$C$15-Config!$C$16-Config!$C$17),0))</f>
        <v/>
      </c>
      <c r="AI217" s="20">
        <f>IF(COUNT(C217:P217)=0,"",IFERROR(AH217-C217-Config!$C$18,0))</f>
        <v/>
      </c>
      <c r="AJ217" s="21">
        <f>IF(COUNT(C217:P217)=0,"",IFERROR(AH217/C217,0))</f>
        <v/>
      </c>
      <c r="AK217" s="15">
        <f>IF(COUNT(C217:P217)=0,"",IFERROR(AI217/G217,0))</f>
        <v/>
      </c>
      <c r="AL217" s="21">
        <f>IF(COUNT(C217:P217)=0,"",IFERROR(AK217/V217,0))</f>
        <v/>
      </c>
      <c r="AM217" s="15">
        <f>IF(COUNT(C217:P217)=0,"",IFERROR(AI217/I217,0))</f>
        <v/>
      </c>
      <c r="AN217" s="15">
        <f>IF(COUNT(C217:P217)=0,"",IFERROR(AH217/I217-AA217,0))</f>
        <v/>
      </c>
    </row>
    <row r="218">
      <c r="A218" s="12">
        <f>Config!$C$6+212</f>
        <v/>
      </c>
      <c r="B218" s="13">
        <f>INT((A218-Config!$C$6)/7)+1</f>
        <v/>
      </c>
      <c r="C218" s="10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5">
        <f>IF(COUNT(C218:P218)=0,"",IFERROR(C218/D218*1000,0))</f>
        <v/>
      </c>
      <c r="R218" s="16">
        <f>IF(COUNT(C218:P218)=0,"",IFERROR(D218/E218,0))</f>
        <v/>
      </c>
      <c r="S218" s="17">
        <f>IF(COUNT(C218:P218)=0,"",IFERROR(F218/D218,0))</f>
        <v/>
      </c>
      <c r="T218" s="15">
        <f>IF(COUNT(C218:P218)=0,"",IFERROR(C218/F218,0))</f>
        <v/>
      </c>
      <c r="U218" s="18">
        <f>IF(COUNT(C218:P218)=0,"",IFERROR(G218/F218,0))</f>
        <v/>
      </c>
      <c r="V218" s="15">
        <f>IF(COUNT(C218:P218)=0,"",IFERROR(C218/G218,0))</f>
        <v/>
      </c>
      <c r="W218" s="19">
        <f>IF(COUNT(C218:P218)=0,"",IFERROR(G218/D218*1000,0))</f>
        <v/>
      </c>
      <c r="X218" s="18">
        <f>IF(COUNT(C218:P218)=0,"",IFERROR(H218/G218,0))</f>
        <v/>
      </c>
      <c r="Y218" s="18">
        <f>IF(COUNT(C218:P218)=0,"",IFERROR(I218/H218,0))</f>
        <v/>
      </c>
      <c r="Z218" s="17">
        <f>IF(COUNT(C218:P218)=0,"",IFERROR(I218/G218,0))</f>
        <v/>
      </c>
      <c r="AA218" s="15">
        <f>IF(COUNT(C218:P218)=0,"",IFERROR(C218/I218,0))</f>
        <v/>
      </c>
      <c r="AB218" s="18">
        <f>IF(COUNT(C218:P218)=0,"",IFERROR(J218/I218,0))</f>
        <v/>
      </c>
      <c r="AC218" s="18">
        <f>IF(COUNT(C218:P218)=0,"",IFERROR(K218/I218,0))</f>
        <v/>
      </c>
      <c r="AD218" s="18">
        <f>IF(COUNT(C218:P218)=0,"",IFERROR(L218/I218,0))</f>
        <v/>
      </c>
      <c r="AE218" s="18">
        <f>IF(COUNT(C218:P218)=0,"",IFERROR(P218/I218,0))</f>
        <v/>
      </c>
      <c r="AF218" s="20">
        <f>IF(COUNT(C218:P218)=0,"",IFERROR(I218*Config!$C$7+J218*Config!$C$8+K218*Config!$C$9+L218*Config!$C$10+M218*Config!$C$11+N218*Config!$C$12+O218*Config!$C$13+P218*Config!$C$14,0))</f>
        <v/>
      </c>
      <c r="AG218" s="15">
        <f>IF(COUNT(C218:P218)=0,"",IFERROR(AF218/I218,0))</f>
        <v/>
      </c>
      <c r="AH218" s="20">
        <f>IF(COUNT(C218:P218)=0,"",IFERROR(AF218*(1-Config!$C$15-Config!$C$16-Config!$C$17),0))</f>
        <v/>
      </c>
      <c r="AI218" s="20">
        <f>IF(COUNT(C218:P218)=0,"",IFERROR(AH218-C218-Config!$C$18,0))</f>
        <v/>
      </c>
      <c r="AJ218" s="21">
        <f>IF(COUNT(C218:P218)=0,"",IFERROR(AH218/C218,0))</f>
        <v/>
      </c>
      <c r="AK218" s="15">
        <f>IF(COUNT(C218:P218)=0,"",IFERROR(AI218/G218,0))</f>
        <v/>
      </c>
      <c r="AL218" s="21">
        <f>IF(COUNT(C218:P218)=0,"",IFERROR(AK218/V218,0))</f>
        <v/>
      </c>
      <c r="AM218" s="15">
        <f>IF(COUNT(C218:P218)=0,"",IFERROR(AI218/I218,0))</f>
        <v/>
      </c>
      <c r="AN218" s="15">
        <f>IF(COUNT(C218:P218)=0,"",IFERROR(AH218/I218-AA218,0))</f>
        <v/>
      </c>
    </row>
    <row r="219">
      <c r="A219" s="12">
        <f>Config!$C$6+213</f>
        <v/>
      </c>
      <c r="B219" s="13">
        <f>INT((A219-Config!$C$6)/7)+1</f>
        <v/>
      </c>
      <c r="C219" s="10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5">
        <f>IF(COUNT(C219:P219)=0,"",IFERROR(C219/D219*1000,0))</f>
        <v/>
      </c>
      <c r="R219" s="16">
        <f>IF(COUNT(C219:P219)=0,"",IFERROR(D219/E219,0))</f>
        <v/>
      </c>
      <c r="S219" s="17">
        <f>IF(COUNT(C219:P219)=0,"",IFERROR(F219/D219,0))</f>
        <v/>
      </c>
      <c r="T219" s="15">
        <f>IF(COUNT(C219:P219)=0,"",IFERROR(C219/F219,0))</f>
        <v/>
      </c>
      <c r="U219" s="18">
        <f>IF(COUNT(C219:P219)=0,"",IFERROR(G219/F219,0))</f>
        <v/>
      </c>
      <c r="V219" s="15">
        <f>IF(COUNT(C219:P219)=0,"",IFERROR(C219/G219,0))</f>
        <v/>
      </c>
      <c r="W219" s="19">
        <f>IF(COUNT(C219:P219)=0,"",IFERROR(G219/D219*1000,0))</f>
        <v/>
      </c>
      <c r="X219" s="18">
        <f>IF(COUNT(C219:P219)=0,"",IFERROR(H219/G219,0))</f>
        <v/>
      </c>
      <c r="Y219" s="18">
        <f>IF(COUNT(C219:P219)=0,"",IFERROR(I219/H219,0))</f>
        <v/>
      </c>
      <c r="Z219" s="17">
        <f>IF(COUNT(C219:P219)=0,"",IFERROR(I219/G219,0))</f>
        <v/>
      </c>
      <c r="AA219" s="15">
        <f>IF(COUNT(C219:P219)=0,"",IFERROR(C219/I219,0))</f>
        <v/>
      </c>
      <c r="AB219" s="18">
        <f>IF(COUNT(C219:P219)=0,"",IFERROR(J219/I219,0))</f>
        <v/>
      </c>
      <c r="AC219" s="18">
        <f>IF(COUNT(C219:P219)=0,"",IFERROR(K219/I219,0))</f>
        <v/>
      </c>
      <c r="AD219" s="18">
        <f>IF(COUNT(C219:P219)=0,"",IFERROR(L219/I219,0))</f>
        <v/>
      </c>
      <c r="AE219" s="18">
        <f>IF(COUNT(C219:P219)=0,"",IFERROR(P219/I219,0))</f>
        <v/>
      </c>
      <c r="AF219" s="20">
        <f>IF(COUNT(C219:P219)=0,"",IFERROR(I219*Config!$C$7+J219*Config!$C$8+K219*Config!$C$9+L219*Config!$C$10+M219*Config!$C$11+N219*Config!$C$12+O219*Config!$C$13+P219*Config!$C$14,0))</f>
        <v/>
      </c>
      <c r="AG219" s="15">
        <f>IF(COUNT(C219:P219)=0,"",IFERROR(AF219/I219,0))</f>
        <v/>
      </c>
      <c r="AH219" s="20">
        <f>IF(COUNT(C219:P219)=0,"",IFERROR(AF219*(1-Config!$C$15-Config!$C$16-Config!$C$17),0))</f>
        <v/>
      </c>
      <c r="AI219" s="20">
        <f>IF(COUNT(C219:P219)=0,"",IFERROR(AH219-C219-Config!$C$18,0))</f>
        <v/>
      </c>
      <c r="AJ219" s="21">
        <f>IF(COUNT(C219:P219)=0,"",IFERROR(AH219/C219,0))</f>
        <v/>
      </c>
      <c r="AK219" s="15">
        <f>IF(COUNT(C219:P219)=0,"",IFERROR(AI219/G219,0))</f>
        <v/>
      </c>
      <c r="AL219" s="21">
        <f>IF(COUNT(C219:P219)=0,"",IFERROR(AK219/V219,0))</f>
        <v/>
      </c>
      <c r="AM219" s="15">
        <f>IF(COUNT(C219:P219)=0,"",IFERROR(AI219/I219,0))</f>
        <v/>
      </c>
      <c r="AN219" s="15">
        <f>IF(COUNT(C219:P219)=0,"",IFERROR(AH219/I219-AA219,0))</f>
        <v/>
      </c>
    </row>
    <row r="220">
      <c r="A220" s="12">
        <f>Config!$C$6+214</f>
        <v/>
      </c>
      <c r="B220" s="13">
        <f>INT((A220-Config!$C$6)/7)+1</f>
        <v/>
      </c>
      <c r="C220" s="10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5">
        <f>IF(COUNT(C220:P220)=0,"",IFERROR(C220/D220*1000,0))</f>
        <v/>
      </c>
      <c r="R220" s="16">
        <f>IF(COUNT(C220:P220)=0,"",IFERROR(D220/E220,0))</f>
        <v/>
      </c>
      <c r="S220" s="17">
        <f>IF(COUNT(C220:P220)=0,"",IFERROR(F220/D220,0))</f>
        <v/>
      </c>
      <c r="T220" s="15">
        <f>IF(COUNT(C220:P220)=0,"",IFERROR(C220/F220,0))</f>
        <v/>
      </c>
      <c r="U220" s="18">
        <f>IF(COUNT(C220:P220)=0,"",IFERROR(G220/F220,0))</f>
        <v/>
      </c>
      <c r="V220" s="15">
        <f>IF(COUNT(C220:P220)=0,"",IFERROR(C220/G220,0))</f>
        <v/>
      </c>
      <c r="W220" s="19">
        <f>IF(COUNT(C220:P220)=0,"",IFERROR(G220/D220*1000,0))</f>
        <v/>
      </c>
      <c r="X220" s="18">
        <f>IF(COUNT(C220:P220)=0,"",IFERROR(H220/G220,0))</f>
        <v/>
      </c>
      <c r="Y220" s="18">
        <f>IF(COUNT(C220:P220)=0,"",IFERROR(I220/H220,0))</f>
        <v/>
      </c>
      <c r="Z220" s="17">
        <f>IF(COUNT(C220:P220)=0,"",IFERROR(I220/G220,0))</f>
        <v/>
      </c>
      <c r="AA220" s="15">
        <f>IF(COUNT(C220:P220)=0,"",IFERROR(C220/I220,0))</f>
        <v/>
      </c>
      <c r="AB220" s="18">
        <f>IF(COUNT(C220:P220)=0,"",IFERROR(J220/I220,0))</f>
        <v/>
      </c>
      <c r="AC220" s="18">
        <f>IF(COUNT(C220:P220)=0,"",IFERROR(K220/I220,0))</f>
        <v/>
      </c>
      <c r="AD220" s="18">
        <f>IF(COUNT(C220:P220)=0,"",IFERROR(L220/I220,0))</f>
        <v/>
      </c>
      <c r="AE220" s="18">
        <f>IF(COUNT(C220:P220)=0,"",IFERROR(P220/I220,0))</f>
        <v/>
      </c>
      <c r="AF220" s="20">
        <f>IF(COUNT(C220:P220)=0,"",IFERROR(I220*Config!$C$7+J220*Config!$C$8+K220*Config!$C$9+L220*Config!$C$10+M220*Config!$C$11+N220*Config!$C$12+O220*Config!$C$13+P220*Config!$C$14,0))</f>
        <v/>
      </c>
      <c r="AG220" s="15">
        <f>IF(COUNT(C220:P220)=0,"",IFERROR(AF220/I220,0))</f>
        <v/>
      </c>
      <c r="AH220" s="20">
        <f>IF(COUNT(C220:P220)=0,"",IFERROR(AF220*(1-Config!$C$15-Config!$C$16-Config!$C$17),0))</f>
        <v/>
      </c>
      <c r="AI220" s="20">
        <f>IF(COUNT(C220:P220)=0,"",IFERROR(AH220-C220-Config!$C$18,0))</f>
        <v/>
      </c>
      <c r="AJ220" s="21">
        <f>IF(COUNT(C220:P220)=0,"",IFERROR(AH220/C220,0))</f>
        <v/>
      </c>
      <c r="AK220" s="15">
        <f>IF(COUNT(C220:P220)=0,"",IFERROR(AI220/G220,0))</f>
        <v/>
      </c>
      <c r="AL220" s="21">
        <f>IF(COUNT(C220:P220)=0,"",IFERROR(AK220/V220,0))</f>
        <v/>
      </c>
      <c r="AM220" s="15">
        <f>IF(COUNT(C220:P220)=0,"",IFERROR(AI220/I220,0))</f>
        <v/>
      </c>
      <c r="AN220" s="15">
        <f>IF(COUNT(C220:P220)=0,"",IFERROR(AH220/I220-AA220,0))</f>
        <v/>
      </c>
    </row>
    <row r="221">
      <c r="A221" s="12">
        <f>Config!$C$6+215</f>
        <v/>
      </c>
      <c r="B221" s="13">
        <f>INT((A221-Config!$C$6)/7)+1</f>
        <v/>
      </c>
      <c r="C221" s="10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5">
        <f>IF(COUNT(C221:P221)=0,"",IFERROR(C221/D221*1000,0))</f>
        <v/>
      </c>
      <c r="R221" s="16">
        <f>IF(COUNT(C221:P221)=0,"",IFERROR(D221/E221,0))</f>
        <v/>
      </c>
      <c r="S221" s="17">
        <f>IF(COUNT(C221:P221)=0,"",IFERROR(F221/D221,0))</f>
        <v/>
      </c>
      <c r="T221" s="15">
        <f>IF(COUNT(C221:P221)=0,"",IFERROR(C221/F221,0))</f>
        <v/>
      </c>
      <c r="U221" s="18">
        <f>IF(COUNT(C221:P221)=0,"",IFERROR(G221/F221,0))</f>
        <v/>
      </c>
      <c r="V221" s="15">
        <f>IF(COUNT(C221:P221)=0,"",IFERROR(C221/G221,0))</f>
        <v/>
      </c>
      <c r="W221" s="19">
        <f>IF(COUNT(C221:P221)=0,"",IFERROR(G221/D221*1000,0))</f>
        <v/>
      </c>
      <c r="X221" s="18">
        <f>IF(COUNT(C221:P221)=0,"",IFERROR(H221/G221,0))</f>
        <v/>
      </c>
      <c r="Y221" s="18">
        <f>IF(COUNT(C221:P221)=0,"",IFERROR(I221/H221,0))</f>
        <v/>
      </c>
      <c r="Z221" s="17">
        <f>IF(COUNT(C221:P221)=0,"",IFERROR(I221/G221,0))</f>
        <v/>
      </c>
      <c r="AA221" s="15">
        <f>IF(COUNT(C221:P221)=0,"",IFERROR(C221/I221,0))</f>
        <v/>
      </c>
      <c r="AB221" s="18">
        <f>IF(COUNT(C221:P221)=0,"",IFERROR(J221/I221,0))</f>
        <v/>
      </c>
      <c r="AC221" s="18">
        <f>IF(COUNT(C221:P221)=0,"",IFERROR(K221/I221,0))</f>
        <v/>
      </c>
      <c r="AD221" s="18">
        <f>IF(COUNT(C221:P221)=0,"",IFERROR(L221/I221,0))</f>
        <v/>
      </c>
      <c r="AE221" s="18">
        <f>IF(COUNT(C221:P221)=0,"",IFERROR(P221/I221,0))</f>
        <v/>
      </c>
      <c r="AF221" s="20">
        <f>IF(COUNT(C221:P221)=0,"",IFERROR(I221*Config!$C$7+J221*Config!$C$8+K221*Config!$C$9+L221*Config!$C$10+M221*Config!$C$11+N221*Config!$C$12+O221*Config!$C$13+P221*Config!$C$14,0))</f>
        <v/>
      </c>
      <c r="AG221" s="15">
        <f>IF(COUNT(C221:P221)=0,"",IFERROR(AF221/I221,0))</f>
        <v/>
      </c>
      <c r="AH221" s="20">
        <f>IF(COUNT(C221:P221)=0,"",IFERROR(AF221*(1-Config!$C$15-Config!$C$16-Config!$C$17),0))</f>
        <v/>
      </c>
      <c r="AI221" s="20">
        <f>IF(COUNT(C221:P221)=0,"",IFERROR(AH221-C221-Config!$C$18,0))</f>
        <v/>
      </c>
      <c r="AJ221" s="21">
        <f>IF(COUNT(C221:P221)=0,"",IFERROR(AH221/C221,0))</f>
        <v/>
      </c>
      <c r="AK221" s="15">
        <f>IF(COUNT(C221:P221)=0,"",IFERROR(AI221/G221,0))</f>
        <v/>
      </c>
      <c r="AL221" s="21">
        <f>IF(COUNT(C221:P221)=0,"",IFERROR(AK221/V221,0))</f>
        <v/>
      </c>
      <c r="AM221" s="15">
        <f>IF(COUNT(C221:P221)=0,"",IFERROR(AI221/I221,0))</f>
        <v/>
      </c>
      <c r="AN221" s="15">
        <f>IF(COUNT(C221:P221)=0,"",IFERROR(AH221/I221-AA221,0))</f>
        <v/>
      </c>
    </row>
    <row r="222">
      <c r="A222" s="12">
        <f>Config!$C$6+216</f>
        <v/>
      </c>
      <c r="B222" s="13">
        <f>INT((A222-Config!$C$6)/7)+1</f>
        <v/>
      </c>
      <c r="C222" s="10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5">
        <f>IF(COUNT(C222:P222)=0,"",IFERROR(C222/D222*1000,0))</f>
        <v/>
      </c>
      <c r="R222" s="16">
        <f>IF(COUNT(C222:P222)=0,"",IFERROR(D222/E222,0))</f>
        <v/>
      </c>
      <c r="S222" s="17">
        <f>IF(COUNT(C222:P222)=0,"",IFERROR(F222/D222,0))</f>
        <v/>
      </c>
      <c r="T222" s="15">
        <f>IF(COUNT(C222:P222)=0,"",IFERROR(C222/F222,0))</f>
        <v/>
      </c>
      <c r="U222" s="18">
        <f>IF(COUNT(C222:P222)=0,"",IFERROR(G222/F222,0))</f>
        <v/>
      </c>
      <c r="V222" s="15">
        <f>IF(COUNT(C222:P222)=0,"",IFERROR(C222/G222,0))</f>
        <v/>
      </c>
      <c r="W222" s="19">
        <f>IF(COUNT(C222:P222)=0,"",IFERROR(G222/D222*1000,0))</f>
        <v/>
      </c>
      <c r="X222" s="18">
        <f>IF(COUNT(C222:P222)=0,"",IFERROR(H222/G222,0))</f>
        <v/>
      </c>
      <c r="Y222" s="18">
        <f>IF(COUNT(C222:P222)=0,"",IFERROR(I222/H222,0))</f>
        <v/>
      </c>
      <c r="Z222" s="17">
        <f>IF(COUNT(C222:P222)=0,"",IFERROR(I222/G222,0))</f>
        <v/>
      </c>
      <c r="AA222" s="15">
        <f>IF(COUNT(C222:P222)=0,"",IFERROR(C222/I222,0))</f>
        <v/>
      </c>
      <c r="AB222" s="18">
        <f>IF(COUNT(C222:P222)=0,"",IFERROR(J222/I222,0))</f>
        <v/>
      </c>
      <c r="AC222" s="18">
        <f>IF(COUNT(C222:P222)=0,"",IFERROR(K222/I222,0))</f>
        <v/>
      </c>
      <c r="AD222" s="18">
        <f>IF(COUNT(C222:P222)=0,"",IFERROR(L222/I222,0))</f>
        <v/>
      </c>
      <c r="AE222" s="18">
        <f>IF(COUNT(C222:P222)=0,"",IFERROR(P222/I222,0))</f>
        <v/>
      </c>
      <c r="AF222" s="20">
        <f>IF(COUNT(C222:P222)=0,"",IFERROR(I222*Config!$C$7+J222*Config!$C$8+K222*Config!$C$9+L222*Config!$C$10+M222*Config!$C$11+N222*Config!$C$12+O222*Config!$C$13+P222*Config!$C$14,0))</f>
        <v/>
      </c>
      <c r="AG222" s="15">
        <f>IF(COUNT(C222:P222)=0,"",IFERROR(AF222/I222,0))</f>
        <v/>
      </c>
      <c r="AH222" s="20">
        <f>IF(COUNT(C222:P222)=0,"",IFERROR(AF222*(1-Config!$C$15-Config!$C$16-Config!$C$17),0))</f>
        <v/>
      </c>
      <c r="AI222" s="20">
        <f>IF(COUNT(C222:P222)=0,"",IFERROR(AH222-C222-Config!$C$18,0))</f>
        <v/>
      </c>
      <c r="AJ222" s="21">
        <f>IF(COUNT(C222:P222)=0,"",IFERROR(AH222/C222,0))</f>
        <v/>
      </c>
      <c r="AK222" s="15">
        <f>IF(COUNT(C222:P222)=0,"",IFERROR(AI222/G222,0))</f>
        <v/>
      </c>
      <c r="AL222" s="21">
        <f>IF(COUNT(C222:P222)=0,"",IFERROR(AK222/V222,0))</f>
        <v/>
      </c>
      <c r="AM222" s="15">
        <f>IF(COUNT(C222:P222)=0,"",IFERROR(AI222/I222,0))</f>
        <v/>
      </c>
      <c r="AN222" s="15">
        <f>IF(COUNT(C222:P222)=0,"",IFERROR(AH222/I222-AA222,0))</f>
        <v/>
      </c>
    </row>
    <row r="223">
      <c r="A223" s="12">
        <f>Config!$C$6+217</f>
        <v/>
      </c>
      <c r="B223" s="13">
        <f>INT((A223-Config!$C$6)/7)+1</f>
        <v/>
      </c>
      <c r="C223" s="10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5">
        <f>IF(COUNT(C223:P223)=0,"",IFERROR(C223/D223*1000,0))</f>
        <v/>
      </c>
      <c r="R223" s="16">
        <f>IF(COUNT(C223:P223)=0,"",IFERROR(D223/E223,0))</f>
        <v/>
      </c>
      <c r="S223" s="17">
        <f>IF(COUNT(C223:P223)=0,"",IFERROR(F223/D223,0))</f>
        <v/>
      </c>
      <c r="T223" s="15">
        <f>IF(COUNT(C223:P223)=0,"",IFERROR(C223/F223,0))</f>
        <v/>
      </c>
      <c r="U223" s="18">
        <f>IF(COUNT(C223:P223)=0,"",IFERROR(G223/F223,0))</f>
        <v/>
      </c>
      <c r="V223" s="15">
        <f>IF(COUNT(C223:P223)=0,"",IFERROR(C223/G223,0))</f>
        <v/>
      </c>
      <c r="W223" s="19">
        <f>IF(COUNT(C223:P223)=0,"",IFERROR(G223/D223*1000,0))</f>
        <v/>
      </c>
      <c r="X223" s="18">
        <f>IF(COUNT(C223:P223)=0,"",IFERROR(H223/G223,0))</f>
        <v/>
      </c>
      <c r="Y223" s="18">
        <f>IF(COUNT(C223:P223)=0,"",IFERROR(I223/H223,0))</f>
        <v/>
      </c>
      <c r="Z223" s="17">
        <f>IF(COUNT(C223:P223)=0,"",IFERROR(I223/G223,0))</f>
        <v/>
      </c>
      <c r="AA223" s="15">
        <f>IF(COUNT(C223:P223)=0,"",IFERROR(C223/I223,0))</f>
        <v/>
      </c>
      <c r="AB223" s="18">
        <f>IF(COUNT(C223:P223)=0,"",IFERROR(J223/I223,0))</f>
        <v/>
      </c>
      <c r="AC223" s="18">
        <f>IF(COUNT(C223:P223)=0,"",IFERROR(K223/I223,0))</f>
        <v/>
      </c>
      <c r="AD223" s="18">
        <f>IF(COUNT(C223:P223)=0,"",IFERROR(L223/I223,0))</f>
        <v/>
      </c>
      <c r="AE223" s="18">
        <f>IF(COUNT(C223:P223)=0,"",IFERROR(P223/I223,0))</f>
        <v/>
      </c>
      <c r="AF223" s="20">
        <f>IF(COUNT(C223:P223)=0,"",IFERROR(I223*Config!$C$7+J223*Config!$C$8+K223*Config!$C$9+L223*Config!$C$10+M223*Config!$C$11+N223*Config!$C$12+O223*Config!$C$13+P223*Config!$C$14,0))</f>
        <v/>
      </c>
      <c r="AG223" s="15">
        <f>IF(COUNT(C223:P223)=0,"",IFERROR(AF223/I223,0))</f>
        <v/>
      </c>
      <c r="AH223" s="20">
        <f>IF(COUNT(C223:P223)=0,"",IFERROR(AF223*(1-Config!$C$15-Config!$C$16-Config!$C$17),0))</f>
        <v/>
      </c>
      <c r="AI223" s="20">
        <f>IF(COUNT(C223:P223)=0,"",IFERROR(AH223-C223-Config!$C$18,0))</f>
        <v/>
      </c>
      <c r="AJ223" s="21">
        <f>IF(COUNT(C223:P223)=0,"",IFERROR(AH223/C223,0))</f>
        <v/>
      </c>
      <c r="AK223" s="15">
        <f>IF(COUNT(C223:P223)=0,"",IFERROR(AI223/G223,0))</f>
        <v/>
      </c>
      <c r="AL223" s="21">
        <f>IF(COUNT(C223:P223)=0,"",IFERROR(AK223/V223,0))</f>
        <v/>
      </c>
      <c r="AM223" s="15">
        <f>IF(COUNT(C223:P223)=0,"",IFERROR(AI223/I223,0))</f>
        <v/>
      </c>
      <c r="AN223" s="15">
        <f>IF(COUNT(C223:P223)=0,"",IFERROR(AH223/I223-AA223,0))</f>
        <v/>
      </c>
    </row>
    <row r="224">
      <c r="A224" s="12">
        <f>Config!$C$6+218</f>
        <v/>
      </c>
      <c r="B224" s="13">
        <f>INT((A224-Config!$C$6)/7)+1</f>
        <v/>
      </c>
      <c r="C224" s="10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5">
        <f>IF(COUNT(C224:P224)=0,"",IFERROR(C224/D224*1000,0))</f>
        <v/>
      </c>
      <c r="R224" s="16">
        <f>IF(COUNT(C224:P224)=0,"",IFERROR(D224/E224,0))</f>
        <v/>
      </c>
      <c r="S224" s="17">
        <f>IF(COUNT(C224:P224)=0,"",IFERROR(F224/D224,0))</f>
        <v/>
      </c>
      <c r="T224" s="15">
        <f>IF(COUNT(C224:P224)=0,"",IFERROR(C224/F224,0))</f>
        <v/>
      </c>
      <c r="U224" s="18">
        <f>IF(COUNT(C224:P224)=0,"",IFERROR(G224/F224,0))</f>
        <v/>
      </c>
      <c r="V224" s="15">
        <f>IF(COUNT(C224:P224)=0,"",IFERROR(C224/G224,0))</f>
        <v/>
      </c>
      <c r="W224" s="19">
        <f>IF(COUNT(C224:P224)=0,"",IFERROR(G224/D224*1000,0))</f>
        <v/>
      </c>
      <c r="X224" s="18">
        <f>IF(COUNT(C224:P224)=0,"",IFERROR(H224/G224,0))</f>
        <v/>
      </c>
      <c r="Y224" s="18">
        <f>IF(COUNT(C224:P224)=0,"",IFERROR(I224/H224,0))</f>
        <v/>
      </c>
      <c r="Z224" s="17">
        <f>IF(COUNT(C224:P224)=0,"",IFERROR(I224/G224,0))</f>
        <v/>
      </c>
      <c r="AA224" s="15">
        <f>IF(COUNT(C224:P224)=0,"",IFERROR(C224/I224,0))</f>
        <v/>
      </c>
      <c r="AB224" s="18">
        <f>IF(COUNT(C224:P224)=0,"",IFERROR(J224/I224,0))</f>
        <v/>
      </c>
      <c r="AC224" s="18">
        <f>IF(COUNT(C224:P224)=0,"",IFERROR(K224/I224,0))</f>
        <v/>
      </c>
      <c r="AD224" s="18">
        <f>IF(COUNT(C224:P224)=0,"",IFERROR(L224/I224,0))</f>
        <v/>
      </c>
      <c r="AE224" s="18">
        <f>IF(COUNT(C224:P224)=0,"",IFERROR(P224/I224,0))</f>
        <v/>
      </c>
      <c r="AF224" s="20">
        <f>IF(COUNT(C224:P224)=0,"",IFERROR(I224*Config!$C$7+J224*Config!$C$8+K224*Config!$C$9+L224*Config!$C$10+M224*Config!$C$11+N224*Config!$C$12+O224*Config!$C$13+P224*Config!$C$14,0))</f>
        <v/>
      </c>
      <c r="AG224" s="15">
        <f>IF(COUNT(C224:P224)=0,"",IFERROR(AF224/I224,0))</f>
        <v/>
      </c>
      <c r="AH224" s="20">
        <f>IF(COUNT(C224:P224)=0,"",IFERROR(AF224*(1-Config!$C$15-Config!$C$16-Config!$C$17),0))</f>
        <v/>
      </c>
      <c r="AI224" s="20">
        <f>IF(COUNT(C224:P224)=0,"",IFERROR(AH224-C224-Config!$C$18,0))</f>
        <v/>
      </c>
      <c r="AJ224" s="21">
        <f>IF(COUNT(C224:P224)=0,"",IFERROR(AH224/C224,0))</f>
        <v/>
      </c>
      <c r="AK224" s="15">
        <f>IF(COUNT(C224:P224)=0,"",IFERROR(AI224/G224,0))</f>
        <v/>
      </c>
      <c r="AL224" s="21">
        <f>IF(COUNT(C224:P224)=0,"",IFERROR(AK224/V224,0))</f>
        <v/>
      </c>
      <c r="AM224" s="15">
        <f>IF(COUNT(C224:P224)=0,"",IFERROR(AI224/I224,0))</f>
        <v/>
      </c>
      <c r="AN224" s="15">
        <f>IF(COUNT(C224:P224)=0,"",IFERROR(AH224/I224-AA224,0))</f>
        <v/>
      </c>
    </row>
    <row r="225">
      <c r="A225" s="12">
        <f>Config!$C$6+219</f>
        <v/>
      </c>
      <c r="B225" s="13">
        <f>INT((A225-Config!$C$6)/7)+1</f>
        <v/>
      </c>
      <c r="C225" s="10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5">
        <f>IF(COUNT(C225:P225)=0,"",IFERROR(C225/D225*1000,0))</f>
        <v/>
      </c>
      <c r="R225" s="16">
        <f>IF(COUNT(C225:P225)=0,"",IFERROR(D225/E225,0))</f>
        <v/>
      </c>
      <c r="S225" s="17">
        <f>IF(COUNT(C225:P225)=0,"",IFERROR(F225/D225,0))</f>
        <v/>
      </c>
      <c r="T225" s="15">
        <f>IF(COUNT(C225:P225)=0,"",IFERROR(C225/F225,0))</f>
        <v/>
      </c>
      <c r="U225" s="18">
        <f>IF(COUNT(C225:P225)=0,"",IFERROR(G225/F225,0))</f>
        <v/>
      </c>
      <c r="V225" s="15">
        <f>IF(COUNT(C225:P225)=0,"",IFERROR(C225/G225,0))</f>
        <v/>
      </c>
      <c r="W225" s="19">
        <f>IF(COUNT(C225:P225)=0,"",IFERROR(G225/D225*1000,0))</f>
        <v/>
      </c>
      <c r="X225" s="18">
        <f>IF(COUNT(C225:P225)=0,"",IFERROR(H225/G225,0))</f>
        <v/>
      </c>
      <c r="Y225" s="18">
        <f>IF(COUNT(C225:P225)=0,"",IFERROR(I225/H225,0))</f>
        <v/>
      </c>
      <c r="Z225" s="17">
        <f>IF(COUNT(C225:P225)=0,"",IFERROR(I225/G225,0))</f>
        <v/>
      </c>
      <c r="AA225" s="15">
        <f>IF(COUNT(C225:P225)=0,"",IFERROR(C225/I225,0))</f>
        <v/>
      </c>
      <c r="AB225" s="18">
        <f>IF(COUNT(C225:P225)=0,"",IFERROR(J225/I225,0))</f>
        <v/>
      </c>
      <c r="AC225" s="18">
        <f>IF(COUNT(C225:P225)=0,"",IFERROR(K225/I225,0))</f>
        <v/>
      </c>
      <c r="AD225" s="18">
        <f>IF(COUNT(C225:P225)=0,"",IFERROR(L225/I225,0))</f>
        <v/>
      </c>
      <c r="AE225" s="18">
        <f>IF(COUNT(C225:P225)=0,"",IFERROR(P225/I225,0))</f>
        <v/>
      </c>
      <c r="AF225" s="20">
        <f>IF(COUNT(C225:P225)=0,"",IFERROR(I225*Config!$C$7+J225*Config!$C$8+K225*Config!$C$9+L225*Config!$C$10+M225*Config!$C$11+N225*Config!$C$12+O225*Config!$C$13+P225*Config!$C$14,0))</f>
        <v/>
      </c>
      <c r="AG225" s="15">
        <f>IF(COUNT(C225:P225)=0,"",IFERROR(AF225/I225,0))</f>
        <v/>
      </c>
      <c r="AH225" s="20">
        <f>IF(COUNT(C225:P225)=0,"",IFERROR(AF225*(1-Config!$C$15-Config!$C$16-Config!$C$17),0))</f>
        <v/>
      </c>
      <c r="AI225" s="20">
        <f>IF(COUNT(C225:P225)=0,"",IFERROR(AH225-C225-Config!$C$18,0))</f>
        <v/>
      </c>
      <c r="AJ225" s="21">
        <f>IF(COUNT(C225:P225)=0,"",IFERROR(AH225/C225,0))</f>
        <v/>
      </c>
      <c r="AK225" s="15">
        <f>IF(COUNT(C225:P225)=0,"",IFERROR(AI225/G225,0))</f>
        <v/>
      </c>
      <c r="AL225" s="21">
        <f>IF(COUNT(C225:P225)=0,"",IFERROR(AK225/V225,0))</f>
        <v/>
      </c>
      <c r="AM225" s="15">
        <f>IF(COUNT(C225:P225)=0,"",IFERROR(AI225/I225,0))</f>
        <v/>
      </c>
      <c r="AN225" s="15">
        <f>IF(COUNT(C225:P225)=0,"",IFERROR(AH225/I225-AA225,0))</f>
        <v/>
      </c>
    </row>
    <row r="226">
      <c r="A226" s="12">
        <f>Config!$C$6+220</f>
        <v/>
      </c>
      <c r="B226" s="13">
        <f>INT((A226-Config!$C$6)/7)+1</f>
        <v/>
      </c>
      <c r="C226" s="10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5">
        <f>IF(COUNT(C226:P226)=0,"",IFERROR(C226/D226*1000,0))</f>
        <v/>
      </c>
      <c r="R226" s="16">
        <f>IF(COUNT(C226:P226)=0,"",IFERROR(D226/E226,0))</f>
        <v/>
      </c>
      <c r="S226" s="17">
        <f>IF(COUNT(C226:P226)=0,"",IFERROR(F226/D226,0))</f>
        <v/>
      </c>
      <c r="T226" s="15">
        <f>IF(COUNT(C226:P226)=0,"",IFERROR(C226/F226,0))</f>
        <v/>
      </c>
      <c r="U226" s="18">
        <f>IF(COUNT(C226:P226)=0,"",IFERROR(G226/F226,0))</f>
        <v/>
      </c>
      <c r="V226" s="15">
        <f>IF(COUNT(C226:P226)=0,"",IFERROR(C226/G226,0))</f>
        <v/>
      </c>
      <c r="W226" s="19">
        <f>IF(COUNT(C226:P226)=0,"",IFERROR(G226/D226*1000,0))</f>
        <v/>
      </c>
      <c r="X226" s="18">
        <f>IF(COUNT(C226:P226)=0,"",IFERROR(H226/G226,0))</f>
        <v/>
      </c>
      <c r="Y226" s="18">
        <f>IF(COUNT(C226:P226)=0,"",IFERROR(I226/H226,0))</f>
        <v/>
      </c>
      <c r="Z226" s="17">
        <f>IF(COUNT(C226:P226)=0,"",IFERROR(I226/G226,0))</f>
        <v/>
      </c>
      <c r="AA226" s="15">
        <f>IF(COUNT(C226:P226)=0,"",IFERROR(C226/I226,0))</f>
        <v/>
      </c>
      <c r="AB226" s="18">
        <f>IF(COUNT(C226:P226)=0,"",IFERROR(J226/I226,0))</f>
        <v/>
      </c>
      <c r="AC226" s="18">
        <f>IF(COUNT(C226:P226)=0,"",IFERROR(K226/I226,0))</f>
        <v/>
      </c>
      <c r="AD226" s="18">
        <f>IF(COUNT(C226:P226)=0,"",IFERROR(L226/I226,0))</f>
        <v/>
      </c>
      <c r="AE226" s="18">
        <f>IF(COUNT(C226:P226)=0,"",IFERROR(P226/I226,0))</f>
        <v/>
      </c>
      <c r="AF226" s="20">
        <f>IF(COUNT(C226:P226)=0,"",IFERROR(I226*Config!$C$7+J226*Config!$C$8+K226*Config!$C$9+L226*Config!$C$10+M226*Config!$C$11+N226*Config!$C$12+O226*Config!$C$13+P226*Config!$C$14,0))</f>
        <v/>
      </c>
      <c r="AG226" s="15">
        <f>IF(COUNT(C226:P226)=0,"",IFERROR(AF226/I226,0))</f>
        <v/>
      </c>
      <c r="AH226" s="20">
        <f>IF(COUNT(C226:P226)=0,"",IFERROR(AF226*(1-Config!$C$15-Config!$C$16-Config!$C$17),0))</f>
        <v/>
      </c>
      <c r="AI226" s="20">
        <f>IF(COUNT(C226:P226)=0,"",IFERROR(AH226-C226-Config!$C$18,0))</f>
        <v/>
      </c>
      <c r="AJ226" s="21">
        <f>IF(COUNT(C226:P226)=0,"",IFERROR(AH226/C226,0))</f>
        <v/>
      </c>
      <c r="AK226" s="15">
        <f>IF(COUNT(C226:P226)=0,"",IFERROR(AI226/G226,0))</f>
        <v/>
      </c>
      <c r="AL226" s="21">
        <f>IF(COUNT(C226:P226)=0,"",IFERROR(AK226/V226,0))</f>
        <v/>
      </c>
      <c r="AM226" s="15">
        <f>IF(COUNT(C226:P226)=0,"",IFERROR(AI226/I226,0))</f>
        <v/>
      </c>
      <c r="AN226" s="15">
        <f>IF(COUNT(C226:P226)=0,"",IFERROR(AH226/I226-AA226,0))</f>
        <v/>
      </c>
    </row>
    <row r="227">
      <c r="A227" s="12">
        <f>Config!$C$6+221</f>
        <v/>
      </c>
      <c r="B227" s="13">
        <f>INT((A227-Config!$C$6)/7)+1</f>
        <v/>
      </c>
      <c r="C227" s="10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5">
        <f>IF(COUNT(C227:P227)=0,"",IFERROR(C227/D227*1000,0))</f>
        <v/>
      </c>
      <c r="R227" s="16">
        <f>IF(COUNT(C227:P227)=0,"",IFERROR(D227/E227,0))</f>
        <v/>
      </c>
      <c r="S227" s="17">
        <f>IF(COUNT(C227:P227)=0,"",IFERROR(F227/D227,0))</f>
        <v/>
      </c>
      <c r="T227" s="15">
        <f>IF(COUNT(C227:P227)=0,"",IFERROR(C227/F227,0))</f>
        <v/>
      </c>
      <c r="U227" s="18">
        <f>IF(COUNT(C227:P227)=0,"",IFERROR(G227/F227,0))</f>
        <v/>
      </c>
      <c r="V227" s="15">
        <f>IF(COUNT(C227:P227)=0,"",IFERROR(C227/G227,0))</f>
        <v/>
      </c>
      <c r="W227" s="19">
        <f>IF(COUNT(C227:P227)=0,"",IFERROR(G227/D227*1000,0))</f>
        <v/>
      </c>
      <c r="X227" s="18">
        <f>IF(COUNT(C227:P227)=0,"",IFERROR(H227/G227,0))</f>
        <v/>
      </c>
      <c r="Y227" s="18">
        <f>IF(COUNT(C227:P227)=0,"",IFERROR(I227/H227,0))</f>
        <v/>
      </c>
      <c r="Z227" s="17">
        <f>IF(COUNT(C227:P227)=0,"",IFERROR(I227/G227,0))</f>
        <v/>
      </c>
      <c r="AA227" s="15">
        <f>IF(COUNT(C227:P227)=0,"",IFERROR(C227/I227,0))</f>
        <v/>
      </c>
      <c r="AB227" s="18">
        <f>IF(COUNT(C227:P227)=0,"",IFERROR(J227/I227,0))</f>
        <v/>
      </c>
      <c r="AC227" s="18">
        <f>IF(COUNT(C227:P227)=0,"",IFERROR(K227/I227,0))</f>
        <v/>
      </c>
      <c r="AD227" s="18">
        <f>IF(COUNT(C227:P227)=0,"",IFERROR(L227/I227,0))</f>
        <v/>
      </c>
      <c r="AE227" s="18">
        <f>IF(COUNT(C227:P227)=0,"",IFERROR(P227/I227,0))</f>
        <v/>
      </c>
      <c r="AF227" s="20">
        <f>IF(COUNT(C227:P227)=0,"",IFERROR(I227*Config!$C$7+J227*Config!$C$8+K227*Config!$C$9+L227*Config!$C$10+M227*Config!$C$11+N227*Config!$C$12+O227*Config!$C$13+P227*Config!$C$14,0))</f>
        <v/>
      </c>
      <c r="AG227" s="15">
        <f>IF(COUNT(C227:P227)=0,"",IFERROR(AF227/I227,0))</f>
        <v/>
      </c>
      <c r="AH227" s="20">
        <f>IF(COUNT(C227:P227)=0,"",IFERROR(AF227*(1-Config!$C$15-Config!$C$16-Config!$C$17),0))</f>
        <v/>
      </c>
      <c r="AI227" s="20">
        <f>IF(COUNT(C227:P227)=0,"",IFERROR(AH227-C227-Config!$C$18,0))</f>
        <v/>
      </c>
      <c r="AJ227" s="21">
        <f>IF(COUNT(C227:P227)=0,"",IFERROR(AH227/C227,0))</f>
        <v/>
      </c>
      <c r="AK227" s="15">
        <f>IF(COUNT(C227:P227)=0,"",IFERROR(AI227/G227,0))</f>
        <v/>
      </c>
      <c r="AL227" s="21">
        <f>IF(COUNT(C227:P227)=0,"",IFERROR(AK227/V227,0))</f>
        <v/>
      </c>
      <c r="AM227" s="15">
        <f>IF(COUNT(C227:P227)=0,"",IFERROR(AI227/I227,0))</f>
        <v/>
      </c>
      <c r="AN227" s="15">
        <f>IF(COUNT(C227:P227)=0,"",IFERROR(AH227/I227-AA227,0))</f>
        <v/>
      </c>
    </row>
    <row r="228">
      <c r="A228" s="12">
        <f>Config!$C$6+222</f>
        <v/>
      </c>
      <c r="B228" s="13">
        <f>INT((A228-Config!$C$6)/7)+1</f>
        <v/>
      </c>
      <c r="C228" s="10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5">
        <f>IF(COUNT(C228:P228)=0,"",IFERROR(C228/D228*1000,0))</f>
        <v/>
      </c>
      <c r="R228" s="16">
        <f>IF(COUNT(C228:P228)=0,"",IFERROR(D228/E228,0))</f>
        <v/>
      </c>
      <c r="S228" s="17">
        <f>IF(COUNT(C228:P228)=0,"",IFERROR(F228/D228,0))</f>
        <v/>
      </c>
      <c r="T228" s="15">
        <f>IF(COUNT(C228:P228)=0,"",IFERROR(C228/F228,0))</f>
        <v/>
      </c>
      <c r="U228" s="18">
        <f>IF(COUNT(C228:P228)=0,"",IFERROR(G228/F228,0))</f>
        <v/>
      </c>
      <c r="V228" s="15">
        <f>IF(COUNT(C228:P228)=0,"",IFERROR(C228/G228,0))</f>
        <v/>
      </c>
      <c r="W228" s="19">
        <f>IF(COUNT(C228:P228)=0,"",IFERROR(G228/D228*1000,0))</f>
        <v/>
      </c>
      <c r="X228" s="18">
        <f>IF(COUNT(C228:P228)=0,"",IFERROR(H228/G228,0))</f>
        <v/>
      </c>
      <c r="Y228" s="18">
        <f>IF(COUNT(C228:P228)=0,"",IFERROR(I228/H228,0))</f>
        <v/>
      </c>
      <c r="Z228" s="17">
        <f>IF(COUNT(C228:P228)=0,"",IFERROR(I228/G228,0))</f>
        <v/>
      </c>
      <c r="AA228" s="15">
        <f>IF(COUNT(C228:P228)=0,"",IFERROR(C228/I228,0))</f>
        <v/>
      </c>
      <c r="AB228" s="18">
        <f>IF(COUNT(C228:P228)=0,"",IFERROR(J228/I228,0))</f>
        <v/>
      </c>
      <c r="AC228" s="18">
        <f>IF(COUNT(C228:P228)=0,"",IFERROR(K228/I228,0))</f>
        <v/>
      </c>
      <c r="AD228" s="18">
        <f>IF(COUNT(C228:P228)=0,"",IFERROR(L228/I228,0))</f>
        <v/>
      </c>
      <c r="AE228" s="18">
        <f>IF(COUNT(C228:P228)=0,"",IFERROR(P228/I228,0))</f>
        <v/>
      </c>
      <c r="AF228" s="20">
        <f>IF(COUNT(C228:P228)=0,"",IFERROR(I228*Config!$C$7+J228*Config!$C$8+K228*Config!$C$9+L228*Config!$C$10+M228*Config!$C$11+N228*Config!$C$12+O228*Config!$C$13+P228*Config!$C$14,0))</f>
        <v/>
      </c>
      <c r="AG228" s="15">
        <f>IF(COUNT(C228:P228)=0,"",IFERROR(AF228/I228,0))</f>
        <v/>
      </c>
      <c r="AH228" s="20">
        <f>IF(COUNT(C228:P228)=0,"",IFERROR(AF228*(1-Config!$C$15-Config!$C$16-Config!$C$17),0))</f>
        <v/>
      </c>
      <c r="AI228" s="20">
        <f>IF(COUNT(C228:P228)=0,"",IFERROR(AH228-C228-Config!$C$18,0))</f>
        <v/>
      </c>
      <c r="AJ228" s="21">
        <f>IF(COUNT(C228:P228)=0,"",IFERROR(AH228/C228,0))</f>
        <v/>
      </c>
      <c r="AK228" s="15">
        <f>IF(COUNT(C228:P228)=0,"",IFERROR(AI228/G228,0))</f>
        <v/>
      </c>
      <c r="AL228" s="21">
        <f>IF(COUNT(C228:P228)=0,"",IFERROR(AK228/V228,0))</f>
        <v/>
      </c>
      <c r="AM228" s="15">
        <f>IF(COUNT(C228:P228)=0,"",IFERROR(AI228/I228,0))</f>
        <v/>
      </c>
      <c r="AN228" s="15">
        <f>IF(COUNT(C228:P228)=0,"",IFERROR(AH228/I228-AA228,0))</f>
        <v/>
      </c>
    </row>
    <row r="229">
      <c r="A229" s="12">
        <f>Config!$C$6+223</f>
        <v/>
      </c>
      <c r="B229" s="13">
        <f>INT((A229-Config!$C$6)/7)+1</f>
        <v/>
      </c>
      <c r="C229" s="10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5">
        <f>IF(COUNT(C229:P229)=0,"",IFERROR(C229/D229*1000,0))</f>
        <v/>
      </c>
      <c r="R229" s="16">
        <f>IF(COUNT(C229:P229)=0,"",IFERROR(D229/E229,0))</f>
        <v/>
      </c>
      <c r="S229" s="17">
        <f>IF(COUNT(C229:P229)=0,"",IFERROR(F229/D229,0))</f>
        <v/>
      </c>
      <c r="T229" s="15">
        <f>IF(COUNT(C229:P229)=0,"",IFERROR(C229/F229,0))</f>
        <v/>
      </c>
      <c r="U229" s="18">
        <f>IF(COUNT(C229:P229)=0,"",IFERROR(G229/F229,0))</f>
        <v/>
      </c>
      <c r="V229" s="15">
        <f>IF(COUNT(C229:P229)=0,"",IFERROR(C229/G229,0))</f>
        <v/>
      </c>
      <c r="W229" s="19">
        <f>IF(COUNT(C229:P229)=0,"",IFERROR(G229/D229*1000,0))</f>
        <v/>
      </c>
      <c r="X229" s="18">
        <f>IF(COUNT(C229:P229)=0,"",IFERROR(H229/G229,0))</f>
        <v/>
      </c>
      <c r="Y229" s="18">
        <f>IF(COUNT(C229:P229)=0,"",IFERROR(I229/H229,0))</f>
        <v/>
      </c>
      <c r="Z229" s="17">
        <f>IF(COUNT(C229:P229)=0,"",IFERROR(I229/G229,0))</f>
        <v/>
      </c>
      <c r="AA229" s="15">
        <f>IF(COUNT(C229:P229)=0,"",IFERROR(C229/I229,0))</f>
        <v/>
      </c>
      <c r="AB229" s="18">
        <f>IF(COUNT(C229:P229)=0,"",IFERROR(J229/I229,0))</f>
        <v/>
      </c>
      <c r="AC229" s="18">
        <f>IF(COUNT(C229:P229)=0,"",IFERROR(K229/I229,0))</f>
        <v/>
      </c>
      <c r="AD229" s="18">
        <f>IF(COUNT(C229:P229)=0,"",IFERROR(L229/I229,0))</f>
        <v/>
      </c>
      <c r="AE229" s="18">
        <f>IF(COUNT(C229:P229)=0,"",IFERROR(P229/I229,0))</f>
        <v/>
      </c>
      <c r="AF229" s="20">
        <f>IF(COUNT(C229:P229)=0,"",IFERROR(I229*Config!$C$7+J229*Config!$C$8+K229*Config!$C$9+L229*Config!$C$10+M229*Config!$C$11+N229*Config!$C$12+O229*Config!$C$13+P229*Config!$C$14,0))</f>
        <v/>
      </c>
      <c r="AG229" s="15">
        <f>IF(COUNT(C229:P229)=0,"",IFERROR(AF229/I229,0))</f>
        <v/>
      </c>
      <c r="AH229" s="20">
        <f>IF(COUNT(C229:P229)=0,"",IFERROR(AF229*(1-Config!$C$15-Config!$C$16-Config!$C$17),0))</f>
        <v/>
      </c>
      <c r="AI229" s="20">
        <f>IF(COUNT(C229:P229)=0,"",IFERROR(AH229-C229-Config!$C$18,0))</f>
        <v/>
      </c>
      <c r="AJ229" s="21">
        <f>IF(COUNT(C229:P229)=0,"",IFERROR(AH229/C229,0))</f>
        <v/>
      </c>
      <c r="AK229" s="15">
        <f>IF(COUNT(C229:P229)=0,"",IFERROR(AI229/G229,0))</f>
        <v/>
      </c>
      <c r="AL229" s="21">
        <f>IF(COUNT(C229:P229)=0,"",IFERROR(AK229/V229,0))</f>
        <v/>
      </c>
      <c r="AM229" s="15">
        <f>IF(COUNT(C229:P229)=0,"",IFERROR(AI229/I229,0))</f>
        <v/>
      </c>
      <c r="AN229" s="15">
        <f>IF(COUNT(C229:P229)=0,"",IFERROR(AH229/I229-AA229,0))</f>
        <v/>
      </c>
    </row>
    <row r="230">
      <c r="A230" s="12">
        <f>Config!$C$6+224</f>
        <v/>
      </c>
      <c r="B230" s="13">
        <f>INT((A230-Config!$C$6)/7)+1</f>
        <v/>
      </c>
      <c r="C230" s="10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5">
        <f>IF(COUNT(C230:P230)=0,"",IFERROR(C230/D230*1000,0))</f>
        <v/>
      </c>
      <c r="R230" s="16">
        <f>IF(COUNT(C230:P230)=0,"",IFERROR(D230/E230,0))</f>
        <v/>
      </c>
      <c r="S230" s="17">
        <f>IF(COUNT(C230:P230)=0,"",IFERROR(F230/D230,0))</f>
        <v/>
      </c>
      <c r="T230" s="15">
        <f>IF(COUNT(C230:P230)=0,"",IFERROR(C230/F230,0))</f>
        <v/>
      </c>
      <c r="U230" s="18">
        <f>IF(COUNT(C230:P230)=0,"",IFERROR(G230/F230,0))</f>
        <v/>
      </c>
      <c r="V230" s="15">
        <f>IF(COUNT(C230:P230)=0,"",IFERROR(C230/G230,0))</f>
        <v/>
      </c>
      <c r="W230" s="19">
        <f>IF(COUNT(C230:P230)=0,"",IFERROR(G230/D230*1000,0))</f>
        <v/>
      </c>
      <c r="X230" s="18">
        <f>IF(COUNT(C230:P230)=0,"",IFERROR(H230/G230,0))</f>
        <v/>
      </c>
      <c r="Y230" s="18">
        <f>IF(COUNT(C230:P230)=0,"",IFERROR(I230/H230,0))</f>
        <v/>
      </c>
      <c r="Z230" s="17">
        <f>IF(COUNT(C230:P230)=0,"",IFERROR(I230/G230,0))</f>
        <v/>
      </c>
      <c r="AA230" s="15">
        <f>IF(COUNT(C230:P230)=0,"",IFERROR(C230/I230,0))</f>
        <v/>
      </c>
      <c r="AB230" s="18">
        <f>IF(COUNT(C230:P230)=0,"",IFERROR(J230/I230,0))</f>
        <v/>
      </c>
      <c r="AC230" s="18">
        <f>IF(COUNT(C230:P230)=0,"",IFERROR(K230/I230,0))</f>
        <v/>
      </c>
      <c r="AD230" s="18">
        <f>IF(COUNT(C230:P230)=0,"",IFERROR(L230/I230,0))</f>
        <v/>
      </c>
      <c r="AE230" s="18">
        <f>IF(COUNT(C230:P230)=0,"",IFERROR(P230/I230,0))</f>
        <v/>
      </c>
      <c r="AF230" s="20">
        <f>IF(COUNT(C230:P230)=0,"",IFERROR(I230*Config!$C$7+J230*Config!$C$8+K230*Config!$C$9+L230*Config!$C$10+M230*Config!$C$11+N230*Config!$C$12+O230*Config!$C$13+P230*Config!$C$14,0))</f>
        <v/>
      </c>
      <c r="AG230" s="15">
        <f>IF(COUNT(C230:P230)=0,"",IFERROR(AF230/I230,0))</f>
        <v/>
      </c>
      <c r="AH230" s="20">
        <f>IF(COUNT(C230:P230)=0,"",IFERROR(AF230*(1-Config!$C$15-Config!$C$16-Config!$C$17),0))</f>
        <v/>
      </c>
      <c r="AI230" s="20">
        <f>IF(COUNT(C230:P230)=0,"",IFERROR(AH230-C230-Config!$C$18,0))</f>
        <v/>
      </c>
      <c r="AJ230" s="21">
        <f>IF(COUNT(C230:P230)=0,"",IFERROR(AH230/C230,0))</f>
        <v/>
      </c>
      <c r="AK230" s="15">
        <f>IF(COUNT(C230:P230)=0,"",IFERROR(AI230/G230,0))</f>
        <v/>
      </c>
      <c r="AL230" s="21">
        <f>IF(COUNT(C230:P230)=0,"",IFERROR(AK230/V230,0))</f>
        <v/>
      </c>
      <c r="AM230" s="15">
        <f>IF(COUNT(C230:P230)=0,"",IFERROR(AI230/I230,0))</f>
        <v/>
      </c>
      <c r="AN230" s="15">
        <f>IF(COUNT(C230:P230)=0,"",IFERROR(AH230/I230-AA230,0))</f>
        <v/>
      </c>
    </row>
    <row r="231">
      <c r="A231" s="12">
        <f>Config!$C$6+225</f>
        <v/>
      </c>
      <c r="B231" s="13">
        <f>INT((A231-Config!$C$6)/7)+1</f>
        <v/>
      </c>
      <c r="C231" s="10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5">
        <f>IF(COUNT(C231:P231)=0,"",IFERROR(C231/D231*1000,0))</f>
        <v/>
      </c>
      <c r="R231" s="16">
        <f>IF(COUNT(C231:P231)=0,"",IFERROR(D231/E231,0))</f>
        <v/>
      </c>
      <c r="S231" s="17">
        <f>IF(COUNT(C231:P231)=0,"",IFERROR(F231/D231,0))</f>
        <v/>
      </c>
      <c r="T231" s="15">
        <f>IF(COUNT(C231:P231)=0,"",IFERROR(C231/F231,0))</f>
        <v/>
      </c>
      <c r="U231" s="18">
        <f>IF(COUNT(C231:P231)=0,"",IFERROR(G231/F231,0))</f>
        <v/>
      </c>
      <c r="V231" s="15">
        <f>IF(COUNT(C231:P231)=0,"",IFERROR(C231/G231,0))</f>
        <v/>
      </c>
      <c r="W231" s="19">
        <f>IF(COUNT(C231:P231)=0,"",IFERROR(G231/D231*1000,0))</f>
        <v/>
      </c>
      <c r="X231" s="18">
        <f>IF(COUNT(C231:P231)=0,"",IFERROR(H231/G231,0))</f>
        <v/>
      </c>
      <c r="Y231" s="18">
        <f>IF(COUNT(C231:P231)=0,"",IFERROR(I231/H231,0))</f>
        <v/>
      </c>
      <c r="Z231" s="17">
        <f>IF(COUNT(C231:P231)=0,"",IFERROR(I231/G231,0))</f>
        <v/>
      </c>
      <c r="AA231" s="15">
        <f>IF(COUNT(C231:P231)=0,"",IFERROR(C231/I231,0))</f>
        <v/>
      </c>
      <c r="AB231" s="18">
        <f>IF(COUNT(C231:P231)=0,"",IFERROR(J231/I231,0))</f>
        <v/>
      </c>
      <c r="AC231" s="18">
        <f>IF(COUNT(C231:P231)=0,"",IFERROR(K231/I231,0))</f>
        <v/>
      </c>
      <c r="AD231" s="18">
        <f>IF(COUNT(C231:P231)=0,"",IFERROR(L231/I231,0))</f>
        <v/>
      </c>
      <c r="AE231" s="18">
        <f>IF(COUNT(C231:P231)=0,"",IFERROR(P231/I231,0))</f>
        <v/>
      </c>
      <c r="AF231" s="20">
        <f>IF(COUNT(C231:P231)=0,"",IFERROR(I231*Config!$C$7+J231*Config!$C$8+K231*Config!$C$9+L231*Config!$C$10+M231*Config!$C$11+N231*Config!$C$12+O231*Config!$C$13+P231*Config!$C$14,0))</f>
        <v/>
      </c>
      <c r="AG231" s="15">
        <f>IF(COUNT(C231:P231)=0,"",IFERROR(AF231/I231,0))</f>
        <v/>
      </c>
      <c r="AH231" s="20">
        <f>IF(COUNT(C231:P231)=0,"",IFERROR(AF231*(1-Config!$C$15-Config!$C$16-Config!$C$17),0))</f>
        <v/>
      </c>
      <c r="AI231" s="20">
        <f>IF(COUNT(C231:P231)=0,"",IFERROR(AH231-C231-Config!$C$18,0))</f>
        <v/>
      </c>
      <c r="AJ231" s="21">
        <f>IF(COUNT(C231:P231)=0,"",IFERROR(AH231/C231,0))</f>
        <v/>
      </c>
      <c r="AK231" s="15">
        <f>IF(COUNT(C231:P231)=0,"",IFERROR(AI231/G231,0))</f>
        <v/>
      </c>
      <c r="AL231" s="21">
        <f>IF(COUNT(C231:P231)=0,"",IFERROR(AK231/V231,0))</f>
        <v/>
      </c>
      <c r="AM231" s="15">
        <f>IF(COUNT(C231:P231)=0,"",IFERROR(AI231/I231,0))</f>
        <v/>
      </c>
      <c r="AN231" s="15">
        <f>IF(COUNT(C231:P231)=0,"",IFERROR(AH231/I231-AA231,0))</f>
        <v/>
      </c>
    </row>
    <row r="232">
      <c r="A232" s="12">
        <f>Config!$C$6+226</f>
        <v/>
      </c>
      <c r="B232" s="13">
        <f>INT((A232-Config!$C$6)/7)+1</f>
        <v/>
      </c>
      <c r="C232" s="10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5">
        <f>IF(COUNT(C232:P232)=0,"",IFERROR(C232/D232*1000,0))</f>
        <v/>
      </c>
      <c r="R232" s="16">
        <f>IF(COUNT(C232:P232)=0,"",IFERROR(D232/E232,0))</f>
        <v/>
      </c>
      <c r="S232" s="17">
        <f>IF(COUNT(C232:P232)=0,"",IFERROR(F232/D232,0))</f>
        <v/>
      </c>
      <c r="T232" s="15">
        <f>IF(COUNT(C232:P232)=0,"",IFERROR(C232/F232,0))</f>
        <v/>
      </c>
      <c r="U232" s="18">
        <f>IF(COUNT(C232:P232)=0,"",IFERROR(G232/F232,0))</f>
        <v/>
      </c>
      <c r="V232" s="15">
        <f>IF(COUNT(C232:P232)=0,"",IFERROR(C232/G232,0))</f>
        <v/>
      </c>
      <c r="W232" s="19">
        <f>IF(COUNT(C232:P232)=0,"",IFERROR(G232/D232*1000,0))</f>
        <v/>
      </c>
      <c r="X232" s="18">
        <f>IF(COUNT(C232:P232)=0,"",IFERROR(H232/G232,0))</f>
        <v/>
      </c>
      <c r="Y232" s="18">
        <f>IF(COUNT(C232:P232)=0,"",IFERROR(I232/H232,0))</f>
        <v/>
      </c>
      <c r="Z232" s="17">
        <f>IF(COUNT(C232:P232)=0,"",IFERROR(I232/G232,0))</f>
        <v/>
      </c>
      <c r="AA232" s="15">
        <f>IF(COUNT(C232:P232)=0,"",IFERROR(C232/I232,0))</f>
        <v/>
      </c>
      <c r="AB232" s="18">
        <f>IF(COUNT(C232:P232)=0,"",IFERROR(J232/I232,0))</f>
        <v/>
      </c>
      <c r="AC232" s="18">
        <f>IF(COUNT(C232:P232)=0,"",IFERROR(K232/I232,0))</f>
        <v/>
      </c>
      <c r="AD232" s="18">
        <f>IF(COUNT(C232:P232)=0,"",IFERROR(L232/I232,0))</f>
        <v/>
      </c>
      <c r="AE232" s="18">
        <f>IF(COUNT(C232:P232)=0,"",IFERROR(P232/I232,0))</f>
        <v/>
      </c>
      <c r="AF232" s="20">
        <f>IF(COUNT(C232:P232)=0,"",IFERROR(I232*Config!$C$7+J232*Config!$C$8+K232*Config!$C$9+L232*Config!$C$10+M232*Config!$C$11+N232*Config!$C$12+O232*Config!$C$13+P232*Config!$C$14,0))</f>
        <v/>
      </c>
      <c r="AG232" s="15">
        <f>IF(COUNT(C232:P232)=0,"",IFERROR(AF232/I232,0))</f>
        <v/>
      </c>
      <c r="AH232" s="20">
        <f>IF(COUNT(C232:P232)=0,"",IFERROR(AF232*(1-Config!$C$15-Config!$C$16-Config!$C$17),0))</f>
        <v/>
      </c>
      <c r="AI232" s="20">
        <f>IF(COUNT(C232:P232)=0,"",IFERROR(AH232-C232-Config!$C$18,0))</f>
        <v/>
      </c>
      <c r="AJ232" s="21">
        <f>IF(COUNT(C232:P232)=0,"",IFERROR(AH232/C232,0))</f>
        <v/>
      </c>
      <c r="AK232" s="15">
        <f>IF(COUNT(C232:P232)=0,"",IFERROR(AI232/G232,0))</f>
        <v/>
      </c>
      <c r="AL232" s="21">
        <f>IF(COUNT(C232:P232)=0,"",IFERROR(AK232/V232,0))</f>
        <v/>
      </c>
      <c r="AM232" s="15">
        <f>IF(COUNT(C232:P232)=0,"",IFERROR(AI232/I232,0))</f>
        <v/>
      </c>
      <c r="AN232" s="15">
        <f>IF(COUNT(C232:P232)=0,"",IFERROR(AH232/I232-AA232,0))</f>
        <v/>
      </c>
    </row>
    <row r="233">
      <c r="A233" s="12">
        <f>Config!$C$6+227</f>
        <v/>
      </c>
      <c r="B233" s="13">
        <f>INT((A233-Config!$C$6)/7)+1</f>
        <v/>
      </c>
      <c r="C233" s="10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5">
        <f>IF(COUNT(C233:P233)=0,"",IFERROR(C233/D233*1000,0))</f>
        <v/>
      </c>
      <c r="R233" s="16">
        <f>IF(COUNT(C233:P233)=0,"",IFERROR(D233/E233,0))</f>
        <v/>
      </c>
      <c r="S233" s="17">
        <f>IF(COUNT(C233:P233)=0,"",IFERROR(F233/D233,0))</f>
        <v/>
      </c>
      <c r="T233" s="15">
        <f>IF(COUNT(C233:P233)=0,"",IFERROR(C233/F233,0))</f>
        <v/>
      </c>
      <c r="U233" s="18">
        <f>IF(COUNT(C233:P233)=0,"",IFERROR(G233/F233,0))</f>
        <v/>
      </c>
      <c r="V233" s="15">
        <f>IF(COUNT(C233:P233)=0,"",IFERROR(C233/G233,0))</f>
        <v/>
      </c>
      <c r="W233" s="19">
        <f>IF(COUNT(C233:P233)=0,"",IFERROR(G233/D233*1000,0))</f>
        <v/>
      </c>
      <c r="X233" s="18">
        <f>IF(COUNT(C233:P233)=0,"",IFERROR(H233/G233,0))</f>
        <v/>
      </c>
      <c r="Y233" s="18">
        <f>IF(COUNT(C233:P233)=0,"",IFERROR(I233/H233,0))</f>
        <v/>
      </c>
      <c r="Z233" s="17">
        <f>IF(COUNT(C233:P233)=0,"",IFERROR(I233/G233,0))</f>
        <v/>
      </c>
      <c r="AA233" s="15">
        <f>IF(COUNT(C233:P233)=0,"",IFERROR(C233/I233,0))</f>
        <v/>
      </c>
      <c r="AB233" s="18">
        <f>IF(COUNT(C233:P233)=0,"",IFERROR(J233/I233,0))</f>
        <v/>
      </c>
      <c r="AC233" s="18">
        <f>IF(COUNT(C233:P233)=0,"",IFERROR(K233/I233,0))</f>
        <v/>
      </c>
      <c r="AD233" s="18">
        <f>IF(COUNT(C233:P233)=0,"",IFERROR(L233/I233,0))</f>
        <v/>
      </c>
      <c r="AE233" s="18">
        <f>IF(COUNT(C233:P233)=0,"",IFERROR(P233/I233,0))</f>
        <v/>
      </c>
      <c r="AF233" s="20">
        <f>IF(COUNT(C233:P233)=0,"",IFERROR(I233*Config!$C$7+J233*Config!$C$8+K233*Config!$C$9+L233*Config!$C$10+M233*Config!$C$11+N233*Config!$C$12+O233*Config!$C$13+P233*Config!$C$14,0))</f>
        <v/>
      </c>
      <c r="AG233" s="15">
        <f>IF(COUNT(C233:P233)=0,"",IFERROR(AF233/I233,0))</f>
        <v/>
      </c>
      <c r="AH233" s="20">
        <f>IF(COUNT(C233:P233)=0,"",IFERROR(AF233*(1-Config!$C$15-Config!$C$16-Config!$C$17),0))</f>
        <v/>
      </c>
      <c r="AI233" s="20">
        <f>IF(COUNT(C233:P233)=0,"",IFERROR(AH233-C233-Config!$C$18,0))</f>
        <v/>
      </c>
      <c r="AJ233" s="21">
        <f>IF(COUNT(C233:P233)=0,"",IFERROR(AH233/C233,0))</f>
        <v/>
      </c>
      <c r="AK233" s="15">
        <f>IF(COUNT(C233:P233)=0,"",IFERROR(AI233/G233,0))</f>
        <v/>
      </c>
      <c r="AL233" s="21">
        <f>IF(COUNT(C233:P233)=0,"",IFERROR(AK233/V233,0))</f>
        <v/>
      </c>
      <c r="AM233" s="15">
        <f>IF(COUNT(C233:P233)=0,"",IFERROR(AI233/I233,0))</f>
        <v/>
      </c>
      <c r="AN233" s="15">
        <f>IF(COUNT(C233:P233)=0,"",IFERROR(AH233/I233-AA233,0))</f>
        <v/>
      </c>
    </row>
    <row r="234">
      <c r="A234" s="12">
        <f>Config!$C$6+228</f>
        <v/>
      </c>
      <c r="B234" s="13">
        <f>INT((A234-Config!$C$6)/7)+1</f>
        <v/>
      </c>
      <c r="C234" s="10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5">
        <f>IF(COUNT(C234:P234)=0,"",IFERROR(C234/D234*1000,0))</f>
        <v/>
      </c>
      <c r="R234" s="16">
        <f>IF(COUNT(C234:P234)=0,"",IFERROR(D234/E234,0))</f>
        <v/>
      </c>
      <c r="S234" s="17">
        <f>IF(COUNT(C234:P234)=0,"",IFERROR(F234/D234,0))</f>
        <v/>
      </c>
      <c r="T234" s="15">
        <f>IF(COUNT(C234:P234)=0,"",IFERROR(C234/F234,0))</f>
        <v/>
      </c>
      <c r="U234" s="18">
        <f>IF(COUNT(C234:P234)=0,"",IFERROR(G234/F234,0))</f>
        <v/>
      </c>
      <c r="V234" s="15">
        <f>IF(COUNT(C234:P234)=0,"",IFERROR(C234/G234,0))</f>
        <v/>
      </c>
      <c r="W234" s="19">
        <f>IF(COUNT(C234:P234)=0,"",IFERROR(G234/D234*1000,0))</f>
        <v/>
      </c>
      <c r="X234" s="18">
        <f>IF(COUNT(C234:P234)=0,"",IFERROR(H234/G234,0))</f>
        <v/>
      </c>
      <c r="Y234" s="18">
        <f>IF(COUNT(C234:P234)=0,"",IFERROR(I234/H234,0))</f>
        <v/>
      </c>
      <c r="Z234" s="17">
        <f>IF(COUNT(C234:P234)=0,"",IFERROR(I234/G234,0))</f>
        <v/>
      </c>
      <c r="AA234" s="15">
        <f>IF(COUNT(C234:P234)=0,"",IFERROR(C234/I234,0))</f>
        <v/>
      </c>
      <c r="AB234" s="18">
        <f>IF(COUNT(C234:P234)=0,"",IFERROR(J234/I234,0))</f>
        <v/>
      </c>
      <c r="AC234" s="18">
        <f>IF(COUNT(C234:P234)=0,"",IFERROR(K234/I234,0))</f>
        <v/>
      </c>
      <c r="AD234" s="18">
        <f>IF(COUNT(C234:P234)=0,"",IFERROR(L234/I234,0))</f>
        <v/>
      </c>
      <c r="AE234" s="18">
        <f>IF(COUNT(C234:P234)=0,"",IFERROR(P234/I234,0))</f>
        <v/>
      </c>
      <c r="AF234" s="20">
        <f>IF(COUNT(C234:P234)=0,"",IFERROR(I234*Config!$C$7+J234*Config!$C$8+K234*Config!$C$9+L234*Config!$C$10+M234*Config!$C$11+N234*Config!$C$12+O234*Config!$C$13+P234*Config!$C$14,0))</f>
        <v/>
      </c>
      <c r="AG234" s="15">
        <f>IF(COUNT(C234:P234)=0,"",IFERROR(AF234/I234,0))</f>
        <v/>
      </c>
      <c r="AH234" s="20">
        <f>IF(COUNT(C234:P234)=0,"",IFERROR(AF234*(1-Config!$C$15-Config!$C$16-Config!$C$17),0))</f>
        <v/>
      </c>
      <c r="AI234" s="20">
        <f>IF(COUNT(C234:P234)=0,"",IFERROR(AH234-C234-Config!$C$18,0))</f>
        <v/>
      </c>
      <c r="AJ234" s="21">
        <f>IF(COUNT(C234:P234)=0,"",IFERROR(AH234/C234,0))</f>
        <v/>
      </c>
      <c r="AK234" s="15">
        <f>IF(COUNT(C234:P234)=0,"",IFERROR(AI234/G234,0))</f>
        <v/>
      </c>
      <c r="AL234" s="21">
        <f>IF(COUNT(C234:P234)=0,"",IFERROR(AK234/V234,0))</f>
        <v/>
      </c>
      <c r="AM234" s="15">
        <f>IF(COUNT(C234:P234)=0,"",IFERROR(AI234/I234,0))</f>
        <v/>
      </c>
      <c r="AN234" s="15">
        <f>IF(COUNT(C234:P234)=0,"",IFERROR(AH234/I234-AA234,0))</f>
        <v/>
      </c>
    </row>
    <row r="235">
      <c r="A235" s="12">
        <f>Config!$C$6+229</f>
        <v/>
      </c>
      <c r="B235" s="13">
        <f>INT((A235-Config!$C$6)/7)+1</f>
        <v/>
      </c>
      <c r="C235" s="10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5">
        <f>IF(COUNT(C235:P235)=0,"",IFERROR(C235/D235*1000,0))</f>
        <v/>
      </c>
      <c r="R235" s="16">
        <f>IF(COUNT(C235:P235)=0,"",IFERROR(D235/E235,0))</f>
        <v/>
      </c>
      <c r="S235" s="17">
        <f>IF(COUNT(C235:P235)=0,"",IFERROR(F235/D235,0))</f>
        <v/>
      </c>
      <c r="T235" s="15">
        <f>IF(COUNT(C235:P235)=0,"",IFERROR(C235/F235,0))</f>
        <v/>
      </c>
      <c r="U235" s="18">
        <f>IF(COUNT(C235:P235)=0,"",IFERROR(G235/F235,0))</f>
        <v/>
      </c>
      <c r="V235" s="15">
        <f>IF(COUNT(C235:P235)=0,"",IFERROR(C235/G235,0))</f>
        <v/>
      </c>
      <c r="W235" s="19">
        <f>IF(COUNT(C235:P235)=0,"",IFERROR(G235/D235*1000,0))</f>
        <v/>
      </c>
      <c r="X235" s="18">
        <f>IF(COUNT(C235:P235)=0,"",IFERROR(H235/G235,0))</f>
        <v/>
      </c>
      <c r="Y235" s="18">
        <f>IF(COUNT(C235:P235)=0,"",IFERROR(I235/H235,0))</f>
        <v/>
      </c>
      <c r="Z235" s="17">
        <f>IF(COUNT(C235:P235)=0,"",IFERROR(I235/G235,0))</f>
        <v/>
      </c>
      <c r="AA235" s="15">
        <f>IF(COUNT(C235:P235)=0,"",IFERROR(C235/I235,0))</f>
        <v/>
      </c>
      <c r="AB235" s="18">
        <f>IF(COUNT(C235:P235)=0,"",IFERROR(J235/I235,0))</f>
        <v/>
      </c>
      <c r="AC235" s="18">
        <f>IF(COUNT(C235:P235)=0,"",IFERROR(K235/I235,0))</f>
        <v/>
      </c>
      <c r="AD235" s="18">
        <f>IF(COUNT(C235:P235)=0,"",IFERROR(L235/I235,0))</f>
        <v/>
      </c>
      <c r="AE235" s="18">
        <f>IF(COUNT(C235:P235)=0,"",IFERROR(P235/I235,0))</f>
        <v/>
      </c>
      <c r="AF235" s="20">
        <f>IF(COUNT(C235:P235)=0,"",IFERROR(I235*Config!$C$7+J235*Config!$C$8+K235*Config!$C$9+L235*Config!$C$10+M235*Config!$C$11+N235*Config!$C$12+O235*Config!$C$13+P235*Config!$C$14,0))</f>
        <v/>
      </c>
      <c r="AG235" s="15">
        <f>IF(COUNT(C235:P235)=0,"",IFERROR(AF235/I235,0))</f>
        <v/>
      </c>
      <c r="AH235" s="20">
        <f>IF(COUNT(C235:P235)=0,"",IFERROR(AF235*(1-Config!$C$15-Config!$C$16-Config!$C$17),0))</f>
        <v/>
      </c>
      <c r="AI235" s="20">
        <f>IF(COUNT(C235:P235)=0,"",IFERROR(AH235-C235-Config!$C$18,0))</f>
        <v/>
      </c>
      <c r="AJ235" s="21">
        <f>IF(COUNT(C235:P235)=0,"",IFERROR(AH235/C235,0))</f>
        <v/>
      </c>
      <c r="AK235" s="15">
        <f>IF(COUNT(C235:P235)=0,"",IFERROR(AI235/G235,0))</f>
        <v/>
      </c>
      <c r="AL235" s="21">
        <f>IF(COUNT(C235:P235)=0,"",IFERROR(AK235/V235,0))</f>
        <v/>
      </c>
      <c r="AM235" s="15">
        <f>IF(COUNT(C235:P235)=0,"",IFERROR(AI235/I235,0))</f>
        <v/>
      </c>
      <c r="AN235" s="15">
        <f>IF(COUNT(C235:P235)=0,"",IFERROR(AH235/I235-AA235,0))</f>
        <v/>
      </c>
    </row>
    <row r="236">
      <c r="A236" s="12">
        <f>Config!$C$6+230</f>
        <v/>
      </c>
      <c r="B236" s="13">
        <f>INT((A236-Config!$C$6)/7)+1</f>
        <v/>
      </c>
      <c r="C236" s="10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5">
        <f>IF(COUNT(C236:P236)=0,"",IFERROR(C236/D236*1000,0))</f>
        <v/>
      </c>
      <c r="R236" s="16">
        <f>IF(COUNT(C236:P236)=0,"",IFERROR(D236/E236,0))</f>
        <v/>
      </c>
      <c r="S236" s="17">
        <f>IF(COUNT(C236:P236)=0,"",IFERROR(F236/D236,0))</f>
        <v/>
      </c>
      <c r="T236" s="15">
        <f>IF(COUNT(C236:P236)=0,"",IFERROR(C236/F236,0))</f>
        <v/>
      </c>
      <c r="U236" s="18">
        <f>IF(COUNT(C236:P236)=0,"",IFERROR(G236/F236,0))</f>
        <v/>
      </c>
      <c r="V236" s="15">
        <f>IF(COUNT(C236:P236)=0,"",IFERROR(C236/G236,0))</f>
        <v/>
      </c>
      <c r="W236" s="19">
        <f>IF(COUNT(C236:P236)=0,"",IFERROR(G236/D236*1000,0))</f>
        <v/>
      </c>
      <c r="X236" s="18">
        <f>IF(COUNT(C236:P236)=0,"",IFERROR(H236/G236,0))</f>
        <v/>
      </c>
      <c r="Y236" s="18">
        <f>IF(COUNT(C236:P236)=0,"",IFERROR(I236/H236,0))</f>
        <v/>
      </c>
      <c r="Z236" s="17">
        <f>IF(COUNT(C236:P236)=0,"",IFERROR(I236/G236,0))</f>
        <v/>
      </c>
      <c r="AA236" s="15">
        <f>IF(COUNT(C236:P236)=0,"",IFERROR(C236/I236,0))</f>
        <v/>
      </c>
      <c r="AB236" s="18">
        <f>IF(COUNT(C236:P236)=0,"",IFERROR(J236/I236,0))</f>
        <v/>
      </c>
      <c r="AC236" s="18">
        <f>IF(COUNT(C236:P236)=0,"",IFERROR(K236/I236,0))</f>
        <v/>
      </c>
      <c r="AD236" s="18">
        <f>IF(COUNT(C236:P236)=0,"",IFERROR(L236/I236,0))</f>
        <v/>
      </c>
      <c r="AE236" s="18">
        <f>IF(COUNT(C236:P236)=0,"",IFERROR(P236/I236,0))</f>
        <v/>
      </c>
      <c r="AF236" s="20">
        <f>IF(COUNT(C236:P236)=0,"",IFERROR(I236*Config!$C$7+J236*Config!$C$8+K236*Config!$C$9+L236*Config!$C$10+M236*Config!$C$11+N236*Config!$C$12+O236*Config!$C$13+P236*Config!$C$14,0))</f>
        <v/>
      </c>
      <c r="AG236" s="15">
        <f>IF(COUNT(C236:P236)=0,"",IFERROR(AF236/I236,0))</f>
        <v/>
      </c>
      <c r="AH236" s="20">
        <f>IF(COUNT(C236:P236)=0,"",IFERROR(AF236*(1-Config!$C$15-Config!$C$16-Config!$C$17),0))</f>
        <v/>
      </c>
      <c r="AI236" s="20">
        <f>IF(COUNT(C236:P236)=0,"",IFERROR(AH236-C236-Config!$C$18,0))</f>
        <v/>
      </c>
      <c r="AJ236" s="21">
        <f>IF(COUNT(C236:P236)=0,"",IFERROR(AH236/C236,0))</f>
        <v/>
      </c>
      <c r="AK236" s="15">
        <f>IF(COUNT(C236:P236)=0,"",IFERROR(AI236/G236,0))</f>
        <v/>
      </c>
      <c r="AL236" s="21">
        <f>IF(COUNT(C236:P236)=0,"",IFERROR(AK236/V236,0))</f>
        <v/>
      </c>
      <c r="AM236" s="15">
        <f>IF(COUNT(C236:P236)=0,"",IFERROR(AI236/I236,0))</f>
        <v/>
      </c>
      <c r="AN236" s="15">
        <f>IF(COUNT(C236:P236)=0,"",IFERROR(AH236/I236-AA236,0))</f>
        <v/>
      </c>
    </row>
    <row r="237">
      <c r="A237" s="12">
        <f>Config!$C$6+231</f>
        <v/>
      </c>
      <c r="B237" s="13">
        <f>INT((A237-Config!$C$6)/7)+1</f>
        <v/>
      </c>
      <c r="C237" s="10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5">
        <f>IF(COUNT(C237:P237)=0,"",IFERROR(C237/D237*1000,0))</f>
        <v/>
      </c>
      <c r="R237" s="16">
        <f>IF(COUNT(C237:P237)=0,"",IFERROR(D237/E237,0))</f>
        <v/>
      </c>
      <c r="S237" s="17">
        <f>IF(COUNT(C237:P237)=0,"",IFERROR(F237/D237,0))</f>
        <v/>
      </c>
      <c r="T237" s="15">
        <f>IF(COUNT(C237:P237)=0,"",IFERROR(C237/F237,0))</f>
        <v/>
      </c>
      <c r="U237" s="18">
        <f>IF(COUNT(C237:P237)=0,"",IFERROR(G237/F237,0))</f>
        <v/>
      </c>
      <c r="V237" s="15">
        <f>IF(COUNT(C237:P237)=0,"",IFERROR(C237/G237,0))</f>
        <v/>
      </c>
      <c r="W237" s="19">
        <f>IF(COUNT(C237:P237)=0,"",IFERROR(G237/D237*1000,0))</f>
        <v/>
      </c>
      <c r="X237" s="18">
        <f>IF(COUNT(C237:P237)=0,"",IFERROR(H237/G237,0))</f>
        <v/>
      </c>
      <c r="Y237" s="18">
        <f>IF(COUNT(C237:P237)=0,"",IFERROR(I237/H237,0))</f>
        <v/>
      </c>
      <c r="Z237" s="17">
        <f>IF(COUNT(C237:P237)=0,"",IFERROR(I237/G237,0))</f>
        <v/>
      </c>
      <c r="AA237" s="15">
        <f>IF(COUNT(C237:P237)=0,"",IFERROR(C237/I237,0))</f>
        <v/>
      </c>
      <c r="AB237" s="18">
        <f>IF(COUNT(C237:P237)=0,"",IFERROR(J237/I237,0))</f>
        <v/>
      </c>
      <c r="AC237" s="18">
        <f>IF(COUNT(C237:P237)=0,"",IFERROR(K237/I237,0))</f>
        <v/>
      </c>
      <c r="AD237" s="18">
        <f>IF(COUNT(C237:P237)=0,"",IFERROR(L237/I237,0))</f>
        <v/>
      </c>
      <c r="AE237" s="18">
        <f>IF(COUNT(C237:P237)=0,"",IFERROR(P237/I237,0))</f>
        <v/>
      </c>
      <c r="AF237" s="20">
        <f>IF(COUNT(C237:P237)=0,"",IFERROR(I237*Config!$C$7+J237*Config!$C$8+K237*Config!$C$9+L237*Config!$C$10+M237*Config!$C$11+N237*Config!$C$12+O237*Config!$C$13+P237*Config!$C$14,0))</f>
        <v/>
      </c>
      <c r="AG237" s="15">
        <f>IF(COUNT(C237:P237)=0,"",IFERROR(AF237/I237,0))</f>
        <v/>
      </c>
      <c r="AH237" s="20">
        <f>IF(COUNT(C237:P237)=0,"",IFERROR(AF237*(1-Config!$C$15-Config!$C$16-Config!$C$17),0))</f>
        <v/>
      </c>
      <c r="AI237" s="20">
        <f>IF(COUNT(C237:P237)=0,"",IFERROR(AH237-C237-Config!$C$18,0))</f>
        <v/>
      </c>
      <c r="AJ237" s="21">
        <f>IF(COUNT(C237:P237)=0,"",IFERROR(AH237/C237,0))</f>
        <v/>
      </c>
      <c r="AK237" s="15">
        <f>IF(COUNT(C237:P237)=0,"",IFERROR(AI237/G237,0))</f>
        <v/>
      </c>
      <c r="AL237" s="21">
        <f>IF(COUNT(C237:P237)=0,"",IFERROR(AK237/V237,0))</f>
        <v/>
      </c>
      <c r="AM237" s="15">
        <f>IF(COUNT(C237:P237)=0,"",IFERROR(AI237/I237,0))</f>
        <v/>
      </c>
      <c r="AN237" s="15">
        <f>IF(COUNT(C237:P237)=0,"",IFERROR(AH237/I237-AA237,0))</f>
        <v/>
      </c>
    </row>
    <row r="238">
      <c r="A238" s="12">
        <f>Config!$C$6+232</f>
        <v/>
      </c>
      <c r="B238" s="13">
        <f>INT((A238-Config!$C$6)/7)+1</f>
        <v/>
      </c>
      <c r="C238" s="10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5">
        <f>IF(COUNT(C238:P238)=0,"",IFERROR(C238/D238*1000,0))</f>
        <v/>
      </c>
      <c r="R238" s="16">
        <f>IF(COUNT(C238:P238)=0,"",IFERROR(D238/E238,0))</f>
        <v/>
      </c>
      <c r="S238" s="17">
        <f>IF(COUNT(C238:P238)=0,"",IFERROR(F238/D238,0))</f>
        <v/>
      </c>
      <c r="T238" s="15">
        <f>IF(COUNT(C238:P238)=0,"",IFERROR(C238/F238,0))</f>
        <v/>
      </c>
      <c r="U238" s="18">
        <f>IF(COUNT(C238:P238)=0,"",IFERROR(G238/F238,0))</f>
        <v/>
      </c>
      <c r="V238" s="15">
        <f>IF(COUNT(C238:P238)=0,"",IFERROR(C238/G238,0))</f>
        <v/>
      </c>
      <c r="W238" s="19">
        <f>IF(COUNT(C238:P238)=0,"",IFERROR(G238/D238*1000,0))</f>
        <v/>
      </c>
      <c r="X238" s="18">
        <f>IF(COUNT(C238:P238)=0,"",IFERROR(H238/G238,0))</f>
        <v/>
      </c>
      <c r="Y238" s="18">
        <f>IF(COUNT(C238:P238)=0,"",IFERROR(I238/H238,0))</f>
        <v/>
      </c>
      <c r="Z238" s="17">
        <f>IF(COUNT(C238:P238)=0,"",IFERROR(I238/G238,0))</f>
        <v/>
      </c>
      <c r="AA238" s="15">
        <f>IF(COUNT(C238:P238)=0,"",IFERROR(C238/I238,0))</f>
        <v/>
      </c>
      <c r="AB238" s="18">
        <f>IF(COUNT(C238:P238)=0,"",IFERROR(J238/I238,0))</f>
        <v/>
      </c>
      <c r="AC238" s="18">
        <f>IF(COUNT(C238:P238)=0,"",IFERROR(K238/I238,0))</f>
        <v/>
      </c>
      <c r="AD238" s="18">
        <f>IF(COUNT(C238:P238)=0,"",IFERROR(L238/I238,0))</f>
        <v/>
      </c>
      <c r="AE238" s="18">
        <f>IF(COUNT(C238:P238)=0,"",IFERROR(P238/I238,0))</f>
        <v/>
      </c>
      <c r="AF238" s="20">
        <f>IF(COUNT(C238:P238)=0,"",IFERROR(I238*Config!$C$7+J238*Config!$C$8+K238*Config!$C$9+L238*Config!$C$10+M238*Config!$C$11+N238*Config!$C$12+O238*Config!$C$13+P238*Config!$C$14,0))</f>
        <v/>
      </c>
      <c r="AG238" s="15">
        <f>IF(COUNT(C238:P238)=0,"",IFERROR(AF238/I238,0))</f>
        <v/>
      </c>
      <c r="AH238" s="20">
        <f>IF(COUNT(C238:P238)=0,"",IFERROR(AF238*(1-Config!$C$15-Config!$C$16-Config!$C$17),0))</f>
        <v/>
      </c>
      <c r="AI238" s="20">
        <f>IF(COUNT(C238:P238)=0,"",IFERROR(AH238-C238-Config!$C$18,0))</f>
        <v/>
      </c>
      <c r="AJ238" s="21">
        <f>IF(COUNT(C238:P238)=0,"",IFERROR(AH238/C238,0))</f>
        <v/>
      </c>
      <c r="AK238" s="15">
        <f>IF(COUNT(C238:P238)=0,"",IFERROR(AI238/G238,0))</f>
        <v/>
      </c>
      <c r="AL238" s="21">
        <f>IF(COUNT(C238:P238)=0,"",IFERROR(AK238/V238,0))</f>
        <v/>
      </c>
      <c r="AM238" s="15">
        <f>IF(COUNT(C238:P238)=0,"",IFERROR(AI238/I238,0))</f>
        <v/>
      </c>
      <c r="AN238" s="15">
        <f>IF(COUNT(C238:P238)=0,"",IFERROR(AH238/I238-AA238,0))</f>
        <v/>
      </c>
    </row>
    <row r="239">
      <c r="A239" s="12">
        <f>Config!$C$6+233</f>
        <v/>
      </c>
      <c r="B239" s="13">
        <f>INT((A239-Config!$C$6)/7)+1</f>
        <v/>
      </c>
      <c r="C239" s="10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5">
        <f>IF(COUNT(C239:P239)=0,"",IFERROR(C239/D239*1000,0))</f>
        <v/>
      </c>
      <c r="R239" s="16">
        <f>IF(COUNT(C239:P239)=0,"",IFERROR(D239/E239,0))</f>
        <v/>
      </c>
      <c r="S239" s="17">
        <f>IF(COUNT(C239:P239)=0,"",IFERROR(F239/D239,0))</f>
        <v/>
      </c>
      <c r="T239" s="15">
        <f>IF(COUNT(C239:P239)=0,"",IFERROR(C239/F239,0))</f>
        <v/>
      </c>
      <c r="U239" s="18">
        <f>IF(COUNT(C239:P239)=0,"",IFERROR(G239/F239,0))</f>
        <v/>
      </c>
      <c r="V239" s="15">
        <f>IF(COUNT(C239:P239)=0,"",IFERROR(C239/G239,0))</f>
        <v/>
      </c>
      <c r="W239" s="19">
        <f>IF(COUNT(C239:P239)=0,"",IFERROR(G239/D239*1000,0))</f>
        <v/>
      </c>
      <c r="X239" s="18">
        <f>IF(COUNT(C239:P239)=0,"",IFERROR(H239/G239,0))</f>
        <v/>
      </c>
      <c r="Y239" s="18">
        <f>IF(COUNT(C239:P239)=0,"",IFERROR(I239/H239,0))</f>
        <v/>
      </c>
      <c r="Z239" s="17">
        <f>IF(COUNT(C239:P239)=0,"",IFERROR(I239/G239,0))</f>
        <v/>
      </c>
      <c r="AA239" s="15">
        <f>IF(COUNT(C239:P239)=0,"",IFERROR(C239/I239,0))</f>
        <v/>
      </c>
      <c r="AB239" s="18">
        <f>IF(COUNT(C239:P239)=0,"",IFERROR(J239/I239,0))</f>
        <v/>
      </c>
      <c r="AC239" s="18">
        <f>IF(COUNT(C239:P239)=0,"",IFERROR(K239/I239,0))</f>
        <v/>
      </c>
      <c r="AD239" s="18">
        <f>IF(COUNT(C239:P239)=0,"",IFERROR(L239/I239,0))</f>
        <v/>
      </c>
      <c r="AE239" s="18">
        <f>IF(COUNT(C239:P239)=0,"",IFERROR(P239/I239,0))</f>
        <v/>
      </c>
      <c r="AF239" s="20">
        <f>IF(COUNT(C239:P239)=0,"",IFERROR(I239*Config!$C$7+J239*Config!$C$8+K239*Config!$C$9+L239*Config!$C$10+M239*Config!$C$11+N239*Config!$C$12+O239*Config!$C$13+P239*Config!$C$14,0))</f>
        <v/>
      </c>
      <c r="AG239" s="15">
        <f>IF(COUNT(C239:P239)=0,"",IFERROR(AF239/I239,0))</f>
        <v/>
      </c>
      <c r="AH239" s="20">
        <f>IF(COUNT(C239:P239)=0,"",IFERROR(AF239*(1-Config!$C$15-Config!$C$16-Config!$C$17),0))</f>
        <v/>
      </c>
      <c r="AI239" s="20">
        <f>IF(COUNT(C239:P239)=0,"",IFERROR(AH239-C239-Config!$C$18,0))</f>
        <v/>
      </c>
      <c r="AJ239" s="21">
        <f>IF(COUNT(C239:P239)=0,"",IFERROR(AH239/C239,0))</f>
        <v/>
      </c>
      <c r="AK239" s="15">
        <f>IF(COUNT(C239:P239)=0,"",IFERROR(AI239/G239,0))</f>
        <v/>
      </c>
      <c r="AL239" s="21">
        <f>IF(COUNT(C239:P239)=0,"",IFERROR(AK239/V239,0))</f>
        <v/>
      </c>
      <c r="AM239" s="15">
        <f>IF(COUNT(C239:P239)=0,"",IFERROR(AI239/I239,0))</f>
        <v/>
      </c>
      <c r="AN239" s="15">
        <f>IF(COUNT(C239:P239)=0,"",IFERROR(AH239/I239-AA239,0))</f>
        <v/>
      </c>
    </row>
    <row r="240">
      <c r="A240" s="12">
        <f>Config!$C$6+234</f>
        <v/>
      </c>
      <c r="B240" s="13">
        <f>INT((A240-Config!$C$6)/7)+1</f>
        <v/>
      </c>
      <c r="C240" s="10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5">
        <f>IF(COUNT(C240:P240)=0,"",IFERROR(C240/D240*1000,0))</f>
        <v/>
      </c>
      <c r="R240" s="16">
        <f>IF(COUNT(C240:P240)=0,"",IFERROR(D240/E240,0))</f>
        <v/>
      </c>
      <c r="S240" s="17">
        <f>IF(COUNT(C240:P240)=0,"",IFERROR(F240/D240,0))</f>
        <v/>
      </c>
      <c r="T240" s="15">
        <f>IF(COUNT(C240:P240)=0,"",IFERROR(C240/F240,0))</f>
        <v/>
      </c>
      <c r="U240" s="18">
        <f>IF(COUNT(C240:P240)=0,"",IFERROR(G240/F240,0))</f>
        <v/>
      </c>
      <c r="V240" s="15">
        <f>IF(COUNT(C240:P240)=0,"",IFERROR(C240/G240,0))</f>
        <v/>
      </c>
      <c r="W240" s="19">
        <f>IF(COUNT(C240:P240)=0,"",IFERROR(G240/D240*1000,0))</f>
        <v/>
      </c>
      <c r="X240" s="18">
        <f>IF(COUNT(C240:P240)=0,"",IFERROR(H240/G240,0))</f>
        <v/>
      </c>
      <c r="Y240" s="18">
        <f>IF(COUNT(C240:P240)=0,"",IFERROR(I240/H240,0))</f>
        <v/>
      </c>
      <c r="Z240" s="17">
        <f>IF(COUNT(C240:P240)=0,"",IFERROR(I240/G240,0))</f>
        <v/>
      </c>
      <c r="AA240" s="15">
        <f>IF(COUNT(C240:P240)=0,"",IFERROR(C240/I240,0))</f>
        <v/>
      </c>
      <c r="AB240" s="18">
        <f>IF(COUNT(C240:P240)=0,"",IFERROR(J240/I240,0))</f>
        <v/>
      </c>
      <c r="AC240" s="18">
        <f>IF(COUNT(C240:P240)=0,"",IFERROR(K240/I240,0))</f>
        <v/>
      </c>
      <c r="AD240" s="18">
        <f>IF(COUNT(C240:P240)=0,"",IFERROR(L240/I240,0))</f>
        <v/>
      </c>
      <c r="AE240" s="18">
        <f>IF(COUNT(C240:P240)=0,"",IFERROR(P240/I240,0))</f>
        <v/>
      </c>
      <c r="AF240" s="20">
        <f>IF(COUNT(C240:P240)=0,"",IFERROR(I240*Config!$C$7+J240*Config!$C$8+K240*Config!$C$9+L240*Config!$C$10+M240*Config!$C$11+N240*Config!$C$12+O240*Config!$C$13+P240*Config!$C$14,0))</f>
        <v/>
      </c>
      <c r="AG240" s="15">
        <f>IF(COUNT(C240:P240)=0,"",IFERROR(AF240/I240,0))</f>
        <v/>
      </c>
      <c r="AH240" s="20">
        <f>IF(COUNT(C240:P240)=0,"",IFERROR(AF240*(1-Config!$C$15-Config!$C$16-Config!$C$17),0))</f>
        <v/>
      </c>
      <c r="AI240" s="20">
        <f>IF(COUNT(C240:P240)=0,"",IFERROR(AH240-C240-Config!$C$18,0))</f>
        <v/>
      </c>
      <c r="AJ240" s="21">
        <f>IF(COUNT(C240:P240)=0,"",IFERROR(AH240/C240,0))</f>
        <v/>
      </c>
      <c r="AK240" s="15">
        <f>IF(COUNT(C240:P240)=0,"",IFERROR(AI240/G240,0))</f>
        <v/>
      </c>
      <c r="AL240" s="21">
        <f>IF(COUNT(C240:P240)=0,"",IFERROR(AK240/V240,0))</f>
        <v/>
      </c>
      <c r="AM240" s="15">
        <f>IF(COUNT(C240:P240)=0,"",IFERROR(AI240/I240,0))</f>
        <v/>
      </c>
      <c r="AN240" s="15">
        <f>IF(COUNT(C240:P240)=0,"",IFERROR(AH240/I240-AA240,0))</f>
        <v/>
      </c>
    </row>
    <row r="241">
      <c r="A241" s="12">
        <f>Config!$C$6+235</f>
        <v/>
      </c>
      <c r="B241" s="13">
        <f>INT((A241-Config!$C$6)/7)+1</f>
        <v/>
      </c>
      <c r="C241" s="10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5">
        <f>IF(COUNT(C241:P241)=0,"",IFERROR(C241/D241*1000,0))</f>
        <v/>
      </c>
      <c r="R241" s="16">
        <f>IF(COUNT(C241:P241)=0,"",IFERROR(D241/E241,0))</f>
        <v/>
      </c>
      <c r="S241" s="17">
        <f>IF(COUNT(C241:P241)=0,"",IFERROR(F241/D241,0))</f>
        <v/>
      </c>
      <c r="T241" s="15">
        <f>IF(COUNT(C241:P241)=0,"",IFERROR(C241/F241,0))</f>
        <v/>
      </c>
      <c r="U241" s="18">
        <f>IF(COUNT(C241:P241)=0,"",IFERROR(G241/F241,0))</f>
        <v/>
      </c>
      <c r="V241" s="15">
        <f>IF(COUNT(C241:P241)=0,"",IFERROR(C241/G241,0))</f>
        <v/>
      </c>
      <c r="W241" s="19">
        <f>IF(COUNT(C241:P241)=0,"",IFERROR(G241/D241*1000,0))</f>
        <v/>
      </c>
      <c r="X241" s="18">
        <f>IF(COUNT(C241:P241)=0,"",IFERROR(H241/G241,0))</f>
        <v/>
      </c>
      <c r="Y241" s="18">
        <f>IF(COUNT(C241:P241)=0,"",IFERROR(I241/H241,0))</f>
        <v/>
      </c>
      <c r="Z241" s="17">
        <f>IF(COUNT(C241:P241)=0,"",IFERROR(I241/G241,0))</f>
        <v/>
      </c>
      <c r="AA241" s="15">
        <f>IF(COUNT(C241:P241)=0,"",IFERROR(C241/I241,0))</f>
        <v/>
      </c>
      <c r="AB241" s="18">
        <f>IF(COUNT(C241:P241)=0,"",IFERROR(J241/I241,0))</f>
        <v/>
      </c>
      <c r="AC241" s="18">
        <f>IF(COUNT(C241:P241)=0,"",IFERROR(K241/I241,0))</f>
        <v/>
      </c>
      <c r="AD241" s="18">
        <f>IF(COUNT(C241:P241)=0,"",IFERROR(L241/I241,0))</f>
        <v/>
      </c>
      <c r="AE241" s="18">
        <f>IF(COUNT(C241:P241)=0,"",IFERROR(P241/I241,0))</f>
        <v/>
      </c>
      <c r="AF241" s="20">
        <f>IF(COUNT(C241:P241)=0,"",IFERROR(I241*Config!$C$7+J241*Config!$C$8+K241*Config!$C$9+L241*Config!$C$10+M241*Config!$C$11+N241*Config!$C$12+O241*Config!$C$13+P241*Config!$C$14,0))</f>
        <v/>
      </c>
      <c r="AG241" s="15">
        <f>IF(COUNT(C241:P241)=0,"",IFERROR(AF241/I241,0))</f>
        <v/>
      </c>
      <c r="AH241" s="20">
        <f>IF(COUNT(C241:P241)=0,"",IFERROR(AF241*(1-Config!$C$15-Config!$C$16-Config!$C$17),0))</f>
        <v/>
      </c>
      <c r="AI241" s="20">
        <f>IF(COUNT(C241:P241)=0,"",IFERROR(AH241-C241-Config!$C$18,0))</f>
        <v/>
      </c>
      <c r="AJ241" s="21">
        <f>IF(COUNT(C241:P241)=0,"",IFERROR(AH241/C241,0))</f>
        <v/>
      </c>
      <c r="AK241" s="15">
        <f>IF(COUNT(C241:P241)=0,"",IFERROR(AI241/G241,0))</f>
        <v/>
      </c>
      <c r="AL241" s="21">
        <f>IF(COUNT(C241:P241)=0,"",IFERROR(AK241/V241,0))</f>
        <v/>
      </c>
      <c r="AM241" s="15">
        <f>IF(COUNT(C241:P241)=0,"",IFERROR(AI241/I241,0))</f>
        <v/>
      </c>
      <c r="AN241" s="15">
        <f>IF(COUNT(C241:P241)=0,"",IFERROR(AH241/I241-AA241,0))</f>
        <v/>
      </c>
    </row>
    <row r="242">
      <c r="A242" s="12">
        <f>Config!$C$6+236</f>
        <v/>
      </c>
      <c r="B242" s="13">
        <f>INT((A242-Config!$C$6)/7)+1</f>
        <v/>
      </c>
      <c r="C242" s="10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5">
        <f>IF(COUNT(C242:P242)=0,"",IFERROR(C242/D242*1000,0))</f>
        <v/>
      </c>
      <c r="R242" s="16">
        <f>IF(COUNT(C242:P242)=0,"",IFERROR(D242/E242,0))</f>
        <v/>
      </c>
      <c r="S242" s="17">
        <f>IF(COUNT(C242:P242)=0,"",IFERROR(F242/D242,0))</f>
        <v/>
      </c>
      <c r="T242" s="15">
        <f>IF(COUNT(C242:P242)=0,"",IFERROR(C242/F242,0))</f>
        <v/>
      </c>
      <c r="U242" s="18">
        <f>IF(COUNT(C242:P242)=0,"",IFERROR(G242/F242,0))</f>
        <v/>
      </c>
      <c r="V242" s="15">
        <f>IF(COUNT(C242:P242)=0,"",IFERROR(C242/G242,0))</f>
        <v/>
      </c>
      <c r="W242" s="19">
        <f>IF(COUNT(C242:P242)=0,"",IFERROR(G242/D242*1000,0))</f>
        <v/>
      </c>
      <c r="X242" s="18">
        <f>IF(COUNT(C242:P242)=0,"",IFERROR(H242/G242,0))</f>
        <v/>
      </c>
      <c r="Y242" s="18">
        <f>IF(COUNT(C242:P242)=0,"",IFERROR(I242/H242,0))</f>
        <v/>
      </c>
      <c r="Z242" s="17">
        <f>IF(COUNT(C242:P242)=0,"",IFERROR(I242/G242,0))</f>
        <v/>
      </c>
      <c r="AA242" s="15">
        <f>IF(COUNT(C242:P242)=0,"",IFERROR(C242/I242,0))</f>
        <v/>
      </c>
      <c r="AB242" s="18">
        <f>IF(COUNT(C242:P242)=0,"",IFERROR(J242/I242,0))</f>
        <v/>
      </c>
      <c r="AC242" s="18">
        <f>IF(COUNT(C242:P242)=0,"",IFERROR(K242/I242,0))</f>
        <v/>
      </c>
      <c r="AD242" s="18">
        <f>IF(COUNT(C242:P242)=0,"",IFERROR(L242/I242,0))</f>
        <v/>
      </c>
      <c r="AE242" s="18">
        <f>IF(COUNT(C242:P242)=0,"",IFERROR(P242/I242,0))</f>
        <v/>
      </c>
      <c r="AF242" s="20">
        <f>IF(COUNT(C242:P242)=0,"",IFERROR(I242*Config!$C$7+J242*Config!$C$8+K242*Config!$C$9+L242*Config!$C$10+M242*Config!$C$11+N242*Config!$C$12+O242*Config!$C$13+P242*Config!$C$14,0))</f>
        <v/>
      </c>
      <c r="AG242" s="15">
        <f>IF(COUNT(C242:P242)=0,"",IFERROR(AF242/I242,0))</f>
        <v/>
      </c>
      <c r="AH242" s="20">
        <f>IF(COUNT(C242:P242)=0,"",IFERROR(AF242*(1-Config!$C$15-Config!$C$16-Config!$C$17),0))</f>
        <v/>
      </c>
      <c r="AI242" s="20">
        <f>IF(COUNT(C242:P242)=0,"",IFERROR(AH242-C242-Config!$C$18,0))</f>
        <v/>
      </c>
      <c r="AJ242" s="21">
        <f>IF(COUNT(C242:P242)=0,"",IFERROR(AH242/C242,0))</f>
        <v/>
      </c>
      <c r="AK242" s="15">
        <f>IF(COUNT(C242:P242)=0,"",IFERROR(AI242/G242,0))</f>
        <v/>
      </c>
      <c r="AL242" s="21">
        <f>IF(COUNT(C242:P242)=0,"",IFERROR(AK242/V242,0))</f>
        <v/>
      </c>
      <c r="AM242" s="15">
        <f>IF(COUNT(C242:P242)=0,"",IFERROR(AI242/I242,0))</f>
        <v/>
      </c>
      <c r="AN242" s="15">
        <f>IF(COUNT(C242:P242)=0,"",IFERROR(AH242/I242-AA242,0))</f>
        <v/>
      </c>
    </row>
    <row r="243">
      <c r="A243" s="12">
        <f>Config!$C$6+237</f>
        <v/>
      </c>
      <c r="B243" s="13">
        <f>INT((A243-Config!$C$6)/7)+1</f>
        <v/>
      </c>
      <c r="C243" s="10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5">
        <f>IF(COUNT(C243:P243)=0,"",IFERROR(C243/D243*1000,0))</f>
        <v/>
      </c>
      <c r="R243" s="16">
        <f>IF(COUNT(C243:P243)=0,"",IFERROR(D243/E243,0))</f>
        <v/>
      </c>
      <c r="S243" s="17">
        <f>IF(COUNT(C243:P243)=0,"",IFERROR(F243/D243,0))</f>
        <v/>
      </c>
      <c r="T243" s="15">
        <f>IF(COUNT(C243:P243)=0,"",IFERROR(C243/F243,0))</f>
        <v/>
      </c>
      <c r="U243" s="18">
        <f>IF(COUNT(C243:P243)=0,"",IFERROR(G243/F243,0))</f>
        <v/>
      </c>
      <c r="V243" s="15">
        <f>IF(COUNT(C243:P243)=0,"",IFERROR(C243/G243,0))</f>
        <v/>
      </c>
      <c r="W243" s="19">
        <f>IF(COUNT(C243:P243)=0,"",IFERROR(G243/D243*1000,0))</f>
        <v/>
      </c>
      <c r="X243" s="18">
        <f>IF(COUNT(C243:P243)=0,"",IFERROR(H243/G243,0))</f>
        <v/>
      </c>
      <c r="Y243" s="18">
        <f>IF(COUNT(C243:P243)=0,"",IFERROR(I243/H243,0))</f>
        <v/>
      </c>
      <c r="Z243" s="17">
        <f>IF(COUNT(C243:P243)=0,"",IFERROR(I243/G243,0))</f>
        <v/>
      </c>
      <c r="AA243" s="15">
        <f>IF(COUNT(C243:P243)=0,"",IFERROR(C243/I243,0))</f>
        <v/>
      </c>
      <c r="AB243" s="18">
        <f>IF(COUNT(C243:P243)=0,"",IFERROR(J243/I243,0))</f>
        <v/>
      </c>
      <c r="AC243" s="18">
        <f>IF(COUNT(C243:P243)=0,"",IFERROR(K243/I243,0))</f>
        <v/>
      </c>
      <c r="AD243" s="18">
        <f>IF(COUNT(C243:P243)=0,"",IFERROR(L243/I243,0))</f>
        <v/>
      </c>
      <c r="AE243" s="18">
        <f>IF(COUNT(C243:P243)=0,"",IFERROR(P243/I243,0))</f>
        <v/>
      </c>
      <c r="AF243" s="20">
        <f>IF(COUNT(C243:P243)=0,"",IFERROR(I243*Config!$C$7+J243*Config!$C$8+K243*Config!$C$9+L243*Config!$C$10+M243*Config!$C$11+N243*Config!$C$12+O243*Config!$C$13+P243*Config!$C$14,0))</f>
        <v/>
      </c>
      <c r="AG243" s="15">
        <f>IF(COUNT(C243:P243)=0,"",IFERROR(AF243/I243,0))</f>
        <v/>
      </c>
      <c r="AH243" s="20">
        <f>IF(COUNT(C243:P243)=0,"",IFERROR(AF243*(1-Config!$C$15-Config!$C$16-Config!$C$17),0))</f>
        <v/>
      </c>
      <c r="AI243" s="20">
        <f>IF(COUNT(C243:P243)=0,"",IFERROR(AH243-C243-Config!$C$18,0))</f>
        <v/>
      </c>
      <c r="AJ243" s="21">
        <f>IF(COUNT(C243:P243)=0,"",IFERROR(AH243/C243,0))</f>
        <v/>
      </c>
      <c r="AK243" s="15">
        <f>IF(COUNT(C243:P243)=0,"",IFERROR(AI243/G243,0))</f>
        <v/>
      </c>
      <c r="AL243" s="21">
        <f>IF(COUNT(C243:P243)=0,"",IFERROR(AK243/V243,0))</f>
        <v/>
      </c>
      <c r="AM243" s="15">
        <f>IF(COUNT(C243:P243)=0,"",IFERROR(AI243/I243,0))</f>
        <v/>
      </c>
      <c r="AN243" s="15">
        <f>IF(COUNT(C243:P243)=0,"",IFERROR(AH243/I243-AA243,0))</f>
        <v/>
      </c>
    </row>
    <row r="244">
      <c r="A244" s="12">
        <f>Config!$C$6+238</f>
        <v/>
      </c>
      <c r="B244" s="13">
        <f>INT((A244-Config!$C$6)/7)+1</f>
        <v/>
      </c>
      <c r="C244" s="10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5">
        <f>IF(COUNT(C244:P244)=0,"",IFERROR(C244/D244*1000,0))</f>
        <v/>
      </c>
      <c r="R244" s="16">
        <f>IF(COUNT(C244:P244)=0,"",IFERROR(D244/E244,0))</f>
        <v/>
      </c>
      <c r="S244" s="17">
        <f>IF(COUNT(C244:P244)=0,"",IFERROR(F244/D244,0))</f>
        <v/>
      </c>
      <c r="T244" s="15">
        <f>IF(COUNT(C244:P244)=0,"",IFERROR(C244/F244,0))</f>
        <v/>
      </c>
      <c r="U244" s="18">
        <f>IF(COUNT(C244:P244)=0,"",IFERROR(G244/F244,0))</f>
        <v/>
      </c>
      <c r="V244" s="15">
        <f>IF(COUNT(C244:P244)=0,"",IFERROR(C244/G244,0))</f>
        <v/>
      </c>
      <c r="W244" s="19">
        <f>IF(COUNT(C244:P244)=0,"",IFERROR(G244/D244*1000,0))</f>
        <v/>
      </c>
      <c r="X244" s="18">
        <f>IF(COUNT(C244:P244)=0,"",IFERROR(H244/G244,0))</f>
        <v/>
      </c>
      <c r="Y244" s="18">
        <f>IF(COUNT(C244:P244)=0,"",IFERROR(I244/H244,0))</f>
        <v/>
      </c>
      <c r="Z244" s="17">
        <f>IF(COUNT(C244:P244)=0,"",IFERROR(I244/G244,0))</f>
        <v/>
      </c>
      <c r="AA244" s="15">
        <f>IF(COUNT(C244:P244)=0,"",IFERROR(C244/I244,0))</f>
        <v/>
      </c>
      <c r="AB244" s="18">
        <f>IF(COUNT(C244:P244)=0,"",IFERROR(J244/I244,0))</f>
        <v/>
      </c>
      <c r="AC244" s="18">
        <f>IF(COUNT(C244:P244)=0,"",IFERROR(K244/I244,0))</f>
        <v/>
      </c>
      <c r="AD244" s="18">
        <f>IF(COUNT(C244:P244)=0,"",IFERROR(L244/I244,0))</f>
        <v/>
      </c>
      <c r="AE244" s="18">
        <f>IF(COUNT(C244:P244)=0,"",IFERROR(P244/I244,0))</f>
        <v/>
      </c>
      <c r="AF244" s="20">
        <f>IF(COUNT(C244:P244)=0,"",IFERROR(I244*Config!$C$7+J244*Config!$C$8+K244*Config!$C$9+L244*Config!$C$10+M244*Config!$C$11+N244*Config!$C$12+O244*Config!$C$13+P244*Config!$C$14,0))</f>
        <v/>
      </c>
      <c r="AG244" s="15">
        <f>IF(COUNT(C244:P244)=0,"",IFERROR(AF244/I244,0))</f>
        <v/>
      </c>
      <c r="AH244" s="20">
        <f>IF(COUNT(C244:P244)=0,"",IFERROR(AF244*(1-Config!$C$15-Config!$C$16-Config!$C$17),0))</f>
        <v/>
      </c>
      <c r="AI244" s="20">
        <f>IF(COUNT(C244:P244)=0,"",IFERROR(AH244-C244-Config!$C$18,0))</f>
        <v/>
      </c>
      <c r="AJ244" s="21">
        <f>IF(COUNT(C244:P244)=0,"",IFERROR(AH244/C244,0))</f>
        <v/>
      </c>
      <c r="AK244" s="15">
        <f>IF(COUNT(C244:P244)=0,"",IFERROR(AI244/G244,0))</f>
        <v/>
      </c>
      <c r="AL244" s="21">
        <f>IF(COUNT(C244:P244)=0,"",IFERROR(AK244/V244,0))</f>
        <v/>
      </c>
      <c r="AM244" s="15">
        <f>IF(COUNT(C244:P244)=0,"",IFERROR(AI244/I244,0))</f>
        <v/>
      </c>
      <c r="AN244" s="15">
        <f>IF(COUNT(C244:P244)=0,"",IFERROR(AH244/I244-AA244,0))</f>
        <v/>
      </c>
    </row>
    <row r="245">
      <c r="A245" s="12">
        <f>Config!$C$6+239</f>
        <v/>
      </c>
      <c r="B245" s="13">
        <f>INT((A245-Config!$C$6)/7)+1</f>
        <v/>
      </c>
      <c r="C245" s="10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5">
        <f>IF(COUNT(C245:P245)=0,"",IFERROR(C245/D245*1000,0))</f>
        <v/>
      </c>
      <c r="R245" s="16">
        <f>IF(COUNT(C245:P245)=0,"",IFERROR(D245/E245,0))</f>
        <v/>
      </c>
      <c r="S245" s="17">
        <f>IF(COUNT(C245:P245)=0,"",IFERROR(F245/D245,0))</f>
        <v/>
      </c>
      <c r="T245" s="15">
        <f>IF(COUNT(C245:P245)=0,"",IFERROR(C245/F245,0))</f>
        <v/>
      </c>
      <c r="U245" s="18">
        <f>IF(COUNT(C245:P245)=0,"",IFERROR(G245/F245,0))</f>
        <v/>
      </c>
      <c r="V245" s="15">
        <f>IF(COUNT(C245:P245)=0,"",IFERROR(C245/G245,0))</f>
        <v/>
      </c>
      <c r="W245" s="19">
        <f>IF(COUNT(C245:P245)=0,"",IFERROR(G245/D245*1000,0))</f>
        <v/>
      </c>
      <c r="X245" s="18">
        <f>IF(COUNT(C245:P245)=0,"",IFERROR(H245/G245,0))</f>
        <v/>
      </c>
      <c r="Y245" s="18">
        <f>IF(COUNT(C245:P245)=0,"",IFERROR(I245/H245,0))</f>
        <v/>
      </c>
      <c r="Z245" s="17">
        <f>IF(COUNT(C245:P245)=0,"",IFERROR(I245/G245,0))</f>
        <v/>
      </c>
      <c r="AA245" s="15">
        <f>IF(COUNT(C245:P245)=0,"",IFERROR(C245/I245,0))</f>
        <v/>
      </c>
      <c r="AB245" s="18">
        <f>IF(COUNT(C245:P245)=0,"",IFERROR(J245/I245,0))</f>
        <v/>
      </c>
      <c r="AC245" s="18">
        <f>IF(COUNT(C245:P245)=0,"",IFERROR(K245/I245,0))</f>
        <v/>
      </c>
      <c r="AD245" s="18">
        <f>IF(COUNT(C245:P245)=0,"",IFERROR(L245/I245,0))</f>
        <v/>
      </c>
      <c r="AE245" s="18">
        <f>IF(COUNT(C245:P245)=0,"",IFERROR(P245/I245,0))</f>
        <v/>
      </c>
      <c r="AF245" s="20">
        <f>IF(COUNT(C245:P245)=0,"",IFERROR(I245*Config!$C$7+J245*Config!$C$8+K245*Config!$C$9+L245*Config!$C$10+M245*Config!$C$11+N245*Config!$C$12+O245*Config!$C$13+P245*Config!$C$14,0))</f>
        <v/>
      </c>
      <c r="AG245" s="15">
        <f>IF(COUNT(C245:P245)=0,"",IFERROR(AF245/I245,0))</f>
        <v/>
      </c>
      <c r="AH245" s="20">
        <f>IF(COUNT(C245:P245)=0,"",IFERROR(AF245*(1-Config!$C$15-Config!$C$16-Config!$C$17),0))</f>
        <v/>
      </c>
      <c r="AI245" s="20">
        <f>IF(COUNT(C245:P245)=0,"",IFERROR(AH245-C245-Config!$C$18,0))</f>
        <v/>
      </c>
      <c r="AJ245" s="21">
        <f>IF(COUNT(C245:P245)=0,"",IFERROR(AH245/C245,0))</f>
        <v/>
      </c>
      <c r="AK245" s="15">
        <f>IF(COUNT(C245:P245)=0,"",IFERROR(AI245/G245,0))</f>
        <v/>
      </c>
      <c r="AL245" s="21">
        <f>IF(COUNT(C245:P245)=0,"",IFERROR(AK245/V245,0))</f>
        <v/>
      </c>
      <c r="AM245" s="15">
        <f>IF(COUNT(C245:P245)=0,"",IFERROR(AI245/I245,0))</f>
        <v/>
      </c>
      <c r="AN245" s="15">
        <f>IF(COUNT(C245:P245)=0,"",IFERROR(AH245/I245-AA245,0))</f>
        <v/>
      </c>
    </row>
    <row r="246">
      <c r="A246" s="12">
        <f>Config!$C$6+240</f>
        <v/>
      </c>
      <c r="B246" s="13">
        <f>INT((A246-Config!$C$6)/7)+1</f>
        <v/>
      </c>
      <c r="C246" s="10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5">
        <f>IF(COUNT(C246:P246)=0,"",IFERROR(C246/D246*1000,0))</f>
        <v/>
      </c>
      <c r="R246" s="16">
        <f>IF(COUNT(C246:P246)=0,"",IFERROR(D246/E246,0))</f>
        <v/>
      </c>
      <c r="S246" s="17">
        <f>IF(COUNT(C246:P246)=0,"",IFERROR(F246/D246,0))</f>
        <v/>
      </c>
      <c r="T246" s="15">
        <f>IF(COUNT(C246:P246)=0,"",IFERROR(C246/F246,0))</f>
        <v/>
      </c>
      <c r="U246" s="18">
        <f>IF(COUNT(C246:P246)=0,"",IFERROR(G246/F246,0))</f>
        <v/>
      </c>
      <c r="V246" s="15">
        <f>IF(COUNT(C246:P246)=0,"",IFERROR(C246/G246,0))</f>
        <v/>
      </c>
      <c r="W246" s="19">
        <f>IF(COUNT(C246:P246)=0,"",IFERROR(G246/D246*1000,0))</f>
        <v/>
      </c>
      <c r="X246" s="18">
        <f>IF(COUNT(C246:P246)=0,"",IFERROR(H246/G246,0))</f>
        <v/>
      </c>
      <c r="Y246" s="18">
        <f>IF(COUNT(C246:P246)=0,"",IFERROR(I246/H246,0))</f>
        <v/>
      </c>
      <c r="Z246" s="17">
        <f>IF(COUNT(C246:P246)=0,"",IFERROR(I246/G246,0))</f>
        <v/>
      </c>
      <c r="AA246" s="15">
        <f>IF(COUNT(C246:P246)=0,"",IFERROR(C246/I246,0))</f>
        <v/>
      </c>
      <c r="AB246" s="18">
        <f>IF(COUNT(C246:P246)=0,"",IFERROR(J246/I246,0))</f>
        <v/>
      </c>
      <c r="AC246" s="18">
        <f>IF(COUNT(C246:P246)=0,"",IFERROR(K246/I246,0))</f>
        <v/>
      </c>
      <c r="AD246" s="18">
        <f>IF(COUNT(C246:P246)=0,"",IFERROR(L246/I246,0))</f>
        <v/>
      </c>
      <c r="AE246" s="18">
        <f>IF(COUNT(C246:P246)=0,"",IFERROR(P246/I246,0))</f>
        <v/>
      </c>
      <c r="AF246" s="20">
        <f>IF(COUNT(C246:P246)=0,"",IFERROR(I246*Config!$C$7+J246*Config!$C$8+K246*Config!$C$9+L246*Config!$C$10+M246*Config!$C$11+N246*Config!$C$12+O246*Config!$C$13+P246*Config!$C$14,0))</f>
        <v/>
      </c>
      <c r="AG246" s="15">
        <f>IF(COUNT(C246:P246)=0,"",IFERROR(AF246/I246,0))</f>
        <v/>
      </c>
      <c r="AH246" s="20">
        <f>IF(COUNT(C246:P246)=0,"",IFERROR(AF246*(1-Config!$C$15-Config!$C$16-Config!$C$17),0))</f>
        <v/>
      </c>
      <c r="AI246" s="20">
        <f>IF(COUNT(C246:P246)=0,"",IFERROR(AH246-C246-Config!$C$18,0))</f>
        <v/>
      </c>
      <c r="AJ246" s="21">
        <f>IF(COUNT(C246:P246)=0,"",IFERROR(AH246/C246,0))</f>
        <v/>
      </c>
      <c r="AK246" s="15">
        <f>IF(COUNT(C246:P246)=0,"",IFERROR(AI246/G246,0))</f>
        <v/>
      </c>
      <c r="AL246" s="21">
        <f>IF(COUNT(C246:P246)=0,"",IFERROR(AK246/V246,0))</f>
        <v/>
      </c>
      <c r="AM246" s="15">
        <f>IF(COUNT(C246:P246)=0,"",IFERROR(AI246/I246,0))</f>
        <v/>
      </c>
      <c r="AN246" s="15">
        <f>IF(COUNT(C246:P246)=0,"",IFERROR(AH246/I246-AA246,0))</f>
        <v/>
      </c>
    </row>
    <row r="247">
      <c r="A247" s="12">
        <f>Config!$C$6+241</f>
        <v/>
      </c>
      <c r="B247" s="13">
        <f>INT((A247-Config!$C$6)/7)+1</f>
        <v/>
      </c>
      <c r="C247" s="10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5">
        <f>IF(COUNT(C247:P247)=0,"",IFERROR(C247/D247*1000,0))</f>
        <v/>
      </c>
      <c r="R247" s="16">
        <f>IF(COUNT(C247:P247)=0,"",IFERROR(D247/E247,0))</f>
        <v/>
      </c>
      <c r="S247" s="17">
        <f>IF(COUNT(C247:P247)=0,"",IFERROR(F247/D247,0))</f>
        <v/>
      </c>
      <c r="T247" s="15">
        <f>IF(COUNT(C247:P247)=0,"",IFERROR(C247/F247,0))</f>
        <v/>
      </c>
      <c r="U247" s="18">
        <f>IF(COUNT(C247:P247)=0,"",IFERROR(G247/F247,0))</f>
        <v/>
      </c>
      <c r="V247" s="15">
        <f>IF(COUNT(C247:P247)=0,"",IFERROR(C247/G247,0))</f>
        <v/>
      </c>
      <c r="W247" s="19">
        <f>IF(COUNT(C247:P247)=0,"",IFERROR(G247/D247*1000,0))</f>
        <v/>
      </c>
      <c r="X247" s="18">
        <f>IF(COUNT(C247:P247)=0,"",IFERROR(H247/G247,0))</f>
        <v/>
      </c>
      <c r="Y247" s="18">
        <f>IF(COUNT(C247:P247)=0,"",IFERROR(I247/H247,0))</f>
        <v/>
      </c>
      <c r="Z247" s="17">
        <f>IF(COUNT(C247:P247)=0,"",IFERROR(I247/G247,0))</f>
        <v/>
      </c>
      <c r="AA247" s="15">
        <f>IF(COUNT(C247:P247)=0,"",IFERROR(C247/I247,0))</f>
        <v/>
      </c>
      <c r="AB247" s="18">
        <f>IF(COUNT(C247:P247)=0,"",IFERROR(J247/I247,0))</f>
        <v/>
      </c>
      <c r="AC247" s="18">
        <f>IF(COUNT(C247:P247)=0,"",IFERROR(K247/I247,0))</f>
        <v/>
      </c>
      <c r="AD247" s="18">
        <f>IF(COUNT(C247:P247)=0,"",IFERROR(L247/I247,0))</f>
        <v/>
      </c>
      <c r="AE247" s="18">
        <f>IF(COUNT(C247:P247)=0,"",IFERROR(P247/I247,0))</f>
        <v/>
      </c>
      <c r="AF247" s="20">
        <f>IF(COUNT(C247:P247)=0,"",IFERROR(I247*Config!$C$7+J247*Config!$C$8+K247*Config!$C$9+L247*Config!$C$10+M247*Config!$C$11+N247*Config!$C$12+O247*Config!$C$13+P247*Config!$C$14,0))</f>
        <v/>
      </c>
      <c r="AG247" s="15">
        <f>IF(COUNT(C247:P247)=0,"",IFERROR(AF247/I247,0))</f>
        <v/>
      </c>
      <c r="AH247" s="20">
        <f>IF(COUNT(C247:P247)=0,"",IFERROR(AF247*(1-Config!$C$15-Config!$C$16-Config!$C$17),0))</f>
        <v/>
      </c>
      <c r="AI247" s="20">
        <f>IF(COUNT(C247:P247)=0,"",IFERROR(AH247-C247-Config!$C$18,0))</f>
        <v/>
      </c>
      <c r="AJ247" s="21">
        <f>IF(COUNT(C247:P247)=0,"",IFERROR(AH247/C247,0))</f>
        <v/>
      </c>
      <c r="AK247" s="15">
        <f>IF(COUNT(C247:P247)=0,"",IFERROR(AI247/G247,0))</f>
        <v/>
      </c>
      <c r="AL247" s="21">
        <f>IF(COUNT(C247:P247)=0,"",IFERROR(AK247/V247,0))</f>
        <v/>
      </c>
      <c r="AM247" s="15">
        <f>IF(COUNT(C247:P247)=0,"",IFERROR(AI247/I247,0))</f>
        <v/>
      </c>
      <c r="AN247" s="15">
        <f>IF(COUNT(C247:P247)=0,"",IFERROR(AH247/I247-AA247,0))</f>
        <v/>
      </c>
    </row>
    <row r="248">
      <c r="A248" s="12">
        <f>Config!$C$6+242</f>
        <v/>
      </c>
      <c r="B248" s="13">
        <f>INT((A248-Config!$C$6)/7)+1</f>
        <v/>
      </c>
      <c r="C248" s="10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5">
        <f>IF(COUNT(C248:P248)=0,"",IFERROR(C248/D248*1000,0))</f>
        <v/>
      </c>
      <c r="R248" s="16">
        <f>IF(COUNT(C248:P248)=0,"",IFERROR(D248/E248,0))</f>
        <v/>
      </c>
      <c r="S248" s="17">
        <f>IF(COUNT(C248:P248)=0,"",IFERROR(F248/D248,0))</f>
        <v/>
      </c>
      <c r="T248" s="15">
        <f>IF(COUNT(C248:P248)=0,"",IFERROR(C248/F248,0))</f>
        <v/>
      </c>
      <c r="U248" s="18">
        <f>IF(COUNT(C248:P248)=0,"",IFERROR(G248/F248,0))</f>
        <v/>
      </c>
      <c r="V248" s="15">
        <f>IF(COUNT(C248:P248)=0,"",IFERROR(C248/G248,0))</f>
        <v/>
      </c>
      <c r="W248" s="19">
        <f>IF(COUNT(C248:P248)=0,"",IFERROR(G248/D248*1000,0))</f>
        <v/>
      </c>
      <c r="X248" s="18">
        <f>IF(COUNT(C248:P248)=0,"",IFERROR(H248/G248,0))</f>
        <v/>
      </c>
      <c r="Y248" s="18">
        <f>IF(COUNT(C248:P248)=0,"",IFERROR(I248/H248,0))</f>
        <v/>
      </c>
      <c r="Z248" s="17">
        <f>IF(COUNT(C248:P248)=0,"",IFERROR(I248/G248,0))</f>
        <v/>
      </c>
      <c r="AA248" s="15">
        <f>IF(COUNT(C248:P248)=0,"",IFERROR(C248/I248,0))</f>
        <v/>
      </c>
      <c r="AB248" s="18">
        <f>IF(COUNT(C248:P248)=0,"",IFERROR(J248/I248,0))</f>
        <v/>
      </c>
      <c r="AC248" s="18">
        <f>IF(COUNT(C248:P248)=0,"",IFERROR(K248/I248,0))</f>
        <v/>
      </c>
      <c r="AD248" s="18">
        <f>IF(COUNT(C248:P248)=0,"",IFERROR(L248/I248,0))</f>
        <v/>
      </c>
      <c r="AE248" s="18">
        <f>IF(COUNT(C248:P248)=0,"",IFERROR(P248/I248,0))</f>
        <v/>
      </c>
      <c r="AF248" s="20">
        <f>IF(COUNT(C248:P248)=0,"",IFERROR(I248*Config!$C$7+J248*Config!$C$8+K248*Config!$C$9+L248*Config!$C$10+M248*Config!$C$11+N248*Config!$C$12+O248*Config!$C$13+P248*Config!$C$14,0))</f>
        <v/>
      </c>
      <c r="AG248" s="15">
        <f>IF(COUNT(C248:P248)=0,"",IFERROR(AF248/I248,0))</f>
        <v/>
      </c>
      <c r="AH248" s="20">
        <f>IF(COUNT(C248:P248)=0,"",IFERROR(AF248*(1-Config!$C$15-Config!$C$16-Config!$C$17),0))</f>
        <v/>
      </c>
      <c r="AI248" s="20">
        <f>IF(COUNT(C248:P248)=0,"",IFERROR(AH248-C248-Config!$C$18,0))</f>
        <v/>
      </c>
      <c r="AJ248" s="21">
        <f>IF(COUNT(C248:P248)=0,"",IFERROR(AH248/C248,0))</f>
        <v/>
      </c>
      <c r="AK248" s="15">
        <f>IF(COUNT(C248:P248)=0,"",IFERROR(AI248/G248,0))</f>
        <v/>
      </c>
      <c r="AL248" s="21">
        <f>IF(COUNT(C248:P248)=0,"",IFERROR(AK248/V248,0))</f>
        <v/>
      </c>
      <c r="AM248" s="15">
        <f>IF(COUNT(C248:P248)=0,"",IFERROR(AI248/I248,0))</f>
        <v/>
      </c>
      <c r="AN248" s="15">
        <f>IF(COUNT(C248:P248)=0,"",IFERROR(AH248/I248-AA248,0))</f>
        <v/>
      </c>
    </row>
    <row r="249">
      <c r="A249" s="12">
        <f>Config!$C$6+243</f>
        <v/>
      </c>
      <c r="B249" s="13">
        <f>INT((A249-Config!$C$6)/7)+1</f>
        <v/>
      </c>
      <c r="C249" s="10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5">
        <f>IF(COUNT(C249:P249)=0,"",IFERROR(C249/D249*1000,0))</f>
        <v/>
      </c>
      <c r="R249" s="16">
        <f>IF(COUNT(C249:P249)=0,"",IFERROR(D249/E249,0))</f>
        <v/>
      </c>
      <c r="S249" s="17">
        <f>IF(COUNT(C249:P249)=0,"",IFERROR(F249/D249,0))</f>
        <v/>
      </c>
      <c r="T249" s="15">
        <f>IF(COUNT(C249:P249)=0,"",IFERROR(C249/F249,0))</f>
        <v/>
      </c>
      <c r="U249" s="18">
        <f>IF(COUNT(C249:P249)=0,"",IFERROR(G249/F249,0))</f>
        <v/>
      </c>
      <c r="V249" s="15">
        <f>IF(COUNT(C249:P249)=0,"",IFERROR(C249/G249,0))</f>
        <v/>
      </c>
      <c r="W249" s="19">
        <f>IF(COUNT(C249:P249)=0,"",IFERROR(G249/D249*1000,0))</f>
        <v/>
      </c>
      <c r="X249" s="18">
        <f>IF(COUNT(C249:P249)=0,"",IFERROR(H249/G249,0))</f>
        <v/>
      </c>
      <c r="Y249" s="18">
        <f>IF(COUNT(C249:P249)=0,"",IFERROR(I249/H249,0))</f>
        <v/>
      </c>
      <c r="Z249" s="17">
        <f>IF(COUNT(C249:P249)=0,"",IFERROR(I249/G249,0))</f>
        <v/>
      </c>
      <c r="AA249" s="15">
        <f>IF(COUNT(C249:P249)=0,"",IFERROR(C249/I249,0))</f>
        <v/>
      </c>
      <c r="AB249" s="18">
        <f>IF(COUNT(C249:P249)=0,"",IFERROR(J249/I249,0))</f>
        <v/>
      </c>
      <c r="AC249" s="18">
        <f>IF(COUNT(C249:P249)=0,"",IFERROR(K249/I249,0))</f>
        <v/>
      </c>
      <c r="AD249" s="18">
        <f>IF(COUNT(C249:P249)=0,"",IFERROR(L249/I249,0))</f>
        <v/>
      </c>
      <c r="AE249" s="18">
        <f>IF(COUNT(C249:P249)=0,"",IFERROR(P249/I249,0))</f>
        <v/>
      </c>
      <c r="AF249" s="20">
        <f>IF(COUNT(C249:P249)=0,"",IFERROR(I249*Config!$C$7+J249*Config!$C$8+K249*Config!$C$9+L249*Config!$C$10+M249*Config!$C$11+N249*Config!$C$12+O249*Config!$C$13+P249*Config!$C$14,0))</f>
        <v/>
      </c>
      <c r="AG249" s="15">
        <f>IF(COUNT(C249:P249)=0,"",IFERROR(AF249/I249,0))</f>
        <v/>
      </c>
      <c r="AH249" s="20">
        <f>IF(COUNT(C249:P249)=0,"",IFERROR(AF249*(1-Config!$C$15-Config!$C$16-Config!$C$17),0))</f>
        <v/>
      </c>
      <c r="AI249" s="20">
        <f>IF(COUNT(C249:P249)=0,"",IFERROR(AH249-C249-Config!$C$18,0))</f>
        <v/>
      </c>
      <c r="AJ249" s="21">
        <f>IF(COUNT(C249:P249)=0,"",IFERROR(AH249/C249,0))</f>
        <v/>
      </c>
      <c r="AK249" s="15">
        <f>IF(COUNT(C249:P249)=0,"",IFERROR(AI249/G249,0))</f>
        <v/>
      </c>
      <c r="AL249" s="21">
        <f>IF(COUNT(C249:P249)=0,"",IFERROR(AK249/V249,0))</f>
        <v/>
      </c>
      <c r="AM249" s="15">
        <f>IF(COUNT(C249:P249)=0,"",IFERROR(AI249/I249,0))</f>
        <v/>
      </c>
      <c r="AN249" s="15">
        <f>IF(COUNT(C249:P249)=0,"",IFERROR(AH249/I249-AA249,0))</f>
        <v/>
      </c>
    </row>
    <row r="250">
      <c r="A250" s="12">
        <f>Config!$C$6+244</f>
        <v/>
      </c>
      <c r="B250" s="13">
        <f>INT((A250-Config!$C$6)/7)+1</f>
        <v/>
      </c>
      <c r="C250" s="10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5">
        <f>IF(COUNT(C250:P250)=0,"",IFERROR(C250/D250*1000,0))</f>
        <v/>
      </c>
      <c r="R250" s="16">
        <f>IF(COUNT(C250:P250)=0,"",IFERROR(D250/E250,0))</f>
        <v/>
      </c>
      <c r="S250" s="17">
        <f>IF(COUNT(C250:P250)=0,"",IFERROR(F250/D250,0))</f>
        <v/>
      </c>
      <c r="T250" s="15">
        <f>IF(COUNT(C250:P250)=0,"",IFERROR(C250/F250,0))</f>
        <v/>
      </c>
      <c r="U250" s="18">
        <f>IF(COUNT(C250:P250)=0,"",IFERROR(G250/F250,0))</f>
        <v/>
      </c>
      <c r="V250" s="15">
        <f>IF(COUNT(C250:P250)=0,"",IFERROR(C250/G250,0))</f>
        <v/>
      </c>
      <c r="W250" s="19">
        <f>IF(COUNT(C250:P250)=0,"",IFERROR(G250/D250*1000,0))</f>
        <v/>
      </c>
      <c r="X250" s="18">
        <f>IF(COUNT(C250:P250)=0,"",IFERROR(H250/G250,0))</f>
        <v/>
      </c>
      <c r="Y250" s="18">
        <f>IF(COUNT(C250:P250)=0,"",IFERROR(I250/H250,0))</f>
        <v/>
      </c>
      <c r="Z250" s="17">
        <f>IF(COUNT(C250:P250)=0,"",IFERROR(I250/G250,0))</f>
        <v/>
      </c>
      <c r="AA250" s="15">
        <f>IF(COUNT(C250:P250)=0,"",IFERROR(C250/I250,0))</f>
        <v/>
      </c>
      <c r="AB250" s="18">
        <f>IF(COUNT(C250:P250)=0,"",IFERROR(J250/I250,0))</f>
        <v/>
      </c>
      <c r="AC250" s="18">
        <f>IF(COUNT(C250:P250)=0,"",IFERROR(K250/I250,0))</f>
        <v/>
      </c>
      <c r="AD250" s="18">
        <f>IF(COUNT(C250:P250)=0,"",IFERROR(L250/I250,0))</f>
        <v/>
      </c>
      <c r="AE250" s="18">
        <f>IF(COUNT(C250:P250)=0,"",IFERROR(P250/I250,0))</f>
        <v/>
      </c>
      <c r="AF250" s="20">
        <f>IF(COUNT(C250:P250)=0,"",IFERROR(I250*Config!$C$7+J250*Config!$C$8+K250*Config!$C$9+L250*Config!$C$10+M250*Config!$C$11+N250*Config!$C$12+O250*Config!$C$13+P250*Config!$C$14,0))</f>
        <v/>
      </c>
      <c r="AG250" s="15">
        <f>IF(COUNT(C250:P250)=0,"",IFERROR(AF250/I250,0))</f>
        <v/>
      </c>
      <c r="AH250" s="20">
        <f>IF(COUNT(C250:P250)=0,"",IFERROR(AF250*(1-Config!$C$15-Config!$C$16-Config!$C$17),0))</f>
        <v/>
      </c>
      <c r="AI250" s="20">
        <f>IF(COUNT(C250:P250)=0,"",IFERROR(AH250-C250-Config!$C$18,0))</f>
        <v/>
      </c>
      <c r="AJ250" s="21">
        <f>IF(COUNT(C250:P250)=0,"",IFERROR(AH250/C250,0))</f>
        <v/>
      </c>
      <c r="AK250" s="15">
        <f>IF(COUNT(C250:P250)=0,"",IFERROR(AI250/G250,0))</f>
        <v/>
      </c>
      <c r="AL250" s="21">
        <f>IF(COUNT(C250:P250)=0,"",IFERROR(AK250/V250,0))</f>
        <v/>
      </c>
      <c r="AM250" s="15">
        <f>IF(COUNT(C250:P250)=0,"",IFERROR(AI250/I250,0))</f>
        <v/>
      </c>
      <c r="AN250" s="15">
        <f>IF(COUNT(C250:P250)=0,"",IFERROR(AH250/I250-AA250,0))</f>
        <v/>
      </c>
    </row>
    <row r="251">
      <c r="A251" s="12">
        <f>Config!$C$6+245</f>
        <v/>
      </c>
      <c r="B251" s="13">
        <f>INT((A251-Config!$C$6)/7)+1</f>
        <v/>
      </c>
      <c r="C251" s="10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5">
        <f>IF(COUNT(C251:P251)=0,"",IFERROR(C251/D251*1000,0))</f>
        <v/>
      </c>
      <c r="R251" s="16">
        <f>IF(COUNT(C251:P251)=0,"",IFERROR(D251/E251,0))</f>
        <v/>
      </c>
      <c r="S251" s="17">
        <f>IF(COUNT(C251:P251)=0,"",IFERROR(F251/D251,0))</f>
        <v/>
      </c>
      <c r="T251" s="15">
        <f>IF(COUNT(C251:P251)=0,"",IFERROR(C251/F251,0))</f>
        <v/>
      </c>
      <c r="U251" s="18">
        <f>IF(COUNT(C251:P251)=0,"",IFERROR(G251/F251,0))</f>
        <v/>
      </c>
      <c r="V251" s="15">
        <f>IF(COUNT(C251:P251)=0,"",IFERROR(C251/G251,0))</f>
        <v/>
      </c>
      <c r="W251" s="19">
        <f>IF(COUNT(C251:P251)=0,"",IFERROR(G251/D251*1000,0))</f>
        <v/>
      </c>
      <c r="X251" s="18">
        <f>IF(COUNT(C251:P251)=0,"",IFERROR(H251/G251,0))</f>
        <v/>
      </c>
      <c r="Y251" s="18">
        <f>IF(COUNT(C251:P251)=0,"",IFERROR(I251/H251,0))</f>
        <v/>
      </c>
      <c r="Z251" s="17">
        <f>IF(COUNT(C251:P251)=0,"",IFERROR(I251/G251,0))</f>
        <v/>
      </c>
      <c r="AA251" s="15">
        <f>IF(COUNT(C251:P251)=0,"",IFERROR(C251/I251,0))</f>
        <v/>
      </c>
      <c r="AB251" s="18">
        <f>IF(COUNT(C251:P251)=0,"",IFERROR(J251/I251,0))</f>
        <v/>
      </c>
      <c r="AC251" s="18">
        <f>IF(COUNT(C251:P251)=0,"",IFERROR(K251/I251,0))</f>
        <v/>
      </c>
      <c r="AD251" s="18">
        <f>IF(COUNT(C251:P251)=0,"",IFERROR(L251/I251,0))</f>
        <v/>
      </c>
      <c r="AE251" s="18">
        <f>IF(COUNT(C251:P251)=0,"",IFERROR(P251/I251,0))</f>
        <v/>
      </c>
      <c r="AF251" s="20">
        <f>IF(COUNT(C251:P251)=0,"",IFERROR(I251*Config!$C$7+J251*Config!$C$8+K251*Config!$C$9+L251*Config!$C$10+M251*Config!$C$11+N251*Config!$C$12+O251*Config!$C$13+P251*Config!$C$14,0))</f>
        <v/>
      </c>
      <c r="AG251" s="15">
        <f>IF(COUNT(C251:P251)=0,"",IFERROR(AF251/I251,0))</f>
        <v/>
      </c>
      <c r="AH251" s="20">
        <f>IF(COUNT(C251:P251)=0,"",IFERROR(AF251*(1-Config!$C$15-Config!$C$16-Config!$C$17),0))</f>
        <v/>
      </c>
      <c r="AI251" s="20">
        <f>IF(COUNT(C251:P251)=0,"",IFERROR(AH251-C251-Config!$C$18,0))</f>
        <v/>
      </c>
      <c r="AJ251" s="21">
        <f>IF(COUNT(C251:P251)=0,"",IFERROR(AH251/C251,0))</f>
        <v/>
      </c>
      <c r="AK251" s="15">
        <f>IF(COUNT(C251:P251)=0,"",IFERROR(AI251/G251,0))</f>
        <v/>
      </c>
      <c r="AL251" s="21">
        <f>IF(COUNT(C251:P251)=0,"",IFERROR(AK251/V251,0))</f>
        <v/>
      </c>
      <c r="AM251" s="15">
        <f>IF(COUNT(C251:P251)=0,"",IFERROR(AI251/I251,0))</f>
        <v/>
      </c>
      <c r="AN251" s="15">
        <f>IF(COUNT(C251:P251)=0,"",IFERROR(AH251/I251-AA251,0))</f>
        <v/>
      </c>
    </row>
    <row r="252">
      <c r="A252" s="12">
        <f>Config!$C$6+246</f>
        <v/>
      </c>
      <c r="B252" s="13">
        <f>INT((A252-Config!$C$6)/7)+1</f>
        <v/>
      </c>
      <c r="C252" s="10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5">
        <f>IF(COUNT(C252:P252)=0,"",IFERROR(C252/D252*1000,0))</f>
        <v/>
      </c>
      <c r="R252" s="16">
        <f>IF(COUNT(C252:P252)=0,"",IFERROR(D252/E252,0))</f>
        <v/>
      </c>
      <c r="S252" s="17">
        <f>IF(COUNT(C252:P252)=0,"",IFERROR(F252/D252,0))</f>
        <v/>
      </c>
      <c r="T252" s="15">
        <f>IF(COUNT(C252:P252)=0,"",IFERROR(C252/F252,0))</f>
        <v/>
      </c>
      <c r="U252" s="18">
        <f>IF(COUNT(C252:P252)=0,"",IFERROR(G252/F252,0))</f>
        <v/>
      </c>
      <c r="V252" s="15">
        <f>IF(COUNT(C252:P252)=0,"",IFERROR(C252/G252,0))</f>
        <v/>
      </c>
      <c r="W252" s="19">
        <f>IF(COUNT(C252:P252)=0,"",IFERROR(G252/D252*1000,0))</f>
        <v/>
      </c>
      <c r="X252" s="18">
        <f>IF(COUNT(C252:P252)=0,"",IFERROR(H252/G252,0))</f>
        <v/>
      </c>
      <c r="Y252" s="18">
        <f>IF(COUNT(C252:P252)=0,"",IFERROR(I252/H252,0))</f>
        <v/>
      </c>
      <c r="Z252" s="17">
        <f>IF(COUNT(C252:P252)=0,"",IFERROR(I252/G252,0))</f>
        <v/>
      </c>
      <c r="AA252" s="15">
        <f>IF(COUNT(C252:P252)=0,"",IFERROR(C252/I252,0))</f>
        <v/>
      </c>
      <c r="AB252" s="18">
        <f>IF(COUNT(C252:P252)=0,"",IFERROR(J252/I252,0))</f>
        <v/>
      </c>
      <c r="AC252" s="18">
        <f>IF(COUNT(C252:P252)=0,"",IFERROR(K252/I252,0))</f>
        <v/>
      </c>
      <c r="AD252" s="18">
        <f>IF(COUNT(C252:P252)=0,"",IFERROR(L252/I252,0))</f>
        <v/>
      </c>
      <c r="AE252" s="18">
        <f>IF(COUNT(C252:P252)=0,"",IFERROR(P252/I252,0))</f>
        <v/>
      </c>
      <c r="AF252" s="20">
        <f>IF(COUNT(C252:P252)=0,"",IFERROR(I252*Config!$C$7+J252*Config!$C$8+K252*Config!$C$9+L252*Config!$C$10+M252*Config!$C$11+N252*Config!$C$12+O252*Config!$C$13+P252*Config!$C$14,0))</f>
        <v/>
      </c>
      <c r="AG252" s="15">
        <f>IF(COUNT(C252:P252)=0,"",IFERROR(AF252/I252,0))</f>
        <v/>
      </c>
      <c r="AH252" s="20">
        <f>IF(COUNT(C252:P252)=0,"",IFERROR(AF252*(1-Config!$C$15-Config!$C$16-Config!$C$17),0))</f>
        <v/>
      </c>
      <c r="AI252" s="20">
        <f>IF(COUNT(C252:P252)=0,"",IFERROR(AH252-C252-Config!$C$18,0))</f>
        <v/>
      </c>
      <c r="AJ252" s="21">
        <f>IF(COUNT(C252:P252)=0,"",IFERROR(AH252/C252,0))</f>
        <v/>
      </c>
      <c r="AK252" s="15">
        <f>IF(COUNT(C252:P252)=0,"",IFERROR(AI252/G252,0))</f>
        <v/>
      </c>
      <c r="AL252" s="21">
        <f>IF(COUNT(C252:P252)=0,"",IFERROR(AK252/V252,0))</f>
        <v/>
      </c>
      <c r="AM252" s="15">
        <f>IF(COUNT(C252:P252)=0,"",IFERROR(AI252/I252,0))</f>
        <v/>
      </c>
      <c r="AN252" s="15">
        <f>IF(COUNT(C252:P252)=0,"",IFERROR(AH252/I252-AA252,0))</f>
        <v/>
      </c>
    </row>
    <row r="253">
      <c r="A253" s="12">
        <f>Config!$C$6+247</f>
        <v/>
      </c>
      <c r="B253" s="13">
        <f>INT((A253-Config!$C$6)/7)+1</f>
        <v/>
      </c>
      <c r="C253" s="10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5">
        <f>IF(COUNT(C253:P253)=0,"",IFERROR(C253/D253*1000,0))</f>
        <v/>
      </c>
      <c r="R253" s="16">
        <f>IF(COUNT(C253:P253)=0,"",IFERROR(D253/E253,0))</f>
        <v/>
      </c>
      <c r="S253" s="17">
        <f>IF(COUNT(C253:P253)=0,"",IFERROR(F253/D253,0))</f>
        <v/>
      </c>
      <c r="T253" s="15">
        <f>IF(COUNT(C253:P253)=0,"",IFERROR(C253/F253,0))</f>
        <v/>
      </c>
      <c r="U253" s="18">
        <f>IF(COUNT(C253:P253)=0,"",IFERROR(G253/F253,0))</f>
        <v/>
      </c>
      <c r="V253" s="15">
        <f>IF(COUNT(C253:P253)=0,"",IFERROR(C253/G253,0))</f>
        <v/>
      </c>
      <c r="W253" s="19">
        <f>IF(COUNT(C253:P253)=0,"",IFERROR(G253/D253*1000,0))</f>
        <v/>
      </c>
      <c r="X253" s="18">
        <f>IF(COUNT(C253:P253)=0,"",IFERROR(H253/G253,0))</f>
        <v/>
      </c>
      <c r="Y253" s="18">
        <f>IF(COUNT(C253:P253)=0,"",IFERROR(I253/H253,0))</f>
        <v/>
      </c>
      <c r="Z253" s="17">
        <f>IF(COUNT(C253:P253)=0,"",IFERROR(I253/G253,0))</f>
        <v/>
      </c>
      <c r="AA253" s="15">
        <f>IF(COUNT(C253:P253)=0,"",IFERROR(C253/I253,0))</f>
        <v/>
      </c>
      <c r="AB253" s="18">
        <f>IF(COUNT(C253:P253)=0,"",IFERROR(J253/I253,0))</f>
        <v/>
      </c>
      <c r="AC253" s="18">
        <f>IF(COUNT(C253:P253)=0,"",IFERROR(K253/I253,0))</f>
        <v/>
      </c>
      <c r="AD253" s="18">
        <f>IF(COUNT(C253:P253)=0,"",IFERROR(L253/I253,0))</f>
        <v/>
      </c>
      <c r="AE253" s="18">
        <f>IF(COUNT(C253:P253)=0,"",IFERROR(P253/I253,0))</f>
        <v/>
      </c>
      <c r="AF253" s="20">
        <f>IF(COUNT(C253:P253)=0,"",IFERROR(I253*Config!$C$7+J253*Config!$C$8+K253*Config!$C$9+L253*Config!$C$10+M253*Config!$C$11+N253*Config!$C$12+O253*Config!$C$13+P253*Config!$C$14,0))</f>
        <v/>
      </c>
      <c r="AG253" s="15">
        <f>IF(COUNT(C253:P253)=0,"",IFERROR(AF253/I253,0))</f>
        <v/>
      </c>
      <c r="AH253" s="20">
        <f>IF(COUNT(C253:P253)=0,"",IFERROR(AF253*(1-Config!$C$15-Config!$C$16-Config!$C$17),0))</f>
        <v/>
      </c>
      <c r="AI253" s="20">
        <f>IF(COUNT(C253:P253)=0,"",IFERROR(AH253-C253-Config!$C$18,0))</f>
        <v/>
      </c>
      <c r="AJ253" s="21">
        <f>IF(COUNT(C253:P253)=0,"",IFERROR(AH253/C253,0))</f>
        <v/>
      </c>
      <c r="AK253" s="15">
        <f>IF(COUNT(C253:P253)=0,"",IFERROR(AI253/G253,0))</f>
        <v/>
      </c>
      <c r="AL253" s="21">
        <f>IF(COUNT(C253:P253)=0,"",IFERROR(AK253/V253,0))</f>
        <v/>
      </c>
      <c r="AM253" s="15">
        <f>IF(COUNT(C253:P253)=0,"",IFERROR(AI253/I253,0))</f>
        <v/>
      </c>
      <c r="AN253" s="15">
        <f>IF(COUNT(C253:P253)=0,"",IFERROR(AH253/I253-AA253,0))</f>
        <v/>
      </c>
    </row>
    <row r="254">
      <c r="A254" s="12">
        <f>Config!$C$6+248</f>
        <v/>
      </c>
      <c r="B254" s="13">
        <f>INT((A254-Config!$C$6)/7)+1</f>
        <v/>
      </c>
      <c r="C254" s="10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5">
        <f>IF(COUNT(C254:P254)=0,"",IFERROR(C254/D254*1000,0))</f>
        <v/>
      </c>
      <c r="R254" s="16">
        <f>IF(COUNT(C254:P254)=0,"",IFERROR(D254/E254,0))</f>
        <v/>
      </c>
      <c r="S254" s="17">
        <f>IF(COUNT(C254:P254)=0,"",IFERROR(F254/D254,0))</f>
        <v/>
      </c>
      <c r="T254" s="15">
        <f>IF(COUNT(C254:P254)=0,"",IFERROR(C254/F254,0))</f>
        <v/>
      </c>
      <c r="U254" s="18">
        <f>IF(COUNT(C254:P254)=0,"",IFERROR(G254/F254,0))</f>
        <v/>
      </c>
      <c r="V254" s="15">
        <f>IF(COUNT(C254:P254)=0,"",IFERROR(C254/G254,0))</f>
        <v/>
      </c>
      <c r="W254" s="19">
        <f>IF(COUNT(C254:P254)=0,"",IFERROR(G254/D254*1000,0))</f>
        <v/>
      </c>
      <c r="X254" s="18">
        <f>IF(COUNT(C254:P254)=0,"",IFERROR(H254/G254,0))</f>
        <v/>
      </c>
      <c r="Y254" s="18">
        <f>IF(COUNT(C254:P254)=0,"",IFERROR(I254/H254,0))</f>
        <v/>
      </c>
      <c r="Z254" s="17">
        <f>IF(COUNT(C254:P254)=0,"",IFERROR(I254/G254,0))</f>
        <v/>
      </c>
      <c r="AA254" s="15">
        <f>IF(COUNT(C254:P254)=0,"",IFERROR(C254/I254,0))</f>
        <v/>
      </c>
      <c r="AB254" s="18">
        <f>IF(COUNT(C254:P254)=0,"",IFERROR(J254/I254,0))</f>
        <v/>
      </c>
      <c r="AC254" s="18">
        <f>IF(COUNT(C254:P254)=0,"",IFERROR(K254/I254,0))</f>
        <v/>
      </c>
      <c r="AD254" s="18">
        <f>IF(COUNT(C254:P254)=0,"",IFERROR(L254/I254,0))</f>
        <v/>
      </c>
      <c r="AE254" s="18">
        <f>IF(COUNT(C254:P254)=0,"",IFERROR(P254/I254,0))</f>
        <v/>
      </c>
      <c r="AF254" s="20">
        <f>IF(COUNT(C254:P254)=0,"",IFERROR(I254*Config!$C$7+J254*Config!$C$8+K254*Config!$C$9+L254*Config!$C$10+M254*Config!$C$11+N254*Config!$C$12+O254*Config!$C$13+P254*Config!$C$14,0))</f>
        <v/>
      </c>
      <c r="AG254" s="15">
        <f>IF(COUNT(C254:P254)=0,"",IFERROR(AF254/I254,0))</f>
        <v/>
      </c>
      <c r="AH254" s="20">
        <f>IF(COUNT(C254:P254)=0,"",IFERROR(AF254*(1-Config!$C$15-Config!$C$16-Config!$C$17),0))</f>
        <v/>
      </c>
      <c r="AI254" s="20">
        <f>IF(COUNT(C254:P254)=0,"",IFERROR(AH254-C254-Config!$C$18,0))</f>
        <v/>
      </c>
      <c r="AJ254" s="21">
        <f>IF(COUNT(C254:P254)=0,"",IFERROR(AH254/C254,0))</f>
        <v/>
      </c>
      <c r="AK254" s="15">
        <f>IF(COUNT(C254:P254)=0,"",IFERROR(AI254/G254,0))</f>
        <v/>
      </c>
      <c r="AL254" s="21">
        <f>IF(COUNT(C254:P254)=0,"",IFERROR(AK254/V254,0))</f>
        <v/>
      </c>
      <c r="AM254" s="15">
        <f>IF(COUNT(C254:P254)=0,"",IFERROR(AI254/I254,0))</f>
        <v/>
      </c>
      <c r="AN254" s="15">
        <f>IF(COUNT(C254:P254)=0,"",IFERROR(AH254/I254-AA254,0))</f>
        <v/>
      </c>
    </row>
    <row r="255">
      <c r="A255" s="12">
        <f>Config!$C$6+249</f>
        <v/>
      </c>
      <c r="B255" s="13">
        <f>INT((A255-Config!$C$6)/7)+1</f>
        <v/>
      </c>
      <c r="C255" s="10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5">
        <f>IF(COUNT(C255:P255)=0,"",IFERROR(C255/D255*1000,0))</f>
        <v/>
      </c>
      <c r="R255" s="16">
        <f>IF(COUNT(C255:P255)=0,"",IFERROR(D255/E255,0))</f>
        <v/>
      </c>
      <c r="S255" s="17">
        <f>IF(COUNT(C255:P255)=0,"",IFERROR(F255/D255,0))</f>
        <v/>
      </c>
      <c r="T255" s="15">
        <f>IF(COUNT(C255:P255)=0,"",IFERROR(C255/F255,0))</f>
        <v/>
      </c>
      <c r="U255" s="18">
        <f>IF(COUNT(C255:P255)=0,"",IFERROR(G255/F255,0))</f>
        <v/>
      </c>
      <c r="V255" s="15">
        <f>IF(COUNT(C255:P255)=0,"",IFERROR(C255/G255,0))</f>
        <v/>
      </c>
      <c r="W255" s="19">
        <f>IF(COUNT(C255:P255)=0,"",IFERROR(G255/D255*1000,0))</f>
        <v/>
      </c>
      <c r="X255" s="18">
        <f>IF(COUNT(C255:P255)=0,"",IFERROR(H255/G255,0))</f>
        <v/>
      </c>
      <c r="Y255" s="18">
        <f>IF(COUNT(C255:P255)=0,"",IFERROR(I255/H255,0))</f>
        <v/>
      </c>
      <c r="Z255" s="17">
        <f>IF(COUNT(C255:P255)=0,"",IFERROR(I255/G255,0))</f>
        <v/>
      </c>
      <c r="AA255" s="15">
        <f>IF(COUNT(C255:P255)=0,"",IFERROR(C255/I255,0))</f>
        <v/>
      </c>
      <c r="AB255" s="18">
        <f>IF(COUNT(C255:P255)=0,"",IFERROR(J255/I255,0))</f>
        <v/>
      </c>
      <c r="AC255" s="18">
        <f>IF(COUNT(C255:P255)=0,"",IFERROR(K255/I255,0))</f>
        <v/>
      </c>
      <c r="AD255" s="18">
        <f>IF(COUNT(C255:P255)=0,"",IFERROR(L255/I255,0))</f>
        <v/>
      </c>
      <c r="AE255" s="18">
        <f>IF(COUNT(C255:P255)=0,"",IFERROR(P255/I255,0))</f>
        <v/>
      </c>
      <c r="AF255" s="20">
        <f>IF(COUNT(C255:P255)=0,"",IFERROR(I255*Config!$C$7+J255*Config!$C$8+K255*Config!$C$9+L255*Config!$C$10+M255*Config!$C$11+N255*Config!$C$12+O255*Config!$C$13+P255*Config!$C$14,0))</f>
        <v/>
      </c>
      <c r="AG255" s="15">
        <f>IF(COUNT(C255:P255)=0,"",IFERROR(AF255/I255,0))</f>
        <v/>
      </c>
      <c r="AH255" s="20">
        <f>IF(COUNT(C255:P255)=0,"",IFERROR(AF255*(1-Config!$C$15-Config!$C$16-Config!$C$17),0))</f>
        <v/>
      </c>
      <c r="AI255" s="20">
        <f>IF(COUNT(C255:P255)=0,"",IFERROR(AH255-C255-Config!$C$18,0))</f>
        <v/>
      </c>
      <c r="AJ255" s="21">
        <f>IF(COUNT(C255:P255)=0,"",IFERROR(AH255/C255,0))</f>
        <v/>
      </c>
      <c r="AK255" s="15">
        <f>IF(COUNT(C255:P255)=0,"",IFERROR(AI255/G255,0))</f>
        <v/>
      </c>
      <c r="AL255" s="21">
        <f>IF(COUNT(C255:P255)=0,"",IFERROR(AK255/V255,0))</f>
        <v/>
      </c>
      <c r="AM255" s="15">
        <f>IF(COUNT(C255:P255)=0,"",IFERROR(AI255/I255,0))</f>
        <v/>
      </c>
      <c r="AN255" s="15">
        <f>IF(COUNT(C255:P255)=0,"",IFERROR(AH255/I255-AA255,0))</f>
        <v/>
      </c>
    </row>
    <row r="256">
      <c r="A256" s="12">
        <f>Config!$C$6+250</f>
        <v/>
      </c>
      <c r="B256" s="13">
        <f>INT((A256-Config!$C$6)/7)+1</f>
        <v/>
      </c>
      <c r="C256" s="10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5">
        <f>IF(COUNT(C256:P256)=0,"",IFERROR(C256/D256*1000,0))</f>
        <v/>
      </c>
      <c r="R256" s="16">
        <f>IF(COUNT(C256:P256)=0,"",IFERROR(D256/E256,0))</f>
        <v/>
      </c>
      <c r="S256" s="17">
        <f>IF(COUNT(C256:P256)=0,"",IFERROR(F256/D256,0))</f>
        <v/>
      </c>
      <c r="T256" s="15">
        <f>IF(COUNT(C256:P256)=0,"",IFERROR(C256/F256,0))</f>
        <v/>
      </c>
      <c r="U256" s="18">
        <f>IF(COUNT(C256:P256)=0,"",IFERROR(G256/F256,0))</f>
        <v/>
      </c>
      <c r="V256" s="15">
        <f>IF(COUNT(C256:P256)=0,"",IFERROR(C256/G256,0))</f>
        <v/>
      </c>
      <c r="W256" s="19">
        <f>IF(COUNT(C256:P256)=0,"",IFERROR(G256/D256*1000,0))</f>
        <v/>
      </c>
      <c r="X256" s="18">
        <f>IF(COUNT(C256:P256)=0,"",IFERROR(H256/G256,0))</f>
        <v/>
      </c>
      <c r="Y256" s="18">
        <f>IF(COUNT(C256:P256)=0,"",IFERROR(I256/H256,0))</f>
        <v/>
      </c>
      <c r="Z256" s="17">
        <f>IF(COUNT(C256:P256)=0,"",IFERROR(I256/G256,0))</f>
        <v/>
      </c>
      <c r="AA256" s="15">
        <f>IF(COUNT(C256:P256)=0,"",IFERROR(C256/I256,0))</f>
        <v/>
      </c>
      <c r="AB256" s="18">
        <f>IF(COUNT(C256:P256)=0,"",IFERROR(J256/I256,0))</f>
        <v/>
      </c>
      <c r="AC256" s="18">
        <f>IF(COUNT(C256:P256)=0,"",IFERROR(K256/I256,0))</f>
        <v/>
      </c>
      <c r="AD256" s="18">
        <f>IF(COUNT(C256:P256)=0,"",IFERROR(L256/I256,0))</f>
        <v/>
      </c>
      <c r="AE256" s="18">
        <f>IF(COUNT(C256:P256)=0,"",IFERROR(P256/I256,0))</f>
        <v/>
      </c>
      <c r="AF256" s="20">
        <f>IF(COUNT(C256:P256)=0,"",IFERROR(I256*Config!$C$7+J256*Config!$C$8+K256*Config!$C$9+L256*Config!$C$10+M256*Config!$C$11+N256*Config!$C$12+O256*Config!$C$13+P256*Config!$C$14,0))</f>
        <v/>
      </c>
      <c r="AG256" s="15">
        <f>IF(COUNT(C256:P256)=0,"",IFERROR(AF256/I256,0))</f>
        <v/>
      </c>
      <c r="AH256" s="20">
        <f>IF(COUNT(C256:P256)=0,"",IFERROR(AF256*(1-Config!$C$15-Config!$C$16-Config!$C$17),0))</f>
        <v/>
      </c>
      <c r="AI256" s="20">
        <f>IF(COUNT(C256:P256)=0,"",IFERROR(AH256-C256-Config!$C$18,0))</f>
        <v/>
      </c>
      <c r="AJ256" s="21">
        <f>IF(COUNT(C256:P256)=0,"",IFERROR(AH256/C256,0))</f>
        <v/>
      </c>
      <c r="AK256" s="15">
        <f>IF(COUNT(C256:P256)=0,"",IFERROR(AI256/G256,0))</f>
        <v/>
      </c>
      <c r="AL256" s="21">
        <f>IF(COUNT(C256:P256)=0,"",IFERROR(AK256/V256,0))</f>
        <v/>
      </c>
      <c r="AM256" s="15">
        <f>IF(COUNT(C256:P256)=0,"",IFERROR(AI256/I256,0))</f>
        <v/>
      </c>
      <c r="AN256" s="15">
        <f>IF(COUNT(C256:P256)=0,"",IFERROR(AH256/I256-AA256,0))</f>
        <v/>
      </c>
    </row>
    <row r="257">
      <c r="A257" s="12">
        <f>Config!$C$6+251</f>
        <v/>
      </c>
      <c r="B257" s="13">
        <f>INT((A257-Config!$C$6)/7)+1</f>
        <v/>
      </c>
      <c r="C257" s="10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5">
        <f>IF(COUNT(C257:P257)=0,"",IFERROR(C257/D257*1000,0))</f>
        <v/>
      </c>
      <c r="R257" s="16">
        <f>IF(COUNT(C257:P257)=0,"",IFERROR(D257/E257,0))</f>
        <v/>
      </c>
      <c r="S257" s="17">
        <f>IF(COUNT(C257:P257)=0,"",IFERROR(F257/D257,0))</f>
        <v/>
      </c>
      <c r="T257" s="15">
        <f>IF(COUNT(C257:P257)=0,"",IFERROR(C257/F257,0))</f>
        <v/>
      </c>
      <c r="U257" s="18">
        <f>IF(COUNT(C257:P257)=0,"",IFERROR(G257/F257,0))</f>
        <v/>
      </c>
      <c r="V257" s="15">
        <f>IF(COUNT(C257:P257)=0,"",IFERROR(C257/G257,0))</f>
        <v/>
      </c>
      <c r="W257" s="19">
        <f>IF(COUNT(C257:P257)=0,"",IFERROR(G257/D257*1000,0))</f>
        <v/>
      </c>
      <c r="X257" s="18">
        <f>IF(COUNT(C257:P257)=0,"",IFERROR(H257/G257,0))</f>
        <v/>
      </c>
      <c r="Y257" s="18">
        <f>IF(COUNT(C257:P257)=0,"",IFERROR(I257/H257,0))</f>
        <v/>
      </c>
      <c r="Z257" s="17">
        <f>IF(COUNT(C257:P257)=0,"",IFERROR(I257/G257,0))</f>
        <v/>
      </c>
      <c r="AA257" s="15">
        <f>IF(COUNT(C257:P257)=0,"",IFERROR(C257/I257,0))</f>
        <v/>
      </c>
      <c r="AB257" s="18">
        <f>IF(COUNT(C257:P257)=0,"",IFERROR(J257/I257,0))</f>
        <v/>
      </c>
      <c r="AC257" s="18">
        <f>IF(COUNT(C257:P257)=0,"",IFERROR(K257/I257,0))</f>
        <v/>
      </c>
      <c r="AD257" s="18">
        <f>IF(COUNT(C257:P257)=0,"",IFERROR(L257/I257,0))</f>
        <v/>
      </c>
      <c r="AE257" s="18">
        <f>IF(COUNT(C257:P257)=0,"",IFERROR(P257/I257,0))</f>
        <v/>
      </c>
      <c r="AF257" s="20">
        <f>IF(COUNT(C257:P257)=0,"",IFERROR(I257*Config!$C$7+J257*Config!$C$8+K257*Config!$C$9+L257*Config!$C$10+M257*Config!$C$11+N257*Config!$C$12+O257*Config!$C$13+P257*Config!$C$14,0))</f>
        <v/>
      </c>
      <c r="AG257" s="15">
        <f>IF(COUNT(C257:P257)=0,"",IFERROR(AF257/I257,0))</f>
        <v/>
      </c>
      <c r="AH257" s="20">
        <f>IF(COUNT(C257:P257)=0,"",IFERROR(AF257*(1-Config!$C$15-Config!$C$16-Config!$C$17),0))</f>
        <v/>
      </c>
      <c r="AI257" s="20">
        <f>IF(COUNT(C257:P257)=0,"",IFERROR(AH257-C257-Config!$C$18,0))</f>
        <v/>
      </c>
      <c r="AJ257" s="21">
        <f>IF(COUNT(C257:P257)=0,"",IFERROR(AH257/C257,0))</f>
        <v/>
      </c>
      <c r="AK257" s="15">
        <f>IF(COUNT(C257:P257)=0,"",IFERROR(AI257/G257,0))</f>
        <v/>
      </c>
      <c r="AL257" s="21">
        <f>IF(COUNT(C257:P257)=0,"",IFERROR(AK257/V257,0))</f>
        <v/>
      </c>
      <c r="AM257" s="15">
        <f>IF(COUNT(C257:P257)=0,"",IFERROR(AI257/I257,0))</f>
        <v/>
      </c>
      <c r="AN257" s="15">
        <f>IF(COUNT(C257:P257)=0,"",IFERROR(AH257/I257-AA257,0))</f>
        <v/>
      </c>
    </row>
    <row r="258">
      <c r="A258" s="12">
        <f>Config!$C$6+252</f>
        <v/>
      </c>
      <c r="B258" s="13">
        <f>INT((A258-Config!$C$6)/7)+1</f>
        <v/>
      </c>
      <c r="C258" s="10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5">
        <f>IF(COUNT(C258:P258)=0,"",IFERROR(C258/D258*1000,0))</f>
        <v/>
      </c>
      <c r="R258" s="16">
        <f>IF(COUNT(C258:P258)=0,"",IFERROR(D258/E258,0))</f>
        <v/>
      </c>
      <c r="S258" s="17">
        <f>IF(COUNT(C258:P258)=0,"",IFERROR(F258/D258,0))</f>
        <v/>
      </c>
      <c r="T258" s="15">
        <f>IF(COUNT(C258:P258)=0,"",IFERROR(C258/F258,0))</f>
        <v/>
      </c>
      <c r="U258" s="18">
        <f>IF(COUNT(C258:P258)=0,"",IFERROR(G258/F258,0))</f>
        <v/>
      </c>
      <c r="V258" s="15">
        <f>IF(COUNT(C258:P258)=0,"",IFERROR(C258/G258,0))</f>
        <v/>
      </c>
      <c r="W258" s="19">
        <f>IF(COUNT(C258:P258)=0,"",IFERROR(G258/D258*1000,0))</f>
        <v/>
      </c>
      <c r="X258" s="18">
        <f>IF(COUNT(C258:P258)=0,"",IFERROR(H258/G258,0))</f>
        <v/>
      </c>
      <c r="Y258" s="18">
        <f>IF(COUNT(C258:P258)=0,"",IFERROR(I258/H258,0))</f>
        <v/>
      </c>
      <c r="Z258" s="17">
        <f>IF(COUNT(C258:P258)=0,"",IFERROR(I258/G258,0))</f>
        <v/>
      </c>
      <c r="AA258" s="15">
        <f>IF(COUNT(C258:P258)=0,"",IFERROR(C258/I258,0))</f>
        <v/>
      </c>
      <c r="AB258" s="18">
        <f>IF(COUNT(C258:P258)=0,"",IFERROR(J258/I258,0))</f>
        <v/>
      </c>
      <c r="AC258" s="18">
        <f>IF(COUNT(C258:P258)=0,"",IFERROR(K258/I258,0))</f>
        <v/>
      </c>
      <c r="AD258" s="18">
        <f>IF(COUNT(C258:P258)=0,"",IFERROR(L258/I258,0))</f>
        <v/>
      </c>
      <c r="AE258" s="18">
        <f>IF(COUNT(C258:P258)=0,"",IFERROR(P258/I258,0))</f>
        <v/>
      </c>
      <c r="AF258" s="20">
        <f>IF(COUNT(C258:P258)=0,"",IFERROR(I258*Config!$C$7+J258*Config!$C$8+K258*Config!$C$9+L258*Config!$C$10+M258*Config!$C$11+N258*Config!$C$12+O258*Config!$C$13+P258*Config!$C$14,0))</f>
        <v/>
      </c>
      <c r="AG258" s="15">
        <f>IF(COUNT(C258:P258)=0,"",IFERROR(AF258/I258,0))</f>
        <v/>
      </c>
      <c r="AH258" s="20">
        <f>IF(COUNT(C258:P258)=0,"",IFERROR(AF258*(1-Config!$C$15-Config!$C$16-Config!$C$17),0))</f>
        <v/>
      </c>
      <c r="AI258" s="20">
        <f>IF(COUNT(C258:P258)=0,"",IFERROR(AH258-C258-Config!$C$18,0))</f>
        <v/>
      </c>
      <c r="AJ258" s="21">
        <f>IF(COUNT(C258:P258)=0,"",IFERROR(AH258/C258,0))</f>
        <v/>
      </c>
      <c r="AK258" s="15">
        <f>IF(COUNT(C258:P258)=0,"",IFERROR(AI258/G258,0))</f>
        <v/>
      </c>
      <c r="AL258" s="21">
        <f>IF(COUNT(C258:P258)=0,"",IFERROR(AK258/V258,0))</f>
        <v/>
      </c>
      <c r="AM258" s="15">
        <f>IF(COUNT(C258:P258)=0,"",IFERROR(AI258/I258,0))</f>
        <v/>
      </c>
      <c r="AN258" s="15">
        <f>IF(COUNT(C258:P258)=0,"",IFERROR(AH258/I258-AA258,0))</f>
        <v/>
      </c>
    </row>
    <row r="259">
      <c r="A259" s="12">
        <f>Config!$C$6+253</f>
        <v/>
      </c>
      <c r="B259" s="13">
        <f>INT((A259-Config!$C$6)/7)+1</f>
        <v/>
      </c>
      <c r="C259" s="10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5">
        <f>IF(COUNT(C259:P259)=0,"",IFERROR(C259/D259*1000,0))</f>
        <v/>
      </c>
      <c r="R259" s="16">
        <f>IF(COUNT(C259:P259)=0,"",IFERROR(D259/E259,0))</f>
        <v/>
      </c>
      <c r="S259" s="17">
        <f>IF(COUNT(C259:P259)=0,"",IFERROR(F259/D259,0))</f>
        <v/>
      </c>
      <c r="T259" s="15">
        <f>IF(COUNT(C259:P259)=0,"",IFERROR(C259/F259,0))</f>
        <v/>
      </c>
      <c r="U259" s="18">
        <f>IF(COUNT(C259:P259)=0,"",IFERROR(G259/F259,0))</f>
        <v/>
      </c>
      <c r="V259" s="15">
        <f>IF(COUNT(C259:P259)=0,"",IFERROR(C259/G259,0))</f>
        <v/>
      </c>
      <c r="W259" s="19">
        <f>IF(COUNT(C259:P259)=0,"",IFERROR(G259/D259*1000,0))</f>
        <v/>
      </c>
      <c r="X259" s="18">
        <f>IF(COUNT(C259:P259)=0,"",IFERROR(H259/G259,0))</f>
        <v/>
      </c>
      <c r="Y259" s="18">
        <f>IF(COUNT(C259:P259)=0,"",IFERROR(I259/H259,0))</f>
        <v/>
      </c>
      <c r="Z259" s="17">
        <f>IF(COUNT(C259:P259)=0,"",IFERROR(I259/G259,0))</f>
        <v/>
      </c>
      <c r="AA259" s="15">
        <f>IF(COUNT(C259:P259)=0,"",IFERROR(C259/I259,0))</f>
        <v/>
      </c>
      <c r="AB259" s="18">
        <f>IF(COUNT(C259:P259)=0,"",IFERROR(J259/I259,0))</f>
        <v/>
      </c>
      <c r="AC259" s="18">
        <f>IF(COUNT(C259:P259)=0,"",IFERROR(K259/I259,0))</f>
        <v/>
      </c>
      <c r="AD259" s="18">
        <f>IF(COUNT(C259:P259)=0,"",IFERROR(L259/I259,0))</f>
        <v/>
      </c>
      <c r="AE259" s="18">
        <f>IF(COUNT(C259:P259)=0,"",IFERROR(P259/I259,0))</f>
        <v/>
      </c>
      <c r="AF259" s="20">
        <f>IF(COUNT(C259:P259)=0,"",IFERROR(I259*Config!$C$7+J259*Config!$C$8+K259*Config!$C$9+L259*Config!$C$10+M259*Config!$C$11+N259*Config!$C$12+O259*Config!$C$13+P259*Config!$C$14,0))</f>
        <v/>
      </c>
      <c r="AG259" s="15">
        <f>IF(COUNT(C259:P259)=0,"",IFERROR(AF259/I259,0))</f>
        <v/>
      </c>
      <c r="AH259" s="20">
        <f>IF(COUNT(C259:P259)=0,"",IFERROR(AF259*(1-Config!$C$15-Config!$C$16-Config!$C$17),0))</f>
        <v/>
      </c>
      <c r="AI259" s="20">
        <f>IF(COUNT(C259:P259)=0,"",IFERROR(AH259-C259-Config!$C$18,0))</f>
        <v/>
      </c>
      <c r="AJ259" s="21">
        <f>IF(COUNT(C259:P259)=0,"",IFERROR(AH259/C259,0))</f>
        <v/>
      </c>
      <c r="AK259" s="15">
        <f>IF(COUNT(C259:P259)=0,"",IFERROR(AI259/G259,0))</f>
        <v/>
      </c>
      <c r="AL259" s="21">
        <f>IF(COUNT(C259:P259)=0,"",IFERROR(AK259/V259,0))</f>
        <v/>
      </c>
      <c r="AM259" s="15">
        <f>IF(COUNT(C259:P259)=0,"",IFERROR(AI259/I259,0))</f>
        <v/>
      </c>
      <c r="AN259" s="15">
        <f>IF(COUNT(C259:P259)=0,"",IFERROR(AH259/I259-AA259,0))</f>
        <v/>
      </c>
    </row>
    <row r="260">
      <c r="A260" s="12">
        <f>Config!$C$6+254</f>
        <v/>
      </c>
      <c r="B260" s="13">
        <f>INT((A260-Config!$C$6)/7)+1</f>
        <v/>
      </c>
      <c r="C260" s="10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5">
        <f>IF(COUNT(C260:P260)=0,"",IFERROR(C260/D260*1000,0))</f>
        <v/>
      </c>
      <c r="R260" s="16">
        <f>IF(COUNT(C260:P260)=0,"",IFERROR(D260/E260,0))</f>
        <v/>
      </c>
      <c r="S260" s="17">
        <f>IF(COUNT(C260:P260)=0,"",IFERROR(F260/D260,0))</f>
        <v/>
      </c>
      <c r="T260" s="15">
        <f>IF(COUNT(C260:P260)=0,"",IFERROR(C260/F260,0))</f>
        <v/>
      </c>
      <c r="U260" s="18">
        <f>IF(COUNT(C260:P260)=0,"",IFERROR(G260/F260,0))</f>
        <v/>
      </c>
      <c r="V260" s="15">
        <f>IF(COUNT(C260:P260)=0,"",IFERROR(C260/G260,0))</f>
        <v/>
      </c>
      <c r="W260" s="19">
        <f>IF(COUNT(C260:P260)=0,"",IFERROR(G260/D260*1000,0))</f>
        <v/>
      </c>
      <c r="X260" s="18">
        <f>IF(COUNT(C260:P260)=0,"",IFERROR(H260/G260,0))</f>
        <v/>
      </c>
      <c r="Y260" s="18">
        <f>IF(COUNT(C260:P260)=0,"",IFERROR(I260/H260,0))</f>
        <v/>
      </c>
      <c r="Z260" s="17">
        <f>IF(COUNT(C260:P260)=0,"",IFERROR(I260/G260,0))</f>
        <v/>
      </c>
      <c r="AA260" s="15">
        <f>IF(COUNT(C260:P260)=0,"",IFERROR(C260/I260,0))</f>
        <v/>
      </c>
      <c r="AB260" s="18">
        <f>IF(COUNT(C260:P260)=0,"",IFERROR(J260/I260,0))</f>
        <v/>
      </c>
      <c r="AC260" s="18">
        <f>IF(COUNT(C260:P260)=0,"",IFERROR(K260/I260,0))</f>
        <v/>
      </c>
      <c r="AD260" s="18">
        <f>IF(COUNT(C260:P260)=0,"",IFERROR(L260/I260,0))</f>
        <v/>
      </c>
      <c r="AE260" s="18">
        <f>IF(COUNT(C260:P260)=0,"",IFERROR(P260/I260,0))</f>
        <v/>
      </c>
      <c r="AF260" s="20">
        <f>IF(COUNT(C260:P260)=0,"",IFERROR(I260*Config!$C$7+J260*Config!$C$8+K260*Config!$C$9+L260*Config!$C$10+M260*Config!$C$11+N260*Config!$C$12+O260*Config!$C$13+P260*Config!$C$14,0))</f>
        <v/>
      </c>
      <c r="AG260" s="15">
        <f>IF(COUNT(C260:P260)=0,"",IFERROR(AF260/I260,0))</f>
        <v/>
      </c>
      <c r="AH260" s="20">
        <f>IF(COUNT(C260:P260)=0,"",IFERROR(AF260*(1-Config!$C$15-Config!$C$16-Config!$C$17),0))</f>
        <v/>
      </c>
      <c r="AI260" s="20">
        <f>IF(COUNT(C260:P260)=0,"",IFERROR(AH260-C260-Config!$C$18,0))</f>
        <v/>
      </c>
      <c r="AJ260" s="21">
        <f>IF(COUNT(C260:P260)=0,"",IFERROR(AH260/C260,0))</f>
        <v/>
      </c>
      <c r="AK260" s="15">
        <f>IF(COUNT(C260:P260)=0,"",IFERROR(AI260/G260,0))</f>
        <v/>
      </c>
      <c r="AL260" s="21">
        <f>IF(COUNT(C260:P260)=0,"",IFERROR(AK260/V260,0))</f>
        <v/>
      </c>
      <c r="AM260" s="15">
        <f>IF(COUNT(C260:P260)=0,"",IFERROR(AI260/I260,0))</f>
        <v/>
      </c>
      <c r="AN260" s="15">
        <f>IF(COUNT(C260:P260)=0,"",IFERROR(AH260/I260-AA260,0))</f>
        <v/>
      </c>
    </row>
    <row r="261">
      <c r="A261" s="12">
        <f>Config!$C$6+255</f>
        <v/>
      </c>
      <c r="B261" s="13">
        <f>INT((A261-Config!$C$6)/7)+1</f>
        <v/>
      </c>
      <c r="C261" s="10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5">
        <f>IF(COUNT(C261:P261)=0,"",IFERROR(C261/D261*1000,0))</f>
        <v/>
      </c>
      <c r="R261" s="16">
        <f>IF(COUNT(C261:P261)=0,"",IFERROR(D261/E261,0))</f>
        <v/>
      </c>
      <c r="S261" s="17">
        <f>IF(COUNT(C261:P261)=0,"",IFERROR(F261/D261,0))</f>
        <v/>
      </c>
      <c r="T261" s="15">
        <f>IF(COUNT(C261:P261)=0,"",IFERROR(C261/F261,0))</f>
        <v/>
      </c>
      <c r="U261" s="18">
        <f>IF(COUNT(C261:P261)=0,"",IFERROR(G261/F261,0))</f>
        <v/>
      </c>
      <c r="V261" s="15">
        <f>IF(COUNT(C261:P261)=0,"",IFERROR(C261/G261,0))</f>
        <v/>
      </c>
      <c r="W261" s="19">
        <f>IF(COUNT(C261:P261)=0,"",IFERROR(G261/D261*1000,0))</f>
        <v/>
      </c>
      <c r="X261" s="18">
        <f>IF(COUNT(C261:P261)=0,"",IFERROR(H261/G261,0))</f>
        <v/>
      </c>
      <c r="Y261" s="18">
        <f>IF(COUNT(C261:P261)=0,"",IFERROR(I261/H261,0))</f>
        <v/>
      </c>
      <c r="Z261" s="17">
        <f>IF(COUNT(C261:P261)=0,"",IFERROR(I261/G261,0))</f>
        <v/>
      </c>
      <c r="AA261" s="15">
        <f>IF(COUNT(C261:P261)=0,"",IFERROR(C261/I261,0))</f>
        <v/>
      </c>
      <c r="AB261" s="18">
        <f>IF(COUNT(C261:P261)=0,"",IFERROR(J261/I261,0))</f>
        <v/>
      </c>
      <c r="AC261" s="18">
        <f>IF(COUNT(C261:P261)=0,"",IFERROR(K261/I261,0))</f>
        <v/>
      </c>
      <c r="AD261" s="18">
        <f>IF(COUNT(C261:P261)=0,"",IFERROR(L261/I261,0))</f>
        <v/>
      </c>
      <c r="AE261" s="18">
        <f>IF(COUNT(C261:P261)=0,"",IFERROR(P261/I261,0))</f>
        <v/>
      </c>
      <c r="AF261" s="20">
        <f>IF(COUNT(C261:P261)=0,"",IFERROR(I261*Config!$C$7+J261*Config!$C$8+K261*Config!$C$9+L261*Config!$C$10+M261*Config!$C$11+N261*Config!$C$12+O261*Config!$C$13+P261*Config!$C$14,0))</f>
        <v/>
      </c>
      <c r="AG261" s="15">
        <f>IF(COUNT(C261:P261)=0,"",IFERROR(AF261/I261,0))</f>
        <v/>
      </c>
      <c r="AH261" s="20">
        <f>IF(COUNT(C261:P261)=0,"",IFERROR(AF261*(1-Config!$C$15-Config!$C$16-Config!$C$17),0))</f>
        <v/>
      </c>
      <c r="AI261" s="20">
        <f>IF(COUNT(C261:P261)=0,"",IFERROR(AH261-C261-Config!$C$18,0))</f>
        <v/>
      </c>
      <c r="AJ261" s="21">
        <f>IF(COUNT(C261:P261)=0,"",IFERROR(AH261/C261,0))</f>
        <v/>
      </c>
      <c r="AK261" s="15">
        <f>IF(COUNT(C261:P261)=0,"",IFERROR(AI261/G261,0))</f>
        <v/>
      </c>
      <c r="AL261" s="21">
        <f>IF(COUNT(C261:P261)=0,"",IFERROR(AK261/V261,0))</f>
        <v/>
      </c>
      <c r="AM261" s="15">
        <f>IF(COUNT(C261:P261)=0,"",IFERROR(AI261/I261,0))</f>
        <v/>
      </c>
      <c r="AN261" s="15">
        <f>IF(COUNT(C261:P261)=0,"",IFERROR(AH261/I261-AA261,0))</f>
        <v/>
      </c>
    </row>
    <row r="262">
      <c r="A262" s="12">
        <f>Config!$C$6+256</f>
        <v/>
      </c>
      <c r="B262" s="13">
        <f>INT((A262-Config!$C$6)/7)+1</f>
        <v/>
      </c>
      <c r="C262" s="10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5">
        <f>IF(COUNT(C262:P262)=0,"",IFERROR(C262/D262*1000,0))</f>
        <v/>
      </c>
      <c r="R262" s="16">
        <f>IF(COUNT(C262:P262)=0,"",IFERROR(D262/E262,0))</f>
        <v/>
      </c>
      <c r="S262" s="17">
        <f>IF(COUNT(C262:P262)=0,"",IFERROR(F262/D262,0))</f>
        <v/>
      </c>
      <c r="T262" s="15">
        <f>IF(COUNT(C262:P262)=0,"",IFERROR(C262/F262,0))</f>
        <v/>
      </c>
      <c r="U262" s="18">
        <f>IF(COUNT(C262:P262)=0,"",IFERROR(G262/F262,0))</f>
        <v/>
      </c>
      <c r="V262" s="15">
        <f>IF(COUNT(C262:P262)=0,"",IFERROR(C262/G262,0))</f>
        <v/>
      </c>
      <c r="W262" s="19">
        <f>IF(COUNT(C262:P262)=0,"",IFERROR(G262/D262*1000,0))</f>
        <v/>
      </c>
      <c r="X262" s="18">
        <f>IF(COUNT(C262:P262)=0,"",IFERROR(H262/G262,0))</f>
        <v/>
      </c>
      <c r="Y262" s="18">
        <f>IF(COUNT(C262:P262)=0,"",IFERROR(I262/H262,0))</f>
        <v/>
      </c>
      <c r="Z262" s="17">
        <f>IF(COUNT(C262:P262)=0,"",IFERROR(I262/G262,0))</f>
        <v/>
      </c>
      <c r="AA262" s="15">
        <f>IF(COUNT(C262:P262)=0,"",IFERROR(C262/I262,0))</f>
        <v/>
      </c>
      <c r="AB262" s="18">
        <f>IF(COUNT(C262:P262)=0,"",IFERROR(J262/I262,0))</f>
        <v/>
      </c>
      <c r="AC262" s="18">
        <f>IF(COUNT(C262:P262)=0,"",IFERROR(K262/I262,0))</f>
        <v/>
      </c>
      <c r="AD262" s="18">
        <f>IF(COUNT(C262:P262)=0,"",IFERROR(L262/I262,0))</f>
        <v/>
      </c>
      <c r="AE262" s="18">
        <f>IF(COUNT(C262:P262)=0,"",IFERROR(P262/I262,0))</f>
        <v/>
      </c>
      <c r="AF262" s="20">
        <f>IF(COUNT(C262:P262)=0,"",IFERROR(I262*Config!$C$7+J262*Config!$C$8+K262*Config!$C$9+L262*Config!$C$10+M262*Config!$C$11+N262*Config!$C$12+O262*Config!$C$13+P262*Config!$C$14,0))</f>
        <v/>
      </c>
      <c r="AG262" s="15">
        <f>IF(COUNT(C262:P262)=0,"",IFERROR(AF262/I262,0))</f>
        <v/>
      </c>
      <c r="AH262" s="20">
        <f>IF(COUNT(C262:P262)=0,"",IFERROR(AF262*(1-Config!$C$15-Config!$C$16-Config!$C$17),0))</f>
        <v/>
      </c>
      <c r="AI262" s="20">
        <f>IF(COUNT(C262:P262)=0,"",IFERROR(AH262-C262-Config!$C$18,0))</f>
        <v/>
      </c>
      <c r="AJ262" s="21">
        <f>IF(COUNT(C262:P262)=0,"",IFERROR(AH262/C262,0))</f>
        <v/>
      </c>
      <c r="AK262" s="15">
        <f>IF(COUNT(C262:P262)=0,"",IFERROR(AI262/G262,0))</f>
        <v/>
      </c>
      <c r="AL262" s="21">
        <f>IF(COUNT(C262:P262)=0,"",IFERROR(AK262/V262,0))</f>
        <v/>
      </c>
      <c r="AM262" s="15">
        <f>IF(COUNT(C262:P262)=0,"",IFERROR(AI262/I262,0))</f>
        <v/>
      </c>
      <c r="AN262" s="15">
        <f>IF(COUNT(C262:P262)=0,"",IFERROR(AH262/I262-AA262,0))</f>
        <v/>
      </c>
    </row>
    <row r="263">
      <c r="A263" s="12">
        <f>Config!$C$6+257</f>
        <v/>
      </c>
      <c r="B263" s="13">
        <f>INT((A263-Config!$C$6)/7)+1</f>
        <v/>
      </c>
      <c r="C263" s="10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5">
        <f>IF(COUNT(C263:P263)=0,"",IFERROR(C263/D263*1000,0))</f>
        <v/>
      </c>
      <c r="R263" s="16">
        <f>IF(COUNT(C263:P263)=0,"",IFERROR(D263/E263,0))</f>
        <v/>
      </c>
      <c r="S263" s="17">
        <f>IF(COUNT(C263:P263)=0,"",IFERROR(F263/D263,0))</f>
        <v/>
      </c>
      <c r="T263" s="15">
        <f>IF(COUNT(C263:P263)=0,"",IFERROR(C263/F263,0))</f>
        <v/>
      </c>
      <c r="U263" s="18">
        <f>IF(COUNT(C263:P263)=0,"",IFERROR(G263/F263,0))</f>
        <v/>
      </c>
      <c r="V263" s="15">
        <f>IF(COUNT(C263:P263)=0,"",IFERROR(C263/G263,0))</f>
        <v/>
      </c>
      <c r="W263" s="19">
        <f>IF(COUNT(C263:P263)=0,"",IFERROR(G263/D263*1000,0))</f>
        <v/>
      </c>
      <c r="X263" s="18">
        <f>IF(COUNT(C263:P263)=0,"",IFERROR(H263/G263,0))</f>
        <v/>
      </c>
      <c r="Y263" s="18">
        <f>IF(COUNT(C263:P263)=0,"",IFERROR(I263/H263,0))</f>
        <v/>
      </c>
      <c r="Z263" s="17">
        <f>IF(COUNT(C263:P263)=0,"",IFERROR(I263/G263,0))</f>
        <v/>
      </c>
      <c r="AA263" s="15">
        <f>IF(COUNT(C263:P263)=0,"",IFERROR(C263/I263,0))</f>
        <v/>
      </c>
      <c r="AB263" s="18">
        <f>IF(COUNT(C263:P263)=0,"",IFERROR(J263/I263,0))</f>
        <v/>
      </c>
      <c r="AC263" s="18">
        <f>IF(COUNT(C263:P263)=0,"",IFERROR(K263/I263,0))</f>
        <v/>
      </c>
      <c r="AD263" s="18">
        <f>IF(COUNT(C263:P263)=0,"",IFERROR(L263/I263,0))</f>
        <v/>
      </c>
      <c r="AE263" s="18">
        <f>IF(COUNT(C263:P263)=0,"",IFERROR(P263/I263,0))</f>
        <v/>
      </c>
      <c r="AF263" s="20">
        <f>IF(COUNT(C263:P263)=0,"",IFERROR(I263*Config!$C$7+J263*Config!$C$8+K263*Config!$C$9+L263*Config!$C$10+M263*Config!$C$11+N263*Config!$C$12+O263*Config!$C$13+P263*Config!$C$14,0))</f>
        <v/>
      </c>
      <c r="AG263" s="15">
        <f>IF(COUNT(C263:P263)=0,"",IFERROR(AF263/I263,0))</f>
        <v/>
      </c>
      <c r="AH263" s="20">
        <f>IF(COUNT(C263:P263)=0,"",IFERROR(AF263*(1-Config!$C$15-Config!$C$16-Config!$C$17),0))</f>
        <v/>
      </c>
      <c r="AI263" s="20">
        <f>IF(COUNT(C263:P263)=0,"",IFERROR(AH263-C263-Config!$C$18,0))</f>
        <v/>
      </c>
      <c r="AJ263" s="21">
        <f>IF(COUNT(C263:P263)=0,"",IFERROR(AH263/C263,0))</f>
        <v/>
      </c>
      <c r="AK263" s="15">
        <f>IF(COUNT(C263:P263)=0,"",IFERROR(AI263/G263,0))</f>
        <v/>
      </c>
      <c r="AL263" s="21">
        <f>IF(COUNT(C263:P263)=0,"",IFERROR(AK263/V263,0))</f>
        <v/>
      </c>
      <c r="AM263" s="15">
        <f>IF(COUNT(C263:P263)=0,"",IFERROR(AI263/I263,0))</f>
        <v/>
      </c>
      <c r="AN263" s="15">
        <f>IF(COUNT(C263:P263)=0,"",IFERROR(AH263/I263-AA263,0))</f>
        <v/>
      </c>
    </row>
    <row r="264">
      <c r="A264" s="12">
        <f>Config!$C$6+258</f>
        <v/>
      </c>
      <c r="B264" s="13">
        <f>INT((A264-Config!$C$6)/7)+1</f>
        <v/>
      </c>
      <c r="C264" s="10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5">
        <f>IF(COUNT(C264:P264)=0,"",IFERROR(C264/D264*1000,0))</f>
        <v/>
      </c>
      <c r="R264" s="16">
        <f>IF(COUNT(C264:P264)=0,"",IFERROR(D264/E264,0))</f>
        <v/>
      </c>
      <c r="S264" s="17">
        <f>IF(COUNT(C264:P264)=0,"",IFERROR(F264/D264,0))</f>
        <v/>
      </c>
      <c r="T264" s="15">
        <f>IF(COUNT(C264:P264)=0,"",IFERROR(C264/F264,0))</f>
        <v/>
      </c>
      <c r="U264" s="18">
        <f>IF(COUNT(C264:P264)=0,"",IFERROR(G264/F264,0))</f>
        <v/>
      </c>
      <c r="V264" s="15">
        <f>IF(COUNT(C264:P264)=0,"",IFERROR(C264/G264,0))</f>
        <v/>
      </c>
      <c r="W264" s="19">
        <f>IF(COUNT(C264:P264)=0,"",IFERROR(G264/D264*1000,0))</f>
        <v/>
      </c>
      <c r="X264" s="18">
        <f>IF(COUNT(C264:P264)=0,"",IFERROR(H264/G264,0))</f>
        <v/>
      </c>
      <c r="Y264" s="18">
        <f>IF(COUNT(C264:P264)=0,"",IFERROR(I264/H264,0))</f>
        <v/>
      </c>
      <c r="Z264" s="17">
        <f>IF(COUNT(C264:P264)=0,"",IFERROR(I264/G264,0))</f>
        <v/>
      </c>
      <c r="AA264" s="15">
        <f>IF(COUNT(C264:P264)=0,"",IFERROR(C264/I264,0))</f>
        <v/>
      </c>
      <c r="AB264" s="18">
        <f>IF(COUNT(C264:P264)=0,"",IFERROR(J264/I264,0))</f>
        <v/>
      </c>
      <c r="AC264" s="18">
        <f>IF(COUNT(C264:P264)=0,"",IFERROR(K264/I264,0))</f>
        <v/>
      </c>
      <c r="AD264" s="18">
        <f>IF(COUNT(C264:P264)=0,"",IFERROR(L264/I264,0))</f>
        <v/>
      </c>
      <c r="AE264" s="18">
        <f>IF(COUNT(C264:P264)=0,"",IFERROR(P264/I264,0))</f>
        <v/>
      </c>
      <c r="AF264" s="20">
        <f>IF(COUNT(C264:P264)=0,"",IFERROR(I264*Config!$C$7+J264*Config!$C$8+K264*Config!$C$9+L264*Config!$C$10+M264*Config!$C$11+N264*Config!$C$12+O264*Config!$C$13+P264*Config!$C$14,0))</f>
        <v/>
      </c>
      <c r="AG264" s="15">
        <f>IF(COUNT(C264:P264)=0,"",IFERROR(AF264/I264,0))</f>
        <v/>
      </c>
      <c r="AH264" s="20">
        <f>IF(COUNT(C264:P264)=0,"",IFERROR(AF264*(1-Config!$C$15-Config!$C$16-Config!$C$17),0))</f>
        <v/>
      </c>
      <c r="AI264" s="20">
        <f>IF(COUNT(C264:P264)=0,"",IFERROR(AH264-C264-Config!$C$18,0))</f>
        <v/>
      </c>
      <c r="AJ264" s="21">
        <f>IF(COUNT(C264:P264)=0,"",IFERROR(AH264/C264,0))</f>
        <v/>
      </c>
      <c r="AK264" s="15">
        <f>IF(COUNT(C264:P264)=0,"",IFERROR(AI264/G264,0))</f>
        <v/>
      </c>
      <c r="AL264" s="21">
        <f>IF(COUNT(C264:P264)=0,"",IFERROR(AK264/V264,0))</f>
        <v/>
      </c>
      <c r="AM264" s="15">
        <f>IF(COUNT(C264:P264)=0,"",IFERROR(AI264/I264,0))</f>
        <v/>
      </c>
      <c r="AN264" s="15">
        <f>IF(COUNT(C264:P264)=0,"",IFERROR(AH264/I264-AA264,0))</f>
        <v/>
      </c>
    </row>
    <row r="265">
      <c r="A265" s="12">
        <f>Config!$C$6+259</f>
        <v/>
      </c>
      <c r="B265" s="13">
        <f>INT((A265-Config!$C$6)/7)+1</f>
        <v/>
      </c>
      <c r="C265" s="10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5">
        <f>IF(COUNT(C265:P265)=0,"",IFERROR(C265/D265*1000,0))</f>
        <v/>
      </c>
      <c r="R265" s="16">
        <f>IF(COUNT(C265:P265)=0,"",IFERROR(D265/E265,0))</f>
        <v/>
      </c>
      <c r="S265" s="17">
        <f>IF(COUNT(C265:P265)=0,"",IFERROR(F265/D265,0))</f>
        <v/>
      </c>
      <c r="T265" s="15">
        <f>IF(COUNT(C265:P265)=0,"",IFERROR(C265/F265,0))</f>
        <v/>
      </c>
      <c r="U265" s="18">
        <f>IF(COUNT(C265:P265)=0,"",IFERROR(G265/F265,0))</f>
        <v/>
      </c>
      <c r="V265" s="15">
        <f>IF(COUNT(C265:P265)=0,"",IFERROR(C265/G265,0))</f>
        <v/>
      </c>
      <c r="W265" s="19">
        <f>IF(COUNT(C265:P265)=0,"",IFERROR(G265/D265*1000,0))</f>
        <v/>
      </c>
      <c r="X265" s="18">
        <f>IF(COUNT(C265:P265)=0,"",IFERROR(H265/G265,0))</f>
        <v/>
      </c>
      <c r="Y265" s="18">
        <f>IF(COUNT(C265:P265)=0,"",IFERROR(I265/H265,0))</f>
        <v/>
      </c>
      <c r="Z265" s="17">
        <f>IF(COUNT(C265:P265)=0,"",IFERROR(I265/G265,0))</f>
        <v/>
      </c>
      <c r="AA265" s="15">
        <f>IF(COUNT(C265:P265)=0,"",IFERROR(C265/I265,0))</f>
        <v/>
      </c>
      <c r="AB265" s="18">
        <f>IF(COUNT(C265:P265)=0,"",IFERROR(J265/I265,0))</f>
        <v/>
      </c>
      <c r="AC265" s="18">
        <f>IF(COUNT(C265:P265)=0,"",IFERROR(K265/I265,0))</f>
        <v/>
      </c>
      <c r="AD265" s="18">
        <f>IF(COUNT(C265:P265)=0,"",IFERROR(L265/I265,0))</f>
        <v/>
      </c>
      <c r="AE265" s="18">
        <f>IF(COUNT(C265:P265)=0,"",IFERROR(P265/I265,0))</f>
        <v/>
      </c>
      <c r="AF265" s="20">
        <f>IF(COUNT(C265:P265)=0,"",IFERROR(I265*Config!$C$7+J265*Config!$C$8+K265*Config!$C$9+L265*Config!$C$10+M265*Config!$C$11+N265*Config!$C$12+O265*Config!$C$13+P265*Config!$C$14,0))</f>
        <v/>
      </c>
      <c r="AG265" s="15">
        <f>IF(COUNT(C265:P265)=0,"",IFERROR(AF265/I265,0))</f>
        <v/>
      </c>
      <c r="AH265" s="20">
        <f>IF(COUNT(C265:P265)=0,"",IFERROR(AF265*(1-Config!$C$15-Config!$C$16-Config!$C$17),0))</f>
        <v/>
      </c>
      <c r="AI265" s="20">
        <f>IF(COUNT(C265:P265)=0,"",IFERROR(AH265-C265-Config!$C$18,0))</f>
        <v/>
      </c>
      <c r="AJ265" s="21">
        <f>IF(COUNT(C265:P265)=0,"",IFERROR(AH265/C265,0))</f>
        <v/>
      </c>
      <c r="AK265" s="15">
        <f>IF(COUNT(C265:P265)=0,"",IFERROR(AI265/G265,0))</f>
        <v/>
      </c>
      <c r="AL265" s="21">
        <f>IF(COUNT(C265:P265)=0,"",IFERROR(AK265/V265,0))</f>
        <v/>
      </c>
      <c r="AM265" s="15">
        <f>IF(COUNT(C265:P265)=0,"",IFERROR(AI265/I265,0))</f>
        <v/>
      </c>
      <c r="AN265" s="15">
        <f>IF(COUNT(C265:P265)=0,"",IFERROR(AH265/I265-AA265,0))</f>
        <v/>
      </c>
    </row>
    <row r="266">
      <c r="A266" s="12">
        <f>Config!$C$6+260</f>
        <v/>
      </c>
      <c r="B266" s="13">
        <f>INT((A266-Config!$C$6)/7)+1</f>
        <v/>
      </c>
      <c r="C266" s="10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5">
        <f>IF(COUNT(C266:P266)=0,"",IFERROR(C266/D266*1000,0))</f>
        <v/>
      </c>
      <c r="R266" s="16">
        <f>IF(COUNT(C266:P266)=0,"",IFERROR(D266/E266,0))</f>
        <v/>
      </c>
      <c r="S266" s="17">
        <f>IF(COUNT(C266:P266)=0,"",IFERROR(F266/D266,0))</f>
        <v/>
      </c>
      <c r="T266" s="15">
        <f>IF(COUNT(C266:P266)=0,"",IFERROR(C266/F266,0))</f>
        <v/>
      </c>
      <c r="U266" s="18">
        <f>IF(COUNT(C266:P266)=0,"",IFERROR(G266/F266,0))</f>
        <v/>
      </c>
      <c r="V266" s="15">
        <f>IF(COUNT(C266:P266)=0,"",IFERROR(C266/G266,0))</f>
        <v/>
      </c>
      <c r="W266" s="19">
        <f>IF(COUNT(C266:P266)=0,"",IFERROR(G266/D266*1000,0))</f>
        <v/>
      </c>
      <c r="X266" s="18">
        <f>IF(COUNT(C266:P266)=0,"",IFERROR(H266/G266,0))</f>
        <v/>
      </c>
      <c r="Y266" s="18">
        <f>IF(COUNT(C266:P266)=0,"",IFERROR(I266/H266,0))</f>
        <v/>
      </c>
      <c r="Z266" s="17">
        <f>IF(COUNT(C266:P266)=0,"",IFERROR(I266/G266,0))</f>
        <v/>
      </c>
      <c r="AA266" s="15">
        <f>IF(COUNT(C266:P266)=0,"",IFERROR(C266/I266,0))</f>
        <v/>
      </c>
      <c r="AB266" s="18">
        <f>IF(COUNT(C266:P266)=0,"",IFERROR(J266/I266,0))</f>
        <v/>
      </c>
      <c r="AC266" s="18">
        <f>IF(COUNT(C266:P266)=0,"",IFERROR(K266/I266,0))</f>
        <v/>
      </c>
      <c r="AD266" s="18">
        <f>IF(COUNT(C266:P266)=0,"",IFERROR(L266/I266,0))</f>
        <v/>
      </c>
      <c r="AE266" s="18">
        <f>IF(COUNT(C266:P266)=0,"",IFERROR(P266/I266,0))</f>
        <v/>
      </c>
      <c r="AF266" s="20">
        <f>IF(COUNT(C266:P266)=0,"",IFERROR(I266*Config!$C$7+J266*Config!$C$8+K266*Config!$C$9+L266*Config!$C$10+M266*Config!$C$11+N266*Config!$C$12+O266*Config!$C$13+P266*Config!$C$14,0))</f>
        <v/>
      </c>
      <c r="AG266" s="15">
        <f>IF(COUNT(C266:P266)=0,"",IFERROR(AF266/I266,0))</f>
        <v/>
      </c>
      <c r="AH266" s="20">
        <f>IF(COUNT(C266:P266)=0,"",IFERROR(AF266*(1-Config!$C$15-Config!$C$16-Config!$C$17),0))</f>
        <v/>
      </c>
      <c r="AI266" s="20">
        <f>IF(COUNT(C266:P266)=0,"",IFERROR(AH266-C266-Config!$C$18,0))</f>
        <v/>
      </c>
      <c r="AJ266" s="21">
        <f>IF(COUNT(C266:P266)=0,"",IFERROR(AH266/C266,0))</f>
        <v/>
      </c>
      <c r="AK266" s="15">
        <f>IF(COUNT(C266:P266)=0,"",IFERROR(AI266/G266,0))</f>
        <v/>
      </c>
      <c r="AL266" s="21">
        <f>IF(COUNT(C266:P266)=0,"",IFERROR(AK266/V266,0))</f>
        <v/>
      </c>
      <c r="AM266" s="15">
        <f>IF(COUNT(C266:P266)=0,"",IFERROR(AI266/I266,0))</f>
        <v/>
      </c>
      <c r="AN266" s="15">
        <f>IF(COUNT(C266:P266)=0,"",IFERROR(AH266/I266-AA266,0))</f>
        <v/>
      </c>
    </row>
    <row r="267">
      <c r="A267" s="12">
        <f>Config!$C$6+261</f>
        <v/>
      </c>
      <c r="B267" s="13">
        <f>INT((A267-Config!$C$6)/7)+1</f>
        <v/>
      </c>
      <c r="C267" s="10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5">
        <f>IF(COUNT(C267:P267)=0,"",IFERROR(C267/D267*1000,0))</f>
        <v/>
      </c>
      <c r="R267" s="16">
        <f>IF(COUNT(C267:P267)=0,"",IFERROR(D267/E267,0))</f>
        <v/>
      </c>
      <c r="S267" s="17">
        <f>IF(COUNT(C267:P267)=0,"",IFERROR(F267/D267,0))</f>
        <v/>
      </c>
      <c r="T267" s="15">
        <f>IF(COUNT(C267:P267)=0,"",IFERROR(C267/F267,0))</f>
        <v/>
      </c>
      <c r="U267" s="18">
        <f>IF(COUNT(C267:P267)=0,"",IFERROR(G267/F267,0))</f>
        <v/>
      </c>
      <c r="V267" s="15">
        <f>IF(COUNT(C267:P267)=0,"",IFERROR(C267/G267,0))</f>
        <v/>
      </c>
      <c r="W267" s="19">
        <f>IF(COUNT(C267:P267)=0,"",IFERROR(G267/D267*1000,0))</f>
        <v/>
      </c>
      <c r="X267" s="18">
        <f>IF(COUNT(C267:P267)=0,"",IFERROR(H267/G267,0))</f>
        <v/>
      </c>
      <c r="Y267" s="18">
        <f>IF(COUNT(C267:P267)=0,"",IFERROR(I267/H267,0))</f>
        <v/>
      </c>
      <c r="Z267" s="17">
        <f>IF(COUNT(C267:P267)=0,"",IFERROR(I267/G267,0))</f>
        <v/>
      </c>
      <c r="AA267" s="15">
        <f>IF(COUNT(C267:P267)=0,"",IFERROR(C267/I267,0))</f>
        <v/>
      </c>
      <c r="AB267" s="18">
        <f>IF(COUNT(C267:P267)=0,"",IFERROR(J267/I267,0))</f>
        <v/>
      </c>
      <c r="AC267" s="18">
        <f>IF(COUNT(C267:P267)=0,"",IFERROR(K267/I267,0))</f>
        <v/>
      </c>
      <c r="AD267" s="18">
        <f>IF(COUNT(C267:P267)=0,"",IFERROR(L267/I267,0))</f>
        <v/>
      </c>
      <c r="AE267" s="18">
        <f>IF(COUNT(C267:P267)=0,"",IFERROR(P267/I267,0))</f>
        <v/>
      </c>
      <c r="AF267" s="20">
        <f>IF(COUNT(C267:P267)=0,"",IFERROR(I267*Config!$C$7+J267*Config!$C$8+K267*Config!$C$9+L267*Config!$C$10+M267*Config!$C$11+N267*Config!$C$12+O267*Config!$C$13+P267*Config!$C$14,0))</f>
        <v/>
      </c>
      <c r="AG267" s="15">
        <f>IF(COUNT(C267:P267)=0,"",IFERROR(AF267/I267,0))</f>
        <v/>
      </c>
      <c r="AH267" s="20">
        <f>IF(COUNT(C267:P267)=0,"",IFERROR(AF267*(1-Config!$C$15-Config!$C$16-Config!$C$17),0))</f>
        <v/>
      </c>
      <c r="AI267" s="20">
        <f>IF(COUNT(C267:P267)=0,"",IFERROR(AH267-C267-Config!$C$18,0))</f>
        <v/>
      </c>
      <c r="AJ267" s="21">
        <f>IF(COUNT(C267:P267)=0,"",IFERROR(AH267/C267,0))</f>
        <v/>
      </c>
      <c r="AK267" s="15">
        <f>IF(COUNT(C267:P267)=0,"",IFERROR(AI267/G267,0))</f>
        <v/>
      </c>
      <c r="AL267" s="21">
        <f>IF(COUNT(C267:P267)=0,"",IFERROR(AK267/V267,0))</f>
        <v/>
      </c>
      <c r="AM267" s="15">
        <f>IF(COUNT(C267:P267)=0,"",IFERROR(AI267/I267,0))</f>
        <v/>
      </c>
      <c r="AN267" s="15">
        <f>IF(COUNT(C267:P267)=0,"",IFERROR(AH267/I267-AA267,0))</f>
        <v/>
      </c>
    </row>
    <row r="268">
      <c r="A268" s="12">
        <f>Config!$C$6+262</f>
        <v/>
      </c>
      <c r="B268" s="13">
        <f>INT((A268-Config!$C$6)/7)+1</f>
        <v/>
      </c>
      <c r="C268" s="10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5">
        <f>IF(COUNT(C268:P268)=0,"",IFERROR(C268/D268*1000,0))</f>
        <v/>
      </c>
      <c r="R268" s="16">
        <f>IF(COUNT(C268:P268)=0,"",IFERROR(D268/E268,0))</f>
        <v/>
      </c>
      <c r="S268" s="17">
        <f>IF(COUNT(C268:P268)=0,"",IFERROR(F268/D268,0))</f>
        <v/>
      </c>
      <c r="T268" s="15">
        <f>IF(COUNT(C268:P268)=0,"",IFERROR(C268/F268,0))</f>
        <v/>
      </c>
      <c r="U268" s="18">
        <f>IF(COUNT(C268:P268)=0,"",IFERROR(G268/F268,0))</f>
        <v/>
      </c>
      <c r="V268" s="15">
        <f>IF(COUNT(C268:P268)=0,"",IFERROR(C268/G268,0))</f>
        <v/>
      </c>
      <c r="W268" s="19">
        <f>IF(COUNT(C268:P268)=0,"",IFERROR(G268/D268*1000,0))</f>
        <v/>
      </c>
      <c r="X268" s="18">
        <f>IF(COUNT(C268:P268)=0,"",IFERROR(H268/G268,0))</f>
        <v/>
      </c>
      <c r="Y268" s="18">
        <f>IF(COUNT(C268:P268)=0,"",IFERROR(I268/H268,0))</f>
        <v/>
      </c>
      <c r="Z268" s="17">
        <f>IF(COUNT(C268:P268)=0,"",IFERROR(I268/G268,0))</f>
        <v/>
      </c>
      <c r="AA268" s="15">
        <f>IF(COUNT(C268:P268)=0,"",IFERROR(C268/I268,0))</f>
        <v/>
      </c>
      <c r="AB268" s="18">
        <f>IF(COUNT(C268:P268)=0,"",IFERROR(J268/I268,0))</f>
        <v/>
      </c>
      <c r="AC268" s="18">
        <f>IF(COUNT(C268:P268)=0,"",IFERROR(K268/I268,0))</f>
        <v/>
      </c>
      <c r="AD268" s="18">
        <f>IF(COUNT(C268:P268)=0,"",IFERROR(L268/I268,0))</f>
        <v/>
      </c>
      <c r="AE268" s="18">
        <f>IF(COUNT(C268:P268)=0,"",IFERROR(P268/I268,0))</f>
        <v/>
      </c>
      <c r="AF268" s="20">
        <f>IF(COUNT(C268:P268)=0,"",IFERROR(I268*Config!$C$7+J268*Config!$C$8+K268*Config!$C$9+L268*Config!$C$10+M268*Config!$C$11+N268*Config!$C$12+O268*Config!$C$13+P268*Config!$C$14,0))</f>
        <v/>
      </c>
      <c r="AG268" s="15">
        <f>IF(COUNT(C268:P268)=0,"",IFERROR(AF268/I268,0))</f>
        <v/>
      </c>
      <c r="AH268" s="20">
        <f>IF(COUNT(C268:P268)=0,"",IFERROR(AF268*(1-Config!$C$15-Config!$C$16-Config!$C$17),0))</f>
        <v/>
      </c>
      <c r="AI268" s="20">
        <f>IF(COUNT(C268:P268)=0,"",IFERROR(AH268-C268-Config!$C$18,0))</f>
        <v/>
      </c>
      <c r="AJ268" s="21">
        <f>IF(COUNT(C268:P268)=0,"",IFERROR(AH268/C268,0))</f>
        <v/>
      </c>
      <c r="AK268" s="15">
        <f>IF(COUNT(C268:P268)=0,"",IFERROR(AI268/G268,0))</f>
        <v/>
      </c>
      <c r="AL268" s="21">
        <f>IF(COUNT(C268:P268)=0,"",IFERROR(AK268/V268,0))</f>
        <v/>
      </c>
      <c r="AM268" s="15">
        <f>IF(COUNT(C268:P268)=0,"",IFERROR(AI268/I268,0))</f>
        <v/>
      </c>
      <c r="AN268" s="15">
        <f>IF(COUNT(C268:P268)=0,"",IFERROR(AH268/I268-AA268,0))</f>
        <v/>
      </c>
    </row>
    <row r="269">
      <c r="A269" s="12">
        <f>Config!$C$6+263</f>
        <v/>
      </c>
      <c r="B269" s="13">
        <f>INT((A269-Config!$C$6)/7)+1</f>
        <v/>
      </c>
      <c r="C269" s="10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5">
        <f>IF(COUNT(C269:P269)=0,"",IFERROR(C269/D269*1000,0))</f>
        <v/>
      </c>
      <c r="R269" s="16">
        <f>IF(COUNT(C269:P269)=0,"",IFERROR(D269/E269,0))</f>
        <v/>
      </c>
      <c r="S269" s="17">
        <f>IF(COUNT(C269:P269)=0,"",IFERROR(F269/D269,0))</f>
        <v/>
      </c>
      <c r="T269" s="15">
        <f>IF(COUNT(C269:P269)=0,"",IFERROR(C269/F269,0))</f>
        <v/>
      </c>
      <c r="U269" s="18">
        <f>IF(COUNT(C269:P269)=0,"",IFERROR(G269/F269,0))</f>
        <v/>
      </c>
      <c r="V269" s="15">
        <f>IF(COUNT(C269:P269)=0,"",IFERROR(C269/G269,0))</f>
        <v/>
      </c>
      <c r="W269" s="19">
        <f>IF(COUNT(C269:P269)=0,"",IFERROR(G269/D269*1000,0))</f>
        <v/>
      </c>
      <c r="X269" s="18">
        <f>IF(COUNT(C269:P269)=0,"",IFERROR(H269/G269,0))</f>
        <v/>
      </c>
      <c r="Y269" s="18">
        <f>IF(COUNT(C269:P269)=0,"",IFERROR(I269/H269,0))</f>
        <v/>
      </c>
      <c r="Z269" s="17">
        <f>IF(COUNT(C269:P269)=0,"",IFERROR(I269/G269,0))</f>
        <v/>
      </c>
      <c r="AA269" s="15">
        <f>IF(COUNT(C269:P269)=0,"",IFERROR(C269/I269,0))</f>
        <v/>
      </c>
      <c r="AB269" s="18">
        <f>IF(COUNT(C269:P269)=0,"",IFERROR(J269/I269,0))</f>
        <v/>
      </c>
      <c r="AC269" s="18">
        <f>IF(COUNT(C269:P269)=0,"",IFERROR(K269/I269,0))</f>
        <v/>
      </c>
      <c r="AD269" s="18">
        <f>IF(COUNT(C269:P269)=0,"",IFERROR(L269/I269,0))</f>
        <v/>
      </c>
      <c r="AE269" s="18">
        <f>IF(COUNT(C269:P269)=0,"",IFERROR(P269/I269,0))</f>
        <v/>
      </c>
      <c r="AF269" s="20">
        <f>IF(COUNT(C269:P269)=0,"",IFERROR(I269*Config!$C$7+J269*Config!$C$8+K269*Config!$C$9+L269*Config!$C$10+M269*Config!$C$11+N269*Config!$C$12+O269*Config!$C$13+P269*Config!$C$14,0))</f>
        <v/>
      </c>
      <c r="AG269" s="15">
        <f>IF(COUNT(C269:P269)=0,"",IFERROR(AF269/I269,0))</f>
        <v/>
      </c>
      <c r="AH269" s="20">
        <f>IF(COUNT(C269:P269)=0,"",IFERROR(AF269*(1-Config!$C$15-Config!$C$16-Config!$C$17),0))</f>
        <v/>
      </c>
      <c r="AI269" s="20">
        <f>IF(COUNT(C269:P269)=0,"",IFERROR(AH269-C269-Config!$C$18,0))</f>
        <v/>
      </c>
      <c r="AJ269" s="21">
        <f>IF(COUNT(C269:P269)=0,"",IFERROR(AH269/C269,0))</f>
        <v/>
      </c>
      <c r="AK269" s="15">
        <f>IF(COUNT(C269:P269)=0,"",IFERROR(AI269/G269,0))</f>
        <v/>
      </c>
      <c r="AL269" s="21">
        <f>IF(COUNT(C269:P269)=0,"",IFERROR(AK269/V269,0))</f>
        <v/>
      </c>
      <c r="AM269" s="15">
        <f>IF(COUNT(C269:P269)=0,"",IFERROR(AI269/I269,0))</f>
        <v/>
      </c>
      <c r="AN269" s="15">
        <f>IF(COUNT(C269:P269)=0,"",IFERROR(AH269/I269-AA269,0))</f>
        <v/>
      </c>
    </row>
    <row r="270">
      <c r="A270" s="12">
        <f>Config!$C$6+264</f>
        <v/>
      </c>
      <c r="B270" s="13">
        <f>INT((A270-Config!$C$6)/7)+1</f>
        <v/>
      </c>
      <c r="C270" s="10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5">
        <f>IF(COUNT(C270:P270)=0,"",IFERROR(C270/D270*1000,0))</f>
        <v/>
      </c>
      <c r="R270" s="16">
        <f>IF(COUNT(C270:P270)=0,"",IFERROR(D270/E270,0))</f>
        <v/>
      </c>
      <c r="S270" s="17">
        <f>IF(COUNT(C270:P270)=0,"",IFERROR(F270/D270,0))</f>
        <v/>
      </c>
      <c r="T270" s="15">
        <f>IF(COUNT(C270:P270)=0,"",IFERROR(C270/F270,0))</f>
        <v/>
      </c>
      <c r="U270" s="18">
        <f>IF(COUNT(C270:P270)=0,"",IFERROR(G270/F270,0))</f>
        <v/>
      </c>
      <c r="V270" s="15">
        <f>IF(COUNT(C270:P270)=0,"",IFERROR(C270/G270,0))</f>
        <v/>
      </c>
      <c r="W270" s="19">
        <f>IF(COUNT(C270:P270)=0,"",IFERROR(G270/D270*1000,0))</f>
        <v/>
      </c>
      <c r="X270" s="18">
        <f>IF(COUNT(C270:P270)=0,"",IFERROR(H270/G270,0))</f>
        <v/>
      </c>
      <c r="Y270" s="18">
        <f>IF(COUNT(C270:P270)=0,"",IFERROR(I270/H270,0))</f>
        <v/>
      </c>
      <c r="Z270" s="17">
        <f>IF(COUNT(C270:P270)=0,"",IFERROR(I270/G270,0))</f>
        <v/>
      </c>
      <c r="AA270" s="15">
        <f>IF(COUNT(C270:P270)=0,"",IFERROR(C270/I270,0))</f>
        <v/>
      </c>
      <c r="AB270" s="18">
        <f>IF(COUNT(C270:P270)=0,"",IFERROR(J270/I270,0))</f>
        <v/>
      </c>
      <c r="AC270" s="18">
        <f>IF(COUNT(C270:P270)=0,"",IFERROR(K270/I270,0))</f>
        <v/>
      </c>
      <c r="AD270" s="18">
        <f>IF(COUNT(C270:P270)=0,"",IFERROR(L270/I270,0))</f>
        <v/>
      </c>
      <c r="AE270" s="18">
        <f>IF(COUNT(C270:P270)=0,"",IFERROR(P270/I270,0))</f>
        <v/>
      </c>
      <c r="AF270" s="20">
        <f>IF(COUNT(C270:P270)=0,"",IFERROR(I270*Config!$C$7+J270*Config!$C$8+K270*Config!$C$9+L270*Config!$C$10+M270*Config!$C$11+N270*Config!$C$12+O270*Config!$C$13+P270*Config!$C$14,0))</f>
        <v/>
      </c>
      <c r="AG270" s="15">
        <f>IF(COUNT(C270:P270)=0,"",IFERROR(AF270/I270,0))</f>
        <v/>
      </c>
      <c r="AH270" s="20">
        <f>IF(COUNT(C270:P270)=0,"",IFERROR(AF270*(1-Config!$C$15-Config!$C$16-Config!$C$17),0))</f>
        <v/>
      </c>
      <c r="AI270" s="20">
        <f>IF(COUNT(C270:P270)=0,"",IFERROR(AH270-C270-Config!$C$18,0))</f>
        <v/>
      </c>
      <c r="AJ270" s="21">
        <f>IF(COUNT(C270:P270)=0,"",IFERROR(AH270/C270,0))</f>
        <v/>
      </c>
      <c r="AK270" s="15">
        <f>IF(COUNT(C270:P270)=0,"",IFERROR(AI270/G270,0))</f>
        <v/>
      </c>
      <c r="AL270" s="21">
        <f>IF(COUNT(C270:P270)=0,"",IFERROR(AK270/V270,0))</f>
        <v/>
      </c>
      <c r="AM270" s="15">
        <f>IF(COUNT(C270:P270)=0,"",IFERROR(AI270/I270,0))</f>
        <v/>
      </c>
      <c r="AN270" s="15">
        <f>IF(COUNT(C270:P270)=0,"",IFERROR(AH270/I270-AA270,0))</f>
        <v/>
      </c>
    </row>
    <row r="271">
      <c r="A271" s="12">
        <f>Config!$C$6+265</f>
        <v/>
      </c>
      <c r="B271" s="13">
        <f>INT((A271-Config!$C$6)/7)+1</f>
        <v/>
      </c>
      <c r="C271" s="10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5">
        <f>IF(COUNT(C271:P271)=0,"",IFERROR(C271/D271*1000,0))</f>
        <v/>
      </c>
      <c r="R271" s="16">
        <f>IF(COUNT(C271:P271)=0,"",IFERROR(D271/E271,0))</f>
        <v/>
      </c>
      <c r="S271" s="17">
        <f>IF(COUNT(C271:P271)=0,"",IFERROR(F271/D271,0))</f>
        <v/>
      </c>
      <c r="T271" s="15">
        <f>IF(COUNT(C271:P271)=0,"",IFERROR(C271/F271,0))</f>
        <v/>
      </c>
      <c r="U271" s="18">
        <f>IF(COUNT(C271:P271)=0,"",IFERROR(G271/F271,0))</f>
        <v/>
      </c>
      <c r="V271" s="15">
        <f>IF(COUNT(C271:P271)=0,"",IFERROR(C271/G271,0))</f>
        <v/>
      </c>
      <c r="W271" s="19">
        <f>IF(COUNT(C271:P271)=0,"",IFERROR(G271/D271*1000,0))</f>
        <v/>
      </c>
      <c r="X271" s="18">
        <f>IF(COUNT(C271:P271)=0,"",IFERROR(H271/G271,0))</f>
        <v/>
      </c>
      <c r="Y271" s="18">
        <f>IF(COUNT(C271:P271)=0,"",IFERROR(I271/H271,0))</f>
        <v/>
      </c>
      <c r="Z271" s="17">
        <f>IF(COUNT(C271:P271)=0,"",IFERROR(I271/G271,0))</f>
        <v/>
      </c>
      <c r="AA271" s="15">
        <f>IF(COUNT(C271:P271)=0,"",IFERROR(C271/I271,0))</f>
        <v/>
      </c>
      <c r="AB271" s="18">
        <f>IF(COUNT(C271:P271)=0,"",IFERROR(J271/I271,0))</f>
        <v/>
      </c>
      <c r="AC271" s="18">
        <f>IF(COUNT(C271:P271)=0,"",IFERROR(K271/I271,0))</f>
        <v/>
      </c>
      <c r="AD271" s="18">
        <f>IF(COUNT(C271:P271)=0,"",IFERROR(L271/I271,0))</f>
        <v/>
      </c>
      <c r="AE271" s="18">
        <f>IF(COUNT(C271:P271)=0,"",IFERROR(P271/I271,0))</f>
        <v/>
      </c>
      <c r="AF271" s="20">
        <f>IF(COUNT(C271:P271)=0,"",IFERROR(I271*Config!$C$7+J271*Config!$C$8+K271*Config!$C$9+L271*Config!$C$10+M271*Config!$C$11+N271*Config!$C$12+O271*Config!$C$13+P271*Config!$C$14,0))</f>
        <v/>
      </c>
      <c r="AG271" s="15">
        <f>IF(COUNT(C271:P271)=0,"",IFERROR(AF271/I271,0))</f>
        <v/>
      </c>
      <c r="AH271" s="20">
        <f>IF(COUNT(C271:P271)=0,"",IFERROR(AF271*(1-Config!$C$15-Config!$C$16-Config!$C$17),0))</f>
        <v/>
      </c>
      <c r="AI271" s="20">
        <f>IF(COUNT(C271:P271)=0,"",IFERROR(AH271-C271-Config!$C$18,0))</f>
        <v/>
      </c>
      <c r="AJ271" s="21">
        <f>IF(COUNT(C271:P271)=0,"",IFERROR(AH271/C271,0))</f>
        <v/>
      </c>
      <c r="AK271" s="15">
        <f>IF(COUNT(C271:P271)=0,"",IFERROR(AI271/G271,0))</f>
        <v/>
      </c>
      <c r="AL271" s="21">
        <f>IF(COUNT(C271:P271)=0,"",IFERROR(AK271/V271,0))</f>
        <v/>
      </c>
      <c r="AM271" s="15">
        <f>IF(COUNT(C271:P271)=0,"",IFERROR(AI271/I271,0))</f>
        <v/>
      </c>
      <c r="AN271" s="15">
        <f>IF(COUNT(C271:P271)=0,"",IFERROR(AH271/I271-AA271,0))</f>
        <v/>
      </c>
    </row>
    <row r="272">
      <c r="A272" s="12">
        <f>Config!$C$6+266</f>
        <v/>
      </c>
      <c r="B272" s="13">
        <f>INT((A272-Config!$C$6)/7)+1</f>
        <v/>
      </c>
      <c r="C272" s="10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5">
        <f>IF(COUNT(C272:P272)=0,"",IFERROR(C272/D272*1000,0))</f>
        <v/>
      </c>
      <c r="R272" s="16">
        <f>IF(COUNT(C272:P272)=0,"",IFERROR(D272/E272,0))</f>
        <v/>
      </c>
      <c r="S272" s="17">
        <f>IF(COUNT(C272:P272)=0,"",IFERROR(F272/D272,0))</f>
        <v/>
      </c>
      <c r="T272" s="15">
        <f>IF(COUNT(C272:P272)=0,"",IFERROR(C272/F272,0))</f>
        <v/>
      </c>
      <c r="U272" s="18">
        <f>IF(COUNT(C272:P272)=0,"",IFERROR(G272/F272,0))</f>
        <v/>
      </c>
      <c r="V272" s="15">
        <f>IF(COUNT(C272:P272)=0,"",IFERROR(C272/G272,0))</f>
        <v/>
      </c>
      <c r="W272" s="19">
        <f>IF(COUNT(C272:P272)=0,"",IFERROR(G272/D272*1000,0))</f>
        <v/>
      </c>
      <c r="X272" s="18">
        <f>IF(COUNT(C272:P272)=0,"",IFERROR(H272/G272,0))</f>
        <v/>
      </c>
      <c r="Y272" s="18">
        <f>IF(COUNT(C272:P272)=0,"",IFERROR(I272/H272,0))</f>
        <v/>
      </c>
      <c r="Z272" s="17">
        <f>IF(COUNT(C272:P272)=0,"",IFERROR(I272/G272,0))</f>
        <v/>
      </c>
      <c r="AA272" s="15">
        <f>IF(COUNT(C272:P272)=0,"",IFERROR(C272/I272,0))</f>
        <v/>
      </c>
      <c r="AB272" s="18">
        <f>IF(COUNT(C272:P272)=0,"",IFERROR(J272/I272,0))</f>
        <v/>
      </c>
      <c r="AC272" s="18">
        <f>IF(COUNT(C272:P272)=0,"",IFERROR(K272/I272,0))</f>
        <v/>
      </c>
      <c r="AD272" s="18">
        <f>IF(COUNT(C272:P272)=0,"",IFERROR(L272/I272,0))</f>
        <v/>
      </c>
      <c r="AE272" s="18">
        <f>IF(COUNT(C272:P272)=0,"",IFERROR(P272/I272,0))</f>
        <v/>
      </c>
      <c r="AF272" s="20">
        <f>IF(COUNT(C272:P272)=0,"",IFERROR(I272*Config!$C$7+J272*Config!$C$8+K272*Config!$C$9+L272*Config!$C$10+M272*Config!$C$11+N272*Config!$C$12+O272*Config!$C$13+P272*Config!$C$14,0))</f>
        <v/>
      </c>
      <c r="AG272" s="15">
        <f>IF(COUNT(C272:P272)=0,"",IFERROR(AF272/I272,0))</f>
        <v/>
      </c>
      <c r="AH272" s="20">
        <f>IF(COUNT(C272:P272)=0,"",IFERROR(AF272*(1-Config!$C$15-Config!$C$16-Config!$C$17),0))</f>
        <v/>
      </c>
      <c r="AI272" s="20">
        <f>IF(COUNT(C272:P272)=0,"",IFERROR(AH272-C272-Config!$C$18,0))</f>
        <v/>
      </c>
      <c r="AJ272" s="21">
        <f>IF(COUNT(C272:P272)=0,"",IFERROR(AH272/C272,0))</f>
        <v/>
      </c>
      <c r="AK272" s="15">
        <f>IF(COUNT(C272:P272)=0,"",IFERROR(AI272/G272,0))</f>
        <v/>
      </c>
      <c r="AL272" s="21">
        <f>IF(COUNT(C272:P272)=0,"",IFERROR(AK272/V272,0))</f>
        <v/>
      </c>
      <c r="AM272" s="15">
        <f>IF(COUNT(C272:P272)=0,"",IFERROR(AI272/I272,0))</f>
        <v/>
      </c>
      <c r="AN272" s="15">
        <f>IF(COUNT(C272:P272)=0,"",IFERROR(AH272/I272-AA272,0))</f>
        <v/>
      </c>
    </row>
    <row r="273">
      <c r="A273" s="12">
        <f>Config!$C$6+267</f>
        <v/>
      </c>
      <c r="B273" s="13">
        <f>INT((A273-Config!$C$6)/7)+1</f>
        <v/>
      </c>
      <c r="C273" s="10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5">
        <f>IF(COUNT(C273:P273)=0,"",IFERROR(C273/D273*1000,0))</f>
        <v/>
      </c>
      <c r="R273" s="16">
        <f>IF(COUNT(C273:P273)=0,"",IFERROR(D273/E273,0))</f>
        <v/>
      </c>
      <c r="S273" s="17">
        <f>IF(COUNT(C273:P273)=0,"",IFERROR(F273/D273,0))</f>
        <v/>
      </c>
      <c r="T273" s="15">
        <f>IF(COUNT(C273:P273)=0,"",IFERROR(C273/F273,0))</f>
        <v/>
      </c>
      <c r="U273" s="18">
        <f>IF(COUNT(C273:P273)=0,"",IFERROR(G273/F273,0))</f>
        <v/>
      </c>
      <c r="V273" s="15">
        <f>IF(COUNT(C273:P273)=0,"",IFERROR(C273/G273,0))</f>
        <v/>
      </c>
      <c r="W273" s="19">
        <f>IF(COUNT(C273:P273)=0,"",IFERROR(G273/D273*1000,0))</f>
        <v/>
      </c>
      <c r="X273" s="18">
        <f>IF(COUNT(C273:P273)=0,"",IFERROR(H273/G273,0))</f>
        <v/>
      </c>
      <c r="Y273" s="18">
        <f>IF(COUNT(C273:P273)=0,"",IFERROR(I273/H273,0))</f>
        <v/>
      </c>
      <c r="Z273" s="17">
        <f>IF(COUNT(C273:P273)=0,"",IFERROR(I273/G273,0))</f>
        <v/>
      </c>
      <c r="AA273" s="15">
        <f>IF(COUNT(C273:P273)=0,"",IFERROR(C273/I273,0))</f>
        <v/>
      </c>
      <c r="AB273" s="18">
        <f>IF(COUNT(C273:P273)=0,"",IFERROR(J273/I273,0))</f>
        <v/>
      </c>
      <c r="AC273" s="18">
        <f>IF(COUNT(C273:P273)=0,"",IFERROR(K273/I273,0))</f>
        <v/>
      </c>
      <c r="AD273" s="18">
        <f>IF(COUNT(C273:P273)=0,"",IFERROR(L273/I273,0))</f>
        <v/>
      </c>
      <c r="AE273" s="18">
        <f>IF(COUNT(C273:P273)=0,"",IFERROR(P273/I273,0))</f>
        <v/>
      </c>
      <c r="AF273" s="20">
        <f>IF(COUNT(C273:P273)=0,"",IFERROR(I273*Config!$C$7+J273*Config!$C$8+K273*Config!$C$9+L273*Config!$C$10+M273*Config!$C$11+N273*Config!$C$12+O273*Config!$C$13+P273*Config!$C$14,0))</f>
        <v/>
      </c>
      <c r="AG273" s="15">
        <f>IF(COUNT(C273:P273)=0,"",IFERROR(AF273/I273,0))</f>
        <v/>
      </c>
      <c r="AH273" s="20">
        <f>IF(COUNT(C273:P273)=0,"",IFERROR(AF273*(1-Config!$C$15-Config!$C$16-Config!$C$17),0))</f>
        <v/>
      </c>
      <c r="AI273" s="20">
        <f>IF(COUNT(C273:P273)=0,"",IFERROR(AH273-C273-Config!$C$18,0))</f>
        <v/>
      </c>
      <c r="AJ273" s="21">
        <f>IF(COUNT(C273:P273)=0,"",IFERROR(AH273/C273,0))</f>
        <v/>
      </c>
      <c r="AK273" s="15">
        <f>IF(COUNT(C273:P273)=0,"",IFERROR(AI273/G273,0))</f>
        <v/>
      </c>
      <c r="AL273" s="21">
        <f>IF(COUNT(C273:P273)=0,"",IFERROR(AK273/V273,0))</f>
        <v/>
      </c>
      <c r="AM273" s="15">
        <f>IF(COUNT(C273:P273)=0,"",IFERROR(AI273/I273,0))</f>
        <v/>
      </c>
      <c r="AN273" s="15">
        <f>IF(COUNT(C273:P273)=0,"",IFERROR(AH273/I273-AA273,0))</f>
        <v/>
      </c>
    </row>
    <row r="274">
      <c r="A274" s="12">
        <f>Config!$C$6+268</f>
        <v/>
      </c>
      <c r="B274" s="13">
        <f>INT((A274-Config!$C$6)/7)+1</f>
        <v/>
      </c>
      <c r="C274" s="10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5">
        <f>IF(COUNT(C274:P274)=0,"",IFERROR(C274/D274*1000,0))</f>
        <v/>
      </c>
      <c r="R274" s="16">
        <f>IF(COUNT(C274:P274)=0,"",IFERROR(D274/E274,0))</f>
        <v/>
      </c>
      <c r="S274" s="17">
        <f>IF(COUNT(C274:P274)=0,"",IFERROR(F274/D274,0))</f>
        <v/>
      </c>
      <c r="T274" s="15">
        <f>IF(COUNT(C274:P274)=0,"",IFERROR(C274/F274,0))</f>
        <v/>
      </c>
      <c r="U274" s="18">
        <f>IF(COUNT(C274:P274)=0,"",IFERROR(G274/F274,0))</f>
        <v/>
      </c>
      <c r="V274" s="15">
        <f>IF(COUNT(C274:P274)=0,"",IFERROR(C274/G274,0))</f>
        <v/>
      </c>
      <c r="W274" s="19">
        <f>IF(COUNT(C274:P274)=0,"",IFERROR(G274/D274*1000,0))</f>
        <v/>
      </c>
      <c r="X274" s="18">
        <f>IF(COUNT(C274:P274)=0,"",IFERROR(H274/G274,0))</f>
        <v/>
      </c>
      <c r="Y274" s="18">
        <f>IF(COUNT(C274:P274)=0,"",IFERROR(I274/H274,0))</f>
        <v/>
      </c>
      <c r="Z274" s="17">
        <f>IF(COUNT(C274:P274)=0,"",IFERROR(I274/G274,0))</f>
        <v/>
      </c>
      <c r="AA274" s="15">
        <f>IF(COUNT(C274:P274)=0,"",IFERROR(C274/I274,0))</f>
        <v/>
      </c>
      <c r="AB274" s="18">
        <f>IF(COUNT(C274:P274)=0,"",IFERROR(J274/I274,0))</f>
        <v/>
      </c>
      <c r="AC274" s="18">
        <f>IF(COUNT(C274:P274)=0,"",IFERROR(K274/I274,0))</f>
        <v/>
      </c>
      <c r="AD274" s="18">
        <f>IF(COUNT(C274:P274)=0,"",IFERROR(L274/I274,0))</f>
        <v/>
      </c>
      <c r="AE274" s="18">
        <f>IF(COUNT(C274:P274)=0,"",IFERROR(P274/I274,0))</f>
        <v/>
      </c>
      <c r="AF274" s="20">
        <f>IF(COUNT(C274:P274)=0,"",IFERROR(I274*Config!$C$7+J274*Config!$C$8+K274*Config!$C$9+L274*Config!$C$10+M274*Config!$C$11+N274*Config!$C$12+O274*Config!$C$13+P274*Config!$C$14,0))</f>
        <v/>
      </c>
      <c r="AG274" s="15">
        <f>IF(COUNT(C274:P274)=0,"",IFERROR(AF274/I274,0))</f>
        <v/>
      </c>
      <c r="AH274" s="20">
        <f>IF(COUNT(C274:P274)=0,"",IFERROR(AF274*(1-Config!$C$15-Config!$C$16-Config!$C$17),0))</f>
        <v/>
      </c>
      <c r="AI274" s="20">
        <f>IF(COUNT(C274:P274)=0,"",IFERROR(AH274-C274-Config!$C$18,0))</f>
        <v/>
      </c>
      <c r="AJ274" s="21">
        <f>IF(COUNT(C274:P274)=0,"",IFERROR(AH274/C274,0))</f>
        <v/>
      </c>
      <c r="AK274" s="15">
        <f>IF(COUNT(C274:P274)=0,"",IFERROR(AI274/G274,0))</f>
        <v/>
      </c>
      <c r="AL274" s="21">
        <f>IF(COUNT(C274:P274)=0,"",IFERROR(AK274/V274,0))</f>
        <v/>
      </c>
      <c r="AM274" s="15">
        <f>IF(COUNT(C274:P274)=0,"",IFERROR(AI274/I274,0))</f>
        <v/>
      </c>
      <c r="AN274" s="15">
        <f>IF(COUNT(C274:P274)=0,"",IFERROR(AH274/I274-AA274,0))</f>
        <v/>
      </c>
    </row>
    <row r="275">
      <c r="A275" s="12">
        <f>Config!$C$6+269</f>
        <v/>
      </c>
      <c r="B275" s="13">
        <f>INT((A275-Config!$C$6)/7)+1</f>
        <v/>
      </c>
      <c r="C275" s="10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5">
        <f>IF(COUNT(C275:P275)=0,"",IFERROR(C275/D275*1000,0))</f>
        <v/>
      </c>
      <c r="R275" s="16">
        <f>IF(COUNT(C275:P275)=0,"",IFERROR(D275/E275,0))</f>
        <v/>
      </c>
      <c r="S275" s="17">
        <f>IF(COUNT(C275:P275)=0,"",IFERROR(F275/D275,0))</f>
        <v/>
      </c>
      <c r="T275" s="15">
        <f>IF(COUNT(C275:P275)=0,"",IFERROR(C275/F275,0))</f>
        <v/>
      </c>
      <c r="U275" s="18">
        <f>IF(COUNT(C275:P275)=0,"",IFERROR(G275/F275,0))</f>
        <v/>
      </c>
      <c r="V275" s="15">
        <f>IF(COUNT(C275:P275)=0,"",IFERROR(C275/G275,0))</f>
        <v/>
      </c>
      <c r="W275" s="19">
        <f>IF(COUNT(C275:P275)=0,"",IFERROR(G275/D275*1000,0))</f>
        <v/>
      </c>
      <c r="X275" s="18">
        <f>IF(COUNT(C275:P275)=0,"",IFERROR(H275/G275,0))</f>
        <v/>
      </c>
      <c r="Y275" s="18">
        <f>IF(COUNT(C275:P275)=0,"",IFERROR(I275/H275,0))</f>
        <v/>
      </c>
      <c r="Z275" s="17">
        <f>IF(COUNT(C275:P275)=0,"",IFERROR(I275/G275,0))</f>
        <v/>
      </c>
      <c r="AA275" s="15">
        <f>IF(COUNT(C275:P275)=0,"",IFERROR(C275/I275,0))</f>
        <v/>
      </c>
      <c r="AB275" s="18">
        <f>IF(COUNT(C275:P275)=0,"",IFERROR(J275/I275,0))</f>
        <v/>
      </c>
      <c r="AC275" s="18">
        <f>IF(COUNT(C275:P275)=0,"",IFERROR(K275/I275,0))</f>
        <v/>
      </c>
      <c r="AD275" s="18">
        <f>IF(COUNT(C275:P275)=0,"",IFERROR(L275/I275,0))</f>
        <v/>
      </c>
      <c r="AE275" s="18">
        <f>IF(COUNT(C275:P275)=0,"",IFERROR(P275/I275,0))</f>
        <v/>
      </c>
      <c r="AF275" s="20">
        <f>IF(COUNT(C275:P275)=0,"",IFERROR(I275*Config!$C$7+J275*Config!$C$8+K275*Config!$C$9+L275*Config!$C$10+M275*Config!$C$11+N275*Config!$C$12+O275*Config!$C$13+P275*Config!$C$14,0))</f>
        <v/>
      </c>
      <c r="AG275" s="15">
        <f>IF(COUNT(C275:P275)=0,"",IFERROR(AF275/I275,0))</f>
        <v/>
      </c>
      <c r="AH275" s="20">
        <f>IF(COUNT(C275:P275)=0,"",IFERROR(AF275*(1-Config!$C$15-Config!$C$16-Config!$C$17),0))</f>
        <v/>
      </c>
      <c r="AI275" s="20">
        <f>IF(COUNT(C275:P275)=0,"",IFERROR(AH275-C275-Config!$C$18,0))</f>
        <v/>
      </c>
      <c r="AJ275" s="21">
        <f>IF(COUNT(C275:P275)=0,"",IFERROR(AH275/C275,0))</f>
        <v/>
      </c>
      <c r="AK275" s="15">
        <f>IF(COUNT(C275:P275)=0,"",IFERROR(AI275/G275,0))</f>
        <v/>
      </c>
      <c r="AL275" s="21">
        <f>IF(COUNT(C275:P275)=0,"",IFERROR(AK275/V275,0))</f>
        <v/>
      </c>
      <c r="AM275" s="15">
        <f>IF(COUNT(C275:P275)=0,"",IFERROR(AI275/I275,0))</f>
        <v/>
      </c>
      <c r="AN275" s="15">
        <f>IF(COUNT(C275:P275)=0,"",IFERROR(AH275/I275-AA275,0))</f>
        <v/>
      </c>
    </row>
    <row r="276">
      <c r="A276" s="12">
        <f>Config!$C$6+270</f>
        <v/>
      </c>
      <c r="B276" s="13">
        <f>INT((A276-Config!$C$6)/7)+1</f>
        <v/>
      </c>
      <c r="C276" s="10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5">
        <f>IF(COUNT(C276:P276)=0,"",IFERROR(C276/D276*1000,0))</f>
        <v/>
      </c>
      <c r="R276" s="16">
        <f>IF(COUNT(C276:P276)=0,"",IFERROR(D276/E276,0))</f>
        <v/>
      </c>
      <c r="S276" s="17">
        <f>IF(COUNT(C276:P276)=0,"",IFERROR(F276/D276,0))</f>
        <v/>
      </c>
      <c r="T276" s="15">
        <f>IF(COUNT(C276:P276)=0,"",IFERROR(C276/F276,0))</f>
        <v/>
      </c>
      <c r="U276" s="18">
        <f>IF(COUNT(C276:P276)=0,"",IFERROR(G276/F276,0))</f>
        <v/>
      </c>
      <c r="V276" s="15">
        <f>IF(COUNT(C276:P276)=0,"",IFERROR(C276/G276,0))</f>
        <v/>
      </c>
      <c r="W276" s="19">
        <f>IF(COUNT(C276:P276)=0,"",IFERROR(G276/D276*1000,0))</f>
        <v/>
      </c>
      <c r="X276" s="18">
        <f>IF(COUNT(C276:P276)=0,"",IFERROR(H276/G276,0))</f>
        <v/>
      </c>
      <c r="Y276" s="18">
        <f>IF(COUNT(C276:P276)=0,"",IFERROR(I276/H276,0))</f>
        <v/>
      </c>
      <c r="Z276" s="17">
        <f>IF(COUNT(C276:P276)=0,"",IFERROR(I276/G276,0))</f>
        <v/>
      </c>
      <c r="AA276" s="15">
        <f>IF(COUNT(C276:P276)=0,"",IFERROR(C276/I276,0))</f>
        <v/>
      </c>
      <c r="AB276" s="18">
        <f>IF(COUNT(C276:P276)=0,"",IFERROR(J276/I276,0))</f>
        <v/>
      </c>
      <c r="AC276" s="18">
        <f>IF(COUNT(C276:P276)=0,"",IFERROR(K276/I276,0))</f>
        <v/>
      </c>
      <c r="AD276" s="18">
        <f>IF(COUNT(C276:P276)=0,"",IFERROR(L276/I276,0))</f>
        <v/>
      </c>
      <c r="AE276" s="18">
        <f>IF(COUNT(C276:P276)=0,"",IFERROR(P276/I276,0))</f>
        <v/>
      </c>
      <c r="AF276" s="20">
        <f>IF(COUNT(C276:P276)=0,"",IFERROR(I276*Config!$C$7+J276*Config!$C$8+K276*Config!$C$9+L276*Config!$C$10+M276*Config!$C$11+N276*Config!$C$12+O276*Config!$C$13+P276*Config!$C$14,0))</f>
        <v/>
      </c>
      <c r="AG276" s="15">
        <f>IF(COUNT(C276:P276)=0,"",IFERROR(AF276/I276,0))</f>
        <v/>
      </c>
      <c r="AH276" s="20">
        <f>IF(COUNT(C276:P276)=0,"",IFERROR(AF276*(1-Config!$C$15-Config!$C$16-Config!$C$17),0))</f>
        <v/>
      </c>
      <c r="AI276" s="20">
        <f>IF(COUNT(C276:P276)=0,"",IFERROR(AH276-C276-Config!$C$18,0))</f>
        <v/>
      </c>
      <c r="AJ276" s="21">
        <f>IF(COUNT(C276:P276)=0,"",IFERROR(AH276/C276,0))</f>
        <v/>
      </c>
      <c r="AK276" s="15">
        <f>IF(COUNT(C276:P276)=0,"",IFERROR(AI276/G276,0))</f>
        <v/>
      </c>
      <c r="AL276" s="21">
        <f>IF(COUNT(C276:P276)=0,"",IFERROR(AK276/V276,0))</f>
        <v/>
      </c>
      <c r="AM276" s="15">
        <f>IF(COUNT(C276:P276)=0,"",IFERROR(AI276/I276,0))</f>
        <v/>
      </c>
      <c r="AN276" s="15">
        <f>IF(COUNT(C276:P276)=0,"",IFERROR(AH276/I276-AA276,0))</f>
        <v/>
      </c>
    </row>
    <row r="277">
      <c r="A277" s="12">
        <f>Config!$C$6+271</f>
        <v/>
      </c>
      <c r="B277" s="13">
        <f>INT((A277-Config!$C$6)/7)+1</f>
        <v/>
      </c>
      <c r="C277" s="10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5">
        <f>IF(COUNT(C277:P277)=0,"",IFERROR(C277/D277*1000,0))</f>
        <v/>
      </c>
      <c r="R277" s="16">
        <f>IF(COUNT(C277:P277)=0,"",IFERROR(D277/E277,0))</f>
        <v/>
      </c>
      <c r="S277" s="17">
        <f>IF(COUNT(C277:P277)=0,"",IFERROR(F277/D277,0))</f>
        <v/>
      </c>
      <c r="T277" s="15">
        <f>IF(COUNT(C277:P277)=0,"",IFERROR(C277/F277,0))</f>
        <v/>
      </c>
      <c r="U277" s="18">
        <f>IF(COUNT(C277:P277)=0,"",IFERROR(G277/F277,0))</f>
        <v/>
      </c>
      <c r="V277" s="15">
        <f>IF(COUNT(C277:P277)=0,"",IFERROR(C277/G277,0))</f>
        <v/>
      </c>
      <c r="W277" s="19">
        <f>IF(COUNT(C277:P277)=0,"",IFERROR(G277/D277*1000,0))</f>
        <v/>
      </c>
      <c r="X277" s="18">
        <f>IF(COUNT(C277:P277)=0,"",IFERROR(H277/G277,0))</f>
        <v/>
      </c>
      <c r="Y277" s="18">
        <f>IF(COUNT(C277:P277)=0,"",IFERROR(I277/H277,0))</f>
        <v/>
      </c>
      <c r="Z277" s="17">
        <f>IF(COUNT(C277:P277)=0,"",IFERROR(I277/G277,0))</f>
        <v/>
      </c>
      <c r="AA277" s="15">
        <f>IF(COUNT(C277:P277)=0,"",IFERROR(C277/I277,0))</f>
        <v/>
      </c>
      <c r="AB277" s="18">
        <f>IF(COUNT(C277:P277)=0,"",IFERROR(J277/I277,0))</f>
        <v/>
      </c>
      <c r="AC277" s="18">
        <f>IF(COUNT(C277:P277)=0,"",IFERROR(K277/I277,0))</f>
        <v/>
      </c>
      <c r="AD277" s="18">
        <f>IF(COUNT(C277:P277)=0,"",IFERROR(L277/I277,0))</f>
        <v/>
      </c>
      <c r="AE277" s="18">
        <f>IF(COUNT(C277:P277)=0,"",IFERROR(P277/I277,0))</f>
        <v/>
      </c>
      <c r="AF277" s="20">
        <f>IF(COUNT(C277:P277)=0,"",IFERROR(I277*Config!$C$7+J277*Config!$C$8+K277*Config!$C$9+L277*Config!$C$10+M277*Config!$C$11+N277*Config!$C$12+O277*Config!$C$13+P277*Config!$C$14,0))</f>
        <v/>
      </c>
      <c r="AG277" s="15">
        <f>IF(COUNT(C277:P277)=0,"",IFERROR(AF277/I277,0))</f>
        <v/>
      </c>
      <c r="AH277" s="20">
        <f>IF(COUNT(C277:P277)=0,"",IFERROR(AF277*(1-Config!$C$15-Config!$C$16-Config!$C$17),0))</f>
        <v/>
      </c>
      <c r="AI277" s="20">
        <f>IF(COUNT(C277:P277)=0,"",IFERROR(AH277-C277-Config!$C$18,0))</f>
        <v/>
      </c>
      <c r="AJ277" s="21">
        <f>IF(COUNT(C277:P277)=0,"",IFERROR(AH277/C277,0))</f>
        <v/>
      </c>
      <c r="AK277" s="15">
        <f>IF(COUNT(C277:P277)=0,"",IFERROR(AI277/G277,0))</f>
        <v/>
      </c>
      <c r="AL277" s="21">
        <f>IF(COUNT(C277:P277)=0,"",IFERROR(AK277/V277,0))</f>
        <v/>
      </c>
      <c r="AM277" s="15">
        <f>IF(COUNT(C277:P277)=0,"",IFERROR(AI277/I277,0))</f>
        <v/>
      </c>
      <c r="AN277" s="15">
        <f>IF(COUNT(C277:P277)=0,"",IFERROR(AH277/I277-AA277,0))</f>
        <v/>
      </c>
    </row>
    <row r="278">
      <c r="A278" s="12">
        <f>Config!$C$6+272</f>
        <v/>
      </c>
      <c r="B278" s="13">
        <f>INT((A278-Config!$C$6)/7)+1</f>
        <v/>
      </c>
      <c r="C278" s="10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5">
        <f>IF(COUNT(C278:P278)=0,"",IFERROR(C278/D278*1000,0))</f>
        <v/>
      </c>
      <c r="R278" s="16">
        <f>IF(COUNT(C278:P278)=0,"",IFERROR(D278/E278,0))</f>
        <v/>
      </c>
      <c r="S278" s="17">
        <f>IF(COUNT(C278:P278)=0,"",IFERROR(F278/D278,0))</f>
        <v/>
      </c>
      <c r="T278" s="15">
        <f>IF(COUNT(C278:P278)=0,"",IFERROR(C278/F278,0))</f>
        <v/>
      </c>
      <c r="U278" s="18">
        <f>IF(COUNT(C278:P278)=0,"",IFERROR(G278/F278,0))</f>
        <v/>
      </c>
      <c r="V278" s="15">
        <f>IF(COUNT(C278:P278)=0,"",IFERROR(C278/G278,0))</f>
        <v/>
      </c>
      <c r="W278" s="19">
        <f>IF(COUNT(C278:P278)=0,"",IFERROR(G278/D278*1000,0))</f>
        <v/>
      </c>
      <c r="X278" s="18">
        <f>IF(COUNT(C278:P278)=0,"",IFERROR(H278/G278,0))</f>
        <v/>
      </c>
      <c r="Y278" s="18">
        <f>IF(COUNT(C278:P278)=0,"",IFERROR(I278/H278,0))</f>
        <v/>
      </c>
      <c r="Z278" s="17">
        <f>IF(COUNT(C278:P278)=0,"",IFERROR(I278/G278,0))</f>
        <v/>
      </c>
      <c r="AA278" s="15">
        <f>IF(COUNT(C278:P278)=0,"",IFERROR(C278/I278,0))</f>
        <v/>
      </c>
      <c r="AB278" s="18">
        <f>IF(COUNT(C278:P278)=0,"",IFERROR(J278/I278,0))</f>
        <v/>
      </c>
      <c r="AC278" s="18">
        <f>IF(COUNT(C278:P278)=0,"",IFERROR(K278/I278,0))</f>
        <v/>
      </c>
      <c r="AD278" s="18">
        <f>IF(COUNT(C278:P278)=0,"",IFERROR(L278/I278,0))</f>
        <v/>
      </c>
      <c r="AE278" s="18">
        <f>IF(COUNT(C278:P278)=0,"",IFERROR(P278/I278,0))</f>
        <v/>
      </c>
      <c r="AF278" s="20">
        <f>IF(COUNT(C278:P278)=0,"",IFERROR(I278*Config!$C$7+J278*Config!$C$8+K278*Config!$C$9+L278*Config!$C$10+M278*Config!$C$11+N278*Config!$C$12+O278*Config!$C$13+P278*Config!$C$14,0))</f>
        <v/>
      </c>
      <c r="AG278" s="15">
        <f>IF(COUNT(C278:P278)=0,"",IFERROR(AF278/I278,0))</f>
        <v/>
      </c>
      <c r="AH278" s="20">
        <f>IF(COUNT(C278:P278)=0,"",IFERROR(AF278*(1-Config!$C$15-Config!$C$16-Config!$C$17),0))</f>
        <v/>
      </c>
      <c r="AI278" s="20">
        <f>IF(COUNT(C278:P278)=0,"",IFERROR(AH278-C278-Config!$C$18,0))</f>
        <v/>
      </c>
      <c r="AJ278" s="21">
        <f>IF(COUNT(C278:P278)=0,"",IFERROR(AH278/C278,0))</f>
        <v/>
      </c>
      <c r="AK278" s="15">
        <f>IF(COUNT(C278:P278)=0,"",IFERROR(AI278/G278,0))</f>
        <v/>
      </c>
      <c r="AL278" s="21">
        <f>IF(COUNT(C278:P278)=0,"",IFERROR(AK278/V278,0))</f>
        <v/>
      </c>
      <c r="AM278" s="15">
        <f>IF(COUNT(C278:P278)=0,"",IFERROR(AI278/I278,0))</f>
        <v/>
      </c>
      <c r="AN278" s="15">
        <f>IF(COUNT(C278:P278)=0,"",IFERROR(AH278/I278-AA278,0))</f>
        <v/>
      </c>
    </row>
    <row r="279">
      <c r="A279" s="12">
        <f>Config!$C$6+273</f>
        <v/>
      </c>
      <c r="B279" s="13">
        <f>INT((A279-Config!$C$6)/7)+1</f>
        <v/>
      </c>
      <c r="C279" s="10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5">
        <f>IF(COUNT(C279:P279)=0,"",IFERROR(C279/D279*1000,0))</f>
        <v/>
      </c>
      <c r="R279" s="16">
        <f>IF(COUNT(C279:P279)=0,"",IFERROR(D279/E279,0))</f>
        <v/>
      </c>
      <c r="S279" s="17">
        <f>IF(COUNT(C279:P279)=0,"",IFERROR(F279/D279,0))</f>
        <v/>
      </c>
      <c r="T279" s="15">
        <f>IF(COUNT(C279:P279)=0,"",IFERROR(C279/F279,0))</f>
        <v/>
      </c>
      <c r="U279" s="18">
        <f>IF(COUNT(C279:P279)=0,"",IFERROR(G279/F279,0))</f>
        <v/>
      </c>
      <c r="V279" s="15">
        <f>IF(COUNT(C279:P279)=0,"",IFERROR(C279/G279,0))</f>
        <v/>
      </c>
      <c r="W279" s="19">
        <f>IF(COUNT(C279:P279)=0,"",IFERROR(G279/D279*1000,0))</f>
        <v/>
      </c>
      <c r="X279" s="18">
        <f>IF(COUNT(C279:P279)=0,"",IFERROR(H279/G279,0))</f>
        <v/>
      </c>
      <c r="Y279" s="18">
        <f>IF(COUNT(C279:P279)=0,"",IFERROR(I279/H279,0))</f>
        <v/>
      </c>
      <c r="Z279" s="17">
        <f>IF(COUNT(C279:P279)=0,"",IFERROR(I279/G279,0))</f>
        <v/>
      </c>
      <c r="AA279" s="15">
        <f>IF(COUNT(C279:P279)=0,"",IFERROR(C279/I279,0))</f>
        <v/>
      </c>
      <c r="AB279" s="18">
        <f>IF(COUNT(C279:P279)=0,"",IFERROR(J279/I279,0))</f>
        <v/>
      </c>
      <c r="AC279" s="18">
        <f>IF(COUNT(C279:P279)=0,"",IFERROR(K279/I279,0))</f>
        <v/>
      </c>
      <c r="AD279" s="18">
        <f>IF(COUNT(C279:P279)=0,"",IFERROR(L279/I279,0))</f>
        <v/>
      </c>
      <c r="AE279" s="18">
        <f>IF(COUNT(C279:P279)=0,"",IFERROR(P279/I279,0))</f>
        <v/>
      </c>
      <c r="AF279" s="20">
        <f>IF(COUNT(C279:P279)=0,"",IFERROR(I279*Config!$C$7+J279*Config!$C$8+K279*Config!$C$9+L279*Config!$C$10+M279*Config!$C$11+N279*Config!$C$12+O279*Config!$C$13+P279*Config!$C$14,0))</f>
        <v/>
      </c>
      <c r="AG279" s="15">
        <f>IF(COUNT(C279:P279)=0,"",IFERROR(AF279/I279,0))</f>
        <v/>
      </c>
      <c r="AH279" s="20">
        <f>IF(COUNT(C279:P279)=0,"",IFERROR(AF279*(1-Config!$C$15-Config!$C$16-Config!$C$17),0))</f>
        <v/>
      </c>
      <c r="AI279" s="20">
        <f>IF(COUNT(C279:P279)=0,"",IFERROR(AH279-C279-Config!$C$18,0))</f>
        <v/>
      </c>
      <c r="AJ279" s="21">
        <f>IF(COUNT(C279:P279)=0,"",IFERROR(AH279/C279,0))</f>
        <v/>
      </c>
      <c r="AK279" s="15">
        <f>IF(COUNT(C279:P279)=0,"",IFERROR(AI279/G279,0))</f>
        <v/>
      </c>
      <c r="AL279" s="21">
        <f>IF(COUNT(C279:P279)=0,"",IFERROR(AK279/V279,0))</f>
        <v/>
      </c>
      <c r="AM279" s="15">
        <f>IF(COUNT(C279:P279)=0,"",IFERROR(AI279/I279,0))</f>
        <v/>
      </c>
      <c r="AN279" s="15">
        <f>IF(COUNT(C279:P279)=0,"",IFERROR(AH279/I279-AA279,0))</f>
        <v/>
      </c>
    </row>
    <row r="280">
      <c r="A280" s="12">
        <f>Config!$C$6+274</f>
        <v/>
      </c>
      <c r="B280" s="13">
        <f>INT((A280-Config!$C$6)/7)+1</f>
        <v/>
      </c>
      <c r="C280" s="10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5">
        <f>IF(COUNT(C280:P280)=0,"",IFERROR(C280/D280*1000,0))</f>
        <v/>
      </c>
      <c r="R280" s="16">
        <f>IF(COUNT(C280:P280)=0,"",IFERROR(D280/E280,0))</f>
        <v/>
      </c>
      <c r="S280" s="17">
        <f>IF(COUNT(C280:P280)=0,"",IFERROR(F280/D280,0))</f>
        <v/>
      </c>
      <c r="T280" s="15">
        <f>IF(COUNT(C280:P280)=0,"",IFERROR(C280/F280,0))</f>
        <v/>
      </c>
      <c r="U280" s="18">
        <f>IF(COUNT(C280:P280)=0,"",IFERROR(G280/F280,0))</f>
        <v/>
      </c>
      <c r="V280" s="15">
        <f>IF(COUNT(C280:P280)=0,"",IFERROR(C280/G280,0))</f>
        <v/>
      </c>
      <c r="W280" s="19">
        <f>IF(COUNT(C280:P280)=0,"",IFERROR(G280/D280*1000,0))</f>
        <v/>
      </c>
      <c r="X280" s="18">
        <f>IF(COUNT(C280:P280)=0,"",IFERROR(H280/G280,0))</f>
        <v/>
      </c>
      <c r="Y280" s="18">
        <f>IF(COUNT(C280:P280)=0,"",IFERROR(I280/H280,0))</f>
        <v/>
      </c>
      <c r="Z280" s="17">
        <f>IF(COUNT(C280:P280)=0,"",IFERROR(I280/G280,0))</f>
        <v/>
      </c>
      <c r="AA280" s="15">
        <f>IF(COUNT(C280:P280)=0,"",IFERROR(C280/I280,0))</f>
        <v/>
      </c>
      <c r="AB280" s="18">
        <f>IF(COUNT(C280:P280)=0,"",IFERROR(J280/I280,0))</f>
        <v/>
      </c>
      <c r="AC280" s="18">
        <f>IF(COUNT(C280:P280)=0,"",IFERROR(K280/I280,0))</f>
        <v/>
      </c>
      <c r="AD280" s="18">
        <f>IF(COUNT(C280:P280)=0,"",IFERROR(L280/I280,0))</f>
        <v/>
      </c>
      <c r="AE280" s="18">
        <f>IF(COUNT(C280:P280)=0,"",IFERROR(P280/I280,0))</f>
        <v/>
      </c>
      <c r="AF280" s="20">
        <f>IF(COUNT(C280:P280)=0,"",IFERROR(I280*Config!$C$7+J280*Config!$C$8+K280*Config!$C$9+L280*Config!$C$10+M280*Config!$C$11+N280*Config!$C$12+O280*Config!$C$13+P280*Config!$C$14,0))</f>
        <v/>
      </c>
      <c r="AG280" s="15">
        <f>IF(COUNT(C280:P280)=0,"",IFERROR(AF280/I280,0))</f>
        <v/>
      </c>
      <c r="AH280" s="20">
        <f>IF(COUNT(C280:P280)=0,"",IFERROR(AF280*(1-Config!$C$15-Config!$C$16-Config!$C$17),0))</f>
        <v/>
      </c>
      <c r="AI280" s="20">
        <f>IF(COUNT(C280:P280)=0,"",IFERROR(AH280-C280-Config!$C$18,0))</f>
        <v/>
      </c>
      <c r="AJ280" s="21">
        <f>IF(COUNT(C280:P280)=0,"",IFERROR(AH280/C280,0))</f>
        <v/>
      </c>
      <c r="AK280" s="15">
        <f>IF(COUNT(C280:P280)=0,"",IFERROR(AI280/G280,0))</f>
        <v/>
      </c>
      <c r="AL280" s="21">
        <f>IF(COUNT(C280:P280)=0,"",IFERROR(AK280/V280,0))</f>
        <v/>
      </c>
      <c r="AM280" s="15">
        <f>IF(COUNT(C280:P280)=0,"",IFERROR(AI280/I280,0))</f>
        <v/>
      </c>
      <c r="AN280" s="15">
        <f>IF(COUNT(C280:P280)=0,"",IFERROR(AH280/I280-AA280,0))</f>
        <v/>
      </c>
    </row>
    <row r="281">
      <c r="A281" s="12">
        <f>Config!$C$6+275</f>
        <v/>
      </c>
      <c r="B281" s="13">
        <f>INT((A281-Config!$C$6)/7)+1</f>
        <v/>
      </c>
      <c r="C281" s="10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5">
        <f>IF(COUNT(C281:P281)=0,"",IFERROR(C281/D281*1000,0))</f>
        <v/>
      </c>
      <c r="R281" s="16">
        <f>IF(COUNT(C281:P281)=0,"",IFERROR(D281/E281,0))</f>
        <v/>
      </c>
      <c r="S281" s="17">
        <f>IF(COUNT(C281:P281)=0,"",IFERROR(F281/D281,0))</f>
        <v/>
      </c>
      <c r="T281" s="15">
        <f>IF(COUNT(C281:P281)=0,"",IFERROR(C281/F281,0))</f>
        <v/>
      </c>
      <c r="U281" s="18">
        <f>IF(COUNT(C281:P281)=0,"",IFERROR(G281/F281,0))</f>
        <v/>
      </c>
      <c r="V281" s="15">
        <f>IF(COUNT(C281:P281)=0,"",IFERROR(C281/G281,0))</f>
        <v/>
      </c>
      <c r="W281" s="19">
        <f>IF(COUNT(C281:P281)=0,"",IFERROR(G281/D281*1000,0))</f>
        <v/>
      </c>
      <c r="X281" s="18">
        <f>IF(COUNT(C281:P281)=0,"",IFERROR(H281/G281,0))</f>
        <v/>
      </c>
      <c r="Y281" s="18">
        <f>IF(COUNT(C281:P281)=0,"",IFERROR(I281/H281,0))</f>
        <v/>
      </c>
      <c r="Z281" s="17">
        <f>IF(COUNT(C281:P281)=0,"",IFERROR(I281/G281,0))</f>
        <v/>
      </c>
      <c r="AA281" s="15">
        <f>IF(COUNT(C281:P281)=0,"",IFERROR(C281/I281,0))</f>
        <v/>
      </c>
      <c r="AB281" s="18">
        <f>IF(COUNT(C281:P281)=0,"",IFERROR(J281/I281,0))</f>
        <v/>
      </c>
      <c r="AC281" s="18">
        <f>IF(COUNT(C281:P281)=0,"",IFERROR(K281/I281,0))</f>
        <v/>
      </c>
      <c r="AD281" s="18">
        <f>IF(COUNT(C281:P281)=0,"",IFERROR(L281/I281,0))</f>
        <v/>
      </c>
      <c r="AE281" s="18">
        <f>IF(COUNT(C281:P281)=0,"",IFERROR(P281/I281,0))</f>
        <v/>
      </c>
      <c r="AF281" s="20">
        <f>IF(COUNT(C281:P281)=0,"",IFERROR(I281*Config!$C$7+J281*Config!$C$8+K281*Config!$C$9+L281*Config!$C$10+M281*Config!$C$11+N281*Config!$C$12+O281*Config!$C$13+P281*Config!$C$14,0))</f>
        <v/>
      </c>
      <c r="AG281" s="15">
        <f>IF(COUNT(C281:P281)=0,"",IFERROR(AF281/I281,0))</f>
        <v/>
      </c>
      <c r="AH281" s="20">
        <f>IF(COUNT(C281:P281)=0,"",IFERROR(AF281*(1-Config!$C$15-Config!$C$16-Config!$C$17),0))</f>
        <v/>
      </c>
      <c r="AI281" s="20">
        <f>IF(COUNT(C281:P281)=0,"",IFERROR(AH281-C281-Config!$C$18,0))</f>
        <v/>
      </c>
      <c r="AJ281" s="21">
        <f>IF(COUNT(C281:P281)=0,"",IFERROR(AH281/C281,0))</f>
        <v/>
      </c>
      <c r="AK281" s="15">
        <f>IF(COUNT(C281:P281)=0,"",IFERROR(AI281/G281,0))</f>
        <v/>
      </c>
      <c r="AL281" s="21">
        <f>IF(COUNT(C281:P281)=0,"",IFERROR(AK281/V281,0))</f>
        <v/>
      </c>
      <c r="AM281" s="15">
        <f>IF(COUNT(C281:P281)=0,"",IFERROR(AI281/I281,0))</f>
        <v/>
      </c>
      <c r="AN281" s="15">
        <f>IF(COUNT(C281:P281)=0,"",IFERROR(AH281/I281-AA281,0))</f>
        <v/>
      </c>
    </row>
    <row r="282">
      <c r="A282" s="12">
        <f>Config!$C$6+276</f>
        <v/>
      </c>
      <c r="B282" s="13">
        <f>INT((A282-Config!$C$6)/7)+1</f>
        <v/>
      </c>
      <c r="C282" s="10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5">
        <f>IF(COUNT(C282:P282)=0,"",IFERROR(C282/D282*1000,0))</f>
        <v/>
      </c>
      <c r="R282" s="16">
        <f>IF(COUNT(C282:P282)=0,"",IFERROR(D282/E282,0))</f>
        <v/>
      </c>
      <c r="S282" s="17">
        <f>IF(COUNT(C282:P282)=0,"",IFERROR(F282/D282,0))</f>
        <v/>
      </c>
      <c r="T282" s="15">
        <f>IF(COUNT(C282:P282)=0,"",IFERROR(C282/F282,0))</f>
        <v/>
      </c>
      <c r="U282" s="18">
        <f>IF(COUNT(C282:P282)=0,"",IFERROR(G282/F282,0))</f>
        <v/>
      </c>
      <c r="V282" s="15">
        <f>IF(COUNT(C282:P282)=0,"",IFERROR(C282/G282,0))</f>
        <v/>
      </c>
      <c r="W282" s="19">
        <f>IF(COUNT(C282:P282)=0,"",IFERROR(G282/D282*1000,0))</f>
        <v/>
      </c>
      <c r="X282" s="18">
        <f>IF(COUNT(C282:P282)=0,"",IFERROR(H282/G282,0))</f>
        <v/>
      </c>
      <c r="Y282" s="18">
        <f>IF(COUNT(C282:P282)=0,"",IFERROR(I282/H282,0))</f>
        <v/>
      </c>
      <c r="Z282" s="17">
        <f>IF(COUNT(C282:P282)=0,"",IFERROR(I282/G282,0))</f>
        <v/>
      </c>
      <c r="AA282" s="15">
        <f>IF(COUNT(C282:P282)=0,"",IFERROR(C282/I282,0))</f>
        <v/>
      </c>
      <c r="AB282" s="18">
        <f>IF(COUNT(C282:P282)=0,"",IFERROR(J282/I282,0))</f>
        <v/>
      </c>
      <c r="AC282" s="18">
        <f>IF(COUNT(C282:P282)=0,"",IFERROR(K282/I282,0))</f>
        <v/>
      </c>
      <c r="AD282" s="18">
        <f>IF(COUNT(C282:P282)=0,"",IFERROR(L282/I282,0))</f>
        <v/>
      </c>
      <c r="AE282" s="18">
        <f>IF(COUNT(C282:P282)=0,"",IFERROR(P282/I282,0))</f>
        <v/>
      </c>
      <c r="AF282" s="20">
        <f>IF(COUNT(C282:P282)=0,"",IFERROR(I282*Config!$C$7+J282*Config!$C$8+K282*Config!$C$9+L282*Config!$C$10+M282*Config!$C$11+N282*Config!$C$12+O282*Config!$C$13+P282*Config!$C$14,0))</f>
        <v/>
      </c>
      <c r="AG282" s="15">
        <f>IF(COUNT(C282:P282)=0,"",IFERROR(AF282/I282,0))</f>
        <v/>
      </c>
      <c r="AH282" s="20">
        <f>IF(COUNT(C282:P282)=0,"",IFERROR(AF282*(1-Config!$C$15-Config!$C$16-Config!$C$17),0))</f>
        <v/>
      </c>
      <c r="AI282" s="20">
        <f>IF(COUNT(C282:P282)=0,"",IFERROR(AH282-C282-Config!$C$18,0))</f>
        <v/>
      </c>
      <c r="AJ282" s="21">
        <f>IF(COUNT(C282:P282)=0,"",IFERROR(AH282/C282,0))</f>
        <v/>
      </c>
      <c r="AK282" s="15">
        <f>IF(COUNT(C282:P282)=0,"",IFERROR(AI282/G282,0))</f>
        <v/>
      </c>
      <c r="AL282" s="21">
        <f>IF(COUNT(C282:P282)=0,"",IFERROR(AK282/V282,0))</f>
        <v/>
      </c>
      <c r="AM282" s="15">
        <f>IF(COUNT(C282:P282)=0,"",IFERROR(AI282/I282,0))</f>
        <v/>
      </c>
      <c r="AN282" s="15">
        <f>IF(COUNT(C282:P282)=0,"",IFERROR(AH282/I282-AA282,0))</f>
        <v/>
      </c>
    </row>
    <row r="283">
      <c r="A283" s="12">
        <f>Config!$C$6+277</f>
        <v/>
      </c>
      <c r="B283" s="13">
        <f>INT((A283-Config!$C$6)/7)+1</f>
        <v/>
      </c>
      <c r="C283" s="10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5">
        <f>IF(COUNT(C283:P283)=0,"",IFERROR(C283/D283*1000,0))</f>
        <v/>
      </c>
      <c r="R283" s="16">
        <f>IF(COUNT(C283:P283)=0,"",IFERROR(D283/E283,0))</f>
        <v/>
      </c>
      <c r="S283" s="17">
        <f>IF(COUNT(C283:P283)=0,"",IFERROR(F283/D283,0))</f>
        <v/>
      </c>
      <c r="T283" s="15">
        <f>IF(COUNT(C283:P283)=0,"",IFERROR(C283/F283,0))</f>
        <v/>
      </c>
      <c r="U283" s="18">
        <f>IF(COUNT(C283:P283)=0,"",IFERROR(G283/F283,0))</f>
        <v/>
      </c>
      <c r="V283" s="15">
        <f>IF(COUNT(C283:P283)=0,"",IFERROR(C283/G283,0))</f>
        <v/>
      </c>
      <c r="W283" s="19">
        <f>IF(COUNT(C283:P283)=0,"",IFERROR(G283/D283*1000,0))</f>
        <v/>
      </c>
      <c r="X283" s="18">
        <f>IF(COUNT(C283:P283)=0,"",IFERROR(H283/G283,0))</f>
        <v/>
      </c>
      <c r="Y283" s="18">
        <f>IF(COUNT(C283:P283)=0,"",IFERROR(I283/H283,0))</f>
        <v/>
      </c>
      <c r="Z283" s="17">
        <f>IF(COUNT(C283:P283)=0,"",IFERROR(I283/G283,0))</f>
        <v/>
      </c>
      <c r="AA283" s="15">
        <f>IF(COUNT(C283:P283)=0,"",IFERROR(C283/I283,0))</f>
        <v/>
      </c>
      <c r="AB283" s="18">
        <f>IF(COUNT(C283:P283)=0,"",IFERROR(J283/I283,0))</f>
        <v/>
      </c>
      <c r="AC283" s="18">
        <f>IF(COUNT(C283:P283)=0,"",IFERROR(K283/I283,0))</f>
        <v/>
      </c>
      <c r="AD283" s="18">
        <f>IF(COUNT(C283:P283)=0,"",IFERROR(L283/I283,0))</f>
        <v/>
      </c>
      <c r="AE283" s="18">
        <f>IF(COUNT(C283:P283)=0,"",IFERROR(P283/I283,0))</f>
        <v/>
      </c>
      <c r="AF283" s="20">
        <f>IF(COUNT(C283:P283)=0,"",IFERROR(I283*Config!$C$7+J283*Config!$C$8+K283*Config!$C$9+L283*Config!$C$10+M283*Config!$C$11+N283*Config!$C$12+O283*Config!$C$13+P283*Config!$C$14,0))</f>
        <v/>
      </c>
      <c r="AG283" s="15">
        <f>IF(COUNT(C283:P283)=0,"",IFERROR(AF283/I283,0))</f>
        <v/>
      </c>
      <c r="AH283" s="20">
        <f>IF(COUNT(C283:P283)=0,"",IFERROR(AF283*(1-Config!$C$15-Config!$C$16-Config!$C$17),0))</f>
        <v/>
      </c>
      <c r="AI283" s="20">
        <f>IF(COUNT(C283:P283)=0,"",IFERROR(AH283-C283-Config!$C$18,0))</f>
        <v/>
      </c>
      <c r="AJ283" s="21">
        <f>IF(COUNT(C283:P283)=0,"",IFERROR(AH283/C283,0))</f>
        <v/>
      </c>
      <c r="AK283" s="15">
        <f>IF(COUNT(C283:P283)=0,"",IFERROR(AI283/G283,0))</f>
        <v/>
      </c>
      <c r="AL283" s="21">
        <f>IF(COUNT(C283:P283)=0,"",IFERROR(AK283/V283,0))</f>
        <v/>
      </c>
      <c r="AM283" s="15">
        <f>IF(COUNT(C283:P283)=0,"",IFERROR(AI283/I283,0))</f>
        <v/>
      </c>
      <c r="AN283" s="15">
        <f>IF(COUNT(C283:P283)=0,"",IFERROR(AH283/I283-AA283,0))</f>
        <v/>
      </c>
    </row>
    <row r="284">
      <c r="A284" s="12">
        <f>Config!$C$6+278</f>
        <v/>
      </c>
      <c r="B284" s="13">
        <f>INT((A284-Config!$C$6)/7)+1</f>
        <v/>
      </c>
      <c r="C284" s="10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5">
        <f>IF(COUNT(C284:P284)=0,"",IFERROR(C284/D284*1000,0))</f>
        <v/>
      </c>
      <c r="R284" s="16">
        <f>IF(COUNT(C284:P284)=0,"",IFERROR(D284/E284,0))</f>
        <v/>
      </c>
      <c r="S284" s="17">
        <f>IF(COUNT(C284:P284)=0,"",IFERROR(F284/D284,0))</f>
        <v/>
      </c>
      <c r="T284" s="15">
        <f>IF(COUNT(C284:P284)=0,"",IFERROR(C284/F284,0))</f>
        <v/>
      </c>
      <c r="U284" s="18">
        <f>IF(COUNT(C284:P284)=0,"",IFERROR(G284/F284,0))</f>
        <v/>
      </c>
      <c r="V284" s="15">
        <f>IF(COUNT(C284:P284)=0,"",IFERROR(C284/G284,0))</f>
        <v/>
      </c>
      <c r="W284" s="19">
        <f>IF(COUNT(C284:P284)=0,"",IFERROR(G284/D284*1000,0))</f>
        <v/>
      </c>
      <c r="X284" s="18">
        <f>IF(COUNT(C284:P284)=0,"",IFERROR(H284/G284,0))</f>
        <v/>
      </c>
      <c r="Y284" s="18">
        <f>IF(COUNT(C284:P284)=0,"",IFERROR(I284/H284,0))</f>
        <v/>
      </c>
      <c r="Z284" s="17">
        <f>IF(COUNT(C284:P284)=0,"",IFERROR(I284/G284,0))</f>
        <v/>
      </c>
      <c r="AA284" s="15">
        <f>IF(COUNT(C284:P284)=0,"",IFERROR(C284/I284,0))</f>
        <v/>
      </c>
      <c r="AB284" s="18">
        <f>IF(COUNT(C284:P284)=0,"",IFERROR(J284/I284,0))</f>
        <v/>
      </c>
      <c r="AC284" s="18">
        <f>IF(COUNT(C284:P284)=0,"",IFERROR(K284/I284,0))</f>
        <v/>
      </c>
      <c r="AD284" s="18">
        <f>IF(COUNT(C284:P284)=0,"",IFERROR(L284/I284,0))</f>
        <v/>
      </c>
      <c r="AE284" s="18">
        <f>IF(COUNT(C284:P284)=0,"",IFERROR(P284/I284,0))</f>
        <v/>
      </c>
      <c r="AF284" s="20">
        <f>IF(COUNT(C284:P284)=0,"",IFERROR(I284*Config!$C$7+J284*Config!$C$8+K284*Config!$C$9+L284*Config!$C$10+M284*Config!$C$11+N284*Config!$C$12+O284*Config!$C$13+P284*Config!$C$14,0))</f>
        <v/>
      </c>
      <c r="AG284" s="15">
        <f>IF(COUNT(C284:P284)=0,"",IFERROR(AF284/I284,0))</f>
        <v/>
      </c>
      <c r="AH284" s="20">
        <f>IF(COUNT(C284:P284)=0,"",IFERROR(AF284*(1-Config!$C$15-Config!$C$16-Config!$C$17),0))</f>
        <v/>
      </c>
      <c r="AI284" s="20">
        <f>IF(COUNT(C284:P284)=0,"",IFERROR(AH284-C284-Config!$C$18,0))</f>
        <v/>
      </c>
      <c r="AJ284" s="21">
        <f>IF(COUNT(C284:P284)=0,"",IFERROR(AH284/C284,0))</f>
        <v/>
      </c>
      <c r="AK284" s="15">
        <f>IF(COUNT(C284:P284)=0,"",IFERROR(AI284/G284,0))</f>
        <v/>
      </c>
      <c r="AL284" s="21">
        <f>IF(COUNT(C284:P284)=0,"",IFERROR(AK284/V284,0))</f>
        <v/>
      </c>
      <c r="AM284" s="15">
        <f>IF(COUNT(C284:P284)=0,"",IFERROR(AI284/I284,0))</f>
        <v/>
      </c>
      <c r="AN284" s="15">
        <f>IF(COUNT(C284:P284)=0,"",IFERROR(AH284/I284-AA284,0))</f>
        <v/>
      </c>
    </row>
    <row r="285">
      <c r="A285" s="12">
        <f>Config!$C$6+279</f>
        <v/>
      </c>
      <c r="B285" s="13">
        <f>INT((A285-Config!$C$6)/7)+1</f>
        <v/>
      </c>
      <c r="C285" s="10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5">
        <f>IF(COUNT(C285:P285)=0,"",IFERROR(C285/D285*1000,0))</f>
        <v/>
      </c>
      <c r="R285" s="16">
        <f>IF(COUNT(C285:P285)=0,"",IFERROR(D285/E285,0))</f>
        <v/>
      </c>
      <c r="S285" s="17">
        <f>IF(COUNT(C285:P285)=0,"",IFERROR(F285/D285,0))</f>
        <v/>
      </c>
      <c r="T285" s="15">
        <f>IF(COUNT(C285:P285)=0,"",IFERROR(C285/F285,0))</f>
        <v/>
      </c>
      <c r="U285" s="18">
        <f>IF(COUNT(C285:P285)=0,"",IFERROR(G285/F285,0))</f>
        <v/>
      </c>
      <c r="V285" s="15">
        <f>IF(COUNT(C285:P285)=0,"",IFERROR(C285/G285,0))</f>
        <v/>
      </c>
      <c r="W285" s="19">
        <f>IF(COUNT(C285:P285)=0,"",IFERROR(G285/D285*1000,0))</f>
        <v/>
      </c>
      <c r="X285" s="18">
        <f>IF(COUNT(C285:P285)=0,"",IFERROR(H285/G285,0))</f>
        <v/>
      </c>
      <c r="Y285" s="18">
        <f>IF(COUNT(C285:P285)=0,"",IFERROR(I285/H285,0))</f>
        <v/>
      </c>
      <c r="Z285" s="17">
        <f>IF(COUNT(C285:P285)=0,"",IFERROR(I285/G285,0))</f>
        <v/>
      </c>
      <c r="AA285" s="15">
        <f>IF(COUNT(C285:P285)=0,"",IFERROR(C285/I285,0))</f>
        <v/>
      </c>
      <c r="AB285" s="18">
        <f>IF(COUNT(C285:P285)=0,"",IFERROR(J285/I285,0))</f>
        <v/>
      </c>
      <c r="AC285" s="18">
        <f>IF(COUNT(C285:P285)=0,"",IFERROR(K285/I285,0))</f>
        <v/>
      </c>
      <c r="AD285" s="18">
        <f>IF(COUNT(C285:P285)=0,"",IFERROR(L285/I285,0))</f>
        <v/>
      </c>
      <c r="AE285" s="18">
        <f>IF(COUNT(C285:P285)=0,"",IFERROR(P285/I285,0))</f>
        <v/>
      </c>
      <c r="AF285" s="20">
        <f>IF(COUNT(C285:P285)=0,"",IFERROR(I285*Config!$C$7+J285*Config!$C$8+K285*Config!$C$9+L285*Config!$C$10+M285*Config!$C$11+N285*Config!$C$12+O285*Config!$C$13+P285*Config!$C$14,0))</f>
        <v/>
      </c>
      <c r="AG285" s="15">
        <f>IF(COUNT(C285:P285)=0,"",IFERROR(AF285/I285,0))</f>
        <v/>
      </c>
      <c r="AH285" s="20">
        <f>IF(COUNT(C285:P285)=0,"",IFERROR(AF285*(1-Config!$C$15-Config!$C$16-Config!$C$17),0))</f>
        <v/>
      </c>
      <c r="AI285" s="20">
        <f>IF(COUNT(C285:P285)=0,"",IFERROR(AH285-C285-Config!$C$18,0))</f>
        <v/>
      </c>
      <c r="AJ285" s="21">
        <f>IF(COUNT(C285:P285)=0,"",IFERROR(AH285/C285,0))</f>
        <v/>
      </c>
      <c r="AK285" s="15">
        <f>IF(COUNT(C285:P285)=0,"",IFERROR(AI285/G285,0))</f>
        <v/>
      </c>
      <c r="AL285" s="21">
        <f>IF(COUNT(C285:P285)=0,"",IFERROR(AK285/V285,0))</f>
        <v/>
      </c>
      <c r="AM285" s="15">
        <f>IF(COUNT(C285:P285)=0,"",IFERROR(AI285/I285,0))</f>
        <v/>
      </c>
      <c r="AN285" s="15">
        <f>IF(COUNT(C285:P285)=0,"",IFERROR(AH285/I285-AA285,0))</f>
        <v/>
      </c>
    </row>
    <row r="286">
      <c r="A286" s="12">
        <f>Config!$C$6+280</f>
        <v/>
      </c>
      <c r="B286" s="13">
        <f>INT((A286-Config!$C$6)/7)+1</f>
        <v/>
      </c>
      <c r="C286" s="10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5">
        <f>IF(COUNT(C286:P286)=0,"",IFERROR(C286/D286*1000,0))</f>
        <v/>
      </c>
      <c r="R286" s="16">
        <f>IF(COUNT(C286:P286)=0,"",IFERROR(D286/E286,0))</f>
        <v/>
      </c>
      <c r="S286" s="17">
        <f>IF(COUNT(C286:P286)=0,"",IFERROR(F286/D286,0))</f>
        <v/>
      </c>
      <c r="T286" s="15">
        <f>IF(COUNT(C286:P286)=0,"",IFERROR(C286/F286,0))</f>
        <v/>
      </c>
      <c r="U286" s="18">
        <f>IF(COUNT(C286:P286)=0,"",IFERROR(G286/F286,0))</f>
        <v/>
      </c>
      <c r="V286" s="15">
        <f>IF(COUNT(C286:P286)=0,"",IFERROR(C286/G286,0))</f>
        <v/>
      </c>
      <c r="W286" s="19">
        <f>IF(COUNT(C286:P286)=0,"",IFERROR(G286/D286*1000,0))</f>
        <v/>
      </c>
      <c r="X286" s="18">
        <f>IF(COUNT(C286:P286)=0,"",IFERROR(H286/G286,0))</f>
        <v/>
      </c>
      <c r="Y286" s="18">
        <f>IF(COUNT(C286:P286)=0,"",IFERROR(I286/H286,0))</f>
        <v/>
      </c>
      <c r="Z286" s="17">
        <f>IF(COUNT(C286:P286)=0,"",IFERROR(I286/G286,0))</f>
        <v/>
      </c>
      <c r="AA286" s="15">
        <f>IF(COUNT(C286:P286)=0,"",IFERROR(C286/I286,0))</f>
        <v/>
      </c>
      <c r="AB286" s="18">
        <f>IF(COUNT(C286:P286)=0,"",IFERROR(J286/I286,0))</f>
        <v/>
      </c>
      <c r="AC286" s="18">
        <f>IF(COUNT(C286:P286)=0,"",IFERROR(K286/I286,0))</f>
        <v/>
      </c>
      <c r="AD286" s="18">
        <f>IF(COUNT(C286:P286)=0,"",IFERROR(L286/I286,0))</f>
        <v/>
      </c>
      <c r="AE286" s="18">
        <f>IF(COUNT(C286:P286)=0,"",IFERROR(P286/I286,0))</f>
        <v/>
      </c>
      <c r="AF286" s="20">
        <f>IF(COUNT(C286:P286)=0,"",IFERROR(I286*Config!$C$7+J286*Config!$C$8+K286*Config!$C$9+L286*Config!$C$10+M286*Config!$C$11+N286*Config!$C$12+O286*Config!$C$13+P286*Config!$C$14,0))</f>
        <v/>
      </c>
      <c r="AG286" s="15">
        <f>IF(COUNT(C286:P286)=0,"",IFERROR(AF286/I286,0))</f>
        <v/>
      </c>
      <c r="AH286" s="20">
        <f>IF(COUNT(C286:P286)=0,"",IFERROR(AF286*(1-Config!$C$15-Config!$C$16-Config!$C$17),0))</f>
        <v/>
      </c>
      <c r="AI286" s="20">
        <f>IF(COUNT(C286:P286)=0,"",IFERROR(AH286-C286-Config!$C$18,0))</f>
        <v/>
      </c>
      <c r="AJ286" s="21">
        <f>IF(COUNT(C286:P286)=0,"",IFERROR(AH286/C286,0))</f>
        <v/>
      </c>
      <c r="AK286" s="15">
        <f>IF(COUNT(C286:P286)=0,"",IFERROR(AI286/G286,0))</f>
        <v/>
      </c>
      <c r="AL286" s="21">
        <f>IF(COUNT(C286:P286)=0,"",IFERROR(AK286/V286,0))</f>
        <v/>
      </c>
      <c r="AM286" s="15">
        <f>IF(COUNT(C286:P286)=0,"",IFERROR(AI286/I286,0))</f>
        <v/>
      </c>
      <c r="AN286" s="15">
        <f>IF(COUNT(C286:P286)=0,"",IFERROR(AH286/I286-AA286,0))</f>
        <v/>
      </c>
    </row>
    <row r="287">
      <c r="A287" s="12">
        <f>Config!$C$6+281</f>
        <v/>
      </c>
      <c r="B287" s="13">
        <f>INT((A287-Config!$C$6)/7)+1</f>
        <v/>
      </c>
      <c r="C287" s="10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5">
        <f>IF(COUNT(C287:P287)=0,"",IFERROR(C287/D287*1000,0))</f>
        <v/>
      </c>
      <c r="R287" s="16">
        <f>IF(COUNT(C287:P287)=0,"",IFERROR(D287/E287,0))</f>
        <v/>
      </c>
      <c r="S287" s="17">
        <f>IF(COUNT(C287:P287)=0,"",IFERROR(F287/D287,0))</f>
        <v/>
      </c>
      <c r="T287" s="15">
        <f>IF(COUNT(C287:P287)=0,"",IFERROR(C287/F287,0))</f>
        <v/>
      </c>
      <c r="U287" s="18">
        <f>IF(COUNT(C287:P287)=0,"",IFERROR(G287/F287,0))</f>
        <v/>
      </c>
      <c r="V287" s="15">
        <f>IF(COUNT(C287:P287)=0,"",IFERROR(C287/G287,0))</f>
        <v/>
      </c>
      <c r="W287" s="19">
        <f>IF(COUNT(C287:P287)=0,"",IFERROR(G287/D287*1000,0))</f>
        <v/>
      </c>
      <c r="X287" s="18">
        <f>IF(COUNT(C287:P287)=0,"",IFERROR(H287/G287,0))</f>
        <v/>
      </c>
      <c r="Y287" s="18">
        <f>IF(COUNT(C287:P287)=0,"",IFERROR(I287/H287,0))</f>
        <v/>
      </c>
      <c r="Z287" s="17">
        <f>IF(COUNT(C287:P287)=0,"",IFERROR(I287/G287,0))</f>
        <v/>
      </c>
      <c r="AA287" s="15">
        <f>IF(COUNT(C287:P287)=0,"",IFERROR(C287/I287,0))</f>
        <v/>
      </c>
      <c r="AB287" s="18">
        <f>IF(COUNT(C287:P287)=0,"",IFERROR(J287/I287,0))</f>
        <v/>
      </c>
      <c r="AC287" s="18">
        <f>IF(COUNT(C287:P287)=0,"",IFERROR(K287/I287,0))</f>
        <v/>
      </c>
      <c r="AD287" s="18">
        <f>IF(COUNT(C287:P287)=0,"",IFERROR(L287/I287,0))</f>
        <v/>
      </c>
      <c r="AE287" s="18">
        <f>IF(COUNT(C287:P287)=0,"",IFERROR(P287/I287,0))</f>
        <v/>
      </c>
      <c r="AF287" s="20">
        <f>IF(COUNT(C287:P287)=0,"",IFERROR(I287*Config!$C$7+J287*Config!$C$8+K287*Config!$C$9+L287*Config!$C$10+M287*Config!$C$11+N287*Config!$C$12+O287*Config!$C$13+P287*Config!$C$14,0))</f>
        <v/>
      </c>
      <c r="AG287" s="15">
        <f>IF(COUNT(C287:P287)=0,"",IFERROR(AF287/I287,0))</f>
        <v/>
      </c>
      <c r="AH287" s="20">
        <f>IF(COUNT(C287:P287)=0,"",IFERROR(AF287*(1-Config!$C$15-Config!$C$16-Config!$C$17),0))</f>
        <v/>
      </c>
      <c r="AI287" s="20">
        <f>IF(COUNT(C287:P287)=0,"",IFERROR(AH287-C287-Config!$C$18,0))</f>
        <v/>
      </c>
      <c r="AJ287" s="21">
        <f>IF(COUNT(C287:P287)=0,"",IFERROR(AH287/C287,0))</f>
        <v/>
      </c>
      <c r="AK287" s="15">
        <f>IF(COUNT(C287:P287)=0,"",IFERROR(AI287/G287,0))</f>
        <v/>
      </c>
      <c r="AL287" s="21">
        <f>IF(COUNT(C287:P287)=0,"",IFERROR(AK287/V287,0))</f>
        <v/>
      </c>
      <c r="AM287" s="15">
        <f>IF(COUNT(C287:P287)=0,"",IFERROR(AI287/I287,0))</f>
        <v/>
      </c>
      <c r="AN287" s="15">
        <f>IF(COUNT(C287:P287)=0,"",IFERROR(AH287/I287-AA287,0))</f>
        <v/>
      </c>
    </row>
    <row r="288">
      <c r="A288" s="12">
        <f>Config!$C$6+282</f>
        <v/>
      </c>
      <c r="B288" s="13">
        <f>INT((A288-Config!$C$6)/7)+1</f>
        <v/>
      </c>
      <c r="C288" s="10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5">
        <f>IF(COUNT(C288:P288)=0,"",IFERROR(C288/D288*1000,0))</f>
        <v/>
      </c>
      <c r="R288" s="16">
        <f>IF(COUNT(C288:P288)=0,"",IFERROR(D288/E288,0))</f>
        <v/>
      </c>
      <c r="S288" s="17">
        <f>IF(COUNT(C288:P288)=0,"",IFERROR(F288/D288,0))</f>
        <v/>
      </c>
      <c r="T288" s="15">
        <f>IF(COUNT(C288:P288)=0,"",IFERROR(C288/F288,0))</f>
        <v/>
      </c>
      <c r="U288" s="18">
        <f>IF(COUNT(C288:P288)=0,"",IFERROR(G288/F288,0))</f>
        <v/>
      </c>
      <c r="V288" s="15">
        <f>IF(COUNT(C288:P288)=0,"",IFERROR(C288/G288,0))</f>
        <v/>
      </c>
      <c r="W288" s="19">
        <f>IF(COUNT(C288:P288)=0,"",IFERROR(G288/D288*1000,0))</f>
        <v/>
      </c>
      <c r="X288" s="18">
        <f>IF(COUNT(C288:P288)=0,"",IFERROR(H288/G288,0))</f>
        <v/>
      </c>
      <c r="Y288" s="18">
        <f>IF(COUNT(C288:P288)=0,"",IFERROR(I288/H288,0))</f>
        <v/>
      </c>
      <c r="Z288" s="17">
        <f>IF(COUNT(C288:P288)=0,"",IFERROR(I288/G288,0))</f>
        <v/>
      </c>
      <c r="AA288" s="15">
        <f>IF(COUNT(C288:P288)=0,"",IFERROR(C288/I288,0))</f>
        <v/>
      </c>
      <c r="AB288" s="18">
        <f>IF(COUNT(C288:P288)=0,"",IFERROR(J288/I288,0))</f>
        <v/>
      </c>
      <c r="AC288" s="18">
        <f>IF(COUNT(C288:P288)=0,"",IFERROR(K288/I288,0))</f>
        <v/>
      </c>
      <c r="AD288" s="18">
        <f>IF(COUNT(C288:P288)=0,"",IFERROR(L288/I288,0))</f>
        <v/>
      </c>
      <c r="AE288" s="18">
        <f>IF(COUNT(C288:P288)=0,"",IFERROR(P288/I288,0))</f>
        <v/>
      </c>
      <c r="AF288" s="20">
        <f>IF(COUNT(C288:P288)=0,"",IFERROR(I288*Config!$C$7+J288*Config!$C$8+K288*Config!$C$9+L288*Config!$C$10+M288*Config!$C$11+N288*Config!$C$12+O288*Config!$C$13+P288*Config!$C$14,0))</f>
        <v/>
      </c>
      <c r="AG288" s="15">
        <f>IF(COUNT(C288:P288)=0,"",IFERROR(AF288/I288,0))</f>
        <v/>
      </c>
      <c r="AH288" s="20">
        <f>IF(COUNT(C288:P288)=0,"",IFERROR(AF288*(1-Config!$C$15-Config!$C$16-Config!$C$17),0))</f>
        <v/>
      </c>
      <c r="AI288" s="20">
        <f>IF(COUNT(C288:P288)=0,"",IFERROR(AH288-C288-Config!$C$18,0))</f>
        <v/>
      </c>
      <c r="AJ288" s="21">
        <f>IF(COUNT(C288:P288)=0,"",IFERROR(AH288/C288,0))</f>
        <v/>
      </c>
      <c r="AK288" s="15">
        <f>IF(COUNT(C288:P288)=0,"",IFERROR(AI288/G288,0))</f>
        <v/>
      </c>
      <c r="AL288" s="21">
        <f>IF(COUNT(C288:P288)=0,"",IFERROR(AK288/V288,0))</f>
        <v/>
      </c>
      <c r="AM288" s="15">
        <f>IF(COUNT(C288:P288)=0,"",IFERROR(AI288/I288,0))</f>
        <v/>
      </c>
      <c r="AN288" s="15">
        <f>IF(COUNT(C288:P288)=0,"",IFERROR(AH288/I288-AA288,0))</f>
        <v/>
      </c>
    </row>
    <row r="289">
      <c r="A289" s="12">
        <f>Config!$C$6+283</f>
        <v/>
      </c>
      <c r="B289" s="13">
        <f>INT((A289-Config!$C$6)/7)+1</f>
        <v/>
      </c>
      <c r="C289" s="10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5">
        <f>IF(COUNT(C289:P289)=0,"",IFERROR(C289/D289*1000,0))</f>
        <v/>
      </c>
      <c r="R289" s="16">
        <f>IF(COUNT(C289:P289)=0,"",IFERROR(D289/E289,0))</f>
        <v/>
      </c>
      <c r="S289" s="17">
        <f>IF(COUNT(C289:P289)=0,"",IFERROR(F289/D289,0))</f>
        <v/>
      </c>
      <c r="T289" s="15">
        <f>IF(COUNT(C289:P289)=0,"",IFERROR(C289/F289,0))</f>
        <v/>
      </c>
      <c r="U289" s="18">
        <f>IF(COUNT(C289:P289)=0,"",IFERROR(G289/F289,0))</f>
        <v/>
      </c>
      <c r="V289" s="15">
        <f>IF(COUNT(C289:P289)=0,"",IFERROR(C289/G289,0))</f>
        <v/>
      </c>
      <c r="W289" s="19">
        <f>IF(COUNT(C289:P289)=0,"",IFERROR(G289/D289*1000,0))</f>
        <v/>
      </c>
      <c r="X289" s="18">
        <f>IF(COUNT(C289:P289)=0,"",IFERROR(H289/G289,0))</f>
        <v/>
      </c>
      <c r="Y289" s="18">
        <f>IF(COUNT(C289:P289)=0,"",IFERROR(I289/H289,0))</f>
        <v/>
      </c>
      <c r="Z289" s="17">
        <f>IF(COUNT(C289:P289)=0,"",IFERROR(I289/G289,0))</f>
        <v/>
      </c>
      <c r="AA289" s="15">
        <f>IF(COUNT(C289:P289)=0,"",IFERROR(C289/I289,0))</f>
        <v/>
      </c>
      <c r="AB289" s="18">
        <f>IF(COUNT(C289:P289)=0,"",IFERROR(J289/I289,0))</f>
        <v/>
      </c>
      <c r="AC289" s="18">
        <f>IF(COUNT(C289:P289)=0,"",IFERROR(K289/I289,0))</f>
        <v/>
      </c>
      <c r="AD289" s="18">
        <f>IF(COUNT(C289:P289)=0,"",IFERROR(L289/I289,0))</f>
        <v/>
      </c>
      <c r="AE289" s="18">
        <f>IF(COUNT(C289:P289)=0,"",IFERROR(P289/I289,0))</f>
        <v/>
      </c>
      <c r="AF289" s="20">
        <f>IF(COUNT(C289:P289)=0,"",IFERROR(I289*Config!$C$7+J289*Config!$C$8+K289*Config!$C$9+L289*Config!$C$10+M289*Config!$C$11+N289*Config!$C$12+O289*Config!$C$13+P289*Config!$C$14,0))</f>
        <v/>
      </c>
      <c r="AG289" s="15">
        <f>IF(COUNT(C289:P289)=0,"",IFERROR(AF289/I289,0))</f>
        <v/>
      </c>
      <c r="AH289" s="20">
        <f>IF(COUNT(C289:P289)=0,"",IFERROR(AF289*(1-Config!$C$15-Config!$C$16-Config!$C$17),0))</f>
        <v/>
      </c>
      <c r="AI289" s="20">
        <f>IF(COUNT(C289:P289)=0,"",IFERROR(AH289-C289-Config!$C$18,0))</f>
        <v/>
      </c>
      <c r="AJ289" s="21">
        <f>IF(COUNT(C289:P289)=0,"",IFERROR(AH289/C289,0))</f>
        <v/>
      </c>
      <c r="AK289" s="15">
        <f>IF(COUNT(C289:P289)=0,"",IFERROR(AI289/G289,0))</f>
        <v/>
      </c>
      <c r="AL289" s="21">
        <f>IF(COUNT(C289:P289)=0,"",IFERROR(AK289/V289,0))</f>
        <v/>
      </c>
      <c r="AM289" s="15">
        <f>IF(COUNT(C289:P289)=0,"",IFERROR(AI289/I289,0))</f>
        <v/>
      </c>
      <c r="AN289" s="15">
        <f>IF(COUNT(C289:P289)=0,"",IFERROR(AH289/I289-AA289,0))</f>
        <v/>
      </c>
    </row>
    <row r="290">
      <c r="A290" s="12">
        <f>Config!$C$6+284</f>
        <v/>
      </c>
      <c r="B290" s="13">
        <f>INT((A290-Config!$C$6)/7)+1</f>
        <v/>
      </c>
      <c r="C290" s="10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5">
        <f>IF(COUNT(C290:P290)=0,"",IFERROR(C290/D290*1000,0))</f>
        <v/>
      </c>
      <c r="R290" s="16">
        <f>IF(COUNT(C290:P290)=0,"",IFERROR(D290/E290,0))</f>
        <v/>
      </c>
      <c r="S290" s="17">
        <f>IF(COUNT(C290:P290)=0,"",IFERROR(F290/D290,0))</f>
        <v/>
      </c>
      <c r="T290" s="15">
        <f>IF(COUNT(C290:P290)=0,"",IFERROR(C290/F290,0))</f>
        <v/>
      </c>
      <c r="U290" s="18">
        <f>IF(COUNT(C290:P290)=0,"",IFERROR(G290/F290,0))</f>
        <v/>
      </c>
      <c r="V290" s="15">
        <f>IF(COUNT(C290:P290)=0,"",IFERROR(C290/G290,0))</f>
        <v/>
      </c>
      <c r="W290" s="19">
        <f>IF(COUNT(C290:P290)=0,"",IFERROR(G290/D290*1000,0))</f>
        <v/>
      </c>
      <c r="X290" s="18">
        <f>IF(COUNT(C290:P290)=0,"",IFERROR(H290/G290,0))</f>
        <v/>
      </c>
      <c r="Y290" s="18">
        <f>IF(COUNT(C290:P290)=0,"",IFERROR(I290/H290,0))</f>
        <v/>
      </c>
      <c r="Z290" s="17">
        <f>IF(COUNT(C290:P290)=0,"",IFERROR(I290/G290,0))</f>
        <v/>
      </c>
      <c r="AA290" s="15">
        <f>IF(COUNT(C290:P290)=0,"",IFERROR(C290/I290,0))</f>
        <v/>
      </c>
      <c r="AB290" s="18">
        <f>IF(COUNT(C290:P290)=0,"",IFERROR(J290/I290,0))</f>
        <v/>
      </c>
      <c r="AC290" s="18">
        <f>IF(COUNT(C290:P290)=0,"",IFERROR(K290/I290,0))</f>
        <v/>
      </c>
      <c r="AD290" s="18">
        <f>IF(COUNT(C290:P290)=0,"",IFERROR(L290/I290,0))</f>
        <v/>
      </c>
      <c r="AE290" s="18">
        <f>IF(COUNT(C290:P290)=0,"",IFERROR(P290/I290,0))</f>
        <v/>
      </c>
      <c r="AF290" s="20">
        <f>IF(COUNT(C290:P290)=0,"",IFERROR(I290*Config!$C$7+J290*Config!$C$8+K290*Config!$C$9+L290*Config!$C$10+M290*Config!$C$11+N290*Config!$C$12+O290*Config!$C$13+P290*Config!$C$14,0))</f>
        <v/>
      </c>
      <c r="AG290" s="15">
        <f>IF(COUNT(C290:P290)=0,"",IFERROR(AF290/I290,0))</f>
        <v/>
      </c>
      <c r="AH290" s="20">
        <f>IF(COUNT(C290:P290)=0,"",IFERROR(AF290*(1-Config!$C$15-Config!$C$16-Config!$C$17),0))</f>
        <v/>
      </c>
      <c r="AI290" s="20">
        <f>IF(COUNT(C290:P290)=0,"",IFERROR(AH290-C290-Config!$C$18,0))</f>
        <v/>
      </c>
      <c r="AJ290" s="21">
        <f>IF(COUNT(C290:P290)=0,"",IFERROR(AH290/C290,0))</f>
        <v/>
      </c>
      <c r="AK290" s="15">
        <f>IF(COUNT(C290:P290)=0,"",IFERROR(AI290/G290,0))</f>
        <v/>
      </c>
      <c r="AL290" s="21">
        <f>IF(COUNT(C290:P290)=0,"",IFERROR(AK290/V290,0))</f>
        <v/>
      </c>
      <c r="AM290" s="15">
        <f>IF(COUNT(C290:P290)=0,"",IFERROR(AI290/I290,0))</f>
        <v/>
      </c>
      <c r="AN290" s="15">
        <f>IF(COUNT(C290:P290)=0,"",IFERROR(AH290/I290-AA290,0))</f>
        <v/>
      </c>
    </row>
    <row r="291">
      <c r="A291" s="12">
        <f>Config!$C$6+285</f>
        <v/>
      </c>
      <c r="B291" s="13">
        <f>INT((A291-Config!$C$6)/7)+1</f>
        <v/>
      </c>
      <c r="C291" s="10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5">
        <f>IF(COUNT(C291:P291)=0,"",IFERROR(C291/D291*1000,0))</f>
        <v/>
      </c>
      <c r="R291" s="16">
        <f>IF(COUNT(C291:P291)=0,"",IFERROR(D291/E291,0))</f>
        <v/>
      </c>
      <c r="S291" s="17">
        <f>IF(COUNT(C291:P291)=0,"",IFERROR(F291/D291,0))</f>
        <v/>
      </c>
      <c r="T291" s="15">
        <f>IF(COUNT(C291:P291)=0,"",IFERROR(C291/F291,0))</f>
        <v/>
      </c>
      <c r="U291" s="18">
        <f>IF(COUNT(C291:P291)=0,"",IFERROR(G291/F291,0))</f>
        <v/>
      </c>
      <c r="V291" s="15">
        <f>IF(COUNT(C291:P291)=0,"",IFERROR(C291/G291,0))</f>
        <v/>
      </c>
      <c r="W291" s="19">
        <f>IF(COUNT(C291:P291)=0,"",IFERROR(G291/D291*1000,0))</f>
        <v/>
      </c>
      <c r="X291" s="18">
        <f>IF(COUNT(C291:P291)=0,"",IFERROR(H291/G291,0))</f>
        <v/>
      </c>
      <c r="Y291" s="18">
        <f>IF(COUNT(C291:P291)=0,"",IFERROR(I291/H291,0))</f>
        <v/>
      </c>
      <c r="Z291" s="17">
        <f>IF(COUNT(C291:P291)=0,"",IFERROR(I291/G291,0))</f>
        <v/>
      </c>
      <c r="AA291" s="15">
        <f>IF(COUNT(C291:P291)=0,"",IFERROR(C291/I291,0))</f>
        <v/>
      </c>
      <c r="AB291" s="18">
        <f>IF(COUNT(C291:P291)=0,"",IFERROR(J291/I291,0))</f>
        <v/>
      </c>
      <c r="AC291" s="18">
        <f>IF(COUNT(C291:P291)=0,"",IFERROR(K291/I291,0))</f>
        <v/>
      </c>
      <c r="AD291" s="18">
        <f>IF(COUNT(C291:P291)=0,"",IFERROR(L291/I291,0))</f>
        <v/>
      </c>
      <c r="AE291" s="18">
        <f>IF(COUNT(C291:P291)=0,"",IFERROR(P291/I291,0))</f>
        <v/>
      </c>
      <c r="AF291" s="20">
        <f>IF(COUNT(C291:P291)=0,"",IFERROR(I291*Config!$C$7+J291*Config!$C$8+K291*Config!$C$9+L291*Config!$C$10+M291*Config!$C$11+N291*Config!$C$12+O291*Config!$C$13+P291*Config!$C$14,0))</f>
        <v/>
      </c>
      <c r="AG291" s="15">
        <f>IF(COUNT(C291:P291)=0,"",IFERROR(AF291/I291,0))</f>
        <v/>
      </c>
      <c r="AH291" s="20">
        <f>IF(COUNT(C291:P291)=0,"",IFERROR(AF291*(1-Config!$C$15-Config!$C$16-Config!$C$17),0))</f>
        <v/>
      </c>
      <c r="AI291" s="20">
        <f>IF(COUNT(C291:P291)=0,"",IFERROR(AH291-C291-Config!$C$18,0))</f>
        <v/>
      </c>
      <c r="AJ291" s="21">
        <f>IF(COUNT(C291:P291)=0,"",IFERROR(AH291/C291,0))</f>
        <v/>
      </c>
      <c r="AK291" s="15">
        <f>IF(COUNT(C291:P291)=0,"",IFERROR(AI291/G291,0))</f>
        <v/>
      </c>
      <c r="AL291" s="21">
        <f>IF(COUNT(C291:P291)=0,"",IFERROR(AK291/V291,0))</f>
        <v/>
      </c>
      <c r="AM291" s="15">
        <f>IF(COUNT(C291:P291)=0,"",IFERROR(AI291/I291,0))</f>
        <v/>
      </c>
      <c r="AN291" s="15">
        <f>IF(COUNT(C291:P291)=0,"",IFERROR(AH291/I291-AA291,0))</f>
        <v/>
      </c>
    </row>
    <row r="292">
      <c r="A292" s="12">
        <f>Config!$C$6+286</f>
        <v/>
      </c>
      <c r="B292" s="13">
        <f>INT((A292-Config!$C$6)/7)+1</f>
        <v/>
      </c>
      <c r="C292" s="10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5">
        <f>IF(COUNT(C292:P292)=0,"",IFERROR(C292/D292*1000,0))</f>
        <v/>
      </c>
      <c r="R292" s="16">
        <f>IF(COUNT(C292:P292)=0,"",IFERROR(D292/E292,0))</f>
        <v/>
      </c>
      <c r="S292" s="17">
        <f>IF(COUNT(C292:P292)=0,"",IFERROR(F292/D292,0))</f>
        <v/>
      </c>
      <c r="T292" s="15">
        <f>IF(COUNT(C292:P292)=0,"",IFERROR(C292/F292,0))</f>
        <v/>
      </c>
      <c r="U292" s="18">
        <f>IF(COUNT(C292:P292)=0,"",IFERROR(G292/F292,0))</f>
        <v/>
      </c>
      <c r="V292" s="15">
        <f>IF(COUNT(C292:P292)=0,"",IFERROR(C292/G292,0))</f>
        <v/>
      </c>
      <c r="W292" s="19">
        <f>IF(COUNT(C292:P292)=0,"",IFERROR(G292/D292*1000,0))</f>
        <v/>
      </c>
      <c r="X292" s="18">
        <f>IF(COUNT(C292:P292)=0,"",IFERROR(H292/G292,0))</f>
        <v/>
      </c>
      <c r="Y292" s="18">
        <f>IF(COUNT(C292:P292)=0,"",IFERROR(I292/H292,0))</f>
        <v/>
      </c>
      <c r="Z292" s="17">
        <f>IF(COUNT(C292:P292)=0,"",IFERROR(I292/G292,0))</f>
        <v/>
      </c>
      <c r="AA292" s="15">
        <f>IF(COUNT(C292:P292)=0,"",IFERROR(C292/I292,0))</f>
        <v/>
      </c>
      <c r="AB292" s="18">
        <f>IF(COUNT(C292:P292)=0,"",IFERROR(J292/I292,0))</f>
        <v/>
      </c>
      <c r="AC292" s="18">
        <f>IF(COUNT(C292:P292)=0,"",IFERROR(K292/I292,0))</f>
        <v/>
      </c>
      <c r="AD292" s="18">
        <f>IF(COUNT(C292:P292)=0,"",IFERROR(L292/I292,0))</f>
        <v/>
      </c>
      <c r="AE292" s="18">
        <f>IF(COUNT(C292:P292)=0,"",IFERROR(P292/I292,0))</f>
        <v/>
      </c>
      <c r="AF292" s="20">
        <f>IF(COUNT(C292:P292)=0,"",IFERROR(I292*Config!$C$7+J292*Config!$C$8+K292*Config!$C$9+L292*Config!$C$10+M292*Config!$C$11+N292*Config!$C$12+O292*Config!$C$13+P292*Config!$C$14,0))</f>
        <v/>
      </c>
      <c r="AG292" s="15">
        <f>IF(COUNT(C292:P292)=0,"",IFERROR(AF292/I292,0))</f>
        <v/>
      </c>
      <c r="AH292" s="20">
        <f>IF(COUNT(C292:P292)=0,"",IFERROR(AF292*(1-Config!$C$15-Config!$C$16-Config!$C$17),0))</f>
        <v/>
      </c>
      <c r="AI292" s="20">
        <f>IF(COUNT(C292:P292)=0,"",IFERROR(AH292-C292-Config!$C$18,0))</f>
        <v/>
      </c>
      <c r="AJ292" s="21">
        <f>IF(COUNT(C292:P292)=0,"",IFERROR(AH292/C292,0))</f>
        <v/>
      </c>
      <c r="AK292" s="15">
        <f>IF(COUNT(C292:P292)=0,"",IFERROR(AI292/G292,0))</f>
        <v/>
      </c>
      <c r="AL292" s="21">
        <f>IF(COUNT(C292:P292)=0,"",IFERROR(AK292/V292,0))</f>
        <v/>
      </c>
      <c r="AM292" s="15">
        <f>IF(COUNT(C292:P292)=0,"",IFERROR(AI292/I292,0))</f>
        <v/>
      </c>
      <c r="AN292" s="15">
        <f>IF(COUNT(C292:P292)=0,"",IFERROR(AH292/I292-AA292,0))</f>
        <v/>
      </c>
    </row>
    <row r="293">
      <c r="A293" s="12">
        <f>Config!$C$6+287</f>
        <v/>
      </c>
      <c r="B293" s="13">
        <f>INT((A293-Config!$C$6)/7)+1</f>
        <v/>
      </c>
      <c r="C293" s="10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5">
        <f>IF(COUNT(C293:P293)=0,"",IFERROR(C293/D293*1000,0))</f>
        <v/>
      </c>
      <c r="R293" s="16">
        <f>IF(COUNT(C293:P293)=0,"",IFERROR(D293/E293,0))</f>
        <v/>
      </c>
      <c r="S293" s="17">
        <f>IF(COUNT(C293:P293)=0,"",IFERROR(F293/D293,0))</f>
        <v/>
      </c>
      <c r="T293" s="15">
        <f>IF(COUNT(C293:P293)=0,"",IFERROR(C293/F293,0))</f>
        <v/>
      </c>
      <c r="U293" s="18">
        <f>IF(COUNT(C293:P293)=0,"",IFERROR(G293/F293,0))</f>
        <v/>
      </c>
      <c r="V293" s="15">
        <f>IF(COUNT(C293:P293)=0,"",IFERROR(C293/G293,0))</f>
        <v/>
      </c>
      <c r="W293" s="19">
        <f>IF(COUNT(C293:P293)=0,"",IFERROR(G293/D293*1000,0))</f>
        <v/>
      </c>
      <c r="X293" s="18">
        <f>IF(COUNT(C293:P293)=0,"",IFERROR(H293/G293,0))</f>
        <v/>
      </c>
      <c r="Y293" s="18">
        <f>IF(COUNT(C293:P293)=0,"",IFERROR(I293/H293,0))</f>
        <v/>
      </c>
      <c r="Z293" s="17">
        <f>IF(COUNT(C293:P293)=0,"",IFERROR(I293/G293,0))</f>
        <v/>
      </c>
      <c r="AA293" s="15">
        <f>IF(COUNT(C293:P293)=0,"",IFERROR(C293/I293,0))</f>
        <v/>
      </c>
      <c r="AB293" s="18">
        <f>IF(COUNT(C293:P293)=0,"",IFERROR(J293/I293,0))</f>
        <v/>
      </c>
      <c r="AC293" s="18">
        <f>IF(COUNT(C293:P293)=0,"",IFERROR(K293/I293,0))</f>
        <v/>
      </c>
      <c r="AD293" s="18">
        <f>IF(COUNT(C293:P293)=0,"",IFERROR(L293/I293,0))</f>
        <v/>
      </c>
      <c r="AE293" s="18">
        <f>IF(COUNT(C293:P293)=0,"",IFERROR(P293/I293,0))</f>
        <v/>
      </c>
      <c r="AF293" s="20">
        <f>IF(COUNT(C293:P293)=0,"",IFERROR(I293*Config!$C$7+J293*Config!$C$8+K293*Config!$C$9+L293*Config!$C$10+M293*Config!$C$11+N293*Config!$C$12+O293*Config!$C$13+P293*Config!$C$14,0))</f>
        <v/>
      </c>
      <c r="AG293" s="15">
        <f>IF(COUNT(C293:P293)=0,"",IFERROR(AF293/I293,0))</f>
        <v/>
      </c>
      <c r="AH293" s="20">
        <f>IF(COUNT(C293:P293)=0,"",IFERROR(AF293*(1-Config!$C$15-Config!$C$16-Config!$C$17),0))</f>
        <v/>
      </c>
      <c r="AI293" s="20">
        <f>IF(COUNT(C293:P293)=0,"",IFERROR(AH293-C293-Config!$C$18,0))</f>
        <v/>
      </c>
      <c r="AJ293" s="21">
        <f>IF(COUNT(C293:P293)=0,"",IFERROR(AH293/C293,0))</f>
        <v/>
      </c>
      <c r="AK293" s="15">
        <f>IF(COUNT(C293:P293)=0,"",IFERROR(AI293/G293,0))</f>
        <v/>
      </c>
      <c r="AL293" s="21">
        <f>IF(COUNT(C293:P293)=0,"",IFERROR(AK293/V293,0))</f>
        <v/>
      </c>
      <c r="AM293" s="15">
        <f>IF(COUNT(C293:P293)=0,"",IFERROR(AI293/I293,0))</f>
        <v/>
      </c>
      <c r="AN293" s="15">
        <f>IF(COUNT(C293:P293)=0,"",IFERROR(AH293/I293-AA293,0))</f>
        <v/>
      </c>
    </row>
    <row r="294">
      <c r="A294" s="12">
        <f>Config!$C$6+288</f>
        <v/>
      </c>
      <c r="B294" s="13">
        <f>INT((A294-Config!$C$6)/7)+1</f>
        <v/>
      </c>
      <c r="C294" s="10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5">
        <f>IF(COUNT(C294:P294)=0,"",IFERROR(C294/D294*1000,0))</f>
        <v/>
      </c>
      <c r="R294" s="16">
        <f>IF(COUNT(C294:P294)=0,"",IFERROR(D294/E294,0))</f>
        <v/>
      </c>
      <c r="S294" s="17">
        <f>IF(COUNT(C294:P294)=0,"",IFERROR(F294/D294,0))</f>
        <v/>
      </c>
      <c r="T294" s="15">
        <f>IF(COUNT(C294:P294)=0,"",IFERROR(C294/F294,0))</f>
        <v/>
      </c>
      <c r="U294" s="18">
        <f>IF(COUNT(C294:P294)=0,"",IFERROR(G294/F294,0))</f>
        <v/>
      </c>
      <c r="V294" s="15">
        <f>IF(COUNT(C294:P294)=0,"",IFERROR(C294/G294,0))</f>
        <v/>
      </c>
      <c r="W294" s="19">
        <f>IF(COUNT(C294:P294)=0,"",IFERROR(G294/D294*1000,0))</f>
        <v/>
      </c>
      <c r="X294" s="18">
        <f>IF(COUNT(C294:P294)=0,"",IFERROR(H294/G294,0))</f>
        <v/>
      </c>
      <c r="Y294" s="18">
        <f>IF(COUNT(C294:P294)=0,"",IFERROR(I294/H294,0))</f>
        <v/>
      </c>
      <c r="Z294" s="17">
        <f>IF(COUNT(C294:P294)=0,"",IFERROR(I294/G294,0))</f>
        <v/>
      </c>
      <c r="AA294" s="15">
        <f>IF(COUNT(C294:P294)=0,"",IFERROR(C294/I294,0))</f>
        <v/>
      </c>
      <c r="AB294" s="18">
        <f>IF(COUNT(C294:P294)=0,"",IFERROR(J294/I294,0))</f>
        <v/>
      </c>
      <c r="AC294" s="18">
        <f>IF(COUNT(C294:P294)=0,"",IFERROR(K294/I294,0))</f>
        <v/>
      </c>
      <c r="AD294" s="18">
        <f>IF(COUNT(C294:P294)=0,"",IFERROR(L294/I294,0))</f>
        <v/>
      </c>
      <c r="AE294" s="18">
        <f>IF(COUNT(C294:P294)=0,"",IFERROR(P294/I294,0))</f>
        <v/>
      </c>
      <c r="AF294" s="20">
        <f>IF(COUNT(C294:P294)=0,"",IFERROR(I294*Config!$C$7+J294*Config!$C$8+K294*Config!$C$9+L294*Config!$C$10+M294*Config!$C$11+N294*Config!$C$12+O294*Config!$C$13+P294*Config!$C$14,0))</f>
        <v/>
      </c>
      <c r="AG294" s="15">
        <f>IF(COUNT(C294:P294)=0,"",IFERROR(AF294/I294,0))</f>
        <v/>
      </c>
      <c r="AH294" s="20">
        <f>IF(COUNT(C294:P294)=0,"",IFERROR(AF294*(1-Config!$C$15-Config!$C$16-Config!$C$17),0))</f>
        <v/>
      </c>
      <c r="AI294" s="20">
        <f>IF(COUNT(C294:P294)=0,"",IFERROR(AH294-C294-Config!$C$18,0))</f>
        <v/>
      </c>
      <c r="AJ294" s="21">
        <f>IF(COUNT(C294:P294)=0,"",IFERROR(AH294/C294,0))</f>
        <v/>
      </c>
      <c r="AK294" s="15">
        <f>IF(COUNT(C294:P294)=0,"",IFERROR(AI294/G294,0))</f>
        <v/>
      </c>
      <c r="AL294" s="21">
        <f>IF(COUNT(C294:P294)=0,"",IFERROR(AK294/V294,0))</f>
        <v/>
      </c>
      <c r="AM294" s="15">
        <f>IF(COUNT(C294:P294)=0,"",IFERROR(AI294/I294,0))</f>
        <v/>
      </c>
      <c r="AN294" s="15">
        <f>IF(COUNT(C294:P294)=0,"",IFERROR(AH294/I294-AA294,0))</f>
        <v/>
      </c>
    </row>
    <row r="295">
      <c r="A295" s="12">
        <f>Config!$C$6+289</f>
        <v/>
      </c>
      <c r="B295" s="13">
        <f>INT((A295-Config!$C$6)/7)+1</f>
        <v/>
      </c>
      <c r="C295" s="10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5">
        <f>IF(COUNT(C295:P295)=0,"",IFERROR(C295/D295*1000,0))</f>
        <v/>
      </c>
      <c r="R295" s="16">
        <f>IF(COUNT(C295:P295)=0,"",IFERROR(D295/E295,0))</f>
        <v/>
      </c>
      <c r="S295" s="17">
        <f>IF(COUNT(C295:P295)=0,"",IFERROR(F295/D295,0))</f>
        <v/>
      </c>
      <c r="T295" s="15">
        <f>IF(COUNT(C295:P295)=0,"",IFERROR(C295/F295,0))</f>
        <v/>
      </c>
      <c r="U295" s="18">
        <f>IF(COUNT(C295:P295)=0,"",IFERROR(G295/F295,0))</f>
        <v/>
      </c>
      <c r="V295" s="15">
        <f>IF(COUNT(C295:P295)=0,"",IFERROR(C295/G295,0))</f>
        <v/>
      </c>
      <c r="W295" s="19">
        <f>IF(COUNT(C295:P295)=0,"",IFERROR(G295/D295*1000,0))</f>
        <v/>
      </c>
      <c r="X295" s="18">
        <f>IF(COUNT(C295:P295)=0,"",IFERROR(H295/G295,0))</f>
        <v/>
      </c>
      <c r="Y295" s="18">
        <f>IF(COUNT(C295:P295)=0,"",IFERROR(I295/H295,0))</f>
        <v/>
      </c>
      <c r="Z295" s="17">
        <f>IF(COUNT(C295:P295)=0,"",IFERROR(I295/G295,0))</f>
        <v/>
      </c>
      <c r="AA295" s="15">
        <f>IF(COUNT(C295:P295)=0,"",IFERROR(C295/I295,0))</f>
        <v/>
      </c>
      <c r="AB295" s="18">
        <f>IF(COUNT(C295:P295)=0,"",IFERROR(J295/I295,0))</f>
        <v/>
      </c>
      <c r="AC295" s="18">
        <f>IF(COUNT(C295:P295)=0,"",IFERROR(K295/I295,0))</f>
        <v/>
      </c>
      <c r="AD295" s="18">
        <f>IF(COUNT(C295:P295)=0,"",IFERROR(L295/I295,0))</f>
        <v/>
      </c>
      <c r="AE295" s="18">
        <f>IF(COUNT(C295:P295)=0,"",IFERROR(P295/I295,0))</f>
        <v/>
      </c>
      <c r="AF295" s="20">
        <f>IF(COUNT(C295:P295)=0,"",IFERROR(I295*Config!$C$7+J295*Config!$C$8+K295*Config!$C$9+L295*Config!$C$10+M295*Config!$C$11+N295*Config!$C$12+O295*Config!$C$13+P295*Config!$C$14,0))</f>
        <v/>
      </c>
      <c r="AG295" s="15">
        <f>IF(COUNT(C295:P295)=0,"",IFERROR(AF295/I295,0))</f>
        <v/>
      </c>
      <c r="AH295" s="20">
        <f>IF(COUNT(C295:P295)=0,"",IFERROR(AF295*(1-Config!$C$15-Config!$C$16-Config!$C$17),0))</f>
        <v/>
      </c>
      <c r="AI295" s="20">
        <f>IF(COUNT(C295:P295)=0,"",IFERROR(AH295-C295-Config!$C$18,0))</f>
        <v/>
      </c>
      <c r="AJ295" s="21">
        <f>IF(COUNT(C295:P295)=0,"",IFERROR(AH295/C295,0))</f>
        <v/>
      </c>
      <c r="AK295" s="15">
        <f>IF(COUNT(C295:P295)=0,"",IFERROR(AI295/G295,0))</f>
        <v/>
      </c>
      <c r="AL295" s="21">
        <f>IF(COUNT(C295:P295)=0,"",IFERROR(AK295/V295,0))</f>
        <v/>
      </c>
      <c r="AM295" s="15">
        <f>IF(COUNT(C295:P295)=0,"",IFERROR(AI295/I295,0))</f>
        <v/>
      </c>
      <c r="AN295" s="15">
        <f>IF(COUNT(C295:P295)=0,"",IFERROR(AH295/I295-AA295,0))</f>
        <v/>
      </c>
    </row>
    <row r="296">
      <c r="A296" s="12">
        <f>Config!$C$6+290</f>
        <v/>
      </c>
      <c r="B296" s="13">
        <f>INT((A296-Config!$C$6)/7)+1</f>
        <v/>
      </c>
      <c r="C296" s="10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5">
        <f>IF(COUNT(C296:P296)=0,"",IFERROR(C296/D296*1000,0))</f>
        <v/>
      </c>
      <c r="R296" s="16">
        <f>IF(COUNT(C296:P296)=0,"",IFERROR(D296/E296,0))</f>
        <v/>
      </c>
      <c r="S296" s="17">
        <f>IF(COUNT(C296:P296)=0,"",IFERROR(F296/D296,0))</f>
        <v/>
      </c>
      <c r="T296" s="15">
        <f>IF(COUNT(C296:P296)=0,"",IFERROR(C296/F296,0))</f>
        <v/>
      </c>
      <c r="U296" s="18">
        <f>IF(COUNT(C296:P296)=0,"",IFERROR(G296/F296,0))</f>
        <v/>
      </c>
      <c r="V296" s="15">
        <f>IF(COUNT(C296:P296)=0,"",IFERROR(C296/G296,0))</f>
        <v/>
      </c>
      <c r="W296" s="19">
        <f>IF(COUNT(C296:P296)=0,"",IFERROR(G296/D296*1000,0))</f>
        <v/>
      </c>
      <c r="X296" s="18">
        <f>IF(COUNT(C296:P296)=0,"",IFERROR(H296/G296,0))</f>
        <v/>
      </c>
      <c r="Y296" s="18">
        <f>IF(COUNT(C296:P296)=0,"",IFERROR(I296/H296,0))</f>
        <v/>
      </c>
      <c r="Z296" s="17">
        <f>IF(COUNT(C296:P296)=0,"",IFERROR(I296/G296,0))</f>
        <v/>
      </c>
      <c r="AA296" s="15">
        <f>IF(COUNT(C296:P296)=0,"",IFERROR(C296/I296,0))</f>
        <v/>
      </c>
      <c r="AB296" s="18">
        <f>IF(COUNT(C296:P296)=0,"",IFERROR(J296/I296,0))</f>
        <v/>
      </c>
      <c r="AC296" s="18">
        <f>IF(COUNT(C296:P296)=0,"",IFERROR(K296/I296,0))</f>
        <v/>
      </c>
      <c r="AD296" s="18">
        <f>IF(COUNT(C296:P296)=0,"",IFERROR(L296/I296,0))</f>
        <v/>
      </c>
      <c r="AE296" s="18">
        <f>IF(COUNT(C296:P296)=0,"",IFERROR(P296/I296,0))</f>
        <v/>
      </c>
      <c r="AF296" s="20">
        <f>IF(COUNT(C296:P296)=0,"",IFERROR(I296*Config!$C$7+J296*Config!$C$8+K296*Config!$C$9+L296*Config!$C$10+M296*Config!$C$11+N296*Config!$C$12+O296*Config!$C$13+P296*Config!$C$14,0))</f>
        <v/>
      </c>
      <c r="AG296" s="15">
        <f>IF(COUNT(C296:P296)=0,"",IFERROR(AF296/I296,0))</f>
        <v/>
      </c>
      <c r="AH296" s="20">
        <f>IF(COUNT(C296:P296)=0,"",IFERROR(AF296*(1-Config!$C$15-Config!$C$16-Config!$C$17),0))</f>
        <v/>
      </c>
      <c r="AI296" s="20">
        <f>IF(COUNT(C296:P296)=0,"",IFERROR(AH296-C296-Config!$C$18,0))</f>
        <v/>
      </c>
      <c r="AJ296" s="21">
        <f>IF(COUNT(C296:P296)=0,"",IFERROR(AH296/C296,0))</f>
        <v/>
      </c>
      <c r="AK296" s="15">
        <f>IF(COUNT(C296:P296)=0,"",IFERROR(AI296/G296,0))</f>
        <v/>
      </c>
      <c r="AL296" s="21">
        <f>IF(COUNT(C296:P296)=0,"",IFERROR(AK296/V296,0))</f>
        <v/>
      </c>
      <c r="AM296" s="15">
        <f>IF(COUNT(C296:P296)=0,"",IFERROR(AI296/I296,0))</f>
        <v/>
      </c>
      <c r="AN296" s="15">
        <f>IF(COUNT(C296:P296)=0,"",IFERROR(AH296/I296-AA296,0))</f>
        <v/>
      </c>
    </row>
    <row r="297">
      <c r="A297" s="12">
        <f>Config!$C$6+291</f>
        <v/>
      </c>
      <c r="B297" s="13">
        <f>INT((A297-Config!$C$6)/7)+1</f>
        <v/>
      </c>
      <c r="C297" s="10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5">
        <f>IF(COUNT(C297:P297)=0,"",IFERROR(C297/D297*1000,0))</f>
        <v/>
      </c>
      <c r="R297" s="16">
        <f>IF(COUNT(C297:P297)=0,"",IFERROR(D297/E297,0))</f>
        <v/>
      </c>
      <c r="S297" s="17">
        <f>IF(COUNT(C297:P297)=0,"",IFERROR(F297/D297,0))</f>
        <v/>
      </c>
      <c r="T297" s="15">
        <f>IF(COUNT(C297:P297)=0,"",IFERROR(C297/F297,0))</f>
        <v/>
      </c>
      <c r="U297" s="18">
        <f>IF(COUNT(C297:P297)=0,"",IFERROR(G297/F297,0))</f>
        <v/>
      </c>
      <c r="V297" s="15">
        <f>IF(COUNT(C297:P297)=0,"",IFERROR(C297/G297,0))</f>
        <v/>
      </c>
      <c r="W297" s="19">
        <f>IF(COUNT(C297:P297)=0,"",IFERROR(G297/D297*1000,0))</f>
        <v/>
      </c>
      <c r="X297" s="18">
        <f>IF(COUNT(C297:P297)=0,"",IFERROR(H297/G297,0))</f>
        <v/>
      </c>
      <c r="Y297" s="18">
        <f>IF(COUNT(C297:P297)=0,"",IFERROR(I297/H297,0))</f>
        <v/>
      </c>
      <c r="Z297" s="17">
        <f>IF(COUNT(C297:P297)=0,"",IFERROR(I297/G297,0))</f>
        <v/>
      </c>
      <c r="AA297" s="15">
        <f>IF(COUNT(C297:P297)=0,"",IFERROR(C297/I297,0))</f>
        <v/>
      </c>
      <c r="AB297" s="18">
        <f>IF(COUNT(C297:P297)=0,"",IFERROR(J297/I297,0))</f>
        <v/>
      </c>
      <c r="AC297" s="18">
        <f>IF(COUNT(C297:P297)=0,"",IFERROR(K297/I297,0))</f>
        <v/>
      </c>
      <c r="AD297" s="18">
        <f>IF(COUNT(C297:P297)=0,"",IFERROR(L297/I297,0))</f>
        <v/>
      </c>
      <c r="AE297" s="18">
        <f>IF(COUNT(C297:P297)=0,"",IFERROR(P297/I297,0))</f>
        <v/>
      </c>
      <c r="AF297" s="20">
        <f>IF(COUNT(C297:P297)=0,"",IFERROR(I297*Config!$C$7+J297*Config!$C$8+K297*Config!$C$9+L297*Config!$C$10+M297*Config!$C$11+N297*Config!$C$12+O297*Config!$C$13+P297*Config!$C$14,0))</f>
        <v/>
      </c>
      <c r="AG297" s="15">
        <f>IF(COUNT(C297:P297)=0,"",IFERROR(AF297/I297,0))</f>
        <v/>
      </c>
      <c r="AH297" s="20">
        <f>IF(COUNT(C297:P297)=0,"",IFERROR(AF297*(1-Config!$C$15-Config!$C$16-Config!$C$17),0))</f>
        <v/>
      </c>
      <c r="AI297" s="20">
        <f>IF(COUNT(C297:P297)=0,"",IFERROR(AH297-C297-Config!$C$18,0))</f>
        <v/>
      </c>
      <c r="AJ297" s="21">
        <f>IF(COUNT(C297:P297)=0,"",IFERROR(AH297/C297,0))</f>
        <v/>
      </c>
      <c r="AK297" s="15">
        <f>IF(COUNT(C297:P297)=0,"",IFERROR(AI297/G297,0))</f>
        <v/>
      </c>
      <c r="AL297" s="21">
        <f>IF(COUNT(C297:P297)=0,"",IFERROR(AK297/V297,0))</f>
        <v/>
      </c>
      <c r="AM297" s="15">
        <f>IF(COUNT(C297:P297)=0,"",IFERROR(AI297/I297,0))</f>
        <v/>
      </c>
      <c r="AN297" s="15">
        <f>IF(COUNT(C297:P297)=0,"",IFERROR(AH297/I297-AA297,0))</f>
        <v/>
      </c>
    </row>
    <row r="298">
      <c r="A298" s="12">
        <f>Config!$C$6+292</f>
        <v/>
      </c>
      <c r="B298" s="13">
        <f>INT((A298-Config!$C$6)/7)+1</f>
        <v/>
      </c>
      <c r="C298" s="10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5">
        <f>IF(COUNT(C298:P298)=0,"",IFERROR(C298/D298*1000,0))</f>
        <v/>
      </c>
      <c r="R298" s="16">
        <f>IF(COUNT(C298:P298)=0,"",IFERROR(D298/E298,0))</f>
        <v/>
      </c>
      <c r="S298" s="17">
        <f>IF(COUNT(C298:P298)=0,"",IFERROR(F298/D298,0))</f>
        <v/>
      </c>
      <c r="T298" s="15">
        <f>IF(COUNT(C298:P298)=0,"",IFERROR(C298/F298,0))</f>
        <v/>
      </c>
      <c r="U298" s="18">
        <f>IF(COUNT(C298:P298)=0,"",IFERROR(G298/F298,0))</f>
        <v/>
      </c>
      <c r="V298" s="15">
        <f>IF(COUNT(C298:P298)=0,"",IFERROR(C298/G298,0))</f>
        <v/>
      </c>
      <c r="W298" s="19">
        <f>IF(COUNT(C298:P298)=0,"",IFERROR(G298/D298*1000,0))</f>
        <v/>
      </c>
      <c r="X298" s="18">
        <f>IF(COUNT(C298:P298)=0,"",IFERROR(H298/G298,0))</f>
        <v/>
      </c>
      <c r="Y298" s="18">
        <f>IF(COUNT(C298:P298)=0,"",IFERROR(I298/H298,0))</f>
        <v/>
      </c>
      <c r="Z298" s="17">
        <f>IF(COUNT(C298:P298)=0,"",IFERROR(I298/G298,0))</f>
        <v/>
      </c>
      <c r="AA298" s="15">
        <f>IF(COUNT(C298:P298)=0,"",IFERROR(C298/I298,0))</f>
        <v/>
      </c>
      <c r="AB298" s="18">
        <f>IF(COUNT(C298:P298)=0,"",IFERROR(J298/I298,0))</f>
        <v/>
      </c>
      <c r="AC298" s="18">
        <f>IF(COUNT(C298:P298)=0,"",IFERROR(K298/I298,0))</f>
        <v/>
      </c>
      <c r="AD298" s="18">
        <f>IF(COUNT(C298:P298)=0,"",IFERROR(L298/I298,0))</f>
        <v/>
      </c>
      <c r="AE298" s="18">
        <f>IF(COUNT(C298:P298)=0,"",IFERROR(P298/I298,0))</f>
        <v/>
      </c>
      <c r="AF298" s="20">
        <f>IF(COUNT(C298:P298)=0,"",IFERROR(I298*Config!$C$7+J298*Config!$C$8+K298*Config!$C$9+L298*Config!$C$10+M298*Config!$C$11+N298*Config!$C$12+O298*Config!$C$13+P298*Config!$C$14,0))</f>
        <v/>
      </c>
      <c r="AG298" s="15">
        <f>IF(COUNT(C298:P298)=0,"",IFERROR(AF298/I298,0))</f>
        <v/>
      </c>
      <c r="AH298" s="20">
        <f>IF(COUNT(C298:P298)=0,"",IFERROR(AF298*(1-Config!$C$15-Config!$C$16-Config!$C$17),0))</f>
        <v/>
      </c>
      <c r="AI298" s="20">
        <f>IF(COUNT(C298:P298)=0,"",IFERROR(AH298-C298-Config!$C$18,0))</f>
        <v/>
      </c>
      <c r="AJ298" s="21">
        <f>IF(COUNT(C298:P298)=0,"",IFERROR(AH298/C298,0))</f>
        <v/>
      </c>
      <c r="AK298" s="15">
        <f>IF(COUNT(C298:P298)=0,"",IFERROR(AI298/G298,0))</f>
        <v/>
      </c>
      <c r="AL298" s="21">
        <f>IF(COUNT(C298:P298)=0,"",IFERROR(AK298/V298,0))</f>
        <v/>
      </c>
      <c r="AM298" s="15">
        <f>IF(COUNT(C298:P298)=0,"",IFERROR(AI298/I298,0))</f>
        <v/>
      </c>
      <c r="AN298" s="15">
        <f>IF(COUNT(C298:P298)=0,"",IFERROR(AH298/I298-AA298,0))</f>
        <v/>
      </c>
    </row>
    <row r="299">
      <c r="A299" s="12">
        <f>Config!$C$6+293</f>
        <v/>
      </c>
      <c r="B299" s="13">
        <f>INT((A299-Config!$C$6)/7)+1</f>
        <v/>
      </c>
      <c r="C299" s="10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5">
        <f>IF(COUNT(C299:P299)=0,"",IFERROR(C299/D299*1000,0))</f>
        <v/>
      </c>
      <c r="R299" s="16">
        <f>IF(COUNT(C299:P299)=0,"",IFERROR(D299/E299,0))</f>
        <v/>
      </c>
      <c r="S299" s="17">
        <f>IF(COUNT(C299:P299)=0,"",IFERROR(F299/D299,0))</f>
        <v/>
      </c>
      <c r="T299" s="15">
        <f>IF(COUNT(C299:P299)=0,"",IFERROR(C299/F299,0))</f>
        <v/>
      </c>
      <c r="U299" s="18">
        <f>IF(COUNT(C299:P299)=0,"",IFERROR(G299/F299,0))</f>
        <v/>
      </c>
      <c r="V299" s="15">
        <f>IF(COUNT(C299:P299)=0,"",IFERROR(C299/G299,0))</f>
        <v/>
      </c>
      <c r="W299" s="19">
        <f>IF(COUNT(C299:P299)=0,"",IFERROR(G299/D299*1000,0))</f>
        <v/>
      </c>
      <c r="X299" s="18">
        <f>IF(COUNT(C299:P299)=0,"",IFERROR(H299/G299,0))</f>
        <v/>
      </c>
      <c r="Y299" s="18">
        <f>IF(COUNT(C299:P299)=0,"",IFERROR(I299/H299,0))</f>
        <v/>
      </c>
      <c r="Z299" s="17">
        <f>IF(COUNT(C299:P299)=0,"",IFERROR(I299/G299,0))</f>
        <v/>
      </c>
      <c r="AA299" s="15">
        <f>IF(COUNT(C299:P299)=0,"",IFERROR(C299/I299,0))</f>
        <v/>
      </c>
      <c r="AB299" s="18">
        <f>IF(COUNT(C299:P299)=0,"",IFERROR(J299/I299,0))</f>
        <v/>
      </c>
      <c r="AC299" s="18">
        <f>IF(COUNT(C299:P299)=0,"",IFERROR(K299/I299,0))</f>
        <v/>
      </c>
      <c r="AD299" s="18">
        <f>IF(COUNT(C299:P299)=0,"",IFERROR(L299/I299,0))</f>
        <v/>
      </c>
      <c r="AE299" s="18">
        <f>IF(COUNT(C299:P299)=0,"",IFERROR(P299/I299,0))</f>
        <v/>
      </c>
      <c r="AF299" s="20">
        <f>IF(COUNT(C299:P299)=0,"",IFERROR(I299*Config!$C$7+J299*Config!$C$8+K299*Config!$C$9+L299*Config!$C$10+M299*Config!$C$11+N299*Config!$C$12+O299*Config!$C$13+P299*Config!$C$14,0))</f>
        <v/>
      </c>
      <c r="AG299" s="15">
        <f>IF(COUNT(C299:P299)=0,"",IFERROR(AF299/I299,0))</f>
        <v/>
      </c>
      <c r="AH299" s="20">
        <f>IF(COUNT(C299:P299)=0,"",IFERROR(AF299*(1-Config!$C$15-Config!$C$16-Config!$C$17),0))</f>
        <v/>
      </c>
      <c r="AI299" s="20">
        <f>IF(COUNT(C299:P299)=0,"",IFERROR(AH299-C299-Config!$C$18,0))</f>
        <v/>
      </c>
      <c r="AJ299" s="21">
        <f>IF(COUNT(C299:P299)=0,"",IFERROR(AH299/C299,0))</f>
        <v/>
      </c>
      <c r="AK299" s="15">
        <f>IF(COUNT(C299:P299)=0,"",IFERROR(AI299/G299,0))</f>
        <v/>
      </c>
      <c r="AL299" s="21">
        <f>IF(COUNT(C299:P299)=0,"",IFERROR(AK299/V299,0))</f>
        <v/>
      </c>
      <c r="AM299" s="15">
        <f>IF(COUNT(C299:P299)=0,"",IFERROR(AI299/I299,0))</f>
        <v/>
      </c>
      <c r="AN299" s="15">
        <f>IF(COUNT(C299:P299)=0,"",IFERROR(AH299/I299-AA299,0))</f>
        <v/>
      </c>
    </row>
    <row r="300">
      <c r="A300" s="12">
        <f>Config!$C$6+294</f>
        <v/>
      </c>
      <c r="B300" s="13">
        <f>INT((A300-Config!$C$6)/7)+1</f>
        <v/>
      </c>
      <c r="C300" s="10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5">
        <f>IF(COUNT(C300:P300)=0,"",IFERROR(C300/D300*1000,0))</f>
        <v/>
      </c>
      <c r="R300" s="16">
        <f>IF(COUNT(C300:P300)=0,"",IFERROR(D300/E300,0))</f>
        <v/>
      </c>
      <c r="S300" s="17">
        <f>IF(COUNT(C300:P300)=0,"",IFERROR(F300/D300,0))</f>
        <v/>
      </c>
      <c r="T300" s="15">
        <f>IF(COUNT(C300:P300)=0,"",IFERROR(C300/F300,0))</f>
        <v/>
      </c>
      <c r="U300" s="18">
        <f>IF(COUNT(C300:P300)=0,"",IFERROR(G300/F300,0))</f>
        <v/>
      </c>
      <c r="V300" s="15">
        <f>IF(COUNT(C300:P300)=0,"",IFERROR(C300/G300,0))</f>
        <v/>
      </c>
      <c r="W300" s="19">
        <f>IF(COUNT(C300:P300)=0,"",IFERROR(G300/D300*1000,0))</f>
        <v/>
      </c>
      <c r="X300" s="18">
        <f>IF(COUNT(C300:P300)=0,"",IFERROR(H300/G300,0))</f>
        <v/>
      </c>
      <c r="Y300" s="18">
        <f>IF(COUNT(C300:P300)=0,"",IFERROR(I300/H300,0))</f>
        <v/>
      </c>
      <c r="Z300" s="17">
        <f>IF(COUNT(C300:P300)=0,"",IFERROR(I300/G300,0))</f>
        <v/>
      </c>
      <c r="AA300" s="15">
        <f>IF(COUNT(C300:P300)=0,"",IFERROR(C300/I300,0))</f>
        <v/>
      </c>
      <c r="AB300" s="18">
        <f>IF(COUNT(C300:P300)=0,"",IFERROR(J300/I300,0))</f>
        <v/>
      </c>
      <c r="AC300" s="18">
        <f>IF(COUNT(C300:P300)=0,"",IFERROR(K300/I300,0))</f>
        <v/>
      </c>
      <c r="AD300" s="18">
        <f>IF(COUNT(C300:P300)=0,"",IFERROR(L300/I300,0))</f>
        <v/>
      </c>
      <c r="AE300" s="18">
        <f>IF(COUNT(C300:P300)=0,"",IFERROR(P300/I300,0))</f>
        <v/>
      </c>
      <c r="AF300" s="20">
        <f>IF(COUNT(C300:P300)=0,"",IFERROR(I300*Config!$C$7+J300*Config!$C$8+K300*Config!$C$9+L300*Config!$C$10+M300*Config!$C$11+N300*Config!$C$12+O300*Config!$C$13+P300*Config!$C$14,0))</f>
        <v/>
      </c>
      <c r="AG300" s="15">
        <f>IF(COUNT(C300:P300)=0,"",IFERROR(AF300/I300,0))</f>
        <v/>
      </c>
      <c r="AH300" s="20">
        <f>IF(COUNT(C300:P300)=0,"",IFERROR(AF300*(1-Config!$C$15-Config!$C$16-Config!$C$17),0))</f>
        <v/>
      </c>
      <c r="AI300" s="20">
        <f>IF(COUNT(C300:P300)=0,"",IFERROR(AH300-C300-Config!$C$18,0))</f>
        <v/>
      </c>
      <c r="AJ300" s="21">
        <f>IF(COUNT(C300:P300)=0,"",IFERROR(AH300/C300,0))</f>
        <v/>
      </c>
      <c r="AK300" s="15">
        <f>IF(COUNT(C300:P300)=0,"",IFERROR(AI300/G300,0))</f>
        <v/>
      </c>
      <c r="AL300" s="21">
        <f>IF(COUNT(C300:P300)=0,"",IFERROR(AK300/V300,0))</f>
        <v/>
      </c>
      <c r="AM300" s="15">
        <f>IF(COUNT(C300:P300)=0,"",IFERROR(AI300/I300,0))</f>
        <v/>
      </c>
      <c r="AN300" s="15">
        <f>IF(COUNT(C300:P300)=0,"",IFERROR(AH300/I300-AA300,0))</f>
        <v/>
      </c>
    </row>
    <row r="301">
      <c r="A301" s="12">
        <f>Config!$C$6+295</f>
        <v/>
      </c>
      <c r="B301" s="13">
        <f>INT((A301-Config!$C$6)/7)+1</f>
        <v/>
      </c>
      <c r="C301" s="10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5">
        <f>IF(COUNT(C301:P301)=0,"",IFERROR(C301/D301*1000,0))</f>
        <v/>
      </c>
      <c r="R301" s="16">
        <f>IF(COUNT(C301:P301)=0,"",IFERROR(D301/E301,0))</f>
        <v/>
      </c>
      <c r="S301" s="17">
        <f>IF(COUNT(C301:P301)=0,"",IFERROR(F301/D301,0))</f>
        <v/>
      </c>
      <c r="T301" s="15">
        <f>IF(COUNT(C301:P301)=0,"",IFERROR(C301/F301,0))</f>
        <v/>
      </c>
      <c r="U301" s="18">
        <f>IF(COUNT(C301:P301)=0,"",IFERROR(G301/F301,0))</f>
        <v/>
      </c>
      <c r="V301" s="15">
        <f>IF(COUNT(C301:P301)=0,"",IFERROR(C301/G301,0))</f>
        <v/>
      </c>
      <c r="W301" s="19">
        <f>IF(COUNT(C301:P301)=0,"",IFERROR(G301/D301*1000,0))</f>
        <v/>
      </c>
      <c r="X301" s="18">
        <f>IF(COUNT(C301:P301)=0,"",IFERROR(H301/G301,0))</f>
        <v/>
      </c>
      <c r="Y301" s="18">
        <f>IF(COUNT(C301:P301)=0,"",IFERROR(I301/H301,0))</f>
        <v/>
      </c>
      <c r="Z301" s="17">
        <f>IF(COUNT(C301:P301)=0,"",IFERROR(I301/G301,0))</f>
        <v/>
      </c>
      <c r="AA301" s="15">
        <f>IF(COUNT(C301:P301)=0,"",IFERROR(C301/I301,0))</f>
        <v/>
      </c>
      <c r="AB301" s="18">
        <f>IF(COUNT(C301:P301)=0,"",IFERROR(J301/I301,0))</f>
        <v/>
      </c>
      <c r="AC301" s="18">
        <f>IF(COUNT(C301:P301)=0,"",IFERROR(K301/I301,0))</f>
        <v/>
      </c>
      <c r="AD301" s="18">
        <f>IF(COUNT(C301:P301)=0,"",IFERROR(L301/I301,0))</f>
        <v/>
      </c>
      <c r="AE301" s="18">
        <f>IF(COUNT(C301:P301)=0,"",IFERROR(P301/I301,0))</f>
        <v/>
      </c>
      <c r="AF301" s="20">
        <f>IF(COUNT(C301:P301)=0,"",IFERROR(I301*Config!$C$7+J301*Config!$C$8+K301*Config!$C$9+L301*Config!$C$10+M301*Config!$C$11+N301*Config!$C$12+O301*Config!$C$13+P301*Config!$C$14,0))</f>
        <v/>
      </c>
      <c r="AG301" s="15">
        <f>IF(COUNT(C301:P301)=0,"",IFERROR(AF301/I301,0))</f>
        <v/>
      </c>
      <c r="AH301" s="20">
        <f>IF(COUNT(C301:P301)=0,"",IFERROR(AF301*(1-Config!$C$15-Config!$C$16-Config!$C$17),0))</f>
        <v/>
      </c>
      <c r="AI301" s="20">
        <f>IF(COUNT(C301:P301)=0,"",IFERROR(AH301-C301-Config!$C$18,0))</f>
        <v/>
      </c>
      <c r="AJ301" s="21">
        <f>IF(COUNT(C301:P301)=0,"",IFERROR(AH301/C301,0))</f>
        <v/>
      </c>
      <c r="AK301" s="15">
        <f>IF(COUNT(C301:P301)=0,"",IFERROR(AI301/G301,0))</f>
        <v/>
      </c>
      <c r="AL301" s="21">
        <f>IF(COUNT(C301:P301)=0,"",IFERROR(AK301/V301,0))</f>
        <v/>
      </c>
      <c r="AM301" s="15">
        <f>IF(COUNT(C301:P301)=0,"",IFERROR(AI301/I301,0))</f>
        <v/>
      </c>
      <c r="AN301" s="15">
        <f>IF(COUNT(C301:P301)=0,"",IFERROR(AH301/I301-AA301,0))</f>
        <v/>
      </c>
    </row>
    <row r="302">
      <c r="A302" s="12">
        <f>Config!$C$6+296</f>
        <v/>
      </c>
      <c r="B302" s="13">
        <f>INT((A302-Config!$C$6)/7)+1</f>
        <v/>
      </c>
      <c r="C302" s="10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5">
        <f>IF(COUNT(C302:P302)=0,"",IFERROR(C302/D302*1000,0))</f>
        <v/>
      </c>
      <c r="R302" s="16">
        <f>IF(COUNT(C302:P302)=0,"",IFERROR(D302/E302,0))</f>
        <v/>
      </c>
      <c r="S302" s="17">
        <f>IF(COUNT(C302:P302)=0,"",IFERROR(F302/D302,0))</f>
        <v/>
      </c>
      <c r="T302" s="15">
        <f>IF(COUNT(C302:P302)=0,"",IFERROR(C302/F302,0))</f>
        <v/>
      </c>
      <c r="U302" s="18">
        <f>IF(COUNT(C302:P302)=0,"",IFERROR(G302/F302,0))</f>
        <v/>
      </c>
      <c r="V302" s="15">
        <f>IF(COUNT(C302:P302)=0,"",IFERROR(C302/G302,0))</f>
        <v/>
      </c>
      <c r="W302" s="19">
        <f>IF(COUNT(C302:P302)=0,"",IFERROR(G302/D302*1000,0))</f>
        <v/>
      </c>
      <c r="X302" s="18">
        <f>IF(COUNT(C302:P302)=0,"",IFERROR(H302/G302,0))</f>
        <v/>
      </c>
      <c r="Y302" s="18">
        <f>IF(COUNT(C302:P302)=0,"",IFERROR(I302/H302,0))</f>
        <v/>
      </c>
      <c r="Z302" s="17">
        <f>IF(COUNT(C302:P302)=0,"",IFERROR(I302/G302,0))</f>
        <v/>
      </c>
      <c r="AA302" s="15">
        <f>IF(COUNT(C302:P302)=0,"",IFERROR(C302/I302,0))</f>
        <v/>
      </c>
      <c r="AB302" s="18">
        <f>IF(COUNT(C302:P302)=0,"",IFERROR(J302/I302,0))</f>
        <v/>
      </c>
      <c r="AC302" s="18">
        <f>IF(COUNT(C302:P302)=0,"",IFERROR(K302/I302,0))</f>
        <v/>
      </c>
      <c r="AD302" s="18">
        <f>IF(COUNT(C302:P302)=0,"",IFERROR(L302/I302,0))</f>
        <v/>
      </c>
      <c r="AE302" s="18">
        <f>IF(COUNT(C302:P302)=0,"",IFERROR(P302/I302,0))</f>
        <v/>
      </c>
      <c r="AF302" s="20">
        <f>IF(COUNT(C302:P302)=0,"",IFERROR(I302*Config!$C$7+J302*Config!$C$8+K302*Config!$C$9+L302*Config!$C$10+M302*Config!$C$11+N302*Config!$C$12+O302*Config!$C$13+P302*Config!$C$14,0))</f>
        <v/>
      </c>
      <c r="AG302" s="15">
        <f>IF(COUNT(C302:P302)=0,"",IFERROR(AF302/I302,0))</f>
        <v/>
      </c>
      <c r="AH302" s="20">
        <f>IF(COUNT(C302:P302)=0,"",IFERROR(AF302*(1-Config!$C$15-Config!$C$16-Config!$C$17),0))</f>
        <v/>
      </c>
      <c r="AI302" s="20">
        <f>IF(COUNT(C302:P302)=0,"",IFERROR(AH302-C302-Config!$C$18,0))</f>
        <v/>
      </c>
      <c r="AJ302" s="21">
        <f>IF(COUNT(C302:P302)=0,"",IFERROR(AH302/C302,0))</f>
        <v/>
      </c>
      <c r="AK302" s="15">
        <f>IF(COUNT(C302:P302)=0,"",IFERROR(AI302/G302,0))</f>
        <v/>
      </c>
      <c r="AL302" s="21">
        <f>IF(COUNT(C302:P302)=0,"",IFERROR(AK302/V302,0))</f>
        <v/>
      </c>
      <c r="AM302" s="15">
        <f>IF(COUNT(C302:P302)=0,"",IFERROR(AI302/I302,0))</f>
        <v/>
      </c>
      <c r="AN302" s="15">
        <f>IF(COUNT(C302:P302)=0,"",IFERROR(AH302/I302-AA302,0))</f>
        <v/>
      </c>
    </row>
    <row r="303">
      <c r="A303" s="12">
        <f>Config!$C$6+297</f>
        <v/>
      </c>
      <c r="B303" s="13">
        <f>INT((A303-Config!$C$6)/7)+1</f>
        <v/>
      </c>
      <c r="C303" s="10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5">
        <f>IF(COUNT(C303:P303)=0,"",IFERROR(C303/D303*1000,0))</f>
        <v/>
      </c>
      <c r="R303" s="16">
        <f>IF(COUNT(C303:P303)=0,"",IFERROR(D303/E303,0))</f>
        <v/>
      </c>
      <c r="S303" s="17">
        <f>IF(COUNT(C303:P303)=0,"",IFERROR(F303/D303,0))</f>
        <v/>
      </c>
      <c r="T303" s="15">
        <f>IF(COUNT(C303:P303)=0,"",IFERROR(C303/F303,0))</f>
        <v/>
      </c>
      <c r="U303" s="18">
        <f>IF(COUNT(C303:P303)=0,"",IFERROR(G303/F303,0))</f>
        <v/>
      </c>
      <c r="V303" s="15">
        <f>IF(COUNT(C303:P303)=0,"",IFERROR(C303/G303,0))</f>
        <v/>
      </c>
      <c r="W303" s="19">
        <f>IF(COUNT(C303:P303)=0,"",IFERROR(G303/D303*1000,0))</f>
        <v/>
      </c>
      <c r="X303" s="18">
        <f>IF(COUNT(C303:P303)=0,"",IFERROR(H303/G303,0))</f>
        <v/>
      </c>
      <c r="Y303" s="18">
        <f>IF(COUNT(C303:P303)=0,"",IFERROR(I303/H303,0))</f>
        <v/>
      </c>
      <c r="Z303" s="17">
        <f>IF(COUNT(C303:P303)=0,"",IFERROR(I303/G303,0))</f>
        <v/>
      </c>
      <c r="AA303" s="15">
        <f>IF(COUNT(C303:P303)=0,"",IFERROR(C303/I303,0))</f>
        <v/>
      </c>
      <c r="AB303" s="18">
        <f>IF(COUNT(C303:P303)=0,"",IFERROR(J303/I303,0))</f>
        <v/>
      </c>
      <c r="AC303" s="18">
        <f>IF(COUNT(C303:P303)=0,"",IFERROR(K303/I303,0))</f>
        <v/>
      </c>
      <c r="AD303" s="18">
        <f>IF(COUNT(C303:P303)=0,"",IFERROR(L303/I303,0))</f>
        <v/>
      </c>
      <c r="AE303" s="18">
        <f>IF(COUNT(C303:P303)=0,"",IFERROR(P303/I303,0))</f>
        <v/>
      </c>
      <c r="AF303" s="20">
        <f>IF(COUNT(C303:P303)=0,"",IFERROR(I303*Config!$C$7+J303*Config!$C$8+K303*Config!$C$9+L303*Config!$C$10+M303*Config!$C$11+N303*Config!$C$12+O303*Config!$C$13+P303*Config!$C$14,0))</f>
        <v/>
      </c>
      <c r="AG303" s="15">
        <f>IF(COUNT(C303:P303)=0,"",IFERROR(AF303/I303,0))</f>
        <v/>
      </c>
      <c r="AH303" s="20">
        <f>IF(COUNT(C303:P303)=0,"",IFERROR(AF303*(1-Config!$C$15-Config!$C$16-Config!$C$17),0))</f>
        <v/>
      </c>
      <c r="AI303" s="20">
        <f>IF(COUNT(C303:P303)=0,"",IFERROR(AH303-C303-Config!$C$18,0))</f>
        <v/>
      </c>
      <c r="AJ303" s="21">
        <f>IF(COUNT(C303:P303)=0,"",IFERROR(AH303/C303,0))</f>
        <v/>
      </c>
      <c r="AK303" s="15">
        <f>IF(COUNT(C303:P303)=0,"",IFERROR(AI303/G303,0))</f>
        <v/>
      </c>
      <c r="AL303" s="21">
        <f>IF(COUNT(C303:P303)=0,"",IFERROR(AK303/V303,0))</f>
        <v/>
      </c>
      <c r="AM303" s="15">
        <f>IF(COUNT(C303:P303)=0,"",IFERROR(AI303/I303,0))</f>
        <v/>
      </c>
      <c r="AN303" s="15">
        <f>IF(COUNT(C303:P303)=0,"",IFERROR(AH303/I303-AA303,0))</f>
        <v/>
      </c>
    </row>
    <row r="304">
      <c r="A304" s="12">
        <f>Config!$C$6+298</f>
        <v/>
      </c>
      <c r="B304" s="13">
        <f>INT((A304-Config!$C$6)/7)+1</f>
        <v/>
      </c>
      <c r="C304" s="10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5">
        <f>IF(COUNT(C304:P304)=0,"",IFERROR(C304/D304*1000,0))</f>
        <v/>
      </c>
      <c r="R304" s="16">
        <f>IF(COUNT(C304:P304)=0,"",IFERROR(D304/E304,0))</f>
        <v/>
      </c>
      <c r="S304" s="17">
        <f>IF(COUNT(C304:P304)=0,"",IFERROR(F304/D304,0))</f>
        <v/>
      </c>
      <c r="T304" s="15">
        <f>IF(COUNT(C304:P304)=0,"",IFERROR(C304/F304,0))</f>
        <v/>
      </c>
      <c r="U304" s="18">
        <f>IF(COUNT(C304:P304)=0,"",IFERROR(G304/F304,0))</f>
        <v/>
      </c>
      <c r="V304" s="15">
        <f>IF(COUNT(C304:P304)=0,"",IFERROR(C304/G304,0))</f>
        <v/>
      </c>
      <c r="W304" s="19">
        <f>IF(COUNT(C304:P304)=0,"",IFERROR(G304/D304*1000,0))</f>
        <v/>
      </c>
      <c r="X304" s="18">
        <f>IF(COUNT(C304:P304)=0,"",IFERROR(H304/G304,0))</f>
        <v/>
      </c>
      <c r="Y304" s="18">
        <f>IF(COUNT(C304:P304)=0,"",IFERROR(I304/H304,0))</f>
        <v/>
      </c>
      <c r="Z304" s="17">
        <f>IF(COUNT(C304:P304)=0,"",IFERROR(I304/G304,0))</f>
        <v/>
      </c>
      <c r="AA304" s="15">
        <f>IF(COUNT(C304:P304)=0,"",IFERROR(C304/I304,0))</f>
        <v/>
      </c>
      <c r="AB304" s="18">
        <f>IF(COUNT(C304:P304)=0,"",IFERROR(J304/I304,0))</f>
        <v/>
      </c>
      <c r="AC304" s="18">
        <f>IF(COUNT(C304:P304)=0,"",IFERROR(K304/I304,0))</f>
        <v/>
      </c>
      <c r="AD304" s="18">
        <f>IF(COUNT(C304:P304)=0,"",IFERROR(L304/I304,0))</f>
        <v/>
      </c>
      <c r="AE304" s="18">
        <f>IF(COUNT(C304:P304)=0,"",IFERROR(P304/I304,0))</f>
        <v/>
      </c>
      <c r="AF304" s="20">
        <f>IF(COUNT(C304:P304)=0,"",IFERROR(I304*Config!$C$7+J304*Config!$C$8+K304*Config!$C$9+L304*Config!$C$10+M304*Config!$C$11+N304*Config!$C$12+O304*Config!$C$13+P304*Config!$C$14,0))</f>
        <v/>
      </c>
      <c r="AG304" s="15">
        <f>IF(COUNT(C304:P304)=0,"",IFERROR(AF304/I304,0))</f>
        <v/>
      </c>
      <c r="AH304" s="20">
        <f>IF(COUNT(C304:P304)=0,"",IFERROR(AF304*(1-Config!$C$15-Config!$C$16-Config!$C$17),0))</f>
        <v/>
      </c>
      <c r="AI304" s="20">
        <f>IF(COUNT(C304:P304)=0,"",IFERROR(AH304-C304-Config!$C$18,0))</f>
        <v/>
      </c>
      <c r="AJ304" s="21">
        <f>IF(COUNT(C304:P304)=0,"",IFERROR(AH304/C304,0))</f>
        <v/>
      </c>
      <c r="AK304" s="15">
        <f>IF(COUNT(C304:P304)=0,"",IFERROR(AI304/G304,0))</f>
        <v/>
      </c>
      <c r="AL304" s="21">
        <f>IF(COUNT(C304:P304)=0,"",IFERROR(AK304/V304,0))</f>
        <v/>
      </c>
      <c r="AM304" s="15">
        <f>IF(COUNT(C304:P304)=0,"",IFERROR(AI304/I304,0))</f>
        <v/>
      </c>
      <c r="AN304" s="15">
        <f>IF(COUNT(C304:P304)=0,"",IFERROR(AH304/I304-AA304,0))</f>
        <v/>
      </c>
    </row>
    <row r="305">
      <c r="A305" s="12">
        <f>Config!$C$6+299</f>
        <v/>
      </c>
      <c r="B305" s="13">
        <f>INT((A305-Config!$C$6)/7)+1</f>
        <v/>
      </c>
      <c r="C305" s="10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5">
        <f>IF(COUNT(C305:P305)=0,"",IFERROR(C305/D305*1000,0))</f>
        <v/>
      </c>
      <c r="R305" s="16">
        <f>IF(COUNT(C305:P305)=0,"",IFERROR(D305/E305,0))</f>
        <v/>
      </c>
      <c r="S305" s="17">
        <f>IF(COUNT(C305:P305)=0,"",IFERROR(F305/D305,0))</f>
        <v/>
      </c>
      <c r="T305" s="15">
        <f>IF(COUNT(C305:P305)=0,"",IFERROR(C305/F305,0))</f>
        <v/>
      </c>
      <c r="U305" s="18">
        <f>IF(COUNT(C305:P305)=0,"",IFERROR(G305/F305,0))</f>
        <v/>
      </c>
      <c r="V305" s="15">
        <f>IF(COUNT(C305:P305)=0,"",IFERROR(C305/G305,0))</f>
        <v/>
      </c>
      <c r="W305" s="19">
        <f>IF(COUNT(C305:P305)=0,"",IFERROR(G305/D305*1000,0))</f>
        <v/>
      </c>
      <c r="X305" s="18">
        <f>IF(COUNT(C305:P305)=0,"",IFERROR(H305/G305,0))</f>
        <v/>
      </c>
      <c r="Y305" s="18">
        <f>IF(COUNT(C305:P305)=0,"",IFERROR(I305/H305,0))</f>
        <v/>
      </c>
      <c r="Z305" s="17">
        <f>IF(COUNT(C305:P305)=0,"",IFERROR(I305/G305,0))</f>
        <v/>
      </c>
      <c r="AA305" s="15">
        <f>IF(COUNT(C305:P305)=0,"",IFERROR(C305/I305,0))</f>
        <v/>
      </c>
      <c r="AB305" s="18">
        <f>IF(COUNT(C305:P305)=0,"",IFERROR(J305/I305,0))</f>
        <v/>
      </c>
      <c r="AC305" s="18">
        <f>IF(COUNT(C305:P305)=0,"",IFERROR(K305/I305,0))</f>
        <v/>
      </c>
      <c r="AD305" s="18">
        <f>IF(COUNT(C305:P305)=0,"",IFERROR(L305/I305,0))</f>
        <v/>
      </c>
      <c r="AE305" s="18">
        <f>IF(COUNT(C305:P305)=0,"",IFERROR(P305/I305,0))</f>
        <v/>
      </c>
      <c r="AF305" s="20">
        <f>IF(COUNT(C305:P305)=0,"",IFERROR(I305*Config!$C$7+J305*Config!$C$8+K305*Config!$C$9+L305*Config!$C$10+M305*Config!$C$11+N305*Config!$C$12+O305*Config!$C$13+P305*Config!$C$14,0))</f>
        <v/>
      </c>
      <c r="AG305" s="15">
        <f>IF(COUNT(C305:P305)=0,"",IFERROR(AF305/I305,0))</f>
        <v/>
      </c>
      <c r="AH305" s="20">
        <f>IF(COUNT(C305:P305)=0,"",IFERROR(AF305*(1-Config!$C$15-Config!$C$16-Config!$C$17),0))</f>
        <v/>
      </c>
      <c r="AI305" s="20">
        <f>IF(COUNT(C305:P305)=0,"",IFERROR(AH305-C305-Config!$C$18,0))</f>
        <v/>
      </c>
      <c r="AJ305" s="21">
        <f>IF(COUNT(C305:P305)=0,"",IFERROR(AH305/C305,0))</f>
        <v/>
      </c>
      <c r="AK305" s="15">
        <f>IF(COUNT(C305:P305)=0,"",IFERROR(AI305/G305,0))</f>
        <v/>
      </c>
      <c r="AL305" s="21">
        <f>IF(COUNT(C305:P305)=0,"",IFERROR(AK305/V305,0))</f>
        <v/>
      </c>
      <c r="AM305" s="15">
        <f>IF(COUNT(C305:P305)=0,"",IFERROR(AI305/I305,0))</f>
        <v/>
      </c>
      <c r="AN305" s="15">
        <f>IF(COUNT(C305:P305)=0,"",IFERROR(AH305/I305-AA305,0))</f>
        <v/>
      </c>
    </row>
    <row r="306">
      <c r="A306" s="12">
        <f>Config!$C$6+300</f>
        <v/>
      </c>
      <c r="B306" s="13">
        <f>INT((A306-Config!$C$6)/7)+1</f>
        <v/>
      </c>
      <c r="C306" s="10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5">
        <f>IF(COUNT(C306:P306)=0,"",IFERROR(C306/D306*1000,0))</f>
        <v/>
      </c>
      <c r="R306" s="16">
        <f>IF(COUNT(C306:P306)=0,"",IFERROR(D306/E306,0))</f>
        <v/>
      </c>
      <c r="S306" s="17">
        <f>IF(COUNT(C306:P306)=0,"",IFERROR(F306/D306,0))</f>
        <v/>
      </c>
      <c r="T306" s="15">
        <f>IF(COUNT(C306:P306)=0,"",IFERROR(C306/F306,0))</f>
        <v/>
      </c>
      <c r="U306" s="18">
        <f>IF(COUNT(C306:P306)=0,"",IFERROR(G306/F306,0))</f>
        <v/>
      </c>
      <c r="V306" s="15">
        <f>IF(COUNT(C306:P306)=0,"",IFERROR(C306/G306,0))</f>
        <v/>
      </c>
      <c r="W306" s="19">
        <f>IF(COUNT(C306:P306)=0,"",IFERROR(G306/D306*1000,0))</f>
        <v/>
      </c>
      <c r="X306" s="18">
        <f>IF(COUNT(C306:P306)=0,"",IFERROR(H306/G306,0))</f>
        <v/>
      </c>
      <c r="Y306" s="18">
        <f>IF(COUNT(C306:P306)=0,"",IFERROR(I306/H306,0))</f>
        <v/>
      </c>
      <c r="Z306" s="17">
        <f>IF(COUNT(C306:P306)=0,"",IFERROR(I306/G306,0))</f>
        <v/>
      </c>
      <c r="AA306" s="15">
        <f>IF(COUNT(C306:P306)=0,"",IFERROR(C306/I306,0))</f>
        <v/>
      </c>
      <c r="AB306" s="18">
        <f>IF(COUNT(C306:P306)=0,"",IFERROR(J306/I306,0))</f>
        <v/>
      </c>
      <c r="AC306" s="18">
        <f>IF(COUNT(C306:P306)=0,"",IFERROR(K306/I306,0))</f>
        <v/>
      </c>
      <c r="AD306" s="18">
        <f>IF(COUNT(C306:P306)=0,"",IFERROR(L306/I306,0))</f>
        <v/>
      </c>
      <c r="AE306" s="18">
        <f>IF(COUNT(C306:P306)=0,"",IFERROR(P306/I306,0))</f>
        <v/>
      </c>
      <c r="AF306" s="20">
        <f>IF(COUNT(C306:P306)=0,"",IFERROR(I306*Config!$C$7+J306*Config!$C$8+K306*Config!$C$9+L306*Config!$C$10+M306*Config!$C$11+N306*Config!$C$12+O306*Config!$C$13+P306*Config!$C$14,0))</f>
        <v/>
      </c>
      <c r="AG306" s="15">
        <f>IF(COUNT(C306:P306)=0,"",IFERROR(AF306/I306,0))</f>
        <v/>
      </c>
      <c r="AH306" s="20">
        <f>IF(COUNT(C306:P306)=0,"",IFERROR(AF306*(1-Config!$C$15-Config!$C$16-Config!$C$17),0))</f>
        <v/>
      </c>
      <c r="AI306" s="20">
        <f>IF(COUNT(C306:P306)=0,"",IFERROR(AH306-C306-Config!$C$18,0))</f>
        <v/>
      </c>
      <c r="AJ306" s="21">
        <f>IF(COUNT(C306:P306)=0,"",IFERROR(AH306/C306,0))</f>
        <v/>
      </c>
      <c r="AK306" s="15">
        <f>IF(COUNT(C306:P306)=0,"",IFERROR(AI306/G306,0))</f>
        <v/>
      </c>
      <c r="AL306" s="21">
        <f>IF(COUNT(C306:P306)=0,"",IFERROR(AK306/V306,0))</f>
        <v/>
      </c>
      <c r="AM306" s="15">
        <f>IF(COUNT(C306:P306)=0,"",IFERROR(AI306/I306,0))</f>
        <v/>
      </c>
      <c r="AN306" s="15">
        <f>IF(COUNT(C306:P306)=0,"",IFERROR(AH306/I306-AA306,0))</f>
        <v/>
      </c>
    </row>
    <row r="307">
      <c r="A307" s="12">
        <f>Config!$C$6+301</f>
        <v/>
      </c>
      <c r="B307" s="13">
        <f>INT((A307-Config!$C$6)/7)+1</f>
        <v/>
      </c>
      <c r="C307" s="10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5">
        <f>IF(COUNT(C307:P307)=0,"",IFERROR(C307/D307*1000,0))</f>
        <v/>
      </c>
      <c r="R307" s="16">
        <f>IF(COUNT(C307:P307)=0,"",IFERROR(D307/E307,0))</f>
        <v/>
      </c>
      <c r="S307" s="17">
        <f>IF(COUNT(C307:P307)=0,"",IFERROR(F307/D307,0))</f>
        <v/>
      </c>
      <c r="T307" s="15">
        <f>IF(COUNT(C307:P307)=0,"",IFERROR(C307/F307,0))</f>
        <v/>
      </c>
      <c r="U307" s="18">
        <f>IF(COUNT(C307:P307)=0,"",IFERROR(G307/F307,0))</f>
        <v/>
      </c>
      <c r="V307" s="15">
        <f>IF(COUNT(C307:P307)=0,"",IFERROR(C307/G307,0))</f>
        <v/>
      </c>
      <c r="W307" s="19">
        <f>IF(COUNT(C307:P307)=0,"",IFERROR(G307/D307*1000,0))</f>
        <v/>
      </c>
      <c r="X307" s="18">
        <f>IF(COUNT(C307:P307)=0,"",IFERROR(H307/G307,0))</f>
        <v/>
      </c>
      <c r="Y307" s="18">
        <f>IF(COUNT(C307:P307)=0,"",IFERROR(I307/H307,0))</f>
        <v/>
      </c>
      <c r="Z307" s="17">
        <f>IF(COUNT(C307:P307)=0,"",IFERROR(I307/G307,0))</f>
        <v/>
      </c>
      <c r="AA307" s="15">
        <f>IF(COUNT(C307:P307)=0,"",IFERROR(C307/I307,0))</f>
        <v/>
      </c>
      <c r="AB307" s="18">
        <f>IF(COUNT(C307:P307)=0,"",IFERROR(J307/I307,0))</f>
        <v/>
      </c>
      <c r="AC307" s="18">
        <f>IF(COUNT(C307:P307)=0,"",IFERROR(K307/I307,0))</f>
        <v/>
      </c>
      <c r="AD307" s="18">
        <f>IF(COUNT(C307:P307)=0,"",IFERROR(L307/I307,0))</f>
        <v/>
      </c>
      <c r="AE307" s="18">
        <f>IF(COUNT(C307:P307)=0,"",IFERROR(P307/I307,0))</f>
        <v/>
      </c>
      <c r="AF307" s="20">
        <f>IF(COUNT(C307:P307)=0,"",IFERROR(I307*Config!$C$7+J307*Config!$C$8+K307*Config!$C$9+L307*Config!$C$10+M307*Config!$C$11+N307*Config!$C$12+O307*Config!$C$13+P307*Config!$C$14,0))</f>
        <v/>
      </c>
      <c r="AG307" s="15">
        <f>IF(COUNT(C307:P307)=0,"",IFERROR(AF307/I307,0))</f>
        <v/>
      </c>
      <c r="AH307" s="20">
        <f>IF(COUNT(C307:P307)=0,"",IFERROR(AF307*(1-Config!$C$15-Config!$C$16-Config!$C$17),0))</f>
        <v/>
      </c>
      <c r="AI307" s="20">
        <f>IF(COUNT(C307:P307)=0,"",IFERROR(AH307-C307-Config!$C$18,0))</f>
        <v/>
      </c>
      <c r="AJ307" s="21">
        <f>IF(COUNT(C307:P307)=0,"",IFERROR(AH307/C307,0))</f>
        <v/>
      </c>
      <c r="AK307" s="15">
        <f>IF(COUNT(C307:P307)=0,"",IFERROR(AI307/G307,0))</f>
        <v/>
      </c>
      <c r="AL307" s="21">
        <f>IF(COUNT(C307:P307)=0,"",IFERROR(AK307/V307,0))</f>
        <v/>
      </c>
      <c r="AM307" s="15">
        <f>IF(COUNT(C307:P307)=0,"",IFERROR(AI307/I307,0))</f>
        <v/>
      </c>
      <c r="AN307" s="15">
        <f>IF(COUNT(C307:P307)=0,"",IFERROR(AH307/I307-AA307,0))</f>
        <v/>
      </c>
    </row>
    <row r="308">
      <c r="A308" s="12">
        <f>Config!$C$6+302</f>
        <v/>
      </c>
      <c r="B308" s="13">
        <f>INT((A308-Config!$C$6)/7)+1</f>
        <v/>
      </c>
      <c r="C308" s="10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5">
        <f>IF(COUNT(C308:P308)=0,"",IFERROR(C308/D308*1000,0))</f>
        <v/>
      </c>
      <c r="R308" s="16">
        <f>IF(COUNT(C308:P308)=0,"",IFERROR(D308/E308,0))</f>
        <v/>
      </c>
      <c r="S308" s="17">
        <f>IF(COUNT(C308:P308)=0,"",IFERROR(F308/D308,0))</f>
        <v/>
      </c>
      <c r="T308" s="15">
        <f>IF(COUNT(C308:P308)=0,"",IFERROR(C308/F308,0))</f>
        <v/>
      </c>
      <c r="U308" s="18">
        <f>IF(COUNT(C308:P308)=0,"",IFERROR(G308/F308,0))</f>
        <v/>
      </c>
      <c r="V308" s="15">
        <f>IF(COUNT(C308:P308)=0,"",IFERROR(C308/G308,0))</f>
        <v/>
      </c>
      <c r="W308" s="19">
        <f>IF(COUNT(C308:P308)=0,"",IFERROR(G308/D308*1000,0))</f>
        <v/>
      </c>
      <c r="X308" s="18">
        <f>IF(COUNT(C308:P308)=0,"",IFERROR(H308/G308,0))</f>
        <v/>
      </c>
      <c r="Y308" s="18">
        <f>IF(COUNT(C308:P308)=0,"",IFERROR(I308/H308,0))</f>
        <v/>
      </c>
      <c r="Z308" s="17">
        <f>IF(COUNT(C308:P308)=0,"",IFERROR(I308/G308,0))</f>
        <v/>
      </c>
      <c r="AA308" s="15">
        <f>IF(COUNT(C308:P308)=0,"",IFERROR(C308/I308,0))</f>
        <v/>
      </c>
      <c r="AB308" s="18">
        <f>IF(COUNT(C308:P308)=0,"",IFERROR(J308/I308,0))</f>
        <v/>
      </c>
      <c r="AC308" s="18">
        <f>IF(COUNT(C308:P308)=0,"",IFERROR(K308/I308,0))</f>
        <v/>
      </c>
      <c r="AD308" s="18">
        <f>IF(COUNT(C308:P308)=0,"",IFERROR(L308/I308,0))</f>
        <v/>
      </c>
      <c r="AE308" s="18">
        <f>IF(COUNT(C308:P308)=0,"",IFERROR(P308/I308,0))</f>
        <v/>
      </c>
      <c r="AF308" s="20">
        <f>IF(COUNT(C308:P308)=0,"",IFERROR(I308*Config!$C$7+J308*Config!$C$8+K308*Config!$C$9+L308*Config!$C$10+M308*Config!$C$11+N308*Config!$C$12+O308*Config!$C$13+P308*Config!$C$14,0))</f>
        <v/>
      </c>
      <c r="AG308" s="15">
        <f>IF(COUNT(C308:P308)=0,"",IFERROR(AF308/I308,0))</f>
        <v/>
      </c>
      <c r="AH308" s="20">
        <f>IF(COUNT(C308:P308)=0,"",IFERROR(AF308*(1-Config!$C$15-Config!$C$16-Config!$C$17),0))</f>
        <v/>
      </c>
      <c r="AI308" s="20">
        <f>IF(COUNT(C308:P308)=0,"",IFERROR(AH308-C308-Config!$C$18,0))</f>
        <v/>
      </c>
      <c r="AJ308" s="21">
        <f>IF(COUNT(C308:P308)=0,"",IFERROR(AH308/C308,0))</f>
        <v/>
      </c>
      <c r="AK308" s="15">
        <f>IF(COUNT(C308:P308)=0,"",IFERROR(AI308/G308,0))</f>
        <v/>
      </c>
      <c r="AL308" s="21">
        <f>IF(COUNT(C308:P308)=0,"",IFERROR(AK308/V308,0))</f>
        <v/>
      </c>
      <c r="AM308" s="15">
        <f>IF(COUNT(C308:P308)=0,"",IFERROR(AI308/I308,0))</f>
        <v/>
      </c>
      <c r="AN308" s="15">
        <f>IF(COUNT(C308:P308)=0,"",IFERROR(AH308/I308-AA308,0))</f>
        <v/>
      </c>
    </row>
    <row r="309">
      <c r="A309" s="12">
        <f>Config!$C$6+303</f>
        <v/>
      </c>
      <c r="B309" s="13">
        <f>INT((A309-Config!$C$6)/7)+1</f>
        <v/>
      </c>
      <c r="C309" s="10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5">
        <f>IF(COUNT(C309:P309)=0,"",IFERROR(C309/D309*1000,0))</f>
        <v/>
      </c>
      <c r="R309" s="16">
        <f>IF(COUNT(C309:P309)=0,"",IFERROR(D309/E309,0))</f>
        <v/>
      </c>
      <c r="S309" s="17">
        <f>IF(COUNT(C309:P309)=0,"",IFERROR(F309/D309,0))</f>
        <v/>
      </c>
      <c r="T309" s="15">
        <f>IF(COUNT(C309:P309)=0,"",IFERROR(C309/F309,0))</f>
        <v/>
      </c>
      <c r="U309" s="18">
        <f>IF(COUNT(C309:P309)=0,"",IFERROR(G309/F309,0))</f>
        <v/>
      </c>
      <c r="V309" s="15">
        <f>IF(COUNT(C309:P309)=0,"",IFERROR(C309/G309,0))</f>
        <v/>
      </c>
      <c r="W309" s="19">
        <f>IF(COUNT(C309:P309)=0,"",IFERROR(G309/D309*1000,0))</f>
        <v/>
      </c>
      <c r="X309" s="18">
        <f>IF(COUNT(C309:P309)=0,"",IFERROR(H309/G309,0))</f>
        <v/>
      </c>
      <c r="Y309" s="18">
        <f>IF(COUNT(C309:P309)=0,"",IFERROR(I309/H309,0))</f>
        <v/>
      </c>
      <c r="Z309" s="17">
        <f>IF(COUNT(C309:P309)=0,"",IFERROR(I309/G309,0))</f>
        <v/>
      </c>
      <c r="AA309" s="15">
        <f>IF(COUNT(C309:P309)=0,"",IFERROR(C309/I309,0))</f>
        <v/>
      </c>
      <c r="AB309" s="18">
        <f>IF(COUNT(C309:P309)=0,"",IFERROR(J309/I309,0))</f>
        <v/>
      </c>
      <c r="AC309" s="18">
        <f>IF(COUNT(C309:P309)=0,"",IFERROR(K309/I309,0))</f>
        <v/>
      </c>
      <c r="AD309" s="18">
        <f>IF(COUNT(C309:P309)=0,"",IFERROR(L309/I309,0))</f>
        <v/>
      </c>
      <c r="AE309" s="18">
        <f>IF(COUNT(C309:P309)=0,"",IFERROR(P309/I309,0))</f>
        <v/>
      </c>
      <c r="AF309" s="20">
        <f>IF(COUNT(C309:P309)=0,"",IFERROR(I309*Config!$C$7+J309*Config!$C$8+K309*Config!$C$9+L309*Config!$C$10+M309*Config!$C$11+N309*Config!$C$12+O309*Config!$C$13+P309*Config!$C$14,0))</f>
        <v/>
      </c>
      <c r="AG309" s="15">
        <f>IF(COUNT(C309:P309)=0,"",IFERROR(AF309/I309,0))</f>
        <v/>
      </c>
      <c r="AH309" s="20">
        <f>IF(COUNT(C309:P309)=0,"",IFERROR(AF309*(1-Config!$C$15-Config!$C$16-Config!$C$17),0))</f>
        <v/>
      </c>
      <c r="AI309" s="20">
        <f>IF(COUNT(C309:P309)=0,"",IFERROR(AH309-C309-Config!$C$18,0))</f>
        <v/>
      </c>
      <c r="AJ309" s="21">
        <f>IF(COUNT(C309:P309)=0,"",IFERROR(AH309/C309,0))</f>
        <v/>
      </c>
      <c r="AK309" s="15">
        <f>IF(COUNT(C309:P309)=0,"",IFERROR(AI309/G309,0))</f>
        <v/>
      </c>
      <c r="AL309" s="21">
        <f>IF(COUNT(C309:P309)=0,"",IFERROR(AK309/V309,0))</f>
        <v/>
      </c>
      <c r="AM309" s="15">
        <f>IF(COUNT(C309:P309)=0,"",IFERROR(AI309/I309,0))</f>
        <v/>
      </c>
      <c r="AN309" s="15">
        <f>IF(COUNT(C309:P309)=0,"",IFERROR(AH309/I309-AA309,0))</f>
        <v/>
      </c>
    </row>
    <row r="310">
      <c r="A310" s="12">
        <f>Config!$C$6+304</f>
        <v/>
      </c>
      <c r="B310" s="13">
        <f>INT((A310-Config!$C$6)/7)+1</f>
        <v/>
      </c>
      <c r="C310" s="10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5">
        <f>IF(COUNT(C310:P310)=0,"",IFERROR(C310/D310*1000,0))</f>
        <v/>
      </c>
      <c r="R310" s="16">
        <f>IF(COUNT(C310:P310)=0,"",IFERROR(D310/E310,0))</f>
        <v/>
      </c>
      <c r="S310" s="17">
        <f>IF(COUNT(C310:P310)=0,"",IFERROR(F310/D310,0))</f>
        <v/>
      </c>
      <c r="T310" s="15">
        <f>IF(COUNT(C310:P310)=0,"",IFERROR(C310/F310,0))</f>
        <v/>
      </c>
      <c r="U310" s="18">
        <f>IF(COUNT(C310:P310)=0,"",IFERROR(G310/F310,0))</f>
        <v/>
      </c>
      <c r="V310" s="15">
        <f>IF(COUNT(C310:P310)=0,"",IFERROR(C310/G310,0))</f>
        <v/>
      </c>
      <c r="W310" s="19">
        <f>IF(COUNT(C310:P310)=0,"",IFERROR(G310/D310*1000,0))</f>
        <v/>
      </c>
      <c r="X310" s="18">
        <f>IF(COUNT(C310:P310)=0,"",IFERROR(H310/G310,0))</f>
        <v/>
      </c>
      <c r="Y310" s="18">
        <f>IF(COUNT(C310:P310)=0,"",IFERROR(I310/H310,0))</f>
        <v/>
      </c>
      <c r="Z310" s="17">
        <f>IF(COUNT(C310:P310)=0,"",IFERROR(I310/G310,0))</f>
        <v/>
      </c>
      <c r="AA310" s="15">
        <f>IF(COUNT(C310:P310)=0,"",IFERROR(C310/I310,0))</f>
        <v/>
      </c>
      <c r="AB310" s="18">
        <f>IF(COUNT(C310:P310)=0,"",IFERROR(J310/I310,0))</f>
        <v/>
      </c>
      <c r="AC310" s="18">
        <f>IF(COUNT(C310:P310)=0,"",IFERROR(K310/I310,0))</f>
        <v/>
      </c>
      <c r="AD310" s="18">
        <f>IF(COUNT(C310:P310)=0,"",IFERROR(L310/I310,0))</f>
        <v/>
      </c>
      <c r="AE310" s="18">
        <f>IF(COUNT(C310:P310)=0,"",IFERROR(P310/I310,0))</f>
        <v/>
      </c>
      <c r="AF310" s="20">
        <f>IF(COUNT(C310:P310)=0,"",IFERROR(I310*Config!$C$7+J310*Config!$C$8+K310*Config!$C$9+L310*Config!$C$10+M310*Config!$C$11+N310*Config!$C$12+O310*Config!$C$13+P310*Config!$C$14,0))</f>
        <v/>
      </c>
      <c r="AG310" s="15">
        <f>IF(COUNT(C310:P310)=0,"",IFERROR(AF310/I310,0))</f>
        <v/>
      </c>
      <c r="AH310" s="20">
        <f>IF(COUNT(C310:P310)=0,"",IFERROR(AF310*(1-Config!$C$15-Config!$C$16-Config!$C$17),0))</f>
        <v/>
      </c>
      <c r="AI310" s="20">
        <f>IF(COUNT(C310:P310)=0,"",IFERROR(AH310-C310-Config!$C$18,0))</f>
        <v/>
      </c>
      <c r="AJ310" s="21">
        <f>IF(COUNT(C310:P310)=0,"",IFERROR(AH310/C310,0))</f>
        <v/>
      </c>
      <c r="AK310" s="15">
        <f>IF(COUNT(C310:P310)=0,"",IFERROR(AI310/G310,0))</f>
        <v/>
      </c>
      <c r="AL310" s="21">
        <f>IF(COUNT(C310:P310)=0,"",IFERROR(AK310/V310,0))</f>
        <v/>
      </c>
      <c r="AM310" s="15">
        <f>IF(COUNT(C310:P310)=0,"",IFERROR(AI310/I310,0))</f>
        <v/>
      </c>
      <c r="AN310" s="15">
        <f>IF(COUNT(C310:P310)=0,"",IFERROR(AH310/I310-AA310,0))</f>
        <v/>
      </c>
    </row>
    <row r="311">
      <c r="A311" s="12">
        <f>Config!$C$6+305</f>
        <v/>
      </c>
      <c r="B311" s="13">
        <f>INT((A311-Config!$C$6)/7)+1</f>
        <v/>
      </c>
      <c r="C311" s="10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5">
        <f>IF(COUNT(C311:P311)=0,"",IFERROR(C311/D311*1000,0))</f>
        <v/>
      </c>
      <c r="R311" s="16">
        <f>IF(COUNT(C311:P311)=0,"",IFERROR(D311/E311,0))</f>
        <v/>
      </c>
      <c r="S311" s="17">
        <f>IF(COUNT(C311:P311)=0,"",IFERROR(F311/D311,0))</f>
        <v/>
      </c>
      <c r="T311" s="15">
        <f>IF(COUNT(C311:P311)=0,"",IFERROR(C311/F311,0))</f>
        <v/>
      </c>
      <c r="U311" s="18">
        <f>IF(COUNT(C311:P311)=0,"",IFERROR(G311/F311,0))</f>
        <v/>
      </c>
      <c r="V311" s="15">
        <f>IF(COUNT(C311:P311)=0,"",IFERROR(C311/G311,0))</f>
        <v/>
      </c>
      <c r="W311" s="19">
        <f>IF(COUNT(C311:P311)=0,"",IFERROR(G311/D311*1000,0))</f>
        <v/>
      </c>
      <c r="X311" s="18">
        <f>IF(COUNT(C311:P311)=0,"",IFERROR(H311/G311,0))</f>
        <v/>
      </c>
      <c r="Y311" s="18">
        <f>IF(COUNT(C311:P311)=0,"",IFERROR(I311/H311,0))</f>
        <v/>
      </c>
      <c r="Z311" s="17">
        <f>IF(COUNT(C311:P311)=0,"",IFERROR(I311/G311,0))</f>
        <v/>
      </c>
      <c r="AA311" s="15">
        <f>IF(COUNT(C311:P311)=0,"",IFERROR(C311/I311,0))</f>
        <v/>
      </c>
      <c r="AB311" s="18">
        <f>IF(COUNT(C311:P311)=0,"",IFERROR(J311/I311,0))</f>
        <v/>
      </c>
      <c r="AC311" s="18">
        <f>IF(COUNT(C311:P311)=0,"",IFERROR(K311/I311,0))</f>
        <v/>
      </c>
      <c r="AD311" s="18">
        <f>IF(COUNT(C311:P311)=0,"",IFERROR(L311/I311,0))</f>
        <v/>
      </c>
      <c r="AE311" s="18">
        <f>IF(COUNT(C311:P311)=0,"",IFERROR(P311/I311,0))</f>
        <v/>
      </c>
      <c r="AF311" s="20">
        <f>IF(COUNT(C311:P311)=0,"",IFERROR(I311*Config!$C$7+J311*Config!$C$8+K311*Config!$C$9+L311*Config!$C$10+M311*Config!$C$11+N311*Config!$C$12+O311*Config!$C$13+P311*Config!$C$14,0))</f>
        <v/>
      </c>
      <c r="AG311" s="15">
        <f>IF(COUNT(C311:P311)=0,"",IFERROR(AF311/I311,0))</f>
        <v/>
      </c>
      <c r="AH311" s="20">
        <f>IF(COUNT(C311:P311)=0,"",IFERROR(AF311*(1-Config!$C$15-Config!$C$16-Config!$C$17),0))</f>
        <v/>
      </c>
      <c r="AI311" s="20">
        <f>IF(COUNT(C311:P311)=0,"",IFERROR(AH311-C311-Config!$C$18,0))</f>
        <v/>
      </c>
      <c r="AJ311" s="21">
        <f>IF(COUNT(C311:P311)=0,"",IFERROR(AH311/C311,0))</f>
        <v/>
      </c>
      <c r="AK311" s="15">
        <f>IF(COUNT(C311:P311)=0,"",IFERROR(AI311/G311,0))</f>
        <v/>
      </c>
      <c r="AL311" s="21">
        <f>IF(COUNT(C311:P311)=0,"",IFERROR(AK311/V311,0))</f>
        <v/>
      </c>
      <c r="AM311" s="15">
        <f>IF(COUNT(C311:P311)=0,"",IFERROR(AI311/I311,0))</f>
        <v/>
      </c>
      <c r="AN311" s="15">
        <f>IF(COUNT(C311:P311)=0,"",IFERROR(AH311/I311-AA311,0))</f>
        <v/>
      </c>
    </row>
    <row r="312">
      <c r="A312" s="12">
        <f>Config!$C$6+306</f>
        <v/>
      </c>
      <c r="B312" s="13">
        <f>INT((A312-Config!$C$6)/7)+1</f>
        <v/>
      </c>
      <c r="C312" s="10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5">
        <f>IF(COUNT(C312:P312)=0,"",IFERROR(C312/D312*1000,0))</f>
        <v/>
      </c>
      <c r="R312" s="16">
        <f>IF(COUNT(C312:P312)=0,"",IFERROR(D312/E312,0))</f>
        <v/>
      </c>
      <c r="S312" s="17">
        <f>IF(COUNT(C312:P312)=0,"",IFERROR(F312/D312,0))</f>
        <v/>
      </c>
      <c r="T312" s="15">
        <f>IF(COUNT(C312:P312)=0,"",IFERROR(C312/F312,0))</f>
        <v/>
      </c>
      <c r="U312" s="18">
        <f>IF(COUNT(C312:P312)=0,"",IFERROR(G312/F312,0))</f>
        <v/>
      </c>
      <c r="V312" s="15">
        <f>IF(COUNT(C312:P312)=0,"",IFERROR(C312/G312,0))</f>
        <v/>
      </c>
      <c r="W312" s="19">
        <f>IF(COUNT(C312:P312)=0,"",IFERROR(G312/D312*1000,0))</f>
        <v/>
      </c>
      <c r="X312" s="18">
        <f>IF(COUNT(C312:P312)=0,"",IFERROR(H312/G312,0))</f>
        <v/>
      </c>
      <c r="Y312" s="18">
        <f>IF(COUNT(C312:P312)=0,"",IFERROR(I312/H312,0))</f>
        <v/>
      </c>
      <c r="Z312" s="17">
        <f>IF(COUNT(C312:P312)=0,"",IFERROR(I312/G312,0))</f>
        <v/>
      </c>
      <c r="AA312" s="15">
        <f>IF(COUNT(C312:P312)=0,"",IFERROR(C312/I312,0))</f>
        <v/>
      </c>
      <c r="AB312" s="18">
        <f>IF(COUNT(C312:P312)=0,"",IFERROR(J312/I312,0))</f>
        <v/>
      </c>
      <c r="AC312" s="18">
        <f>IF(COUNT(C312:P312)=0,"",IFERROR(K312/I312,0))</f>
        <v/>
      </c>
      <c r="AD312" s="18">
        <f>IF(COUNT(C312:P312)=0,"",IFERROR(L312/I312,0))</f>
        <v/>
      </c>
      <c r="AE312" s="18">
        <f>IF(COUNT(C312:P312)=0,"",IFERROR(P312/I312,0))</f>
        <v/>
      </c>
      <c r="AF312" s="20">
        <f>IF(COUNT(C312:P312)=0,"",IFERROR(I312*Config!$C$7+J312*Config!$C$8+K312*Config!$C$9+L312*Config!$C$10+M312*Config!$C$11+N312*Config!$C$12+O312*Config!$C$13+P312*Config!$C$14,0))</f>
        <v/>
      </c>
      <c r="AG312" s="15">
        <f>IF(COUNT(C312:P312)=0,"",IFERROR(AF312/I312,0))</f>
        <v/>
      </c>
      <c r="AH312" s="20">
        <f>IF(COUNT(C312:P312)=0,"",IFERROR(AF312*(1-Config!$C$15-Config!$C$16-Config!$C$17),0))</f>
        <v/>
      </c>
      <c r="AI312" s="20">
        <f>IF(COUNT(C312:P312)=0,"",IFERROR(AH312-C312-Config!$C$18,0))</f>
        <v/>
      </c>
      <c r="AJ312" s="21">
        <f>IF(COUNT(C312:P312)=0,"",IFERROR(AH312/C312,0))</f>
        <v/>
      </c>
      <c r="AK312" s="15">
        <f>IF(COUNT(C312:P312)=0,"",IFERROR(AI312/G312,0))</f>
        <v/>
      </c>
      <c r="AL312" s="21">
        <f>IF(COUNT(C312:P312)=0,"",IFERROR(AK312/V312,0))</f>
        <v/>
      </c>
      <c r="AM312" s="15">
        <f>IF(COUNT(C312:P312)=0,"",IFERROR(AI312/I312,0))</f>
        <v/>
      </c>
      <c r="AN312" s="15">
        <f>IF(COUNT(C312:P312)=0,"",IFERROR(AH312/I312-AA312,0))</f>
        <v/>
      </c>
    </row>
    <row r="313">
      <c r="A313" s="12">
        <f>Config!$C$6+307</f>
        <v/>
      </c>
      <c r="B313" s="13">
        <f>INT((A313-Config!$C$6)/7)+1</f>
        <v/>
      </c>
      <c r="C313" s="10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5">
        <f>IF(COUNT(C313:P313)=0,"",IFERROR(C313/D313*1000,0))</f>
        <v/>
      </c>
      <c r="R313" s="16">
        <f>IF(COUNT(C313:P313)=0,"",IFERROR(D313/E313,0))</f>
        <v/>
      </c>
      <c r="S313" s="17">
        <f>IF(COUNT(C313:P313)=0,"",IFERROR(F313/D313,0))</f>
        <v/>
      </c>
      <c r="T313" s="15">
        <f>IF(COUNT(C313:P313)=0,"",IFERROR(C313/F313,0))</f>
        <v/>
      </c>
      <c r="U313" s="18">
        <f>IF(COUNT(C313:P313)=0,"",IFERROR(G313/F313,0))</f>
        <v/>
      </c>
      <c r="V313" s="15">
        <f>IF(COUNT(C313:P313)=0,"",IFERROR(C313/G313,0))</f>
        <v/>
      </c>
      <c r="W313" s="19">
        <f>IF(COUNT(C313:P313)=0,"",IFERROR(G313/D313*1000,0))</f>
        <v/>
      </c>
      <c r="X313" s="18">
        <f>IF(COUNT(C313:P313)=0,"",IFERROR(H313/G313,0))</f>
        <v/>
      </c>
      <c r="Y313" s="18">
        <f>IF(COUNT(C313:P313)=0,"",IFERROR(I313/H313,0))</f>
        <v/>
      </c>
      <c r="Z313" s="17">
        <f>IF(COUNT(C313:P313)=0,"",IFERROR(I313/G313,0))</f>
        <v/>
      </c>
      <c r="AA313" s="15">
        <f>IF(COUNT(C313:P313)=0,"",IFERROR(C313/I313,0))</f>
        <v/>
      </c>
      <c r="AB313" s="18">
        <f>IF(COUNT(C313:P313)=0,"",IFERROR(J313/I313,0))</f>
        <v/>
      </c>
      <c r="AC313" s="18">
        <f>IF(COUNT(C313:P313)=0,"",IFERROR(K313/I313,0))</f>
        <v/>
      </c>
      <c r="AD313" s="18">
        <f>IF(COUNT(C313:P313)=0,"",IFERROR(L313/I313,0))</f>
        <v/>
      </c>
      <c r="AE313" s="18">
        <f>IF(COUNT(C313:P313)=0,"",IFERROR(P313/I313,0))</f>
        <v/>
      </c>
      <c r="AF313" s="20">
        <f>IF(COUNT(C313:P313)=0,"",IFERROR(I313*Config!$C$7+J313*Config!$C$8+K313*Config!$C$9+L313*Config!$C$10+M313*Config!$C$11+N313*Config!$C$12+O313*Config!$C$13+P313*Config!$C$14,0))</f>
        <v/>
      </c>
      <c r="AG313" s="15">
        <f>IF(COUNT(C313:P313)=0,"",IFERROR(AF313/I313,0))</f>
        <v/>
      </c>
      <c r="AH313" s="20">
        <f>IF(COUNT(C313:P313)=0,"",IFERROR(AF313*(1-Config!$C$15-Config!$C$16-Config!$C$17),0))</f>
        <v/>
      </c>
      <c r="AI313" s="20">
        <f>IF(COUNT(C313:P313)=0,"",IFERROR(AH313-C313-Config!$C$18,0))</f>
        <v/>
      </c>
      <c r="AJ313" s="21">
        <f>IF(COUNT(C313:P313)=0,"",IFERROR(AH313/C313,0))</f>
        <v/>
      </c>
      <c r="AK313" s="15">
        <f>IF(COUNT(C313:P313)=0,"",IFERROR(AI313/G313,0))</f>
        <v/>
      </c>
      <c r="AL313" s="21">
        <f>IF(COUNT(C313:P313)=0,"",IFERROR(AK313/V313,0))</f>
        <v/>
      </c>
      <c r="AM313" s="15">
        <f>IF(COUNT(C313:P313)=0,"",IFERROR(AI313/I313,0))</f>
        <v/>
      </c>
      <c r="AN313" s="15">
        <f>IF(COUNT(C313:P313)=0,"",IFERROR(AH313/I313-AA313,0))</f>
        <v/>
      </c>
    </row>
    <row r="314">
      <c r="A314" s="12">
        <f>Config!$C$6+308</f>
        <v/>
      </c>
      <c r="B314" s="13">
        <f>INT((A314-Config!$C$6)/7)+1</f>
        <v/>
      </c>
      <c r="C314" s="10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5">
        <f>IF(COUNT(C314:P314)=0,"",IFERROR(C314/D314*1000,0))</f>
        <v/>
      </c>
      <c r="R314" s="16">
        <f>IF(COUNT(C314:P314)=0,"",IFERROR(D314/E314,0))</f>
        <v/>
      </c>
      <c r="S314" s="17">
        <f>IF(COUNT(C314:P314)=0,"",IFERROR(F314/D314,0))</f>
        <v/>
      </c>
      <c r="T314" s="15">
        <f>IF(COUNT(C314:P314)=0,"",IFERROR(C314/F314,0))</f>
        <v/>
      </c>
      <c r="U314" s="18">
        <f>IF(COUNT(C314:P314)=0,"",IFERROR(G314/F314,0))</f>
        <v/>
      </c>
      <c r="V314" s="15">
        <f>IF(COUNT(C314:P314)=0,"",IFERROR(C314/G314,0))</f>
        <v/>
      </c>
      <c r="W314" s="19">
        <f>IF(COUNT(C314:P314)=0,"",IFERROR(G314/D314*1000,0))</f>
        <v/>
      </c>
      <c r="X314" s="18">
        <f>IF(COUNT(C314:P314)=0,"",IFERROR(H314/G314,0))</f>
        <v/>
      </c>
      <c r="Y314" s="18">
        <f>IF(COUNT(C314:P314)=0,"",IFERROR(I314/H314,0))</f>
        <v/>
      </c>
      <c r="Z314" s="17">
        <f>IF(COUNT(C314:P314)=0,"",IFERROR(I314/G314,0))</f>
        <v/>
      </c>
      <c r="AA314" s="15">
        <f>IF(COUNT(C314:P314)=0,"",IFERROR(C314/I314,0))</f>
        <v/>
      </c>
      <c r="AB314" s="18">
        <f>IF(COUNT(C314:P314)=0,"",IFERROR(J314/I314,0))</f>
        <v/>
      </c>
      <c r="AC314" s="18">
        <f>IF(COUNT(C314:P314)=0,"",IFERROR(K314/I314,0))</f>
        <v/>
      </c>
      <c r="AD314" s="18">
        <f>IF(COUNT(C314:P314)=0,"",IFERROR(L314/I314,0))</f>
        <v/>
      </c>
      <c r="AE314" s="18">
        <f>IF(COUNT(C314:P314)=0,"",IFERROR(P314/I314,0))</f>
        <v/>
      </c>
      <c r="AF314" s="20">
        <f>IF(COUNT(C314:P314)=0,"",IFERROR(I314*Config!$C$7+J314*Config!$C$8+K314*Config!$C$9+L314*Config!$C$10+M314*Config!$C$11+N314*Config!$C$12+O314*Config!$C$13+P314*Config!$C$14,0))</f>
        <v/>
      </c>
      <c r="AG314" s="15">
        <f>IF(COUNT(C314:P314)=0,"",IFERROR(AF314/I314,0))</f>
        <v/>
      </c>
      <c r="AH314" s="20">
        <f>IF(COUNT(C314:P314)=0,"",IFERROR(AF314*(1-Config!$C$15-Config!$C$16-Config!$C$17),0))</f>
        <v/>
      </c>
      <c r="AI314" s="20">
        <f>IF(COUNT(C314:P314)=0,"",IFERROR(AH314-C314-Config!$C$18,0))</f>
        <v/>
      </c>
      <c r="AJ314" s="21">
        <f>IF(COUNT(C314:P314)=0,"",IFERROR(AH314/C314,0))</f>
        <v/>
      </c>
      <c r="AK314" s="15">
        <f>IF(COUNT(C314:P314)=0,"",IFERROR(AI314/G314,0))</f>
        <v/>
      </c>
      <c r="AL314" s="21">
        <f>IF(COUNT(C314:P314)=0,"",IFERROR(AK314/V314,0))</f>
        <v/>
      </c>
      <c r="AM314" s="15">
        <f>IF(COUNT(C314:P314)=0,"",IFERROR(AI314/I314,0))</f>
        <v/>
      </c>
      <c r="AN314" s="15">
        <f>IF(COUNT(C314:P314)=0,"",IFERROR(AH314/I314-AA314,0))</f>
        <v/>
      </c>
    </row>
    <row r="315">
      <c r="A315" s="12">
        <f>Config!$C$6+309</f>
        <v/>
      </c>
      <c r="B315" s="13">
        <f>INT((A315-Config!$C$6)/7)+1</f>
        <v/>
      </c>
      <c r="C315" s="10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5">
        <f>IF(COUNT(C315:P315)=0,"",IFERROR(C315/D315*1000,0))</f>
        <v/>
      </c>
      <c r="R315" s="16">
        <f>IF(COUNT(C315:P315)=0,"",IFERROR(D315/E315,0))</f>
        <v/>
      </c>
      <c r="S315" s="17">
        <f>IF(COUNT(C315:P315)=0,"",IFERROR(F315/D315,0))</f>
        <v/>
      </c>
      <c r="T315" s="15">
        <f>IF(COUNT(C315:P315)=0,"",IFERROR(C315/F315,0))</f>
        <v/>
      </c>
      <c r="U315" s="18">
        <f>IF(COUNT(C315:P315)=0,"",IFERROR(G315/F315,0))</f>
        <v/>
      </c>
      <c r="V315" s="15">
        <f>IF(COUNT(C315:P315)=0,"",IFERROR(C315/G315,0))</f>
        <v/>
      </c>
      <c r="W315" s="19">
        <f>IF(COUNT(C315:P315)=0,"",IFERROR(G315/D315*1000,0))</f>
        <v/>
      </c>
      <c r="X315" s="18">
        <f>IF(COUNT(C315:P315)=0,"",IFERROR(H315/G315,0))</f>
        <v/>
      </c>
      <c r="Y315" s="18">
        <f>IF(COUNT(C315:P315)=0,"",IFERROR(I315/H315,0))</f>
        <v/>
      </c>
      <c r="Z315" s="17">
        <f>IF(COUNT(C315:P315)=0,"",IFERROR(I315/G315,0))</f>
        <v/>
      </c>
      <c r="AA315" s="15">
        <f>IF(COUNT(C315:P315)=0,"",IFERROR(C315/I315,0))</f>
        <v/>
      </c>
      <c r="AB315" s="18">
        <f>IF(COUNT(C315:P315)=0,"",IFERROR(J315/I315,0))</f>
        <v/>
      </c>
      <c r="AC315" s="18">
        <f>IF(COUNT(C315:P315)=0,"",IFERROR(K315/I315,0))</f>
        <v/>
      </c>
      <c r="AD315" s="18">
        <f>IF(COUNT(C315:P315)=0,"",IFERROR(L315/I315,0))</f>
        <v/>
      </c>
      <c r="AE315" s="18">
        <f>IF(COUNT(C315:P315)=0,"",IFERROR(P315/I315,0))</f>
        <v/>
      </c>
      <c r="AF315" s="20">
        <f>IF(COUNT(C315:P315)=0,"",IFERROR(I315*Config!$C$7+J315*Config!$C$8+K315*Config!$C$9+L315*Config!$C$10+M315*Config!$C$11+N315*Config!$C$12+O315*Config!$C$13+P315*Config!$C$14,0))</f>
        <v/>
      </c>
      <c r="AG315" s="15">
        <f>IF(COUNT(C315:P315)=0,"",IFERROR(AF315/I315,0))</f>
        <v/>
      </c>
      <c r="AH315" s="20">
        <f>IF(COUNT(C315:P315)=0,"",IFERROR(AF315*(1-Config!$C$15-Config!$C$16-Config!$C$17),0))</f>
        <v/>
      </c>
      <c r="AI315" s="20">
        <f>IF(COUNT(C315:P315)=0,"",IFERROR(AH315-C315-Config!$C$18,0))</f>
        <v/>
      </c>
      <c r="AJ315" s="21">
        <f>IF(COUNT(C315:P315)=0,"",IFERROR(AH315/C315,0))</f>
        <v/>
      </c>
      <c r="AK315" s="15">
        <f>IF(COUNT(C315:P315)=0,"",IFERROR(AI315/G315,0))</f>
        <v/>
      </c>
      <c r="AL315" s="21">
        <f>IF(COUNT(C315:P315)=0,"",IFERROR(AK315/V315,0))</f>
        <v/>
      </c>
      <c r="AM315" s="15">
        <f>IF(COUNT(C315:P315)=0,"",IFERROR(AI315/I315,0))</f>
        <v/>
      </c>
      <c r="AN315" s="15">
        <f>IF(COUNT(C315:P315)=0,"",IFERROR(AH315/I315-AA315,0))</f>
        <v/>
      </c>
    </row>
    <row r="316">
      <c r="A316" s="12">
        <f>Config!$C$6+310</f>
        <v/>
      </c>
      <c r="B316" s="13">
        <f>INT((A316-Config!$C$6)/7)+1</f>
        <v/>
      </c>
      <c r="C316" s="10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5">
        <f>IF(COUNT(C316:P316)=0,"",IFERROR(C316/D316*1000,0))</f>
        <v/>
      </c>
      <c r="R316" s="16">
        <f>IF(COUNT(C316:P316)=0,"",IFERROR(D316/E316,0))</f>
        <v/>
      </c>
      <c r="S316" s="17">
        <f>IF(COUNT(C316:P316)=0,"",IFERROR(F316/D316,0))</f>
        <v/>
      </c>
      <c r="T316" s="15">
        <f>IF(COUNT(C316:P316)=0,"",IFERROR(C316/F316,0))</f>
        <v/>
      </c>
      <c r="U316" s="18">
        <f>IF(COUNT(C316:P316)=0,"",IFERROR(G316/F316,0))</f>
        <v/>
      </c>
      <c r="V316" s="15">
        <f>IF(COUNT(C316:P316)=0,"",IFERROR(C316/G316,0))</f>
        <v/>
      </c>
      <c r="W316" s="19">
        <f>IF(COUNT(C316:P316)=0,"",IFERROR(G316/D316*1000,0))</f>
        <v/>
      </c>
      <c r="X316" s="18">
        <f>IF(COUNT(C316:P316)=0,"",IFERROR(H316/G316,0))</f>
        <v/>
      </c>
      <c r="Y316" s="18">
        <f>IF(COUNT(C316:P316)=0,"",IFERROR(I316/H316,0))</f>
        <v/>
      </c>
      <c r="Z316" s="17">
        <f>IF(COUNT(C316:P316)=0,"",IFERROR(I316/G316,0))</f>
        <v/>
      </c>
      <c r="AA316" s="15">
        <f>IF(COUNT(C316:P316)=0,"",IFERROR(C316/I316,0))</f>
        <v/>
      </c>
      <c r="AB316" s="18">
        <f>IF(COUNT(C316:P316)=0,"",IFERROR(J316/I316,0))</f>
        <v/>
      </c>
      <c r="AC316" s="18">
        <f>IF(COUNT(C316:P316)=0,"",IFERROR(K316/I316,0))</f>
        <v/>
      </c>
      <c r="AD316" s="18">
        <f>IF(COUNT(C316:P316)=0,"",IFERROR(L316/I316,0))</f>
        <v/>
      </c>
      <c r="AE316" s="18">
        <f>IF(COUNT(C316:P316)=0,"",IFERROR(P316/I316,0))</f>
        <v/>
      </c>
      <c r="AF316" s="20">
        <f>IF(COUNT(C316:P316)=0,"",IFERROR(I316*Config!$C$7+J316*Config!$C$8+K316*Config!$C$9+L316*Config!$C$10+M316*Config!$C$11+N316*Config!$C$12+O316*Config!$C$13+P316*Config!$C$14,0))</f>
        <v/>
      </c>
      <c r="AG316" s="15">
        <f>IF(COUNT(C316:P316)=0,"",IFERROR(AF316/I316,0))</f>
        <v/>
      </c>
      <c r="AH316" s="20">
        <f>IF(COUNT(C316:P316)=0,"",IFERROR(AF316*(1-Config!$C$15-Config!$C$16-Config!$C$17),0))</f>
        <v/>
      </c>
      <c r="AI316" s="20">
        <f>IF(COUNT(C316:P316)=0,"",IFERROR(AH316-C316-Config!$C$18,0))</f>
        <v/>
      </c>
      <c r="AJ316" s="21">
        <f>IF(COUNT(C316:P316)=0,"",IFERROR(AH316/C316,0))</f>
        <v/>
      </c>
      <c r="AK316" s="15">
        <f>IF(COUNT(C316:P316)=0,"",IFERROR(AI316/G316,0))</f>
        <v/>
      </c>
      <c r="AL316" s="21">
        <f>IF(COUNT(C316:P316)=0,"",IFERROR(AK316/V316,0))</f>
        <v/>
      </c>
      <c r="AM316" s="15">
        <f>IF(COUNT(C316:P316)=0,"",IFERROR(AI316/I316,0))</f>
        <v/>
      </c>
      <c r="AN316" s="15">
        <f>IF(COUNT(C316:P316)=0,"",IFERROR(AH316/I316-AA316,0))</f>
        <v/>
      </c>
    </row>
    <row r="317">
      <c r="A317" s="12">
        <f>Config!$C$6+311</f>
        <v/>
      </c>
      <c r="B317" s="13">
        <f>INT((A317-Config!$C$6)/7)+1</f>
        <v/>
      </c>
      <c r="C317" s="10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5">
        <f>IF(COUNT(C317:P317)=0,"",IFERROR(C317/D317*1000,0))</f>
        <v/>
      </c>
      <c r="R317" s="16">
        <f>IF(COUNT(C317:P317)=0,"",IFERROR(D317/E317,0))</f>
        <v/>
      </c>
      <c r="S317" s="17">
        <f>IF(COUNT(C317:P317)=0,"",IFERROR(F317/D317,0))</f>
        <v/>
      </c>
      <c r="T317" s="15">
        <f>IF(COUNT(C317:P317)=0,"",IFERROR(C317/F317,0))</f>
        <v/>
      </c>
      <c r="U317" s="18">
        <f>IF(COUNT(C317:P317)=0,"",IFERROR(G317/F317,0))</f>
        <v/>
      </c>
      <c r="V317" s="15">
        <f>IF(COUNT(C317:P317)=0,"",IFERROR(C317/G317,0))</f>
        <v/>
      </c>
      <c r="W317" s="19">
        <f>IF(COUNT(C317:P317)=0,"",IFERROR(G317/D317*1000,0))</f>
        <v/>
      </c>
      <c r="X317" s="18">
        <f>IF(COUNT(C317:P317)=0,"",IFERROR(H317/G317,0))</f>
        <v/>
      </c>
      <c r="Y317" s="18">
        <f>IF(COUNT(C317:P317)=0,"",IFERROR(I317/H317,0))</f>
        <v/>
      </c>
      <c r="Z317" s="17">
        <f>IF(COUNT(C317:P317)=0,"",IFERROR(I317/G317,0))</f>
        <v/>
      </c>
      <c r="AA317" s="15">
        <f>IF(COUNT(C317:P317)=0,"",IFERROR(C317/I317,0))</f>
        <v/>
      </c>
      <c r="AB317" s="18">
        <f>IF(COUNT(C317:P317)=0,"",IFERROR(J317/I317,0))</f>
        <v/>
      </c>
      <c r="AC317" s="18">
        <f>IF(COUNT(C317:P317)=0,"",IFERROR(K317/I317,0))</f>
        <v/>
      </c>
      <c r="AD317" s="18">
        <f>IF(COUNT(C317:P317)=0,"",IFERROR(L317/I317,0))</f>
        <v/>
      </c>
      <c r="AE317" s="18">
        <f>IF(COUNT(C317:P317)=0,"",IFERROR(P317/I317,0))</f>
        <v/>
      </c>
      <c r="AF317" s="20">
        <f>IF(COUNT(C317:P317)=0,"",IFERROR(I317*Config!$C$7+J317*Config!$C$8+K317*Config!$C$9+L317*Config!$C$10+M317*Config!$C$11+N317*Config!$C$12+O317*Config!$C$13+P317*Config!$C$14,0))</f>
        <v/>
      </c>
      <c r="AG317" s="15">
        <f>IF(COUNT(C317:P317)=0,"",IFERROR(AF317/I317,0))</f>
        <v/>
      </c>
      <c r="AH317" s="20">
        <f>IF(COUNT(C317:P317)=0,"",IFERROR(AF317*(1-Config!$C$15-Config!$C$16-Config!$C$17),0))</f>
        <v/>
      </c>
      <c r="AI317" s="20">
        <f>IF(COUNT(C317:P317)=0,"",IFERROR(AH317-C317-Config!$C$18,0))</f>
        <v/>
      </c>
      <c r="AJ317" s="21">
        <f>IF(COUNT(C317:P317)=0,"",IFERROR(AH317/C317,0))</f>
        <v/>
      </c>
      <c r="AK317" s="15">
        <f>IF(COUNT(C317:P317)=0,"",IFERROR(AI317/G317,0))</f>
        <v/>
      </c>
      <c r="AL317" s="21">
        <f>IF(COUNT(C317:P317)=0,"",IFERROR(AK317/V317,0))</f>
        <v/>
      </c>
      <c r="AM317" s="15">
        <f>IF(COUNT(C317:P317)=0,"",IFERROR(AI317/I317,0))</f>
        <v/>
      </c>
      <c r="AN317" s="15">
        <f>IF(COUNT(C317:P317)=0,"",IFERROR(AH317/I317-AA317,0))</f>
        <v/>
      </c>
    </row>
    <row r="318">
      <c r="A318" s="12">
        <f>Config!$C$6+312</f>
        <v/>
      </c>
      <c r="B318" s="13">
        <f>INT((A318-Config!$C$6)/7)+1</f>
        <v/>
      </c>
      <c r="C318" s="10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5">
        <f>IF(COUNT(C318:P318)=0,"",IFERROR(C318/D318*1000,0))</f>
        <v/>
      </c>
      <c r="R318" s="16">
        <f>IF(COUNT(C318:P318)=0,"",IFERROR(D318/E318,0))</f>
        <v/>
      </c>
      <c r="S318" s="17">
        <f>IF(COUNT(C318:P318)=0,"",IFERROR(F318/D318,0))</f>
        <v/>
      </c>
      <c r="T318" s="15">
        <f>IF(COUNT(C318:P318)=0,"",IFERROR(C318/F318,0))</f>
        <v/>
      </c>
      <c r="U318" s="18">
        <f>IF(COUNT(C318:P318)=0,"",IFERROR(G318/F318,0))</f>
        <v/>
      </c>
      <c r="V318" s="15">
        <f>IF(COUNT(C318:P318)=0,"",IFERROR(C318/G318,0))</f>
        <v/>
      </c>
      <c r="W318" s="19">
        <f>IF(COUNT(C318:P318)=0,"",IFERROR(G318/D318*1000,0))</f>
        <v/>
      </c>
      <c r="X318" s="18">
        <f>IF(COUNT(C318:P318)=0,"",IFERROR(H318/G318,0))</f>
        <v/>
      </c>
      <c r="Y318" s="18">
        <f>IF(COUNT(C318:P318)=0,"",IFERROR(I318/H318,0))</f>
        <v/>
      </c>
      <c r="Z318" s="17">
        <f>IF(COUNT(C318:P318)=0,"",IFERROR(I318/G318,0))</f>
        <v/>
      </c>
      <c r="AA318" s="15">
        <f>IF(COUNT(C318:P318)=0,"",IFERROR(C318/I318,0))</f>
        <v/>
      </c>
      <c r="AB318" s="18">
        <f>IF(COUNT(C318:P318)=0,"",IFERROR(J318/I318,0))</f>
        <v/>
      </c>
      <c r="AC318" s="18">
        <f>IF(COUNT(C318:P318)=0,"",IFERROR(K318/I318,0))</f>
        <v/>
      </c>
      <c r="AD318" s="18">
        <f>IF(COUNT(C318:P318)=0,"",IFERROR(L318/I318,0))</f>
        <v/>
      </c>
      <c r="AE318" s="18">
        <f>IF(COUNT(C318:P318)=0,"",IFERROR(P318/I318,0))</f>
        <v/>
      </c>
      <c r="AF318" s="20">
        <f>IF(COUNT(C318:P318)=0,"",IFERROR(I318*Config!$C$7+J318*Config!$C$8+K318*Config!$C$9+L318*Config!$C$10+M318*Config!$C$11+N318*Config!$C$12+O318*Config!$C$13+P318*Config!$C$14,0))</f>
        <v/>
      </c>
      <c r="AG318" s="15">
        <f>IF(COUNT(C318:P318)=0,"",IFERROR(AF318/I318,0))</f>
        <v/>
      </c>
      <c r="AH318" s="20">
        <f>IF(COUNT(C318:P318)=0,"",IFERROR(AF318*(1-Config!$C$15-Config!$C$16-Config!$C$17),0))</f>
        <v/>
      </c>
      <c r="AI318" s="20">
        <f>IF(COUNT(C318:P318)=0,"",IFERROR(AH318-C318-Config!$C$18,0))</f>
        <v/>
      </c>
      <c r="AJ318" s="21">
        <f>IF(COUNT(C318:P318)=0,"",IFERROR(AH318/C318,0))</f>
        <v/>
      </c>
      <c r="AK318" s="15">
        <f>IF(COUNT(C318:P318)=0,"",IFERROR(AI318/G318,0))</f>
        <v/>
      </c>
      <c r="AL318" s="21">
        <f>IF(COUNT(C318:P318)=0,"",IFERROR(AK318/V318,0))</f>
        <v/>
      </c>
      <c r="AM318" s="15">
        <f>IF(COUNT(C318:P318)=0,"",IFERROR(AI318/I318,0))</f>
        <v/>
      </c>
      <c r="AN318" s="15">
        <f>IF(COUNT(C318:P318)=0,"",IFERROR(AH318/I318-AA318,0))</f>
        <v/>
      </c>
    </row>
    <row r="319">
      <c r="A319" s="12">
        <f>Config!$C$6+313</f>
        <v/>
      </c>
      <c r="B319" s="13">
        <f>INT((A319-Config!$C$6)/7)+1</f>
        <v/>
      </c>
      <c r="C319" s="10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5">
        <f>IF(COUNT(C319:P319)=0,"",IFERROR(C319/D319*1000,0))</f>
        <v/>
      </c>
      <c r="R319" s="16">
        <f>IF(COUNT(C319:P319)=0,"",IFERROR(D319/E319,0))</f>
        <v/>
      </c>
      <c r="S319" s="17">
        <f>IF(COUNT(C319:P319)=0,"",IFERROR(F319/D319,0))</f>
        <v/>
      </c>
      <c r="T319" s="15">
        <f>IF(COUNT(C319:P319)=0,"",IFERROR(C319/F319,0))</f>
        <v/>
      </c>
      <c r="U319" s="18">
        <f>IF(COUNT(C319:P319)=0,"",IFERROR(G319/F319,0))</f>
        <v/>
      </c>
      <c r="V319" s="15">
        <f>IF(COUNT(C319:P319)=0,"",IFERROR(C319/G319,0))</f>
        <v/>
      </c>
      <c r="W319" s="19">
        <f>IF(COUNT(C319:P319)=0,"",IFERROR(G319/D319*1000,0))</f>
        <v/>
      </c>
      <c r="X319" s="18">
        <f>IF(COUNT(C319:P319)=0,"",IFERROR(H319/G319,0))</f>
        <v/>
      </c>
      <c r="Y319" s="18">
        <f>IF(COUNT(C319:P319)=0,"",IFERROR(I319/H319,0))</f>
        <v/>
      </c>
      <c r="Z319" s="17">
        <f>IF(COUNT(C319:P319)=0,"",IFERROR(I319/G319,0))</f>
        <v/>
      </c>
      <c r="AA319" s="15">
        <f>IF(COUNT(C319:P319)=0,"",IFERROR(C319/I319,0))</f>
        <v/>
      </c>
      <c r="AB319" s="18">
        <f>IF(COUNT(C319:P319)=0,"",IFERROR(J319/I319,0))</f>
        <v/>
      </c>
      <c r="AC319" s="18">
        <f>IF(COUNT(C319:P319)=0,"",IFERROR(K319/I319,0))</f>
        <v/>
      </c>
      <c r="AD319" s="18">
        <f>IF(COUNT(C319:P319)=0,"",IFERROR(L319/I319,0))</f>
        <v/>
      </c>
      <c r="AE319" s="18">
        <f>IF(COUNT(C319:P319)=0,"",IFERROR(P319/I319,0))</f>
        <v/>
      </c>
      <c r="AF319" s="20">
        <f>IF(COUNT(C319:P319)=0,"",IFERROR(I319*Config!$C$7+J319*Config!$C$8+K319*Config!$C$9+L319*Config!$C$10+M319*Config!$C$11+N319*Config!$C$12+O319*Config!$C$13+P319*Config!$C$14,0))</f>
        <v/>
      </c>
      <c r="AG319" s="15">
        <f>IF(COUNT(C319:P319)=0,"",IFERROR(AF319/I319,0))</f>
        <v/>
      </c>
      <c r="AH319" s="20">
        <f>IF(COUNT(C319:P319)=0,"",IFERROR(AF319*(1-Config!$C$15-Config!$C$16-Config!$C$17),0))</f>
        <v/>
      </c>
      <c r="AI319" s="20">
        <f>IF(COUNT(C319:P319)=0,"",IFERROR(AH319-C319-Config!$C$18,0))</f>
        <v/>
      </c>
      <c r="AJ319" s="21">
        <f>IF(COUNT(C319:P319)=0,"",IFERROR(AH319/C319,0))</f>
        <v/>
      </c>
      <c r="AK319" s="15">
        <f>IF(COUNT(C319:P319)=0,"",IFERROR(AI319/G319,0))</f>
        <v/>
      </c>
      <c r="AL319" s="21">
        <f>IF(COUNT(C319:P319)=0,"",IFERROR(AK319/V319,0))</f>
        <v/>
      </c>
      <c r="AM319" s="15">
        <f>IF(COUNT(C319:P319)=0,"",IFERROR(AI319/I319,0))</f>
        <v/>
      </c>
      <c r="AN319" s="15">
        <f>IF(COUNT(C319:P319)=0,"",IFERROR(AH319/I319-AA319,0))</f>
        <v/>
      </c>
    </row>
    <row r="320">
      <c r="A320" s="12">
        <f>Config!$C$6+314</f>
        <v/>
      </c>
      <c r="B320" s="13">
        <f>INT((A320-Config!$C$6)/7)+1</f>
        <v/>
      </c>
      <c r="C320" s="10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5">
        <f>IF(COUNT(C320:P320)=0,"",IFERROR(C320/D320*1000,0))</f>
        <v/>
      </c>
      <c r="R320" s="16">
        <f>IF(COUNT(C320:P320)=0,"",IFERROR(D320/E320,0))</f>
        <v/>
      </c>
      <c r="S320" s="17">
        <f>IF(COUNT(C320:P320)=0,"",IFERROR(F320/D320,0))</f>
        <v/>
      </c>
      <c r="T320" s="15">
        <f>IF(COUNT(C320:P320)=0,"",IFERROR(C320/F320,0))</f>
        <v/>
      </c>
      <c r="U320" s="18">
        <f>IF(COUNT(C320:P320)=0,"",IFERROR(G320/F320,0))</f>
        <v/>
      </c>
      <c r="V320" s="15">
        <f>IF(COUNT(C320:P320)=0,"",IFERROR(C320/G320,0))</f>
        <v/>
      </c>
      <c r="W320" s="19">
        <f>IF(COUNT(C320:P320)=0,"",IFERROR(G320/D320*1000,0))</f>
        <v/>
      </c>
      <c r="X320" s="18">
        <f>IF(COUNT(C320:P320)=0,"",IFERROR(H320/G320,0))</f>
        <v/>
      </c>
      <c r="Y320" s="18">
        <f>IF(COUNT(C320:P320)=0,"",IFERROR(I320/H320,0))</f>
        <v/>
      </c>
      <c r="Z320" s="17">
        <f>IF(COUNT(C320:P320)=0,"",IFERROR(I320/G320,0))</f>
        <v/>
      </c>
      <c r="AA320" s="15">
        <f>IF(COUNT(C320:P320)=0,"",IFERROR(C320/I320,0))</f>
        <v/>
      </c>
      <c r="AB320" s="18">
        <f>IF(COUNT(C320:P320)=0,"",IFERROR(J320/I320,0))</f>
        <v/>
      </c>
      <c r="AC320" s="18">
        <f>IF(COUNT(C320:P320)=0,"",IFERROR(K320/I320,0))</f>
        <v/>
      </c>
      <c r="AD320" s="18">
        <f>IF(COUNT(C320:P320)=0,"",IFERROR(L320/I320,0))</f>
        <v/>
      </c>
      <c r="AE320" s="18">
        <f>IF(COUNT(C320:P320)=0,"",IFERROR(P320/I320,0))</f>
        <v/>
      </c>
      <c r="AF320" s="20">
        <f>IF(COUNT(C320:P320)=0,"",IFERROR(I320*Config!$C$7+J320*Config!$C$8+K320*Config!$C$9+L320*Config!$C$10+M320*Config!$C$11+N320*Config!$C$12+O320*Config!$C$13+P320*Config!$C$14,0))</f>
        <v/>
      </c>
      <c r="AG320" s="15">
        <f>IF(COUNT(C320:P320)=0,"",IFERROR(AF320/I320,0))</f>
        <v/>
      </c>
      <c r="AH320" s="20">
        <f>IF(COUNT(C320:P320)=0,"",IFERROR(AF320*(1-Config!$C$15-Config!$C$16-Config!$C$17),0))</f>
        <v/>
      </c>
      <c r="AI320" s="20">
        <f>IF(COUNT(C320:P320)=0,"",IFERROR(AH320-C320-Config!$C$18,0))</f>
        <v/>
      </c>
      <c r="AJ320" s="21">
        <f>IF(COUNT(C320:P320)=0,"",IFERROR(AH320/C320,0))</f>
        <v/>
      </c>
      <c r="AK320" s="15">
        <f>IF(COUNT(C320:P320)=0,"",IFERROR(AI320/G320,0))</f>
        <v/>
      </c>
      <c r="AL320" s="21">
        <f>IF(COUNT(C320:P320)=0,"",IFERROR(AK320/V320,0))</f>
        <v/>
      </c>
      <c r="AM320" s="15">
        <f>IF(COUNT(C320:P320)=0,"",IFERROR(AI320/I320,0))</f>
        <v/>
      </c>
      <c r="AN320" s="15">
        <f>IF(COUNT(C320:P320)=0,"",IFERROR(AH320/I320-AA320,0))</f>
        <v/>
      </c>
    </row>
    <row r="321">
      <c r="A321" s="12">
        <f>Config!$C$6+315</f>
        <v/>
      </c>
      <c r="B321" s="13">
        <f>INT((A321-Config!$C$6)/7)+1</f>
        <v/>
      </c>
      <c r="C321" s="10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5">
        <f>IF(COUNT(C321:P321)=0,"",IFERROR(C321/D321*1000,0))</f>
        <v/>
      </c>
      <c r="R321" s="16">
        <f>IF(COUNT(C321:P321)=0,"",IFERROR(D321/E321,0))</f>
        <v/>
      </c>
      <c r="S321" s="17">
        <f>IF(COUNT(C321:P321)=0,"",IFERROR(F321/D321,0))</f>
        <v/>
      </c>
      <c r="T321" s="15">
        <f>IF(COUNT(C321:P321)=0,"",IFERROR(C321/F321,0))</f>
        <v/>
      </c>
      <c r="U321" s="18">
        <f>IF(COUNT(C321:P321)=0,"",IFERROR(G321/F321,0))</f>
        <v/>
      </c>
      <c r="V321" s="15">
        <f>IF(COUNT(C321:P321)=0,"",IFERROR(C321/G321,0))</f>
        <v/>
      </c>
      <c r="W321" s="19">
        <f>IF(COUNT(C321:P321)=0,"",IFERROR(G321/D321*1000,0))</f>
        <v/>
      </c>
      <c r="X321" s="18">
        <f>IF(COUNT(C321:P321)=0,"",IFERROR(H321/G321,0))</f>
        <v/>
      </c>
      <c r="Y321" s="18">
        <f>IF(COUNT(C321:P321)=0,"",IFERROR(I321/H321,0))</f>
        <v/>
      </c>
      <c r="Z321" s="17">
        <f>IF(COUNT(C321:P321)=0,"",IFERROR(I321/G321,0))</f>
        <v/>
      </c>
      <c r="AA321" s="15">
        <f>IF(COUNT(C321:P321)=0,"",IFERROR(C321/I321,0))</f>
        <v/>
      </c>
      <c r="AB321" s="18">
        <f>IF(COUNT(C321:P321)=0,"",IFERROR(J321/I321,0))</f>
        <v/>
      </c>
      <c r="AC321" s="18">
        <f>IF(COUNT(C321:P321)=0,"",IFERROR(K321/I321,0))</f>
        <v/>
      </c>
      <c r="AD321" s="18">
        <f>IF(COUNT(C321:P321)=0,"",IFERROR(L321/I321,0))</f>
        <v/>
      </c>
      <c r="AE321" s="18">
        <f>IF(COUNT(C321:P321)=0,"",IFERROR(P321/I321,0))</f>
        <v/>
      </c>
      <c r="AF321" s="20">
        <f>IF(COUNT(C321:P321)=0,"",IFERROR(I321*Config!$C$7+J321*Config!$C$8+K321*Config!$C$9+L321*Config!$C$10+M321*Config!$C$11+N321*Config!$C$12+O321*Config!$C$13+P321*Config!$C$14,0))</f>
        <v/>
      </c>
      <c r="AG321" s="15">
        <f>IF(COUNT(C321:P321)=0,"",IFERROR(AF321/I321,0))</f>
        <v/>
      </c>
      <c r="AH321" s="20">
        <f>IF(COUNT(C321:P321)=0,"",IFERROR(AF321*(1-Config!$C$15-Config!$C$16-Config!$C$17),0))</f>
        <v/>
      </c>
      <c r="AI321" s="20">
        <f>IF(COUNT(C321:P321)=0,"",IFERROR(AH321-C321-Config!$C$18,0))</f>
        <v/>
      </c>
      <c r="AJ321" s="21">
        <f>IF(COUNT(C321:P321)=0,"",IFERROR(AH321/C321,0))</f>
        <v/>
      </c>
      <c r="AK321" s="15">
        <f>IF(COUNT(C321:P321)=0,"",IFERROR(AI321/G321,0))</f>
        <v/>
      </c>
      <c r="AL321" s="21">
        <f>IF(COUNT(C321:P321)=0,"",IFERROR(AK321/V321,0))</f>
        <v/>
      </c>
      <c r="AM321" s="15">
        <f>IF(COUNT(C321:P321)=0,"",IFERROR(AI321/I321,0))</f>
        <v/>
      </c>
      <c r="AN321" s="15">
        <f>IF(COUNT(C321:P321)=0,"",IFERROR(AH321/I321-AA321,0))</f>
        <v/>
      </c>
    </row>
    <row r="322">
      <c r="A322" s="12">
        <f>Config!$C$6+316</f>
        <v/>
      </c>
      <c r="B322" s="13">
        <f>INT((A322-Config!$C$6)/7)+1</f>
        <v/>
      </c>
      <c r="C322" s="10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5">
        <f>IF(COUNT(C322:P322)=0,"",IFERROR(C322/D322*1000,0))</f>
        <v/>
      </c>
      <c r="R322" s="16">
        <f>IF(COUNT(C322:P322)=0,"",IFERROR(D322/E322,0))</f>
        <v/>
      </c>
      <c r="S322" s="17">
        <f>IF(COUNT(C322:P322)=0,"",IFERROR(F322/D322,0))</f>
        <v/>
      </c>
      <c r="T322" s="15">
        <f>IF(COUNT(C322:P322)=0,"",IFERROR(C322/F322,0))</f>
        <v/>
      </c>
      <c r="U322" s="18">
        <f>IF(COUNT(C322:P322)=0,"",IFERROR(G322/F322,0))</f>
        <v/>
      </c>
      <c r="V322" s="15">
        <f>IF(COUNT(C322:P322)=0,"",IFERROR(C322/G322,0))</f>
        <v/>
      </c>
      <c r="W322" s="19">
        <f>IF(COUNT(C322:P322)=0,"",IFERROR(G322/D322*1000,0))</f>
        <v/>
      </c>
      <c r="X322" s="18">
        <f>IF(COUNT(C322:P322)=0,"",IFERROR(H322/G322,0))</f>
        <v/>
      </c>
      <c r="Y322" s="18">
        <f>IF(COUNT(C322:P322)=0,"",IFERROR(I322/H322,0))</f>
        <v/>
      </c>
      <c r="Z322" s="17">
        <f>IF(COUNT(C322:P322)=0,"",IFERROR(I322/G322,0))</f>
        <v/>
      </c>
      <c r="AA322" s="15">
        <f>IF(COUNT(C322:P322)=0,"",IFERROR(C322/I322,0))</f>
        <v/>
      </c>
      <c r="AB322" s="18">
        <f>IF(COUNT(C322:P322)=0,"",IFERROR(J322/I322,0))</f>
        <v/>
      </c>
      <c r="AC322" s="18">
        <f>IF(COUNT(C322:P322)=0,"",IFERROR(K322/I322,0))</f>
        <v/>
      </c>
      <c r="AD322" s="18">
        <f>IF(COUNT(C322:P322)=0,"",IFERROR(L322/I322,0))</f>
        <v/>
      </c>
      <c r="AE322" s="18">
        <f>IF(COUNT(C322:P322)=0,"",IFERROR(P322/I322,0))</f>
        <v/>
      </c>
      <c r="AF322" s="20">
        <f>IF(COUNT(C322:P322)=0,"",IFERROR(I322*Config!$C$7+J322*Config!$C$8+K322*Config!$C$9+L322*Config!$C$10+M322*Config!$C$11+N322*Config!$C$12+O322*Config!$C$13+P322*Config!$C$14,0))</f>
        <v/>
      </c>
      <c r="AG322" s="15">
        <f>IF(COUNT(C322:P322)=0,"",IFERROR(AF322/I322,0))</f>
        <v/>
      </c>
      <c r="AH322" s="20">
        <f>IF(COUNT(C322:P322)=0,"",IFERROR(AF322*(1-Config!$C$15-Config!$C$16-Config!$C$17),0))</f>
        <v/>
      </c>
      <c r="AI322" s="20">
        <f>IF(COUNT(C322:P322)=0,"",IFERROR(AH322-C322-Config!$C$18,0))</f>
        <v/>
      </c>
      <c r="AJ322" s="21">
        <f>IF(COUNT(C322:P322)=0,"",IFERROR(AH322/C322,0))</f>
        <v/>
      </c>
      <c r="AK322" s="15">
        <f>IF(COUNT(C322:P322)=0,"",IFERROR(AI322/G322,0))</f>
        <v/>
      </c>
      <c r="AL322" s="21">
        <f>IF(COUNT(C322:P322)=0,"",IFERROR(AK322/V322,0))</f>
        <v/>
      </c>
      <c r="AM322" s="15">
        <f>IF(COUNT(C322:P322)=0,"",IFERROR(AI322/I322,0))</f>
        <v/>
      </c>
      <c r="AN322" s="15">
        <f>IF(COUNT(C322:P322)=0,"",IFERROR(AH322/I322-AA322,0))</f>
        <v/>
      </c>
    </row>
    <row r="323">
      <c r="A323" s="12">
        <f>Config!$C$6+317</f>
        <v/>
      </c>
      <c r="B323" s="13">
        <f>INT((A323-Config!$C$6)/7)+1</f>
        <v/>
      </c>
      <c r="C323" s="10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5">
        <f>IF(COUNT(C323:P323)=0,"",IFERROR(C323/D323*1000,0))</f>
        <v/>
      </c>
      <c r="R323" s="16">
        <f>IF(COUNT(C323:P323)=0,"",IFERROR(D323/E323,0))</f>
        <v/>
      </c>
      <c r="S323" s="17">
        <f>IF(COUNT(C323:P323)=0,"",IFERROR(F323/D323,0))</f>
        <v/>
      </c>
      <c r="T323" s="15">
        <f>IF(COUNT(C323:P323)=0,"",IFERROR(C323/F323,0))</f>
        <v/>
      </c>
      <c r="U323" s="18">
        <f>IF(COUNT(C323:P323)=0,"",IFERROR(G323/F323,0))</f>
        <v/>
      </c>
      <c r="V323" s="15">
        <f>IF(COUNT(C323:P323)=0,"",IFERROR(C323/G323,0))</f>
        <v/>
      </c>
      <c r="W323" s="19">
        <f>IF(COUNT(C323:P323)=0,"",IFERROR(G323/D323*1000,0))</f>
        <v/>
      </c>
      <c r="X323" s="18">
        <f>IF(COUNT(C323:P323)=0,"",IFERROR(H323/G323,0))</f>
        <v/>
      </c>
      <c r="Y323" s="18">
        <f>IF(COUNT(C323:P323)=0,"",IFERROR(I323/H323,0))</f>
        <v/>
      </c>
      <c r="Z323" s="17">
        <f>IF(COUNT(C323:P323)=0,"",IFERROR(I323/G323,0))</f>
        <v/>
      </c>
      <c r="AA323" s="15">
        <f>IF(COUNT(C323:P323)=0,"",IFERROR(C323/I323,0))</f>
        <v/>
      </c>
      <c r="AB323" s="18">
        <f>IF(COUNT(C323:P323)=0,"",IFERROR(J323/I323,0))</f>
        <v/>
      </c>
      <c r="AC323" s="18">
        <f>IF(COUNT(C323:P323)=0,"",IFERROR(K323/I323,0))</f>
        <v/>
      </c>
      <c r="AD323" s="18">
        <f>IF(COUNT(C323:P323)=0,"",IFERROR(L323/I323,0))</f>
        <v/>
      </c>
      <c r="AE323" s="18">
        <f>IF(COUNT(C323:P323)=0,"",IFERROR(P323/I323,0))</f>
        <v/>
      </c>
      <c r="AF323" s="20">
        <f>IF(COUNT(C323:P323)=0,"",IFERROR(I323*Config!$C$7+J323*Config!$C$8+K323*Config!$C$9+L323*Config!$C$10+M323*Config!$C$11+N323*Config!$C$12+O323*Config!$C$13+P323*Config!$C$14,0))</f>
        <v/>
      </c>
      <c r="AG323" s="15">
        <f>IF(COUNT(C323:P323)=0,"",IFERROR(AF323/I323,0))</f>
        <v/>
      </c>
      <c r="AH323" s="20">
        <f>IF(COUNT(C323:P323)=0,"",IFERROR(AF323*(1-Config!$C$15-Config!$C$16-Config!$C$17),0))</f>
        <v/>
      </c>
      <c r="AI323" s="20">
        <f>IF(COUNT(C323:P323)=0,"",IFERROR(AH323-C323-Config!$C$18,0))</f>
        <v/>
      </c>
      <c r="AJ323" s="21">
        <f>IF(COUNT(C323:P323)=0,"",IFERROR(AH323/C323,0))</f>
        <v/>
      </c>
      <c r="AK323" s="15">
        <f>IF(COUNT(C323:P323)=0,"",IFERROR(AI323/G323,0))</f>
        <v/>
      </c>
      <c r="AL323" s="21">
        <f>IF(COUNT(C323:P323)=0,"",IFERROR(AK323/V323,0))</f>
        <v/>
      </c>
      <c r="AM323" s="15">
        <f>IF(COUNT(C323:P323)=0,"",IFERROR(AI323/I323,0))</f>
        <v/>
      </c>
      <c r="AN323" s="15">
        <f>IF(COUNT(C323:P323)=0,"",IFERROR(AH323/I323-AA323,0))</f>
        <v/>
      </c>
    </row>
    <row r="324">
      <c r="A324" s="12">
        <f>Config!$C$6+318</f>
        <v/>
      </c>
      <c r="B324" s="13">
        <f>INT((A324-Config!$C$6)/7)+1</f>
        <v/>
      </c>
      <c r="C324" s="10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5">
        <f>IF(COUNT(C324:P324)=0,"",IFERROR(C324/D324*1000,0))</f>
        <v/>
      </c>
      <c r="R324" s="16">
        <f>IF(COUNT(C324:P324)=0,"",IFERROR(D324/E324,0))</f>
        <v/>
      </c>
      <c r="S324" s="17">
        <f>IF(COUNT(C324:P324)=0,"",IFERROR(F324/D324,0))</f>
        <v/>
      </c>
      <c r="T324" s="15">
        <f>IF(COUNT(C324:P324)=0,"",IFERROR(C324/F324,0))</f>
        <v/>
      </c>
      <c r="U324" s="18">
        <f>IF(COUNT(C324:P324)=0,"",IFERROR(G324/F324,0))</f>
        <v/>
      </c>
      <c r="V324" s="15">
        <f>IF(COUNT(C324:P324)=0,"",IFERROR(C324/G324,0))</f>
        <v/>
      </c>
      <c r="W324" s="19">
        <f>IF(COUNT(C324:P324)=0,"",IFERROR(G324/D324*1000,0))</f>
        <v/>
      </c>
      <c r="X324" s="18">
        <f>IF(COUNT(C324:P324)=0,"",IFERROR(H324/G324,0))</f>
        <v/>
      </c>
      <c r="Y324" s="18">
        <f>IF(COUNT(C324:P324)=0,"",IFERROR(I324/H324,0))</f>
        <v/>
      </c>
      <c r="Z324" s="17">
        <f>IF(COUNT(C324:P324)=0,"",IFERROR(I324/G324,0))</f>
        <v/>
      </c>
      <c r="AA324" s="15">
        <f>IF(COUNT(C324:P324)=0,"",IFERROR(C324/I324,0))</f>
        <v/>
      </c>
      <c r="AB324" s="18">
        <f>IF(COUNT(C324:P324)=0,"",IFERROR(J324/I324,0))</f>
        <v/>
      </c>
      <c r="AC324" s="18">
        <f>IF(COUNT(C324:P324)=0,"",IFERROR(K324/I324,0))</f>
        <v/>
      </c>
      <c r="AD324" s="18">
        <f>IF(COUNT(C324:P324)=0,"",IFERROR(L324/I324,0))</f>
        <v/>
      </c>
      <c r="AE324" s="18">
        <f>IF(COUNT(C324:P324)=0,"",IFERROR(P324/I324,0))</f>
        <v/>
      </c>
      <c r="AF324" s="20">
        <f>IF(COUNT(C324:P324)=0,"",IFERROR(I324*Config!$C$7+J324*Config!$C$8+K324*Config!$C$9+L324*Config!$C$10+M324*Config!$C$11+N324*Config!$C$12+O324*Config!$C$13+P324*Config!$C$14,0))</f>
        <v/>
      </c>
      <c r="AG324" s="15">
        <f>IF(COUNT(C324:P324)=0,"",IFERROR(AF324/I324,0))</f>
        <v/>
      </c>
      <c r="AH324" s="20">
        <f>IF(COUNT(C324:P324)=0,"",IFERROR(AF324*(1-Config!$C$15-Config!$C$16-Config!$C$17),0))</f>
        <v/>
      </c>
      <c r="AI324" s="20">
        <f>IF(COUNT(C324:P324)=0,"",IFERROR(AH324-C324-Config!$C$18,0))</f>
        <v/>
      </c>
      <c r="AJ324" s="21">
        <f>IF(COUNT(C324:P324)=0,"",IFERROR(AH324/C324,0))</f>
        <v/>
      </c>
      <c r="AK324" s="15">
        <f>IF(COUNT(C324:P324)=0,"",IFERROR(AI324/G324,0))</f>
        <v/>
      </c>
      <c r="AL324" s="21">
        <f>IF(COUNT(C324:P324)=0,"",IFERROR(AK324/V324,0))</f>
        <v/>
      </c>
      <c r="AM324" s="15">
        <f>IF(COUNT(C324:P324)=0,"",IFERROR(AI324/I324,0))</f>
        <v/>
      </c>
      <c r="AN324" s="15">
        <f>IF(COUNT(C324:P324)=0,"",IFERROR(AH324/I324-AA324,0))</f>
        <v/>
      </c>
    </row>
    <row r="325">
      <c r="A325" s="12">
        <f>Config!$C$6+319</f>
        <v/>
      </c>
      <c r="B325" s="13">
        <f>INT((A325-Config!$C$6)/7)+1</f>
        <v/>
      </c>
      <c r="C325" s="10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5">
        <f>IF(COUNT(C325:P325)=0,"",IFERROR(C325/D325*1000,0))</f>
        <v/>
      </c>
      <c r="R325" s="16">
        <f>IF(COUNT(C325:P325)=0,"",IFERROR(D325/E325,0))</f>
        <v/>
      </c>
      <c r="S325" s="17">
        <f>IF(COUNT(C325:P325)=0,"",IFERROR(F325/D325,0))</f>
        <v/>
      </c>
      <c r="T325" s="15">
        <f>IF(COUNT(C325:P325)=0,"",IFERROR(C325/F325,0))</f>
        <v/>
      </c>
      <c r="U325" s="18">
        <f>IF(COUNT(C325:P325)=0,"",IFERROR(G325/F325,0))</f>
        <v/>
      </c>
      <c r="V325" s="15">
        <f>IF(COUNT(C325:P325)=0,"",IFERROR(C325/G325,0))</f>
        <v/>
      </c>
      <c r="W325" s="19">
        <f>IF(COUNT(C325:P325)=0,"",IFERROR(G325/D325*1000,0))</f>
        <v/>
      </c>
      <c r="X325" s="18">
        <f>IF(COUNT(C325:P325)=0,"",IFERROR(H325/G325,0))</f>
        <v/>
      </c>
      <c r="Y325" s="18">
        <f>IF(COUNT(C325:P325)=0,"",IFERROR(I325/H325,0))</f>
        <v/>
      </c>
      <c r="Z325" s="17">
        <f>IF(COUNT(C325:P325)=0,"",IFERROR(I325/G325,0))</f>
        <v/>
      </c>
      <c r="AA325" s="15">
        <f>IF(COUNT(C325:P325)=0,"",IFERROR(C325/I325,0))</f>
        <v/>
      </c>
      <c r="AB325" s="18">
        <f>IF(COUNT(C325:P325)=0,"",IFERROR(J325/I325,0))</f>
        <v/>
      </c>
      <c r="AC325" s="18">
        <f>IF(COUNT(C325:P325)=0,"",IFERROR(K325/I325,0))</f>
        <v/>
      </c>
      <c r="AD325" s="18">
        <f>IF(COUNT(C325:P325)=0,"",IFERROR(L325/I325,0))</f>
        <v/>
      </c>
      <c r="AE325" s="18">
        <f>IF(COUNT(C325:P325)=0,"",IFERROR(P325/I325,0))</f>
        <v/>
      </c>
      <c r="AF325" s="20">
        <f>IF(COUNT(C325:P325)=0,"",IFERROR(I325*Config!$C$7+J325*Config!$C$8+K325*Config!$C$9+L325*Config!$C$10+M325*Config!$C$11+N325*Config!$C$12+O325*Config!$C$13+P325*Config!$C$14,0))</f>
        <v/>
      </c>
      <c r="AG325" s="15">
        <f>IF(COUNT(C325:P325)=0,"",IFERROR(AF325/I325,0))</f>
        <v/>
      </c>
      <c r="AH325" s="20">
        <f>IF(COUNT(C325:P325)=0,"",IFERROR(AF325*(1-Config!$C$15-Config!$C$16-Config!$C$17),0))</f>
        <v/>
      </c>
      <c r="AI325" s="20">
        <f>IF(COUNT(C325:P325)=0,"",IFERROR(AH325-C325-Config!$C$18,0))</f>
        <v/>
      </c>
      <c r="AJ325" s="21">
        <f>IF(COUNT(C325:P325)=0,"",IFERROR(AH325/C325,0))</f>
        <v/>
      </c>
      <c r="AK325" s="15">
        <f>IF(COUNT(C325:P325)=0,"",IFERROR(AI325/G325,0))</f>
        <v/>
      </c>
      <c r="AL325" s="21">
        <f>IF(COUNT(C325:P325)=0,"",IFERROR(AK325/V325,0))</f>
        <v/>
      </c>
      <c r="AM325" s="15">
        <f>IF(COUNT(C325:P325)=0,"",IFERROR(AI325/I325,0))</f>
        <v/>
      </c>
      <c r="AN325" s="15">
        <f>IF(COUNT(C325:P325)=0,"",IFERROR(AH325/I325-AA325,0))</f>
        <v/>
      </c>
    </row>
    <row r="326">
      <c r="A326" s="12">
        <f>Config!$C$6+320</f>
        <v/>
      </c>
      <c r="B326" s="13">
        <f>INT((A326-Config!$C$6)/7)+1</f>
        <v/>
      </c>
      <c r="C326" s="10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5">
        <f>IF(COUNT(C326:P326)=0,"",IFERROR(C326/D326*1000,0))</f>
        <v/>
      </c>
      <c r="R326" s="16">
        <f>IF(COUNT(C326:P326)=0,"",IFERROR(D326/E326,0))</f>
        <v/>
      </c>
      <c r="S326" s="17">
        <f>IF(COUNT(C326:P326)=0,"",IFERROR(F326/D326,0))</f>
        <v/>
      </c>
      <c r="T326" s="15">
        <f>IF(COUNT(C326:P326)=0,"",IFERROR(C326/F326,0))</f>
        <v/>
      </c>
      <c r="U326" s="18">
        <f>IF(COUNT(C326:P326)=0,"",IFERROR(G326/F326,0))</f>
        <v/>
      </c>
      <c r="V326" s="15">
        <f>IF(COUNT(C326:P326)=0,"",IFERROR(C326/G326,0))</f>
        <v/>
      </c>
      <c r="W326" s="19">
        <f>IF(COUNT(C326:P326)=0,"",IFERROR(G326/D326*1000,0))</f>
        <v/>
      </c>
      <c r="X326" s="18">
        <f>IF(COUNT(C326:P326)=0,"",IFERROR(H326/G326,0))</f>
        <v/>
      </c>
      <c r="Y326" s="18">
        <f>IF(COUNT(C326:P326)=0,"",IFERROR(I326/H326,0))</f>
        <v/>
      </c>
      <c r="Z326" s="17">
        <f>IF(COUNT(C326:P326)=0,"",IFERROR(I326/G326,0))</f>
        <v/>
      </c>
      <c r="AA326" s="15">
        <f>IF(COUNT(C326:P326)=0,"",IFERROR(C326/I326,0))</f>
        <v/>
      </c>
      <c r="AB326" s="18">
        <f>IF(COUNT(C326:P326)=0,"",IFERROR(J326/I326,0))</f>
        <v/>
      </c>
      <c r="AC326" s="18">
        <f>IF(COUNT(C326:P326)=0,"",IFERROR(K326/I326,0))</f>
        <v/>
      </c>
      <c r="AD326" s="18">
        <f>IF(COUNT(C326:P326)=0,"",IFERROR(L326/I326,0))</f>
        <v/>
      </c>
      <c r="AE326" s="18">
        <f>IF(COUNT(C326:P326)=0,"",IFERROR(P326/I326,0))</f>
        <v/>
      </c>
      <c r="AF326" s="20">
        <f>IF(COUNT(C326:P326)=0,"",IFERROR(I326*Config!$C$7+J326*Config!$C$8+K326*Config!$C$9+L326*Config!$C$10+M326*Config!$C$11+N326*Config!$C$12+O326*Config!$C$13+P326*Config!$C$14,0))</f>
        <v/>
      </c>
      <c r="AG326" s="15">
        <f>IF(COUNT(C326:P326)=0,"",IFERROR(AF326/I326,0))</f>
        <v/>
      </c>
      <c r="AH326" s="20">
        <f>IF(COUNT(C326:P326)=0,"",IFERROR(AF326*(1-Config!$C$15-Config!$C$16-Config!$C$17),0))</f>
        <v/>
      </c>
      <c r="AI326" s="20">
        <f>IF(COUNT(C326:P326)=0,"",IFERROR(AH326-C326-Config!$C$18,0))</f>
        <v/>
      </c>
      <c r="AJ326" s="21">
        <f>IF(COUNT(C326:P326)=0,"",IFERROR(AH326/C326,0))</f>
        <v/>
      </c>
      <c r="AK326" s="15">
        <f>IF(COUNT(C326:P326)=0,"",IFERROR(AI326/G326,0))</f>
        <v/>
      </c>
      <c r="AL326" s="21">
        <f>IF(COUNT(C326:P326)=0,"",IFERROR(AK326/V326,0))</f>
        <v/>
      </c>
      <c r="AM326" s="15">
        <f>IF(COUNT(C326:P326)=0,"",IFERROR(AI326/I326,0))</f>
        <v/>
      </c>
      <c r="AN326" s="15">
        <f>IF(COUNT(C326:P326)=0,"",IFERROR(AH326/I326-AA326,0))</f>
        <v/>
      </c>
    </row>
    <row r="327">
      <c r="A327" s="12">
        <f>Config!$C$6+321</f>
        <v/>
      </c>
      <c r="B327" s="13">
        <f>INT((A327-Config!$C$6)/7)+1</f>
        <v/>
      </c>
      <c r="C327" s="10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5">
        <f>IF(COUNT(C327:P327)=0,"",IFERROR(C327/D327*1000,0))</f>
        <v/>
      </c>
      <c r="R327" s="16">
        <f>IF(COUNT(C327:P327)=0,"",IFERROR(D327/E327,0))</f>
        <v/>
      </c>
      <c r="S327" s="17">
        <f>IF(COUNT(C327:P327)=0,"",IFERROR(F327/D327,0))</f>
        <v/>
      </c>
      <c r="T327" s="15">
        <f>IF(COUNT(C327:P327)=0,"",IFERROR(C327/F327,0))</f>
        <v/>
      </c>
      <c r="U327" s="18">
        <f>IF(COUNT(C327:P327)=0,"",IFERROR(G327/F327,0))</f>
        <v/>
      </c>
      <c r="V327" s="15">
        <f>IF(COUNT(C327:P327)=0,"",IFERROR(C327/G327,0))</f>
        <v/>
      </c>
      <c r="W327" s="19">
        <f>IF(COUNT(C327:P327)=0,"",IFERROR(G327/D327*1000,0))</f>
        <v/>
      </c>
      <c r="X327" s="18">
        <f>IF(COUNT(C327:P327)=0,"",IFERROR(H327/G327,0))</f>
        <v/>
      </c>
      <c r="Y327" s="18">
        <f>IF(COUNT(C327:P327)=0,"",IFERROR(I327/H327,0))</f>
        <v/>
      </c>
      <c r="Z327" s="17">
        <f>IF(COUNT(C327:P327)=0,"",IFERROR(I327/G327,0))</f>
        <v/>
      </c>
      <c r="AA327" s="15">
        <f>IF(COUNT(C327:P327)=0,"",IFERROR(C327/I327,0))</f>
        <v/>
      </c>
      <c r="AB327" s="18">
        <f>IF(COUNT(C327:P327)=0,"",IFERROR(J327/I327,0))</f>
        <v/>
      </c>
      <c r="AC327" s="18">
        <f>IF(COUNT(C327:P327)=0,"",IFERROR(K327/I327,0))</f>
        <v/>
      </c>
      <c r="AD327" s="18">
        <f>IF(COUNT(C327:P327)=0,"",IFERROR(L327/I327,0))</f>
        <v/>
      </c>
      <c r="AE327" s="18">
        <f>IF(COUNT(C327:P327)=0,"",IFERROR(P327/I327,0))</f>
        <v/>
      </c>
      <c r="AF327" s="20">
        <f>IF(COUNT(C327:P327)=0,"",IFERROR(I327*Config!$C$7+J327*Config!$C$8+K327*Config!$C$9+L327*Config!$C$10+M327*Config!$C$11+N327*Config!$C$12+O327*Config!$C$13+P327*Config!$C$14,0))</f>
        <v/>
      </c>
      <c r="AG327" s="15">
        <f>IF(COUNT(C327:P327)=0,"",IFERROR(AF327/I327,0))</f>
        <v/>
      </c>
      <c r="AH327" s="20">
        <f>IF(COUNT(C327:P327)=0,"",IFERROR(AF327*(1-Config!$C$15-Config!$C$16-Config!$C$17),0))</f>
        <v/>
      </c>
      <c r="AI327" s="20">
        <f>IF(COUNT(C327:P327)=0,"",IFERROR(AH327-C327-Config!$C$18,0))</f>
        <v/>
      </c>
      <c r="AJ327" s="21">
        <f>IF(COUNT(C327:P327)=0,"",IFERROR(AH327/C327,0))</f>
        <v/>
      </c>
      <c r="AK327" s="15">
        <f>IF(COUNT(C327:P327)=0,"",IFERROR(AI327/G327,0))</f>
        <v/>
      </c>
      <c r="AL327" s="21">
        <f>IF(COUNT(C327:P327)=0,"",IFERROR(AK327/V327,0))</f>
        <v/>
      </c>
      <c r="AM327" s="15">
        <f>IF(COUNT(C327:P327)=0,"",IFERROR(AI327/I327,0))</f>
        <v/>
      </c>
      <c r="AN327" s="15">
        <f>IF(COUNT(C327:P327)=0,"",IFERROR(AH327/I327-AA327,0))</f>
        <v/>
      </c>
    </row>
    <row r="328">
      <c r="A328" s="12">
        <f>Config!$C$6+322</f>
        <v/>
      </c>
      <c r="B328" s="13">
        <f>INT((A328-Config!$C$6)/7)+1</f>
        <v/>
      </c>
      <c r="C328" s="10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5">
        <f>IF(COUNT(C328:P328)=0,"",IFERROR(C328/D328*1000,0))</f>
        <v/>
      </c>
      <c r="R328" s="16">
        <f>IF(COUNT(C328:P328)=0,"",IFERROR(D328/E328,0))</f>
        <v/>
      </c>
      <c r="S328" s="17">
        <f>IF(COUNT(C328:P328)=0,"",IFERROR(F328/D328,0))</f>
        <v/>
      </c>
      <c r="T328" s="15">
        <f>IF(COUNT(C328:P328)=0,"",IFERROR(C328/F328,0))</f>
        <v/>
      </c>
      <c r="U328" s="18">
        <f>IF(COUNT(C328:P328)=0,"",IFERROR(G328/F328,0))</f>
        <v/>
      </c>
      <c r="V328" s="15">
        <f>IF(COUNT(C328:P328)=0,"",IFERROR(C328/G328,0))</f>
        <v/>
      </c>
      <c r="W328" s="19">
        <f>IF(COUNT(C328:P328)=0,"",IFERROR(G328/D328*1000,0))</f>
        <v/>
      </c>
      <c r="X328" s="18">
        <f>IF(COUNT(C328:P328)=0,"",IFERROR(H328/G328,0))</f>
        <v/>
      </c>
      <c r="Y328" s="18">
        <f>IF(COUNT(C328:P328)=0,"",IFERROR(I328/H328,0))</f>
        <v/>
      </c>
      <c r="Z328" s="17">
        <f>IF(COUNT(C328:P328)=0,"",IFERROR(I328/G328,0))</f>
        <v/>
      </c>
      <c r="AA328" s="15">
        <f>IF(COUNT(C328:P328)=0,"",IFERROR(C328/I328,0))</f>
        <v/>
      </c>
      <c r="AB328" s="18">
        <f>IF(COUNT(C328:P328)=0,"",IFERROR(J328/I328,0))</f>
        <v/>
      </c>
      <c r="AC328" s="18">
        <f>IF(COUNT(C328:P328)=0,"",IFERROR(K328/I328,0))</f>
        <v/>
      </c>
      <c r="AD328" s="18">
        <f>IF(COUNT(C328:P328)=0,"",IFERROR(L328/I328,0))</f>
        <v/>
      </c>
      <c r="AE328" s="18">
        <f>IF(COUNT(C328:P328)=0,"",IFERROR(P328/I328,0))</f>
        <v/>
      </c>
      <c r="AF328" s="20">
        <f>IF(COUNT(C328:P328)=0,"",IFERROR(I328*Config!$C$7+J328*Config!$C$8+K328*Config!$C$9+L328*Config!$C$10+M328*Config!$C$11+N328*Config!$C$12+O328*Config!$C$13+P328*Config!$C$14,0))</f>
        <v/>
      </c>
      <c r="AG328" s="15">
        <f>IF(COUNT(C328:P328)=0,"",IFERROR(AF328/I328,0))</f>
        <v/>
      </c>
      <c r="AH328" s="20">
        <f>IF(COUNT(C328:P328)=0,"",IFERROR(AF328*(1-Config!$C$15-Config!$C$16-Config!$C$17),0))</f>
        <v/>
      </c>
      <c r="AI328" s="20">
        <f>IF(COUNT(C328:P328)=0,"",IFERROR(AH328-C328-Config!$C$18,0))</f>
        <v/>
      </c>
      <c r="AJ328" s="21">
        <f>IF(COUNT(C328:P328)=0,"",IFERROR(AH328/C328,0))</f>
        <v/>
      </c>
      <c r="AK328" s="15">
        <f>IF(COUNT(C328:P328)=0,"",IFERROR(AI328/G328,0))</f>
        <v/>
      </c>
      <c r="AL328" s="21">
        <f>IF(COUNT(C328:P328)=0,"",IFERROR(AK328/V328,0))</f>
        <v/>
      </c>
      <c r="AM328" s="15">
        <f>IF(COUNT(C328:P328)=0,"",IFERROR(AI328/I328,0))</f>
        <v/>
      </c>
      <c r="AN328" s="15">
        <f>IF(COUNT(C328:P328)=0,"",IFERROR(AH328/I328-AA328,0))</f>
        <v/>
      </c>
    </row>
    <row r="329">
      <c r="A329" s="12">
        <f>Config!$C$6+323</f>
        <v/>
      </c>
      <c r="B329" s="13">
        <f>INT((A329-Config!$C$6)/7)+1</f>
        <v/>
      </c>
      <c r="C329" s="10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5">
        <f>IF(COUNT(C329:P329)=0,"",IFERROR(C329/D329*1000,0))</f>
        <v/>
      </c>
      <c r="R329" s="16">
        <f>IF(COUNT(C329:P329)=0,"",IFERROR(D329/E329,0))</f>
        <v/>
      </c>
      <c r="S329" s="17">
        <f>IF(COUNT(C329:P329)=0,"",IFERROR(F329/D329,0))</f>
        <v/>
      </c>
      <c r="T329" s="15">
        <f>IF(COUNT(C329:P329)=0,"",IFERROR(C329/F329,0))</f>
        <v/>
      </c>
      <c r="U329" s="18">
        <f>IF(COUNT(C329:P329)=0,"",IFERROR(G329/F329,0))</f>
        <v/>
      </c>
      <c r="V329" s="15">
        <f>IF(COUNT(C329:P329)=0,"",IFERROR(C329/G329,0))</f>
        <v/>
      </c>
      <c r="W329" s="19">
        <f>IF(COUNT(C329:P329)=0,"",IFERROR(G329/D329*1000,0))</f>
        <v/>
      </c>
      <c r="X329" s="18">
        <f>IF(COUNT(C329:P329)=0,"",IFERROR(H329/G329,0))</f>
        <v/>
      </c>
      <c r="Y329" s="18">
        <f>IF(COUNT(C329:P329)=0,"",IFERROR(I329/H329,0))</f>
        <v/>
      </c>
      <c r="Z329" s="17">
        <f>IF(COUNT(C329:P329)=0,"",IFERROR(I329/G329,0))</f>
        <v/>
      </c>
      <c r="AA329" s="15">
        <f>IF(COUNT(C329:P329)=0,"",IFERROR(C329/I329,0))</f>
        <v/>
      </c>
      <c r="AB329" s="18">
        <f>IF(COUNT(C329:P329)=0,"",IFERROR(J329/I329,0))</f>
        <v/>
      </c>
      <c r="AC329" s="18">
        <f>IF(COUNT(C329:P329)=0,"",IFERROR(K329/I329,0))</f>
        <v/>
      </c>
      <c r="AD329" s="18">
        <f>IF(COUNT(C329:P329)=0,"",IFERROR(L329/I329,0))</f>
        <v/>
      </c>
      <c r="AE329" s="18">
        <f>IF(COUNT(C329:P329)=0,"",IFERROR(P329/I329,0))</f>
        <v/>
      </c>
      <c r="AF329" s="20">
        <f>IF(COUNT(C329:P329)=0,"",IFERROR(I329*Config!$C$7+J329*Config!$C$8+K329*Config!$C$9+L329*Config!$C$10+M329*Config!$C$11+N329*Config!$C$12+O329*Config!$C$13+P329*Config!$C$14,0))</f>
        <v/>
      </c>
      <c r="AG329" s="15">
        <f>IF(COUNT(C329:P329)=0,"",IFERROR(AF329/I329,0))</f>
        <v/>
      </c>
      <c r="AH329" s="20">
        <f>IF(COUNT(C329:P329)=0,"",IFERROR(AF329*(1-Config!$C$15-Config!$C$16-Config!$C$17),0))</f>
        <v/>
      </c>
      <c r="AI329" s="20">
        <f>IF(COUNT(C329:P329)=0,"",IFERROR(AH329-C329-Config!$C$18,0))</f>
        <v/>
      </c>
      <c r="AJ329" s="21">
        <f>IF(COUNT(C329:P329)=0,"",IFERROR(AH329/C329,0))</f>
        <v/>
      </c>
      <c r="AK329" s="15">
        <f>IF(COUNT(C329:P329)=0,"",IFERROR(AI329/G329,0))</f>
        <v/>
      </c>
      <c r="AL329" s="21">
        <f>IF(COUNT(C329:P329)=0,"",IFERROR(AK329/V329,0))</f>
        <v/>
      </c>
      <c r="AM329" s="15">
        <f>IF(COUNT(C329:P329)=0,"",IFERROR(AI329/I329,0))</f>
        <v/>
      </c>
      <c r="AN329" s="15">
        <f>IF(COUNT(C329:P329)=0,"",IFERROR(AH329/I329-AA329,0))</f>
        <v/>
      </c>
    </row>
    <row r="330">
      <c r="A330" s="12">
        <f>Config!$C$6+324</f>
        <v/>
      </c>
      <c r="B330" s="13">
        <f>INT((A330-Config!$C$6)/7)+1</f>
        <v/>
      </c>
      <c r="C330" s="10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5">
        <f>IF(COUNT(C330:P330)=0,"",IFERROR(C330/D330*1000,0))</f>
        <v/>
      </c>
      <c r="R330" s="16">
        <f>IF(COUNT(C330:P330)=0,"",IFERROR(D330/E330,0))</f>
        <v/>
      </c>
      <c r="S330" s="17">
        <f>IF(COUNT(C330:P330)=0,"",IFERROR(F330/D330,0))</f>
        <v/>
      </c>
      <c r="T330" s="15">
        <f>IF(COUNT(C330:P330)=0,"",IFERROR(C330/F330,0))</f>
        <v/>
      </c>
      <c r="U330" s="18">
        <f>IF(COUNT(C330:P330)=0,"",IFERROR(G330/F330,0))</f>
        <v/>
      </c>
      <c r="V330" s="15">
        <f>IF(COUNT(C330:P330)=0,"",IFERROR(C330/G330,0))</f>
        <v/>
      </c>
      <c r="W330" s="19">
        <f>IF(COUNT(C330:P330)=0,"",IFERROR(G330/D330*1000,0))</f>
        <v/>
      </c>
      <c r="X330" s="18">
        <f>IF(COUNT(C330:P330)=0,"",IFERROR(H330/G330,0))</f>
        <v/>
      </c>
      <c r="Y330" s="18">
        <f>IF(COUNT(C330:P330)=0,"",IFERROR(I330/H330,0))</f>
        <v/>
      </c>
      <c r="Z330" s="17">
        <f>IF(COUNT(C330:P330)=0,"",IFERROR(I330/G330,0))</f>
        <v/>
      </c>
      <c r="AA330" s="15">
        <f>IF(COUNT(C330:P330)=0,"",IFERROR(C330/I330,0))</f>
        <v/>
      </c>
      <c r="AB330" s="18">
        <f>IF(COUNT(C330:P330)=0,"",IFERROR(J330/I330,0))</f>
        <v/>
      </c>
      <c r="AC330" s="18">
        <f>IF(COUNT(C330:P330)=0,"",IFERROR(K330/I330,0))</f>
        <v/>
      </c>
      <c r="AD330" s="18">
        <f>IF(COUNT(C330:P330)=0,"",IFERROR(L330/I330,0))</f>
        <v/>
      </c>
      <c r="AE330" s="18">
        <f>IF(COUNT(C330:P330)=0,"",IFERROR(P330/I330,0))</f>
        <v/>
      </c>
      <c r="AF330" s="20">
        <f>IF(COUNT(C330:P330)=0,"",IFERROR(I330*Config!$C$7+J330*Config!$C$8+K330*Config!$C$9+L330*Config!$C$10+M330*Config!$C$11+N330*Config!$C$12+O330*Config!$C$13+P330*Config!$C$14,0))</f>
        <v/>
      </c>
      <c r="AG330" s="15">
        <f>IF(COUNT(C330:P330)=0,"",IFERROR(AF330/I330,0))</f>
        <v/>
      </c>
      <c r="AH330" s="20">
        <f>IF(COUNT(C330:P330)=0,"",IFERROR(AF330*(1-Config!$C$15-Config!$C$16-Config!$C$17),0))</f>
        <v/>
      </c>
      <c r="AI330" s="20">
        <f>IF(COUNT(C330:P330)=0,"",IFERROR(AH330-C330-Config!$C$18,0))</f>
        <v/>
      </c>
      <c r="AJ330" s="21">
        <f>IF(COUNT(C330:P330)=0,"",IFERROR(AH330/C330,0))</f>
        <v/>
      </c>
      <c r="AK330" s="15">
        <f>IF(COUNT(C330:P330)=0,"",IFERROR(AI330/G330,0))</f>
        <v/>
      </c>
      <c r="AL330" s="21">
        <f>IF(COUNT(C330:P330)=0,"",IFERROR(AK330/V330,0))</f>
        <v/>
      </c>
      <c r="AM330" s="15">
        <f>IF(COUNT(C330:P330)=0,"",IFERROR(AI330/I330,0))</f>
        <v/>
      </c>
      <c r="AN330" s="15">
        <f>IF(COUNT(C330:P330)=0,"",IFERROR(AH330/I330-AA330,0))</f>
        <v/>
      </c>
    </row>
    <row r="331">
      <c r="A331" s="12">
        <f>Config!$C$6+325</f>
        <v/>
      </c>
      <c r="B331" s="13">
        <f>INT((A331-Config!$C$6)/7)+1</f>
        <v/>
      </c>
      <c r="C331" s="10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5">
        <f>IF(COUNT(C331:P331)=0,"",IFERROR(C331/D331*1000,0))</f>
        <v/>
      </c>
      <c r="R331" s="16">
        <f>IF(COUNT(C331:P331)=0,"",IFERROR(D331/E331,0))</f>
        <v/>
      </c>
      <c r="S331" s="17">
        <f>IF(COUNT(C331:P331)=0,"",IFERROR(F331/D331,0))</f>
        <v/>
      </c>
      <c r="T331" s="15">
        <f>IF(COUNT(C331:P331)=0,"",IFERROR(C331/F331,0))</f>
        <v/>
      </c>
      <c r="U331" s="18">
        <f>IF(COUNT(C331:P331)=0,"",IFERROR(G331/F331,0))</f>
        <v/>
      </c>
      <c r="V331" s="15">
        <f>IF(COUNT(C331:P331)=0,"",IFERROR(C331/G331,0))</f>
        <v/>
      </c>
      <c r="W331" s="19">
        <f>IF(COUNT(C331:P331)=0,"",IFERROR(G331/D331*1000,0))</f>
        <v/>
      </c>
      <c r="X331" s="18">
        <f>IF(COUNT(C331:P331)=0,"",IFERROR(H331/G331,0))</f>
        <v/>
      </c>
      <c r="Y331" s="18">
        <f>IF(COUNT(C331:P331)=0,"",IFERROR(I331/H331,0))</f>
        <v/>
      </c>
      <c r="Z331" s="17">
        <f>IF(COUNT(C331:P331)=0,"",IFERROR(I331/G331,0))</f>
        <v/>
      </c>
      <c r="AA331" s="15">
        <f>IF(COUNT(C331:P331)=0,"",IFERROR(C331/I331,0))</f>
        <v/>
      </c>
      <c r="AB331" s="18">
        <f>IF(COUNT(C331:P331)=0,"",IFERROR(J331/I331,0))</f>
        <v/>
      </c>
      <c r="AC331" s="18">
        <f>IF(COUNT(C331:P331)=0,"",IFERROR(K331/I331,0))</f>
        <v/>
      </c>
      <c r="AD331" s="18">
        <f>IF(COUNT(C331:P331)=0,"",IFERROR(L331/I331,0))</f>
        <v/>
      </c>
      <c r="AE331" s="18">
        <f>IF(COUNT(C331:P331)=0,"",IFERROR(P331/I331,0))</f>
        <v/>
      </c>
      <c r="AF331" s="20">
        <f>IF(COUNT(C331:P331)=0,"",IFERROR(I331*Config!$C$7+J331*Config!$C$8+K331*Config!$C$9+L331*Config!$C$10+M331*Config!$C$11+N331*Config!$C$12+O331*Config!$C$13+P331*Config!$C$14,0))</f>
        <v/>
      </c>
      <c r="AG331" s="15">
        <f>IF(COUNT(C331:P331)=0,"",IFERROR(AF331/I331,0))</f>
        <v/>
      </c>
      <c r="AH331" s="20">
        <f>IF(COUNT(C331:P331)=0,"",IFERROR(AF331*(1-Config!$C$15-Config!$C$16-Config!$C$17),0))</f>
        <v/>
      </c>
      <c r="AI331" s="20">
        <f>IF(COUNT(C331:P331)=0,"",IFERROR(AH331-C331-Config!$C$18,0))</f>
        <v/>
      </c>
      <c r="AJ331" s="21">
        <f>IF(COUNT(C331:P331)=0,"",IFERROR(AH331/C331,0))</f>
        <v/>
      </c>
      <c r="AK331" s="15">
        <f>IF(COUNT(C331:P331)=0,"",IFERROR(AI331/G331,0))</f>
        <v/>
      </c>
      <c r="AL331" s="21">
        <f>IF(COUNT(C331:P331)=0,"",IFERROR(AK331/V331,0))</f>
        <v/>
      </c>
      <c r="AM331" s="15">
        <f>IF(COUNT(C331:P331)=0,"",IFERROR(AI331/I331,0))</f>
        <v/>
      </c>
      <c r="AN331" s="15">
        <f>IF(COUNT(C331:P331)=0,"",IFERROR(AH331/I331-AA331,0))</f>
        <v/>
      </c>
    </row>
    <row r="332">
      <c r="A332" s="12">
        <f>Config!$C$6+326</f>
        <v/>
      </c>
      <c r="B332" s="13">
        <f>INT((A332-Config!$C$6)/7)+1</f>
        <v/>
      </c>
      <c r="C332" s="10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5">
        <f>IF(COUNT(C332:P332)=0,"",IFERROR(C332/D332*1000,0))</f>
        <v/>
      </c>
      <c r="R332" s="16">
        <f>IF(COUNT(C332:P332)=0,"",IFERROR(D332/E332,0))</f>
        <v/>
      </c>
      <c r="S332" s="17">
        <f>IF(COUNT(C332:P332)=0,"",IFERROR(F332/D332,0))</f>
        <v/>
      </c>
      <c r="T332" s="15">
        <f>IF(COUNT(C332:P332)=0,"",IFERROR(C332/F332,0))</f>
        <v/>
      </c>
      <c r="U332" s="18">
        <f>IF(COUNT(C332:P332)=0,"",IFERROR(G332/F332,0))</f>
        <v/>
      </c>
      <c r="V332" s="15">
        <f>IF(COUNT(C332:P332)=0,"",IFERROR(C332/G332,0))</f>
        <v/>
      </c>
      <c r="W332" s="19">
        <f>IF(COUNT(C332:P332)=0,"",IFERROR(G332/D332*1000,0))</f>
        <v/>
      </c>
      <c r="X332" s="18">
        <f>IF(COUNT(C332:P332)=0,"",IFERROR(H332/G332,0))</f>
        <v/>
      </c>
      <c r="Y332" s="18">
        <f>IF(COUNT(C332:P332)=0,"",IFERROR(I332/H332,0))</f>
        <v/>
      </c>
      <c r="Z332" s="17">
        <f>IF(COUNT(C332:P332)=0,"",IFERROR(I332/G332,0))</f>
        <v/>
      </c>
      <c r="AA332" s="15">
        <f>IF(COUNT(C332:P332)=0,"",IFERROR(C332/I332,0))</f>
        <v/>
      </c>
      <c r="AB332" s="18">
        <f>IF(COUNT(C332:P332)=0,"",IFERROR(J332/I332,0))</f>
        <v/>
      </c>
      <c r="AC332" s="18">
        <f>IF(COUNT(C332:P332)=0,"",IFERROR(K332/I332,0))</f>
        <v/>
      </c>
      <c r="AD332" s="18">
        <f>IF(COUNT(C332:P332)=0,"",IFERROR(L332/I332,0))</f>
        <v/>
      </c>
      <c r="AE332" s="18">
        <f>IF(COUNT(C332:P332)=0,"",IFERROR(P332/I332,0))</f>
        <v/>
      </c>
      <c r="AF332" s="20">
        <f>IF(COUNT(C332:P332)=0,"",IFERROR(I332*Config!$C$7+J332*Config!$C$8+K332*Config!$C$9+L332*Config!$C$10+M332*Config!$C$11+N332*Config!$C$12+O332*Config!$C$13+P332*Config!$C$14,0))</f>
        <v/>
      </c>
      <c r="AG332" s="15">
        <f>IF(COUNT(C332:P332)=0,"",IFERROR(AF332/I332,0))</f>
        <v/>
      </c>
      <c r="AH332" s="20">
        <f>IF(COUNT(C332:P332)=0,"",IFERROR(AF332*(1-Config!$C$15-Config!$C$16-Config!$C$17),0))</f>
        <v/>
      </c>
      <c r="AI332" s="20">
        <f>IF(COUNT(C332:P332)=0,"",IFERROR(AH332-C332-Config!$C$18,0))</f>
        <v/>
      </c>
      <c r="AJ332" s="21">
        <f>IF(COUNT(C332:P332)=0,"",IFERROR(AH332/C332,0))</f>
        <v/>
      </c>
      <c r="AK332" s="15">
        <f>IF(COUNT(C332:P332)=0,"",IFERROR(AI332/G332,0))</f>
        <v/>
      </c>
      <c r="AL332" s="21">
        <f>IF(COUNT(C332:P332)=0,"",IFERROR(AK332/V332,0))</f>
        <v/>
      </c>
      <c r="AM332" s="15">
        <f>IF(COUNT(C332:P332)=0,"",IFERROR(AI332/I332,0))</f>
        <v/>
      </c>
      <c r="AN332" s="15">
        <f>IF(COUNT(C332:P332)=0,"",IFERROR(AH332/I332-AA332,0))</f>
        <v/>
      </c>
    </row>
    <row r="333">
      <c r="A333" s="12">
        <f>Config!$C$6+327</f>
        <v/>
      </c>
      <c r="B333" s="13">
        <f>INT((A333-Config!$C$6)/7)+1</f>
        <v/>
      </c>
      <c r="C333" s="10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5">
        <f>IF(COUNT(C333:P333)=0,"",IFERROR(C333/D333*1000,0))</f>
        <v/>
      </c>
      <c r="R333" s="16">
        <f>IF(COUNT(C333:P333)=0,"",IFERROR(D333/E333,0))</f>
        <v/>
      </c>
      <c r="S333" s="17">
        <f>IF(COUNT(C333:P333)=0,"",IFERROR(F333/D333,0))</f>
        <v/>
      </c>
      <c r="T333" s="15">
        <f>IF(COUNT(C333:P333)=0,"",IFERROR(C333/F333,0))</f>
        <v/>
      </c>
      <c r="U333" s="18">
        <f>IF(COUNT(C333:P333)=0,"",IFERROR(G333/F333,0))</f>
        <v/>
      </c>
      <c r="V333" s="15">
        <f>IF(COUNT(C333:P333)=0,"",IFERROR(C333/G333,0))</f>
        <v/>
      </c>
      <c r="W333" s="19">
        <f>IF(COUNT(C333:P333)=0,"",IFERROR(G333/D333*1000,0))</f>
        <v/>
      </c>
      <c r="X333" s="18">
        <f>IF(COUNT(C333:P333)=0,"",IFERROR(H333/G333,0))</f>
        <v/>
      </c>
      <c r="Y333" s="18">
        <f>IF(COUNT(C333:P333)=0,"",IFERROR(I333/H333,0))</f>
        <v/>
      </c>
      <c r="Z333" s="17">
        <f>IF(COUNT(C333:P333)=0,"",IFERROR(I333/G333,0))</f>
        <v/>
      </c>
      <c r="AA333" s="15">
        <f>IF(COUNT(C333:P333)=0,"",IFERROR(C333/I333,0))</f>
        <v/>
      </c>
      <c r="AB333" s="18">
        <f>IF(COUNT(C333:P333)=0,"",IFERROR(J333/I333,0))</f>
        <v/>
      </c>
      <c r="AC333" s="18">
        <f>IF(COUNT(C333:P333)=0,"",IFERROR(K333/I333,0))</f>
        <v/>
      </c>
      <c r="AD333" s="18">
        <f>IF(COUNT(C333:P333)=0,"",IFERROR(L333/I333,0))</f>
        <v/>
      </c>
      <c r="AE333" s="18">
        <f>IF(COUNT(C333:P333)=0,"",IFERROR(P333/I333,0))</f>
        <v/>
      </c>
      <c r="AF333" s="20">
        <f>IF(COUNT(C333:P333)=0,"",IFERROR(I333*Config!$C$7+J333*Config!$C$8+K333*Config!$C$9+L333*Config!$C$10+M333*Config!$C$11+N333*Config!$C$12+O333*Config!$C$13+P333*Config!$C$14,0))</f>
        <v/>
      </c>
      <c r="AG333" s="15">
        <f>IF(COUNT(C333:P333)=0,"",IFERROR(AF333/I333,0))</f>
        <v/>
      </c>
      <c r="AH333" s="20">
        <f>IF(COUNT(C333:P333)=0,"",IFERROR(AF333*(1-Config!$C$15-Config!$C$16-Config!$C$17),0))</f>
        <v/>
      </c>
      <c r="AI333" s="20">
        <f>IF(COUNT(C333:P333)=0,"",IFERROR(AH333-C333-Config!$C$18,0))</f>
        <v/>
      </c>
      <c r="AJ333" s="21">
        <f>IF(COUNT(C333:P333)=0,"",IFERROR(AH333/C333,0))</f>
        <v/>
      </c>
      <c r="AK333" s="15">
        <f>IF(COUNT(C333:P333)=0,"",IFERROR(AI333/G333,0))</f>
        <v/>
      </c>
      <c r="AL333" s="21">
        <f>IF(COUNT(C333:P333)=0,"",IFERROR(AK333/V333,0))</f>
        <v/>
      </c>
      <c r="AM333" s="15">
        <f>IF(COUNT(C333:P333)=0,"",IFERROR(AI333/I333,0))</f>
        <v/>
      </c>
      <c r="AN333" s="15">
        <f>IF(COUNT(C333:P333)=0,"",IFERROR(AH333/I333-AA333,0))</f>
        <v/>
      </c>
    </row>
    <row r="334">
      <c r="A334" s="12">
        <f>Config!$C$6+328</f>
        <v/>
      </c>
      <c r="B334" s="13">
        <f>INT((A334-Config!$C$6)/7)+1</f>
        <v/>
      </c>
      <c r="C334" s="10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5">
        <f>IF(COUNT(C334:P334)=0,"",IFERROR(C334/D334*1000,0))</f>
        <v/>
      </c>
      <c r="R334" s="16">
        <f>IF(COUNT(C334:P334)=0,"",IFERROR(D334/E334,0))</f>
        <v/>
      </c>
      <c r="S334" s="17">
        <f>IF(COUNT(C334:P334)=0,"",IFERROR(F334/D334,0))</f>
        <v/>
      </c>
      <c r="T334" s="15">
        <f>IF(COUNT(C334:P334)=0,"",IFERROR(C334/F334,0))</f>
        <v/>
      </c>
      <c r="U334" s="18">
        <f>IF(COUNT(C334:P334)=0,"",IFERROR(G334/F334,0))</f>
        <v/>
      </c>
      <c r="V334" s="15">
        <f>IF(COUNT(C334:P334)=0,"",IFERROR(C334/G334,0))</f>
        <v/>
      </c>
      <c r="W334" s="19">
        <f>IF(COUNT(C334:P334)=0,"",IFERROR(G334/D334*1000,0))</f>
        <v/>
      </c>
      <c r="X334" s="18">
        <f>IF(COUNT(C334:P334)=0,"",IFERROR(H334/G334,0))</f>
        <v/>
      </c>
      <c r="Y334" s="18">
        <f>IF(COUNT(C334:P334)=0,"",IFERROR(I334/H334,0))</f>
        <v/>
      </c>
      <c r="Z334" s="17">
        <f>IF(COUNT(C334:P334)=0,"",IFERROR(I334/G334,0))</f>
        <v/>
      </c>
      <c r="AA334" s="15">
        <f>IF(COUNT(C334:P334)=0,"",IFERROR(C334/I334,0))</f>
        <v/>
      </c>
      <c r="AB334" s="18">
        <f>IF(COUNT(C334:P334)=0,"",IFERROR(J334/I334,0))</f>
        <v/>
      </c>
      <c r="AC334" s="18">
        <f>IF(COUNT(C334:P334)=0,"",IFERROR(K334/I334,0))</f>
        <v/>
      </c>
      <c r="AD334" s="18">
        <f>IF(COUNT(C334:P334)=0,"",IFERROR(L334/I334,0))</f>
        <v/>
      </c>
      <c r="AE334" s="18">
        <f>IF(COUNT(C334:P334)=0,"",IFERROR(P334/I334,0))</f>
        <v/>
      </c>
      <c r="AF334" s="20">
        <f>IF(COUNT(C334:P334)=0,"",IFERROR(I334*Config!$C$7+J334*Config!$C$8+K334*Config!$C$9+L334*Config!$C$10+M334*Config!$C$11+N334*Config!$C$12+O334*Config!$C$13+P334*Config!$C$14,0))</f>
        <v/>
      </c>
      <c r="AG334" s="15">
        <f>IF(COUNT(C334:P334)=0,"",IFERROR(AF334/I334,0))</f>
        <v/>
      </c>
      <c r="AH334" s="20">
        <f>IF(COUNT(C334:P334)=0,"",IFERROR(AF334*(1-Config!$C$15-Config!$C$16-Config!$C$17),0))</f>
        <v/>
      </c>
      <c r="AI334" s="20">
        <f>IF(COUNT(C334:P334)=0,"",IFERROR(AH334-C334-Config!$C$18,0))</f>
        <v/>
      </c>
      <c r="AJ334" s="21">
        <f>IF(COUNT(C334:P334)=0,"",IFERROR(AH334/C334,0))</f>
        <v/>
      </c>
      <c r="AK334" s="15">
        <f>IF(COUNT(C334:P334)=0,"",IFERROR(AI334/G334,0))</f>
        <v/>
      </c>
      <c r="AL334" s="21">
        <f>IF(COUNT(C334:P334)=0,"",IFERROR(AK334/V334,0))</f>
        <v/>
      </c>
      <c r="AM334" s="15">
        <f>IF(COUNT(C334:P334)=0,"",IFERROR(AI334/I334,0))</f>
        <v/>
      </c>
      <c r="AN334" s="15">
        <f>IF(COUNT(C334:P334)=0,"",IFERROR(AH334/I334-AA334,0))</f>
        <v/>
      </c>
    </row>
    <row r="335">
      <c r="A335" s="12">
        <f>Config!$C$6+329</f>
        <v/>
      </c>
      <c r="B335" s="13">
        <f>INT((A335-Config!$C$6)/7)+1</f>
        <v/>
      </c>
      <c r="C335" s="10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5">
        <f>IF(COUNT(C335:P335)=0,"",IFERROR(C335/D335*1000,0))</f>
        <v/>
      </c>
      <c r="R335" s="16">
        <f>IF(COUNT(C335:P335)=0,"",IFERROR(D335/E335,0))</f>
        <v/>
      </c>
      <c r="S335" s="17">
        <f>IF(COUNT(C335:P335)=0,"",IFERROR(F335/D335,0))</f>
        <v/>
      </c>
      <c r="T335" s="15">
        <f>IF(COUNT(C335:P335)=0,"",IFERROR(C335/F335,0))</f>
        <v/>
      </c>
      <c r="U335" s="18">
        <f>IF(COUNT(C335:P335)=0,"",IFERROR(G335/F335,0))</f>
        <v/>
      </c>
      <c r="V335" s="15">
        <f>IF(COUNT(C335:P335)=0,"",IFERROR(C335/G335,0))</f>
        <v/>
      </c>
      <c r="W335" s="19">
        <f>IF(COUNT(C335:P335)=0,"",IFERROR(G335/D335*1000,0))</f>
        <v/>
      </c>
      <c r="X335" s="18">
        <f>IF(COUNT(C335:P335)=0,"",IFERROR(H335/G335,0))</f>
        <v/>
      </c>
      <c r="Y335" s="18">
        <f>IF(COUNT(C335:P335)=0,"",IFERROR(I335/H335,0))</f>
        <v/>
      </c>
      <c r="Z335" s="17">
        <f>IF(COUNT(C335:P335)=0,"",IFERROR(I335/G335,0))</f>
        <v/>
      </c>
      <c r="AA335" s="15">
        <f>IF(COUNT(C335:P335)=0,"",IFERROR(C335/I335,0))</f>
        <v/>
      </c>
      <c r="AB335" s="18">
        <f>IF(COUNT(C335:P335)=0,"",IFERROR(J335/I335,0))</f>
        <v/>
      </c>
      <c r="AC335" s="18">
        <f>IF(COUNT(C335:P335)=0,"",IFERROR(K335/I335,0))</f>
        <v/>
      </c>
      <c r="AD335" s="18">
        <f>IF(COUNT(C335:P335)=0,"",IFERROR(L335/I335,0))</f>
        <v/>
      </c>
      <c r="AE335" s="18">
        <f>IF(COUNT(C335:P335)=0,"",IFERROR(P335/I335,0))</f>
        <v/>
      </c>
      <c r="AF335" s="20">
        <f>IF(COUNT(C335:P335)=0,"",IFERROR(I335*Config!$C$7+J335*Config!$C$8+K335*Config!$C$9+L335*Config!$C$10+M335*Config!$C$11+N335*Config!$C$12+O335*Config!$C$13+P335*Config!$C$14,0))</f>
        <v/>
      </c>
      <c r="AG335" s="15">
        <f>IF(COUNT(C335:P335)=0,"",IFERROR(AF335/I335,0))</f>
        <v/>
      </c>
      <c r="AH335" s="20">
        <f>IF(COUNT(C335:P335)=0,"",IFERROR(AF335*(1-Config!$C$15-Config!$C$16-Config!$C$17),0))</f>
        <v/>
      </c>
      <c r="AI335" s="20">
        <f>IF(COUNT(C335:P335)=0,"",IFERROR(AH335-C335-Config!$C$18,0))</f>
        <v/>
      </c>
      <c r="AJ335" s="21">
        <f>IF(COUNT(C335:P335)=0,"",IFERROR(AH335/C335,0))</f>
        <v/>
      </c>
      <c r="AK335" s="15">
        <f>IF(COUNT(C335:P335)=0,"",IFERROR(AI335/G335,0))</f>
        <v/>
      </c>
      <c r="AL335" s="21">
        <f>IF(COUNT(C335:P335)=0,"",IFERROR(AK335/V335,0))</f>
        <v/>
      </c>
      <c r="AM335" s="15">
        <f>IF(COUNT(C335:P335)=0,"",IFERROR(AI335/I335,0))</f>
        <v/>
      </c>
      <c r="AN335" s="15">
        <f>IF(COUNT(C335:P335)=0,"",IFERROR(AH335/I335-AA335,0))</f>
        <v/>
      </c>
    </row>
    <row r="336">
      <c r="A336" s="12">
        <f>Config!$C$6+330</f>
        <v/>
      </c>
      <c r="B336" s="13">
        <f>INT((A336-Config!$C$6)/7)+1</f>
        <v/>
      </c>
      <c r="C336" s="10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5">
        <f>IF(COUNT(C336:P336)=0,"",IFERROR(C336/D336*1000,0))</f>
        <v/>
      </c>
      <c r="R336" s="16">
        <f>IF(COUNT(C336:P336)=0,"",IFERROR(D336/E336,0))</f>
        <v/>
      </c>
      <c r="S336" s="17">
        <f>IF(COUNT(C336:P336)=0,"",IFERROR(F336/D336,0))</f>
        <v/>
      </c>
      <c r="T336" s="15">
        <f>IF(COUNT(C336:P336)=0,"",IFERROR(C336/F336,0))</f>
        <v/>
      </c>
      <c r="U336" s="18">
        <f>IF(COUNT(C336:P336)=0,"",IFERROR(G336/F336,0))</f>
        <v/>
      </c>
      <c r="V336" s="15">
        <f>IF(COUNT(C336:P336)=0,"",IFERROR(C336/G336,0))</f>
        <v/>
      </c>
      <c r="W336" s="19">
        <f>IF(COUNT(C336:P336)=0,"",IFERROR(G336/D336*1000,0))</f>
        <v/>
      </c>
      <c r="X336" s="18">
        <f>IF(COUNT(C336:P336)=0,"",IFERROR(H336/G336,0))</f>
        <v/>
      </c>
      <c r="Y336" s="18">
        <f>IF(COUNT(C336:P336)=0,"",IFERROR(I336/H336,0))</f>
        <v/>
      </c>
      <c r="Z336" s="17">
        <f>IF(COUNT(C336:P336)=0,"",IFERROR(I336/G336,0))</f>
        <v/>
      </c>
      <c r="AA336" s="15">
        <f>IF(COUNT(C336:P336)=0,"",IFERROR(C336/I336,0))</f>
        <v/>
      </c>
      <c r="AB336" s="18">
        <f>IF(COUNT(C336:P336)=0,"",IFERROR(J336/I336,0))</f>
        <v/>
      </c>
      <c r="AC336" s="18">
        <f>IF(COUNT(C336:P336)=0,"",IFERROR(K336/I336,0))</f>
        <v/>
      </c>
      <c r="AD336" s="18">
        <f>IF(COUNT(C336:P336)=0,"",IFERROR(L336/I336,0))</f>
        <v/>
      </c>
      <c r="AE336" s="18">
        <f>IF(COUNT(C336:P336)=0,"",IFERROR(P336/I336,0))</f>
        <v/>
      </c>
      <c r="AF336" s="20">
        <f>IF(COUNT(C336:P336)=0,"",IFERROR(I336*Config!$C$7+J336*Config!$C$8+K336*Config!$C$9+L336*Config!$C$10+M336*Config!$C$11+N336*Config!$C$12+O336*Config!$C$13+P336*Config!$C$14,0))</f>
        <v/>
      </c>
      <c r="AG336" s="15">
        <f>IF(COUNT(C336:P336)=0,"",IFERROR(AF336/I336,0))</f>
        <v/>
      </c>
      <c r="AH336" s="20">
        <f>IF(COUNT(C336:P336)=0,"",IFERROR(AF336*(1-Config!$C$15-Config!$C$16-Config!$C$17),0))</f>
        <v/>
      </c>
      <c r="AI336" s="20">
        <f>IF(COUNT(C336:P336)=0,"",IFERROR(AH336-C336-Config!$C$18,0))</f>
        <v/>
      </c>
      <c r="AJ336" s="21">
        <f>IF(COUNT(C336:P336)=0,"",IFERROR(AH336/C336,0))</f>
        <v/>
      </c>
      <c r="AK336" s="15">
        <f>IF(COUNT(C336:P336)=0,"",IFERROR(AI336/G336,0))</f>
        <v/>
      </c>
      <c r="AL336" s="21">
        <f>IF(COUNT(C336:P336)=0,"",IFERROR(AK336/V336,0))</f>
        <v/>
      </c>
      <c r="AM336" s="15">
        <f>IF(COUNT(C336:P336)=0,"",IFERROR(AI336/I336,0))</f>
        <v/>
      </c>
      <c r="AN336" s="15">
        <f>IF(COUNT(C336:P336)=0,"",IFERROR(AH336/I336-AA336,0))</f>
        <v/>
      </c>
    </row>
    <row r="337">
      <c r="A337" s="12">
        <f>Config!$C$6+331</f>
        <v/>
      </c>
      <c r="B337" s="13">
        <f>INT((A337-Config!$C$6)/7)+1</f>
        <v/>
      </c>
      <c r="C337" s="10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5">
        <f>IF(COUNT(C337:P337)=0,"",IFERROR(C337/D337*1000,0))</f>
        <v/>
      </c>
      <c r="R337" s="16">
        <f>IF(COUNT(C337:P337)=0,"",IFERROR(D337/E337,0))</f>
        <v/>
      </c>
      <c r="S337" s="17">
        <f>IF(COUNT(C337:P337)=0,"",IFERROR(F337/D337,0))</f>
        <v/>
      </c>
      <c r="T337" s="15">
        <f>IF(COUNT(C337:P337)=0,"",IFERROR(C337/F337,0))</f>
        <v/>
      </c>
      <c r="U337" s="18">
        <f>IF(COUNT(C337:P337)=0,"",IFERROR(G337/F337,0))</f>
        <v/>
      </c>
      <c r="V337" s="15">
        <f>IF(COUNT(C337:P337)=0,"",IFERROR(C337/G337,0))</f>
        <v/>
      </c>
      <c r="W337" s="19">
        <f>IF(COUNT(C337:P337)=0,"",IFERROR(G337/D337*1000,0))</f>
        <v/>
      </c>
      <c r="X337" s="18">
        <f>IF(COUNT(C337:P337)=0,"",IFERROR(H337/G337,0))</f>
        <v/>
      </c>
      <c r="Y337" s="18">
        <f>IF(COUNT(C337:P337)=0,"",IFERROR(I337/H337,0))</f>
        <v/>
      </c>
      <c r="Z337" s="17">
        <f>IF(COUNT(C337:P337)=0,"",IFERROR(I337/G337,0))</f>
        <v/>
      </c>
      <c r="AA337" s="15">
        <f>IF(COUNT(C337:P337)=0,"",IFERROR(C337/I337,0))</f>
        <v/>
      </c>
      <c r="AB337" s="18">
        <f>IF(COUNT(C337:P337)=0,"",IFERROR(J337/I337,0))</f>
        <v/>
      </c>
      <c r="AC337" s="18">
        <f>IF(COUNT(C337:P337)=0,"",IFERROR(K337/I337,0))</f>
        <v/>
      </c>
      <c r="AD337" s="18">
        <f>IF(COUNT(C337:P337)=0,"",IFERROR(L337/I337,0))</f>
        <v/>
      </c>
      <c r="AE337" s="18">
        <f>IF(COUNT(C337:P337)=0,"",IFERROR(P337/I337,0))</f>
        <v/>
      </c>
      <c r="AF337" s="20">
        <f>IF(COUNT(C337:P337)=0,"",IFERROR(I337*Config!$C$7+J337*Config!$C$8+K337*Config!$C$9+L337*Config!$C$10+M337*Config!$C$11+N337*Config!$C$12+O337*Config!$C$13+P337*Config!$C$14,0))</f>
        <v/>
      </c>
      <c r="AG337" s="15">
        <f>IF(COUNT(C337:P337)=0,"",IFERROR(AF337/I337,0))</f>
        <v/>
      </c>
      <c r="AH337" s="20">
        <f>IF(COUNT(C337:P337)=0,"",IFERROR(AF337*(1-Config!$C$15-Config!$C$16-Config!$C$17),0))</f>
        <v/>
      </c>
      <c r="AI337" s="20">
        <f>IF(COUNT(C337:P337)=0,"",IFERROR(AH337-C337-Config!$C$18,0))</f>
        <v/>
      </c>
      <c r="AJ337" s="21">
        <f>IF(COUNT(C337:P337)=0,"",IFERROR(AH337/C337,0))</f>
        <v/>
      </c>
      <c r="AK337" s="15">
        <f>IF(COUNT(C337:P337)=0,"",IFERROR(AI337/G337,0))</f>
        <v/>
      </c>
      <c r="AL337" s="21">
        <f>IF(COUNT(C337:P337)=0,"",IFERROR(AK337/V337,0))</f>
        <v/>
      </c>
      <c r="AM337" s="15">
        <f>IF(COUNT(C337:P337)=0,"",IFERROR(AI337/I337,0))</f>
        <v/>
      </c>
      <c r="AN337" s="15">
        <f>IF(COUNT(C337:P337)=0,"",IFERROR(AH337/I337-AA337,0))</f>
        <v/>
      </c>
    </row>
    <row r="338">
      <c r="A338" s="12">
        <f>Config!$C$6+332</f>
        <v/>
      </c>
      <c r="B338" s="13">
        <f>INT((A338-Config!$C$6)/7)+1</f>
        <v/>
      </c>
      <c r="C338" s="10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5">
        <f>IF(COUNT(C338:P338)=0,"",IFERROR(C338/D338*1000,0))</f>
        <v/>
      </c>
      <c r="R338" s="16">
        <f>IF(COUNT(C338:P338)=0,"",IFERROR(D338/E338,0))</f>
        <v/>
      </c>
      <c r="S338" s="17">
        <f>IF(COUNT(C338:P338)=0,"",IFERROR(F338/D338,0))</f>
        <v/>
      </c>
      <c r="T338" s="15">
        <f>IF(COUNT(C338:P338)=0,"",IFERROR(C338/F338,0))</f>
        <v/>
      </c>
      <c r="U338" s="18">
        <f>IF(COUNT(C338:P338)=0,"",IFERROR(G338/F338,0))</f>
        <v/>
      </c>
      <c r="V338" s="15">
        <f>IF(COUNT(C338:P338)=0,"",IFERROR(C338/G338,0))</f>
        <v/>
      </c>
      <c r="W338" s="19">
        <f>IF(COUNT(C338:P338)=0,"",IFERROR(G338/D338*1000,0))</f>
        <v/>
      </c>
      <c r="X338" s="18">
        <f>IF(COUNT(C338:P338)=0,"",IFERROR(H338/G338,0))</f>
        <v/>
      </c>
      <c r="Y338" s="18">
        <f>IF(COUNT(C338:P338)=0,"",IFERROR(I338/H338,0))</f>
        <v/>
      </c>
      <c r="Z338" s="17">
        <f>IF(COUNT(C338:P338)=0,"",IFERROR(I338/G338,0))</f>
        <v/>
      </c>
      <c r="AA338" s="15">
        <f>IF(COUNT(C338:P338)=0,"",IFERROR(C338/I338,0))</f>
        <v/>
      </c>
      <c r="AB338" s="18">
        <f>IF(COUNT(C338:P338)=0,"",IFERROR(J338/I338,0))</f>
        <v/>
      </c>
      <c r="AC338" s="18">
        <f>IF(COUNT(C338:P338)=0,"",IFERROR(K338/I338,0))</f>
        <v/>
      </c>
      <c r="AD338" s="18">
        <f>IF(COUNT(C338:P338)=0,"",IFERROR(L338/I338,0))</f>
        <v/>
      </c>
      <c r="AE338" s="18">
        <f>IF(COUNT(C338:P338)=0,"",IFERROR(P338/I338,0))</f>
        <v/>
      </c>
      <c r="AF338" s="20">
        <f>IF(COUNT(C338:P338)=0,"",IFERROR(I338*Config!$C$7+J338*Config!$C$8+K338*Config!$C$9+L338*Config!$C$10+M338*Config!$C$11+N338*Config!$C$12+O338*Config!$C$13+P338*Config!$C$14,0))</f>
        <v/>
      </c>
      <c r="AG338" s="15">
        <f>IF(COUNT(C338:P338)=0,"",IFERROR(AF338/I338,0))</f>
        <v/>
      </c>
      <c r="AH338" s="20">
        <f>IF(COUNT(C338:P338)=0,"",IFERROR(AF338*(1-Config!$C$15-Config!$C$16-Config!$C$17),0))</f>
        <v/>
      </c>
      <c r="AI338" s="20">
        <f>IF(COUNT(C338:P338)=0,"",IFERROR(AH338-C338-Config!$C$18,0))</f>
        <v/>
      </c>
      <c r="AJ338" s="21">
        <f>IF(COUNT(C338:P338)=0,"",IFERROR(AH338/C338,0))</f>
        <v/>
      </c>
      <c r="AK338" s="15">
        <f>IF(COUNT(C338:P338)=0,"",IFERROR(AI338/G338,0))</f>
        <v/>
      </c>
      <c r="AL338" s="21">
        <f>IF(COUNT(C338:P338)=0,"",IFERROR(AK338/V338,0))</f>
        <v/>
      </c>
      <c r="AM338" s="15">
        <f>IF(COUNT(C338:P338)=0,"",IFERROR(AI338/I338,0))</f>
        <v/>
      </c>
      <c r="AN338" s="15">
        <f>IF(COUNT(C338:P338)=0,"",IFERROR(AH338/I338-AA338,0))</f>
        <v/>
      </c>
    </row>
    <row r="339">
      <c r="A339" s="12">
        <f>Config!$C$6+333</f>
        <v/>
      </c>
      <c r="B339" s="13">
        <f>INT((A339-Config!$C$6)/7)+1</f>
        <v/>
      </c>
      <c r="C339" s="10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5">
        <f>IF(COUNT(C339:P339)=0,"",IFERROR(C339/D339*1000,0))</f>
        <v/>
      </c>
      <c r="R339" s="16">
        <f>IF(COUNT(C339:P339)=0,"",IFERROR(D339/E339,0))</f>
        <v/>
      </c>
      <c r="S339" s="17">
        <f>IF(COUNT(C339:P339)=0,"",IFERROR(F339/D339,0))</f>
        <v/>
      </c>
      <c r="T339" s="15">
        <f>IF(COUNT(C339:P339)=0,"",IFERROR(C339/F339,0))</f>
        <v/>
      </c>
      <c r="U339" s="18">
        <f>IF(COUNT(C339:P339)=0,"",IFERROR(G339/F339,0))</f>
        <v/>
      </c>
      <c r="V339" s="15">
        <f>IF(COUNT(C339:P339)=0,"",IFERROR(C339/G339,0))</f>
        <v/>
      </c>
      <c r="W339" s="19">
        <f>IF(COUNT(C339:P339)=0,"",IFERROR(G339/D339*1000,0))</f>
        <v/>
      </c>
      <c r="X339" s="18">
        <f>IF(COUNT(C339:P339)=0,"",IFERROR(H339/G339,0))</f>
        <v/>
      </c>
      <c r="Y339" s="18">
        <f>IF(COUNT(C339:P339)=0,"",IFERROR(I339/H339,0))</f>
        <v/>
      </c>
      <c r="Z339" s="17">
        <f>IF(COUNT(C339:P339)=0,"",IFERROR(I339/G339,0))</f>
        <v/>
      </c>
      <c r="AA339" s="15">
        <f>IF(COUNT(C339:P339)=0,"",IFERROR(C339/I339,0))</f>
        <v/>
      </c>
      <c r="AB339" s="18">
        <f>IF(COUNT(C339:P339)=0,"",IFERROR(J339/I339,0))</f>
        <v/>
      </c>
      <c r="AC339" s="18">
        <f>IF(COUNT(C339:P339)=0,"",IFERROR(K339/I339,0))</f>
        <v/>
      </c>
      <c r="AD339" s="18">
        <f>IF(COUNT(C339:P339)=0,"",IFERROR(L339/I339,0))</f>
        <v/>
      </c>
      <c r="AE339" s="18">
        <f>IF(COUNT(C339:P339)=0,"",IFERROR(P339/I339,0))</f>
        <v/>
      </c>
      <c r="AF339" s="20">
        <f>IF(COUNT(C339:P339)=0,"",IFERROR(I339*Config!$C$7+J339*Config!$C$8+K339*Config!$C$9+L339*Config!$C$10+M339*Config!$C$11+N339*Config!$C$12+O339*Config!$C$13+P339*Config!$C$14,0))</f>
        <v/>
      </c>
      <c r="AG339" s="15">
        <f>IF(COUNT(C339:P339)=0,"",IFERROR(AF339/I339,0))</f>
        <v/>
      </c>
      <c r="AH339" s="20">
        <f>IF(COUNT(C339:P339)=0,"",IFERROR(AF339*(1-Config!$C$15-Config!$C$16-Config!$C$17),0))</f>
        <v/>
      </c>
      <c r="AI339" s="20">
        <f>IF(COUNT(C339:P339)=0,"",IFERROR(AH339-C339-Config!$C$18,0))</f>
        <v/>
      </c>
      <c r="AJ339" s="21">
        <f>IF(COUNT(C339:P339)=0,"",IFERROR(AH339/C339,0))</f>
        <v/>
      </c>
      <c r="AK339" s="15">
        <f>IF(COUNT(C339:P339)=0,"",IFERROR(AI339/G339,0))</f>
        <v/>
      </c>
      <c r="AL339" s="21">
        <f>IF(COUNT(C339:P339)=0,"",IFERROR(AK339/V339,0))</f>
        <v/>
      </c>
      <c r="AM339" s="15">
        <f>IF(COUNT(C339:P339)=0,"",IFERROR(AI339/I339,0))</f>
        <v/>
      </c>
      <c r="AN339" s="15">
        <f>IF(COUNT(C339:P339)=0,"",IFERROR(AH339/I339-AA339,0))</f>
        <v/>
      </c>
    </row>
    <row r="340">
      <c r="A340" s="12">
        <f>Config!$C$6+334</f>
        <v/>
      </c>
      <c r="B340" s="13">
        <f>INT((A340-Config!$C$6)/7)+1</f>
        <v/>
      </c>
      <c r="C340" s="10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5">
        <f>IF(COUNT(C340:P340)=0,"",IFERROR(C340/D340*1000,0))</f>
        <v/>
      </c>
      <c r="R340" s="16">
        <f>IF(COUNT(C340:P340)=0,"",IFERROR(D340/E340,0))</f>
        <v/>
      </c>
      <c r="S340" s="17">
        <f>IF(COUNT(C340:P340)=0,"",IFERROR(F340/D340,0))</f>
        <v/>
      </c>
      <c r="T340" s="15">
        <f>IF(COUNT(C340:P340)=0,"",IFERROR(C340/F340,0))</f>
        <v/>
      </c>
      <c r="U340" s="18">
        <f>IF(COUNT(C340:P340)=0,"",IFERROR(G340/F340,0))</f>
        <v/>
      </c>
      <c r="V340" s="15">
        <f>IF(COUNT(C340:P340)=0,"",IFERROR(C340/G340,0))</f>
        <v/>
      </c>
      <c r="W340" s="19">
        <f>IF(COUNT(C340:P340)=0,"",IFERROR(G340/D340*1000,0))</f>
        <v/>
      </c>
      <c r="X340" s="18">
        <f>IF(COUNT(C340:P340)=0,"",IFERROR(H340/G340,0))</f>
        <v/>
      </c>
      <c r="Y340" s="18">
        <f>IF(COUNT(C340:P340)=0,"",IFERROR(I340/H340,0))</f>
        <v/>
      </c>
      <c r="Z340" s="17">
        <f>IF(COUNT(C340:P340)=0,"",IFERROR(I340/G340,0))</f>
        <v/>
      </c>
      <c r="AA340" s="15">
        <f>IF(COUNT(C340:P340)=0,"",IFERROR(C340/I340,0))</f>
        <v/>
      </c>
      <c r="AB340" s="18">
        <f>IF(COUNT(C340:P340)=0,"",IFERROR(J340/I340,0))</f>
        <v/>
      </c>
      <c r="AC340" s="18">
        <f>IF(COUNT(C340:P340)=0,"",IFERROR(K340/I340,0))</f>
        <v/>
      </c>
      <c r="AD340" s="18">
        <f>IF(COUNT(C340:P340)=0,"",IFERROR(L340/I340,0))</f>
        <v/>
      </c>
      <c r="AE340" s="18">
        <f>IF(COUNT(C340:P340)=0,"",IFERROR(P340/I340,0))</f>
        <v/>
      </c>
      <c r="AF340" s="20">
        <f>IF(COUNT(C340:P340)=0,"",IFERROR(I340*Config!$C$7+J340*Config!$C$8+K340*Config!$C$9+L340*Config!$C$10+M340*Config!$C$11+N340*Config!$C$12+O340*Config!$C$13+P340*Config!$C$14,0))</f>
        <v/>
      </c>
      <c r="AG340" s="15">
        <f>IF(COUNT(C340:P340)=0,"",IFERROR(AF340/I340,0))</f>
        <v/>
      </c>
      <c r="AH340" s="20">
        <f>IF(COUNT(C340:P340)=0,"",IFERROR(AF340*(1-Config!$C$15-Config!$C$16-Config!$C$17),0))</f>
        <v/>
      </c>
      <c r="AI340" s="20">
        <f>IF(COUNT(C340:P340)=0,"",IFERROR(AH340-C340-Config!$C$18,0))</f>
        <v/>
      </c>
      <c r="AJ340" s="21">
        <f>IF(COUNT(C340:P340)=0,"",IFERROR(AH340/C340,0))</f>
        <v/>
      </c>
      <c r="AK340" s="15">
        <f>IF(COUNT(C340:P340)=0,"",IFERROR(AI340/G340,0))</f>
        <v/>
      </c>
      <c r="AL340" s="21">
        <f>IF(COUNT(C340:P340)=0,"",IFERROR(AK340/V340,0))</f>
        <v/>
      </c>
      <c r="AM340" s="15">
        <f>IF(COUNT(C340:P340)=0,"",IFERROR(AI340/I340,0))</f>
        <v/>
      </c>
      <c r="AN340" s="15">
        <f>IF(COUNT(C340:P340)=0,"",IFERROR(AH340/I340-AA340,0))</f>
        <v/>
      </c>
    </row>
    <row r="341">
      <c r="A341" s="12">
        <f>Config!$C$6+335</f>
        <v/>
      </c>
      <c r="B341" s="13">
        <f>INT((A341-Config!$C$6)/7)+1</f>
        <v/>
      </c>
      <c r="C341" s="10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5">
        <f>IF(COUNT(C341:P341)=0,"",IFERROR(C341/D341*1000,0))</f>
        <v/>
      </c>
      <c r="R341" s="16">
        <f>IF(COUNT(C341:P341)=0,"",IFERROR(D341/E341,0))</f>
        <v/>
      </c>
      <c r="S341" s="17">
        <f>IF(COUNT(C341:P341)=0,"",IFERROR(F341/D341,0))</f>
        <v/>
      </c>
      <c r="T341" s="15">
        <f>IF(COUNT(C341:P341)=0,"",IFERROR(C341/F341,0))</f>
        <v/>
      </c>
      <c r="U341" s="18">
        <f>IF(COUNT(C341:P341)=0,"",IFERROR(G341/F341,0))</f>
        <v/>
      </c>
      <c r="V341" s="15">
        <f>IF(COUNT(C341:P341)=0,"",IFERROR(C341/G341,0))</f>
        <v/>
      </c>
      <c r="W341" s="19">
        <f>IF(COUNT(C341:P341)=0,"",IFERROR(G341/D341*1000,0))</f>
        <v/>
      </c>
      <c r="X341" s="18">
        <f>IF(COUNT(C341:P341)=0,"",IFERROR(H341/G341,0))</f>
        <v/>
      </c>
      <c r="Y341" s="18">
        <f>IF(COUNT(C341:P341)=0,"",IFERROR(I341/H341,0))</f>
        <v/>
      </c>
      <c r="Z341" s="17">
        <f>IF(COUNT(C341:P341)=0,"",IFERROR(I341/G341,0))</f>
        <v/>
      </c>
      <c r="AA341" s="15">
        <f>IF(COUNT(C341:P341)=0,"",IFERROR(C341/I341,0))</f>
        <v/>
      </c>
      <c r="AB341" s="18">
        <f>IF(COUNT(C341:P341)=0,"",IFERROR(J341/I341,0))</f>
        <v/>
      </c>
      <c r="AC341" s="18">
        <f>IF(COUNT(C341:P341)=0,"",IFERROR(K341/I341,0))</f>
        <v/>
      </c>
      <c r="AD341" s="18">
        <f>IF(COUNT(C341:P341)=0,"",IFERROR(L341/I341,0))</f>
        <v/>
      </c>
      <c r="AE341" s="18">
        <f>IF(COUNT(C341:P341)=0,"",IFERROR(P341/I341,0))</f>
        <v/>
      </c>
      <c r="AF341" s="20">
        <f>IF(COUNT(C341:P341)=0,"",IFERROR(I341*Config!$C$7+J341*Config!$C$8+K341*Config!$C$9+L341*Config!$C$10+M341*Config!$C$11+N341*Config!$C$12+O341*Config!$C$13+P341*Config!$C$14,0))</f>
        <v/>
      </c>
      <c r="AG341" s="15">
        <f>IF(COUNT(C341:P341)=0,"",IFERROR(AF341/I341,0))</f>
        <v/>
      </c>
      <c r="AH341" s="20">
        <f>IF(COUNT(C341:P341)=0,"",IFERROR(AF341*(1-Config!$C$15-Config!$C$16-Config!$C$17),0))</f>
        <v/>
      </c>
      <c r="AI341" s="20">
        <f>IF(COUNT(C341:P341)=0,"",IFERROR(AH341-C341-Config!$C$18,0))</f>
        <v/>
      </c>
      <c r="AJ341" s="21">
        <f>IF(COUNT(C341:P341)=0,"",IFERROR(AH341/C341,0))</f>
        <v/>
      </c>
      <c r="AK341" s="15">
        <f>IF(COUNT(C341:P341)=0,"",IFERROR(AI341/G341,0))</f>
        <v/>
      </c>
      <c r="AL341" s="21">
        <f>IF(COUNT(C341:P341)=0,"",IFERROR(AK341/V341,0))</f>
        <v/>
      </c>
      <c r="AM341" s="15">
        <f>IF(COUNT(C341:P341)=0,"",IFERROR(AI341/I341,0))</f>
        <v/>
      </c>
      <c r="AN341" s="15">
        <f>IF(COUNT(C341:P341)=0,"",IFERROR(AH341/I341-AA341,0))</f>
        <v/>
      </c>
    </row>
    <row r="342">
      <c r="A342" s="12">
        <f>Config!$C$6+336</f>
        <v/>
      </c>
      <c r="B342" s="13">
        <f>INT((A342-Config!$C$6)/7)+1</f>
        <v/>
      </c>
      <c r="C342" s="10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5">
        <f>IF(COUNT(C342:P342)=0,"",IFERROR(C342/D342*1000,0))</f>
        <v/>
      </c>
      <c r="R342" s="16">
        <f>IF(COUNT(C342:P342)=0,"",IFERROR(D342/E342,0))</f>
        <v/>
      </c>
      <c r="S342" s="17">
        <f>IF(COUNT(C342:P342)=0,"",IFERROR(F342/D342,0))</f>
        <v/>
      </c>
      <c r="T342" s="15">
        <f>IF(COUNT(C342:P342)=0,"",IFERROR(C342/F342,0))</f>
        <v/>
      </c>
      <c r="U342" s="18">
        <f>IF(COUNT(C342:P342)=0,"",IFERROR(G342/F342,0))</f>
        <v/>
      </c>
      <c r="V342" s="15">
        <f>IF(COUNT(C342:P342)=0,"",IFERROR(C342/G342,0))</f>
        <v/>
      </c>
      <c r="W342" s="19">
        <f>IF(COUNT(C342:P342)=0,"",IFERROR(G342/D342*1000,0))</f>
        <v/>
      </c>
      <c r="X342" s="18">
        <f>IF(COUNT(C342:P342)=0,"",IFERROR(H342/G342,0))</f>
        <v/>
      </c>
      <c r="Y342" s="18">
        <f>IF(COUNT(C342:P342)=0,"",IFERROR(I342/H342,0))</f>
        <v/>
      </c>
      <c r="Z342" s="17">
        <f>IF(COUNT(C342:P342)=0,"",IFERROR(I342/G342,0))</f>
        <v/>
      </c>
      <c r="AA342" s="15">
        <f>IF(COUNT(C342:P342)=0,"",IFERROR(C342/I342,0))</f>
        <v/>
      </c>
      <c r="AB342" s="18">
        <f>IF(COUNT(C342:P342)=0,"",IFERROR(J342/I342,0))</f>
        <v/>
      </c>
      <c r="AC342" s="18">
        <f>IF(COUNT(C342:P342)=0,"",IFERROR(K342/I342,0))</f>
        <v/>
      </c>
      <c r="AD342" s="18">
        <f>IF(COUNT(C342:P342)=0,"",IFERROR(L342/I342,0))</f>
        <v/>
      </c>
      <c r="AE342" s="18">
        <f>IF(COUNT(C342:P342)=0,"",IFERROR(P342/I342,0))</f>
        <v/>
      </c>
      <c r="AF342" s="20">
        <f>IF(COUNT(C342:P342)=0,"",IFERROR(I342*Config!$C$7+J342*Config!$C$8+K342*Config!$C$9+L342*Config!$C$10+M342*Config!$C$11+N342*Config!$C$12+O342*Config!$C$13+P342*Config!$C$14,0))</f>
        <v/>
      </c>
      <c r="AG342" s="15">
        <f>IF(COUNT(C342:P342)=0,"",IFERROR(AF342/I342,0))</f>
        <v/>
      </c>
      <c r="AH342" s="20">
        <f>IF(COUNT(C342:P342)=0,"",IFERROR(AF342*(1-Config!$C$15-Config!$C$16-Config!$C$17),0))</f>
        <v/>
      </c>
      <c r="AI342" s="20">
        <f>IF(COUNT(C342:P342)=0,"",IFERROR(AH342-C342-Config!$C$18,0))</f>
        <v/>
      </c>
      <c r="AJ342" s="21">
        <f>IF(COUNT(C342:P342)=0,"",IFERROR(AH342/C342,0))</f>
        <v/>
      </c>
      <c r="AK342" s="15">
        <f>IF(COUNT(C342:P342)=0,"",IFERROR(AI342/G342,0))</f>
        <v/>
      </c>
      <c r="AL342" s="21">
        <f>IF(COUNT(C342:P342)=0,"",IFERROR(AK342/V342,0))</f>
        <v/>
      </c>
      <c r="AM342" s="15">
        <f>IF(COUNT(C342:P342)=0,"",IFERROR(AI342/I342,0))</f>
        <v/>
      </c>
      <c r="AN342" s="15">
        <f>IF(COUNT(C342:P342)=0,"",IFERROR(AH342/I342-AA342,0))</f>
        <v/>
      </c>
    </row>
    <row r="343">
      <c r="A343" s="12">
        <f>Config!$C$6+337</f>
        <v/>
      </c>
      <c r="B343" s="13">
        <f>INT((A343-Config!$C$6)/7)+1</f>
        <v/>
      </c>
      <c r="C343" s="10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5">
        <f>IF(COUNT(C343:P343)=0,"",IFERROR(C343/D343*1000,0))</f>
        <v/>
      </c>
      <c r="R343" s="16">
        <f>IF(COUNT(C343:P343)=0,"",IFERROR(D343/E343,0))</f>
        <v/>
      </c>
      <c r="S343" s="17">
        <f>IF(COUNT(C343:P343)=0,"",IFERROR(F343/D343,0))</f>
        <v/>
      </c>
      <c r="T343" s="15">
        <f>IF(COUNT(C343:P343)=0,"",IFERROR(C343/F343,0))</f>
        <v/>
      </c>
      <c r="U343" s="18">
        <f>IF(COUNT(C343:P343)=0,"",IFERROR(G343/F343,0))</f>
        <v/>
      </c>
      <c r="V343" s="15">
        <f>IF(COUNT(C343:P343)=0,"",IFERROR(C343/G343,0))</f>
        <v/>
      </c>
      <c r="W343" s="19">
        <f>IF(COUNT(C343:P343)=0,"",IFERROR(G343/D343*1000,0))</f>
        <v/>
      </c>
      <c r="X343" s="18">
        <f>IF(COUNT(C343:P343)=0,"",IFERROR(H343/G343,0))</f>
        <v/>
      </c>
      <c r="Y343" s="18">
        <f>IF(COUNT(C343:P343)=0,"",IFERROR(I343/H343,0))</f>
        <v/>
      </c>
      <c r="Z343" s="17">
        <f>IF(COUNT(C343:P343)=0,"",IFERROR(I343/G343,0))</f>
        <v/>
      </c>
      <c r="AA343" s="15">
        <f>IF(COUNT(C343:P343)=0,"",IFERROR(C343/I343,0))</f>
        <v/>
      </c>
      <c r="AB343" s="18">
        <f>IF(COUNT(C343:P343)=0,"",IFERROR(J343/I343,0))</f>
        <v/>
      </c>
      <c r="AC343" s="18">
        <f>IF(COUNT(C343:P343)=0,"",IFERROR(K343/I343,0))</f>
        <v/>
      </c>
      <c r="AD343" s="18">
        <f>IF(COUNT(C343:P343)=0,"",IFERROR(L343/I343,0))</f>
        <v/>
      </c>
      <c r="AE343" s="18">
        <f>IF(COUNT(C343:P343)=0,"",IFERROR(P343/I343,0))</f>
        <v/>
      </c>
      <c r="AF343" s="20">
        <f>IF(COUNT(C343:P343)=0,"",IFERROR(I343*Config!$C$7+J343*Config!$C$8+K343*Config!$C$9+L343*Config!$C$10+M343*Config!$C$11+N343*Config!$C$12+O343*Config!$C$13+P343*Config!$C$14,0))</f>
        <v/>
      </c>
      <c r="AG343" s="15">
        <f>IF(COUNT(C343:P343)=0,"",IFERROR(AF343/I343,0))</f>
        <v/>
      </c>
      <c r="AH343" s="20">
        <f>IF(COUNT(C343:P343)=0,"",IFERROR(AF343*(1-Config!$C$15-Config!$C$16-Config!$C$17),0))</f>
        <v/>
      </c>
      <c r="AI343" s="20">
        <f>IF(COUNT(C343:P343)=0,"",IFERROR(AH343-C343-Config!$C$18,0))</f>
        <v/>
      </c>
      <c r="AJ343" s="21">
        <f>IF(COUNT(C343:P343)=0,"",IFERROR(AH343/C343,0))</f>
        <v/>
      </c>
      <c r="AK343" s="15">
        <f>IF(COUNT(C343:P343)=0,"",IFERROR(AI343/G343,0))</f>
        <v/>
      </c>
      <c r="AL343" s="21">
        <f>IF(COUNT(C343:P343)=0,"",IFERROR(AK343/V343,0))</f>
        <v/>
      </c>
      <c r="AM343" s="15">
        <f>IF(COUNT(C343:P343)=0,"",IFERROR(AI343/I343,0))</f>
        <v/>
      </c>
      <c r="AN343" s="15">
        <f>IF(COUNT(C343:P343)=0,"",IFERROR(AH343/I343-AA343,0))</f>
        <v/>
      </c>
    </row>
    <row r="344">
      <c r="A344" s="12">
        <f>Config!$C$6+338</f>
        <v/>
      </c>
      <c r="B344" s="13">
        <f>INT((A344-Config!$C$6)/7)+1</f>
        <v/>
      </c>
      <c r="C344" s="10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5">
        <f>IF(COUNT(C344:P344)=0,"",IFERROR(C344/D344*1000,0))</f>
        <v/>
      </c>
      <c r="R344" s="16">
        <f>IF(COUNT(C344:P344)=0,"",IFERROR(D344/E344,0))</f>
        <v/>
      </c>
      <c r="S344" s="17">
        <f>IF(COUNT(C344:P344)=0,"",IFERROR(F344/D344,0))</f>
        <v/>
      </c>
      <c r="T344" s="15">
        <f>IF(COUNT(C344:P344)=0,"",IFERROR(C344/F344,0))</f>
        <v/>
      </c>
      <c r="U344" s="18">
        <f>IF(COUNT(C344:P344)=0,"",IFERROR(G344/F344,0))</f>
        <v/>
      </c>
      <c r="V344" s="15">
        <f>IF(COUNT(C344:P344)=0,"",IFERROR(C344/G344,0))</f>
        <v/>
      </c>
      <c r="W344" s="19">
        <f>IF(COUNT(C344:P344)=0,"",IFERROR(G344/D344*1000,0))</f>
        <v/>
      </c>
      <c r="X344" s="18">
        <f>IF(COUNT(C344:P344)=0,"",IFERROR(H344/G344,0))</f>
        <v/>
      </c>
      <c r="Y344" s="18">
        <f>IF(COUNT(C344:P344)=0,"",IFERROR(I344/H344,0))</f>
        <v/>
      </c>
      <c r="Z344" s="17">
        <f>IF(COUNT(C344:P344)=0,"",IFERROR(I344/G344,0))</f>
        <v/>
      </c>
      <c r="AA344" s="15">
        <f>IF(COUNT(C344:P344)=0,"",IFERROR(C344/I344,0))</f>
        <v/>
      </c>
      <c r="AB344" s="18">
        <f>IF(COUNT(C344:P344)=0,"",IFERROR(J344/I344,0))</f>
        <v/>
      </c>
      <c r="AC344" s="18">
        <f>IF(COUNT(C344:P344)=0,"",IFERROR(K344/I344,0))</f>
        <v/>
      </c>
      <c r="AD344" s="18">
        <f>IF(COUNT(C344:P344)=0,"",IFERROR(L344/I344,0))</f>
        <v/>
      </c>
      <c r="AE344" s="18">
        <f>IF(COUNT(C344:P344)=0,"",IFERROR(P344/I344,0))</f>
        <v/>
      </c>
      <c r="AF344" s="20">
        <f>IF(COUNT(C344:P344)=0,"",IFERROR(I344*Config!$C$7+J344*Config!$C$8+K344*Config!$C$9+L344*Config!$C$10+M344*Config!$C$11+N344*Config!$C$12+O344*Config!$C$13+P344*Config!$C$14,0))</f>
        <v/>
      </c>
      <c r="AG344" s="15">
        <f>IF(COUNT(C344:P344)=0,"",IFERROR(AF344/I344,0))</f>
        <v/>
      </c>
      <c r="AH344" s="20">
        <f>IF(COUNT(C344:P344)=0,"",IFERROR(AF344*(1-Config!$C$15-Config!$C$16-Config!$C$17),0))</f>
        <v/>
      </c>
      <c r="AI344" s="20">
        <f>IF(COUNT(C344:P344)=0,"",IFERROR(AH344-C344-Config!$C$18,0))</f>
        <v/>
      </c>
      <c r="AJ344" s="21">
        <f>IF(COUNT(C344:P344)=0,"",IFERROR(AH344/C344,0))</f>
        <v/>
      </c>
      <c r="AK344" s="15">
        <f>IF(COUNT(C344:P344)=0,"",IFERROR(AI344/G344,0))</f>
        <v/>
      </c>
      <c r="AL344" s="21">
        <f>IF(COUNT(C344:P344)=0,"",IFERROR(AK344/V344,0))</f>
        <v/>
      </c>
      <c r="AM344" s="15">
        <f>IF(COUNT(C344:P344)=0,"",IFERROR(AI344/I344,0))</f>
        <v/>
      </c>
      <c r="AN344" s="15">
        <f>IF(COUNT(C344:P344)=0,"",IFERROR(AH344/I344-AA344,0))</f>
        <v/>
      </c>
    </row>
    <row r="345">
      <c r="A345" s="12">
        <f>Config!$C$6+339</f>
        <v/>
      </c>
      <c r="B345" s="13">
        <f>INT((A345-Config!$C$6)/7)+1</f>
        <v/>
      </c>
      <c r="C345" s="10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5">
        <f>IF(COUNT(C345:P345)=0,"",IFERROR(C345/D345*1000,0))</f>
        <v/>
      </c>
      <c r="R345" s="16">
        <f>IF(COUNT(C345:P345)=0,"",IFERROR(D345/E345,0))</f>
        <v/>
      </c>
      <c r="S345" s="17">
        <f>IF(COUNT(C345:P345)=0,"",IFERROR(F345/D345,0))</f>
        <v/>
      </c>
      <c r="T345" s="15">
        <f>IF(COUNT(C345:P345)=0,"",IFERROR(C345/F345,0))</f>
        <v/>
      </c>
      <c r="U345" s="18">
        <f>IF(COUNT(C345:P345)=0,"",IFERROR(G345/F345,0))</f>
        <v/>
      </c>
      <c r="V345" s="15">
        <f>IF(COUNT(C345:P345)=0,"",IFERROR(C345/G345,0))</f>
        <v/>
      </c>
      <c r="W345" s="19">
        <f>IF(COUNT(C345:P345)=0,"",IFERROR(G345/D345*1000,0))</f>
        <v/>
      </c>
      <c r="X345" s="18">
        <f>IF(COUNT(C345:P345)=0,"",IFERROR(H345/G345,0))</f>
        <v/>
      </c>
      <c r="Y345" s="18">
        <f>IF(COUNT(C345:P345)=0,"",IFERROR(I345/H345,0))</f>
        <v/>
      </c>
      <c r="Z345" s="17">
        <f>IF(COUNT(C345:P345)=0,"",IFERROR(I345/G345,0))</f>
        <v/>
      </c>
      <c r="AA345" s="15">
        <f>IF(COUNT(C345:P345)=0,"",IFERROR(C345/I345,0))</f>
        <v/>
      </c>
      <c r="AB345" s="18">
        <f>IF(COUNT(C345:P345)=0,"",IFERROR(J345/I345,0))</f>
        <v/>
      </c>
      <c r="AC345" s="18">
        <f>IF(COUNT(C345:P345)=0,"",IFERROR(K345/I345,0))</f>
        <v/>
      </c>
      <c r="AD345" s="18">
        <f>IF(COUNT(C345:P345)=0,"",IFERROR(L345/I345,0))</f>
        <v/>
      </c>
      <c r="AE345" s="18">
        <f>IF(COUNT(C345:P345)=0,"",IFERROR(P345/I345,0))</f>
        <v/>
      </c>
      <c r="AF345" s="20">
        <f>IF(COUNT(C345:P345)=0,"",IFERROR(I345*Config!$C$7+J345*Config!$C$8+K345*Config!$C$9+L345*Config!$C$10+M345*Config!$C$11+N345*Config!$C$12+O345*Config!$C$13+P345*Config!$C$14,0))</f>
        <v/>
      </c>
      <c r="AG345" s="15">
        <f>IF(COUNT(C345:P345)=0,"",IFERROR(AF345/I345,0))</f>
        <v/>
      </c>
      <c r="AH345" s="20">
        <f>IF(COUNT(C345:P345)=0,"",IFERROR(AF345*(1-Config!$C$15-Config!$C$16-Config!$C$17),0))</f>
        <v/>
      </c>
      <c r="AI345" s="20">
        <f>IF(COUNT(C345:P345)=0,"",IFERROR(AH345-C345-Config!$C$18,0))</f>
        <v/>
      </c>
      <c r="AJ345" s="21">
        <f>IF(COUNT(C345:P345)=0,"",IFERROR(AH345/C345,0))</f>
        <v/>
      </c>
      <c r="AK345" s="15">
        <f>IF(COUNT(C345:P345)=0,"",IFERROR(AI345/G345,0))</f>
        <v/>
      </c>
      <c r="AL345" s="21">
        <f>IF(COUNT(C345:P345)=0,"",IFERROR(AK345/V345,0))</f>
        <v/>
      </c>
      <c r="AM345" s="15">
        <f>IF(COUNT(C345:P345)=0,"",IFERROR(AI345/I345,0))</f>
        <v/>
      </c>
      <c r="AN345" s="15">
        <f>IF(COUNT(C345:P345)=0,"",IFERROR(AH345/I345-AA345,0))</f>
        <v/>
      </c>
    </row>
    <row r="346">
      <c r="A346" s="12">
        <f>Config!$C$6+340</f>
        <v/>
      </c>
      <c r="B346" s="13">
        <f>INT((A346-Config!$C$6)/7)+1</f>
        <v/>
      </c>
      <c r="C346" s="10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5">
        <f>IF(COUNT(C346:P346)=0,"",IFERROR(C346/D346*1000,0))</f>
        <v/>
      </c>
      <c r="R346" s="16">
        <f>IF(COUNT(C346:P346)=0,"",IFERROR(D346/E346,0))</f>
        <v/>
      </c>
      <c r="S346" s="17">
        <f>IF(COUNT(C346:P346)=0,"",IFERROR(F346/D346,0))</f>
        <v/>
      </c>
      <c r="T346" s="15">
        <f>IF(COUNT(C346:P346)=0,"",IFERROR(C346/F346,0))</f>
        <v/>
      </c>
      <c r="U346" s="18">
        <f>IF(COUNT(C346:P346)=0,"",IFERROR(G346/F346,0))</f>
        <v/>
      </c>
      <c r="V346" s="15">
        <f>IF(COUNT(C346:P346)=0,"",IFERROR(C346/G346,0))</f>
        <v/>
      </c>
      <c r="W346" s="19">
        <f>IF(COUNT(C346:P346)=0,"",IFERROR(G346/D346*1000,0))</f>
        <v/>
      </c>
      <c r="X346" s="18">
        <f>IF(COUNT(C346:P346)=0,"",IFERROR(H346/G346,0))</f>
        <v/>
      </c>
      <c r="Y346" s="18">
        <f>IF(COUNT(C346:P346)=0,"",IFERROR(I346/H346,0))</f>
        <v/>
      </c>
      <c r="Z346" s="17">
        <f>IF(COUNT(C346:P346)=0,"",IFERROR(I346/G346,0))</f>
        <v/>
      </c>
      <c r="AA346" s="15">
        <f>IF(COUNT(C346:P346)=0,"",IFERROR(C346/I346,0))</f>
        <v/>
      </c>
      <c r="AB346" s="18">
        <f>IF(COUNT(C346:P346)=0,"",IFERROR(J346/I346,0))</f>
        <v/>
      </c>
      <c r="AC346" s="18">
        <f>IF(COUNT(C346:P346)=0,"",IFERROR(K346/I346,0))</f>
        <v/>
      </c>
      <c r="AD346" s="18">
        <f>IF(COUNT(C346:P346)=0,"",IFERROR(L346/I346,0))</f>
        <v/>
      </c>
      <c r="AE346" s="18">
        <f>IF(COUNT(C346:P346)=0,"",IFERROR(P346/I346,0))</f>
        <v/>
      </c>
      <c r="AF346" s="20">
        <f>IF(COUNT(C346:P346)=0,"",IFERROR(I346*Config!$C$7+J346*Config!$C$8+K346*Config!$C$9+L346*Config!$C$10+M346*Config!$C$11+N346*Config!$C$12+O346*Config!$C$13+P346*Config!$C$14,0))</f>
        <v/>
      </c>
      <c r="AG346" s="15">
        <f>IF(COUNT(C346:P346)=0,"",IFERROR(AF346/I346,0))</f>
        <v/>
      </c>
      <c r="AH346" s="20">
        <f>IF(COUNT(C346:P346)=0,"",IFERROR(AF346*(1-Config!$C$15-Config!$C$16-Config!$C$17),0))</f>
        <v/>
      </c>
      <c r="AI346" s="20">
        <f>IF(COUNT(C346:P346)=0,"",IFERROR(AH346-C346-Config!$C$18,0))</f>
        <v/>
      </c>
      <c r="AJ346" s="21">
        <f>IF(COUNT(C346:P346)=0,"",IFERROR(AH346/C346,0))</f>
        <v/>
      </c>
      <c r="AK346" s="15">
        <f>IF(COUNT(C346:P346)=0,"",IFERROR(AI346/G346,0))</f>
        <v/>
      </c>
      <c r="AL346" s="21">
        <f>IF(COUNT(C346:P346)=0,"",IFERROR(AK346/V346,0))</f>
        <v/>
      </c>
      <c r="AM346" s="15">
        <f>IF(COUNT(C346:P346)=0,"",IFERROR(AI346/I346,0))</f>
        <v/>
      </c>
      <c r="AN346" s="15">
        <f>IF(COUNT(C346:P346)=0,"",IFERROR(AH346/I346-AA346,0))</f>
        <v/>
      </c>
    </row>
    <row r="347">
      <c r="A347" s="12">
        <f>Config!$C$6+341</f>
        <v/>
      </c>
      <c r="B347" s="13">
        <f>INT((A347-Config!$C$6)/7)+1</f>
        <v/>
      </c>
      <c r="C347" s="10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5">
        <f>IF(COUNT(C347:P347)=0,"",IFERROR(C347/D347*1000,0))</f>
        <v/>
      </c>
      <c r="R347" s="16">
        <f>IF(COUNT(C347:P347)=0,"",IFERROR(D347/E347,0))</f>
        <v/>
      </c>
      <c r="S347" s="17">
        <f>IF(COUNT(C347:P347)=0,"",IFERROR(F347/D347,0))</f>
        <v/>
      </c>
      <c r="T347" s="15">
        <f>IF(COUNT(C347:P347)=0,"",IFERROR(C347/F347,0))</f>
        <v/>
      </c>
      <c r="U347" s="18">
        <f>IF(COUNT(C347:P347)=0,"",IFERROR(G347/F347,0))</f>
        <v/>
      </c>
      <c r="V347" s="15">
        <f>IF(COUNT(C347:P347)=0,"",IFERROR(C347/G347,0))</f>
        <v/>
      </c>
      <c r="W347" s="19">
        <f>IF(COUNT(C347:P347)=0,"",IFERROR(G347/D347*1000,0))</f>
        <v/>
      </c>
      <c r="X347" s="18">
        <f>IF(COUNT(C347:P347)=0,"",IFERROR(H347/G347,0))</f>
        <v/>
      </c>
      <c r="Y347" s="18">
        <f>IF(COUNT(C347:P347)=0,"",IFERROR(I347/H347,0))</f>
        <v/>
      </c>
      <c r="Z347" s="17">
        <f>IF(COUNT(C347:P347)=0,"",IFERROR(I347/G347,0))</f>
        <v/>
      </c>
      <c r="AA347" s="15">
        <f>IF(COUNT(C347:P347)=0,"",IFERROR(C347/I347,0))</f>
        <v/>
      </c>
      <c r="AB347" s="18">
        <f>IF(COUNT(C347:P347)=0,"",IFERROR(J347/I347,0))</f>
        <v/>
      </c>
      <c r="AC347" s="18">
        <f>IF(COUNT(C347:P347)=0,"",IFERROR(K347/I347,0))</f>
        <v/>
      </c>
      <c r="AD347" s="18">
        <f>IF(COUNT(C347:P347)=0,"",IFERROR(L347/I347,0))</f>
        <v/>
      </c>
      <c r="AE347" s="18">
        <f>IF(COUNT(C347:P347)=0,"",IFERROR(P347/I347,0))</f>
        <v/>
      </c>
      <c r="AF347" s="20">
        <f>IF(COUNT(C347:P347)=0,"",IFERROR(I347*Config!$C$7+J347*Config!$C$8+K347*Config!$C$9+L347*Config!$C$10+M347*Config!$C$11+N347*Config!$C$12+O347*Config!$C$13+P347*Config!$C$14,0))</f>
        <v/>
      </c>
      <c r="AG347" s="15">
        <f>IF(COUNT(C347:P347)=0,"",IFERROR(AF347/I347,0))</f>
        <v/>
      </c>
      <c r="AH347" s="20">
        <f>IF(COUNT(C347:P347)=0,"",IFERROR(AF347*(1-Config!$C$15-Config!$C$16-Config!$C$17),0))</f>
        <v/>
      </c>
      <c r="AI347" s="20">
        <f>IF(COUNT(C347:P347)=0,"",IFERROR(AH347-C347-Config!$C$18,0))</f>
        <v/>
      </c>
      <c r="AJ347" s="21">
        <f>IF(COUNT(C347:P347)=0,"",IFERROR(AH347/C347,0))</f>
        <v/>
      </c>
      <c r="AK347" s="15">
        <f>IF(COUNT(C347:P347)=0,"",IFERROR(AI347/G347,0))</f>
        <v/>
      </c>
      <c r="AL347" s="21">
        <f>IF(COUNT(C347:P347)=0,"",IFERROR(AK347/V347,0))</f>
        <v/>
      </c>
      <c r="AM347" s="15">
        <f>IF(COUNT(C347:P347)=0,"",IFERROR(AI347/I347,0))</f>
        <v/>
      </c>
      <c r="AN347" s="15">
        <f>IF(COUNT(C347:P347)=0,"",IFERROR(AH347/I347-AA347,0))</f>
        <v/>
      </c>
    </row>
    <row r="348">
      <c r="A348" s="12">
        <f>Config!$C$6+342</f>
        <v/>
      </c>
      <c r="B348" s="13">
        <f>INT((A348-Config!$C$6)/7)+1</f>
        <v/>
      </c>
      <c r="C348" s="10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5">
        <f>IF(COUNT(C348:P348)=0,"",IFERROR(C348/D348*1000,0))</f>
        <v/>
      </c>
      <c r="R348" s="16">
        <f>IF(COUNT(C348:P348)=0,"",IFERROR(D348/E348,0))</f>
        <v/>
      </c>
      <c r="S348" s="17">
        <f>IF(COUNT(C348:P348)=0,"",IFERROR(F348/D348,0))</f>
        <v/>
      </c>
      <c r="T348" s="15">
        <f>IF(COUNT(C348:P348)=0,"",IFERROR(C348/F348,0))</f>
        <v/>
      </c>
      <c r="U348" s="18">
        <f>IF(COUNT(C348:P348)=0,"",IFERROR(G348/F348,0))</f>
        <v/>
      </c>
      <c r="V348" s="15">
        <f>IF(COUNT(C348:P348)=0,"",IFERROR(C348/G348,0))</f>
        <v/>
      </c>
      <c r="W348" s="19">
        <f>IF(COUNT(C348:P348)=0,"",IFERROR(G348/D348*1000,0))</f>
        <v/>
      </c>
      <c r="X348" s="18">
        <f>IF(COUNT(C348:P348)=0,"",IFERROR(H348/G348,0))</f>
        <v/>
      </c>
      <c r="Y348" s="18">
        <f>IF(COUNT(C348:P348)=0,"",IFERROR(I348/H348,0))</f>
        <v/>
      </c>
      <c r="Z348" s="17">
        <f>IF(COUNT(C348:P348)=0,"",IFERROR(I348/G348,0))</f>
        <v/>
      </c>
      <c r="AA348" s="15">
        <f>IF(COUNT(C348:P348)=0,"",IFERROR(C348/I348,0))</f>
        <v/>
      </c>
      <c r="AB348" s="18">
        <f>IF(COUNT(C348:P348)=0,"",IFERROR(J348/I348,0))</f>
        <v/>
      </c>
      <c r="AC348" s="18">
        <f>IF(COUNT(C348:P348)=0,"",IFERROR(K348/I348,0))</f>
        <v/>
      </c>
      <c r="AD348" s="18">
        <f>IF(COUNT(C348:P348)=0,"",IFERROR(L348/I348,0))</f>
        <v/>
      </c>
      <c r="AE348" s="18">
        <f>IF(COUNT(C348:P348)=0,"",IFERROR(P348/I348,0))</f>
        <v/>
      </c>
      <c r="AF348" s="20">
        <f>IF(COUNT(C348:P348)=0,"",IFERROR(I348*Config!$C$7+J348*Config!$C$8+K348*Config!$C$9+L348*Config!$C$10+M348*Config!$C$11+N348*Config!$C$12+O348*Config!$C$13+P348*Config!$C$14,0))</f>
        <v/>
      </c>
      <c r="AG348" s="15">
        <f>IF(COUNT(C348:P348)=0,"",IFERROR(AF348/I348,0))</f>
        <v/>
      </c>
      <c r="AH348" s="20">
        <f>IF(COUNT(C348:P348)=0,"",IFERROR(AF348*(1-Config!$C$15-Config!$C$16-Config!$C$17),0))</f>
        <v/>
      </c>
      <c r="AI348" s="20">
        <f>IF(COUNT(C348:P348)=0,"",IFERROR(AH348-C348-Config!$C$18,0))</f>
        <v/>
      </c>
      <c r="AJ348" s="21">
        <f>IF(COUNT(C348:P348)=0,"",IFERROR(AH348/C348,0))</f>
        <v/>
      </c>
      <c r="AK348" s="15">
        <f>IF(COUNT(C348:P348)=0,"",IFERROR(AI348/G348,0))</f>
        <v/>
      </c>
      <c r="AL348" s="21">
        <f>IF(COUNT(C348:P348)=0,"",IFERROR(AK348/V348,0))</f>
        <v/>
      </c>
      <c r="AM348" s="15">
        <f>IF(COUNT(C348:P348)=0,"",IFERROR(AI348/I348,0))</f>
        <v/>
      </c>
      <c r="AN348" s="15">
        <f>IF(COUNT(C348:P348)=0,"",IFERROR(AH348/I348-AA348,0))</f>
        <v/>
      </c>
    </row>
    <row r="349">
      <c r="A349" s="12">
        <f>Config!$C$6+343</f>
        <v/>
      </c>
      <c r="B349" s="13">
        <f>INT((A349-Config!$C$6)/7)+1</f>
        <v/>
      </c>
      <c r="C349" s="10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5">
        <f>IF(COUNT(C349:P349)=0,"",IFERROR(C349/D349*1000,0))</f>
        <v/>
      </c>
      <c r="R349" s="16">
        <f>IF(COUNT(C349:P349)=0,"",IFERROR(D349/E349,0))</f>
        <v/>
      </c>
      <c r="S349" s="17">
        <f>IF(COUNT(C349:P349)=0,"",IFERROR(F349/D349,0))</f>
        <v/>
      </c>
      <c r="T349" s="15">
        <f>IF(COUNT(C349:P349)=0,"",IFERROR(C349/F349,0))</f>
        <v/>
      </c>
      <c r="U349" s="18">
        <f>IF(COUNT(C349:P349)=0,"",IFERROR(G349/F349,0))</f>
        <v/>
      </c>
      <c r="V349" s="15">
        <f>IF(COUNT(C349:P349)=0,"",IFERROR(C349/G349,0))</f>
        <v/>
      </c>
      <c r="W349" s="19">
        <f>IF(COUNT(C349:P349)=0,"",IFERROR(G349/D349*1000,0))</f>
        <v/>
      </c>
      <c r="X349" s="18">
        <f>IF(COUNT(C349:P349)=0,"",IFERROR(H349/G349,0))</f>
        <v/>
      </c>
      <c r="Y349" s="18">
        <f>IF(COUNT(C349:P349)=0,"",IFERROR(I349/H349,0))</f>
        <v/>
      </c>
      <c r="Z349" s="17">
        <f>IF(COUNT(C349:P349)=0,"",IFERROR(I349/G349,0))</f>
        <v/>
      </c>
      <c r="AA349" s="15">
        <f>IF(COUNT(C349:P349)=0,"",IFERROR(C349/I349,0))</f>
        <v/>
      </c>
      <c r="AB349" s="18">
        <f>IF(COUNT(C349:P349)=0,"",IFERROR(J349/I349,0))</f>
        <v/>
      </c>
      <c r="AC349" s="18">
        <f>IF(COUNT(C349:P349)=0,"",IFERROR(K349/I349,0))</f>
        <v/>
      </c>
      <c r="AD349" s="18">
        <f>IF(COUNT(C349:P349)=0,"",IFERROR(L349/I349,0))</f>
        <v/>
      </c>
      <c r="AE349" s="18">
        <f>IF(COUNT(C349:P349)=0,"",IFERROR(P349/I349,0))</f>
        <v/>
      </c>
      <c r="AF349" s="20">
        <f>IF(COUNT(C349:P349)=0,"",IFERROR(I349*Config!$C$7+J349*Config!$C$8+K349*Config!$C$9+L349*Config!$C$10+M349*Config!$C$11+N349*Config!$C$12+O349*Config!$C$13+P349*Config!$C$14,0))</f>
        <v/>
      </c>
      <c r="AG349" s="15">
        <f>IF(COUNT(C349:P349)=0,"",IFERROR(AF349/I349,0))</f>
        <v/>
      </c>
      <c r="AH349" s="20">
        <f>IF(COUNT(C349:P349)=0,"",IFERROR(AF349*(1-Config!$C$15-Config!$C$16-Config!$C$17),0))</f>
        <v/>
      </c>
      <c r="AI349" s="20">
        <f>IF(COUNT(C349:P349)=0,"",IFERROR(AH349-C349-Config!$C$18,0))</f>
        <v/>
      </c>
      <c r="AJ349" s="21">
        <f>IF(COUNT(C349:P349)=0,"",IFERROR(AH349/C349,0))</f>
        <v/>
      </c>
      <c r="AK349" s="15">
        <f>IF(COUNT(C349:P349)=0,"",IFERROR(AI349/G349,0))</f>
        <v/>
      </c>
      <c r="AL349" s="21">
        <f>IF(COUNT(C349:P349)=0,"",IFERROR(AK349/V349,0))</f>
        <v/>
      </c>
      <c r="AM349" s="15">
        <f>IF(COUNT(C349:P349)=0,"",IFERROR(AI349/I349,0))</f>
        <v/>
      </c>
      <c r="AN349" s="15">
        <f>IF(COUNT(C349:P349)=0,"",IFERROR(AH349/I349-AA349,0))</f>
        <v/>
      </c>
    </row>
    <row r="350">
      <c r="A350" s="12">
        <f>Config!$C$6+344</f>
        <v/>
      </c>
      <c r="B350" s="13">
        <f>INT((A350-Config!$C$6)/7)+1</f>
        <v/>
      </c>
      <c r="C350" s="10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5">
        <f>IF(COUNT(C350:P350)=0,"",IFERROR(C350/D350*1000,0))</f>
        <v/>
      </c>
      <c r="R350" s="16">
        <f>IF(COUNT(C350:P350)=0,"",IFERROR(D350/E350,0))</f>
        <v/>
      </c>
      <c r="S350" s="17">
        <f>IF(COUNT(C350:P350)=0,"",IFERROR(F350/D350,0))</f>
        <v/>
      </c>
      <c r="T350" s="15">
        <f>IF(COUNT(C350:P350)=0,"",IFERROR(C350/F350,0))</f>
        <v/>
      </c>
      <c r="U350" s="18">
        <f>IF(COUNT(C350:P350)=0,"",IFERROR(G350/F350,0))</f>
        <v/>
      </c>
      <c r="V350" s="15">
        <f>IF(COUNT(C350:P350)=0,"",IFERROR(C350/G350,0))</f>
        <v/>
      </c>
      <c r="W350" s="19">
        <f>IF(COUNT(C350:P350)=0,"",IFERROR(G350/D350*1000,0))</f>
        <v/>
      </c>
      <c r="X350" s="18">
        <f>IF(COUNT(C350:P350)=0,"",IFERROR(H350/G350,0))</f>
        <v/>
      </c>
      <c r="Y350" s="18">
        <f>IF(COUNT(C350:P350)=0,"",IFERROR(I350/H350,0))</f>
        <v/>
      </c>
      <c r="Z350" s="17">
        <f>IF(COUNT(C350:P350)=0,"",IFERROR(I350/G350,0))</f>
        <v/>
      </c>
      <c r="AA350" s="15">
        <f>IF(COUNT(C350:P350)=0,"",IFERROR(C350/I350,0))</f>
        <v/>
      </c>
      <c r="AB350" s="18">
        <f>IF(COUNT(C350:P350)=0,"",IFERROR(J350/I350,0))</f>
        <v/>
      </c>
      <c r="AC350" s="18">
        <f>IF(COUNT(C350:P350)=0,"",IFERROR(K350/I350,0))</f>
        <v/>
      </c>
      <c r="AD350" s="18">
        <f>IF(COUNT(C350:P350)=0,"",IFERROR(L350/I350,0))</f>
        <v/>
      </c>
      <c r="AE350" s="18">
        <f>IF(COUNT(C350:P350)=0,"",IFERROR(P350/I350,0))</f>
        <v/>
      </c>
      <c r="AF350" s="20">
        <f>IF(COUNT(C350:P350)=0,"",IFERROR(I350*Config!$C$7+J350*Config!$C$8+K350*Config!$C$9+L350*Config!$C$10+M350*Config!$C$11+N350*Config!$C$12+O350*Config!$C$13+P350*Config!$C$14,0))</f>
        <v/>
      </c>
      <c r="AG350" s="15">
        <f>IF(COUNT(C350:P350)=0,"",IFERROR(AF350/I350,0))</f>
        <v/>
      </c>
      <c r="AH350" s="20">
        <f>IF(COUNT(C350:P350)=0,"",IFERROR(AF350*(1-Config!$C$15-Config!$C$16-Config!$C$17),0))</f>
        <v/>
      </c>
      <c r="AI350" s="20">
        <f>IF(COUNT(C350:P350)=0,"",IFERROR(AH350-C350-Config!$C$18,0))</f>
        <v/>
      </c>
      <c r="AJ350" s="21">
        <f>IF(COUNT(C350:P350)=0,"",IFERROR(AH350/C350,0))</f>
        <v/>
      </c>
      <c r="AK350" s="15">
        <f>IF(COUNT(C350:P350)=0,"",IFERROR(AI350/G350,0))</f>
        <v/>
      </c>
      <c r="AL350" s="21">
        <f>IF(COUNT(C350:P350)=0,"",IFERROR(AK350/V350,0))</f>
        <v/>
      </c>
      <c r="AM350" s="15">
        <f>IF(COUNT(C350:P350)=0,"",IFERROR(AI350/I350,0))</f>
        <v/>
      </c>
      <c r="AN350" s="15">
        <f>IF(COUNT(C350:P350)=0,"",IFERROR(AH350/I350-AA350,0))</f>
        <v/>
      </c>
    </row>
    <row r="351">
      <c r="A351" s="12">
        <f>Config!$C$6+345</f>
        <v/>
      </c>
      <c r="B351" s="13">
        <f>INT((A351-Config!$C$6)/7)+1</f>
        <v/>
      </c>
      <c r="C351" s="10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5">
        <f>IF(COUNT(C351:P351)=0,"",IFERROR(C351/D351*1000,0))</f>
        <v/>
      </c>
      <c r="R351" s="16">
        <f>IF(COUNT(C351:P351)=0,"",IFERROR(D351/E351,0))</f>
        <v/>
      </c>
      <c r="S351" s="17">
        <f>IF(COUNT(C351:P351)=0,"",IFERROR(F351/D351,0))</f>
        <v/>
      </c>
      <c r="T351" s="15">
        <f>IF(COUNT(C351:P351)=0,"",IFERROR(C351/F351,0))</f>
        <v/>
      </c>
      <c r="U351" s="18">
        <f>IF(COUNT(C351:P351)=0,"",IFERROR(G351/F351,0))</f>
        <v/>
      </c>
      <c r="V351" s="15">
        <f>IF(COUNT(C351:P351)=0,"",IFERROR(C351/G351,0))</f>
        <v/>
      </c>
      <c r="W351" s="19">
        <f>IF(COUNT(C351:P351)=0,"",IFERROR(G351/D351*1000,0))</f>
        <v/>
      </c>
      <c r="X351" s="18">
        <f>IF(COUNT(C351:P351)=0,"",IFERROR(H351/G351,0))</f>
        <v/>
      </c>
      <c r="Y351" s="18">
        <f>IF(COUNT(C351:P351)=0,"",IFERROR(I351/H351,0))</f>
        <v/>
      </c>
      <c r="Z351" s="17">
        <f>IF(COUNT(C351:P351)=0,"",IFERROR(I351/G351,0))</f>
        <v/>
      </c>
      <c r="AA351" s="15">
        <f>IF(COUNT(C351:P351)=0,"",IFERROR(C351/I351,0))</f>
        <v/>
      </c>
      <c r="AB351" s="18">
        <f>IF(COUNT(C351:P351)=0,"",IFERROR(J351/I351,0))</f>
        <v/>
      </c>
      <c r="AC351" s="18">
        <f>IF(COUNT(C351:P351)=0,"",IFERROR(K351/I351,0))</f>
        <v/>
      </c>
      <c r="AD351" s="18">
        <f>IF(COUNT(C351:P351)=0,"",IFERROR(L351/I351,0))</f>
        <v/>
      </c>
      <c r="AE351" s="18">
        <f>IF(COUNT(C351:P351)=0,"",IFERROR(P351/I351,0))</f>
        <v/>
      </c>
      <c r="AF351" s="20">
        <f>IF(COUNT(C351:P351)=0,"",IFERROR(I351*Config!$C$7+J351*Config!$C$8+K351*Config!$C$9+L351*Config!$C$10+M351*Config!$C$11+N351*Config!$C$12+O351*Config!$C$13+P351*Config!$C$14,0))</f>
        <v/>
      </c>
      <c r="AG351" s="15">
        <f>IF(COUNT(C351:P351)=0,"",IFERROR(AF351/I351,0))</f>
        <v/>
      </c>
      <c r="AH351" s="20">
        <f>IF(COUNT(C351:P351)=0,"",IFERROR(AF351*(1-Config!$C$15-Config!$C$16-Config!$C$17),0))</f>
        <v/>
      </c>
      <c r="AI351" s="20">
        <f>IF(COUNT(C351:P351)=0,"",IFERROR(AH351-C351-Config!$C$18,0))</f>
        <v/>
      </c>
      <c r="AJ351" s="21">
        <f>IF(COUNT(C351:P351)=0,"",IFERROR(AH351/C351,0))</f>
        <v/>
      </c>
      <c r="AK351" s="15">
        <f>IF(COUNT(C351:P351)=0,"",IFERROR(AI351/G351,0))</f>
        <v/>
      </c>
      <c r="AL351" s="21">
        <f>IF(COUNT(C351:P351)=0,"",IFERROR(AK351/V351,0))</f>
        <v/>
      </c>
      <c r="AM351" s="15">
        <f>IF(COUNT(C351:P351)=0,"",IFERROR(AI351/I351,0))</f>
        <v/>
      </c>
      <c r="AN351" s="15">
        <f>IF(COUNT(C351:P351)=0,"",IFERROR(AH351/I351-AA351,0))</f>
        <v/>
      </c>
    </row>
    <row r="352">
      <c r="A352" s="12">
        <f>Config!$C$6+346</f>
        <v/>
      </c>
      <c r="B352" s="13">
        <f>INT((A352-Config!$C$6)/7)+1</f>
        <v/>
      </c>
      <c r="C352" s="10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5">
        <f>IF(COUNT(C352:P352)=0,"",IFERROR(C352/D352*1000,0))</f>
        <v/>
      </c>
      <c r="R352" s="16">
        <f>IF(COUNT(C352:P352)=0,"",IFERROR(D352/E352,0))</f>
        <v/>
      </c>
      <c r="S352" s="17">
        <f>IF(COUNT(C352:P352)=0,"",IFERROR(F352/D352,0))</f>
        <v/>
      </c>
      <c r="T352" s="15">
        <f>IF(COUNT(C352:P352)=0,"",IFERROR(C352/F352,0))</f>
        <v/>
      </c>
      <c r="U352" s="18">
        <f>IF(COUNT(C352:P352)=0,"",IFERROR(G352/F352,0))</f>
        <v/>
      </c>
      <c r="V352" s="15">
        <f>IF(COUNT(C352:P352)=0,"",IFERROR(C352/G352,0))</f>
        <v/>
      </c>
      <c r="W352" s="19">
        <f>IF(COUNT(C352:P352)=0,"",IFERROR(G352/D352*1000,0))</f>
        <v/>
      </c>
      <c r="X352" s="18">
        <f>IF(COUNT(C352:P352)=0,"",IFERROR(H352/G352,0))</f>
        <v/>
      </c>
      <c r="Y352" s="18">
        <f>IF(COUNT(C352:P352)=0,"",IFERROR(I352/H352,0))</f>
        <v/>
      </c>
      <c r="Z352" s="17">
        <f>IF(COUNT(C352:P352)=0,"",IFERROR(I352/G352,0))</f>
        <v/>
      </c>
      <c r="AA352" s="15">
        <f>IF(COUNT(C352:P352)=0,"",IFERROR(C352/I352,0))</f>
        <v/>
      </c>
      <c r="AB352" s="18">
        <f>IF(COUNT(C352:P352)=0,"",IFERROR(J352/I352,0))</f>
        <v/>
      </c>
      <c r="AC352" s="18">
        <f>IF(COUNT(C352:P352)=0,"",IFERROR(K352/I352,0))</f>
        <v/>
      </c>
      <c r="AD352" s="18">
        <f>IF(COUNT(C352:P352)=0,"",IFERROR(L352/I352,0))</f>
        <v/>
      </c>
      <c r="AE352" s="18">
        <f>IF(COUNT(C352:P352)=0,"",IFERROR(P352/I352,0))</f>
        <v/>
      </c>
      <c r="AF352" s="20">
        <f>IF(COUNT(C352:P352)=0,"",IFERROR(I352*Config!$C$7+J352*Config!$C$8+K352*Config!$C$9+L352*Config!$C$10+M352*Config!$C$11+N352*Config!$C$12+O352*Config!$C$13+P352*Config!$C$14,0))</f>
        <v/>
      </c>
      <c r="AG352" s="15">
        <f>IF(COUNT(C352:P352)=0,"",IFERROR(AF352/I352,0))</f>
        <v/>
      </c>
      <c r="AH352" s="20">
        <f>IF(COUNT(C352:P352)=0,"",IFERROR(AF352*(1-Config!$C$15-Config!$C$16-Config!$C$17),0))</f>
        <v/>
      </c>
      <c r="AI352" s="20">
        <f>IF(COUNT(C352:P352)=0,"",IFERROR(AH352-C352-Config!$C$18,0))</f>
        <v/>
      </c>
      <c r="AJ352" s="21">
        <f>IF(COUNT(C352:P352)=0,"",IFERROR(AH352/C352,0))</f>
        <v/>
      </c>
      <c r="AK352" s="15">
        <f>IF(COUNT(C352:P352)=0,"",IFERROR(AI352/G352,0))</f>
        <v/>
      </c>
      <c r="AL352" s="21">
        <f>IF(COUNT(C352:P352)=0,"",IFERROR(AK352/V352,0))</f>
        <v/>
      </c>
      <c r="AM352" s="15">
        <f>IF(COUNT(C352:P352)=0,"",IFERROR(AI352/I352,0))</f>
        <v/>
      </c>
      <c r="AN352" s="15">
        <f>IF(COUNT(C352:P352)=0,"",IFERROR(AH352/I352-AA352,0))</f>
        <v/>
      </c>
    </row>
    <row r="353">
      <c r="A353" s="12">
        <f>Config!$C$6+347</f>
        <v/>
      </c>
      <c r="B353" s="13">
        <f>INT((A353-Config!$C$6)/7)+1</f>
        <v/>
      </c>
      <c r="C353" s="10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5">
        <f>IF(COUNT(C353:P353)=0,"",IFERROR(C353/D353*1000,0))</f>
        <v/>
      </c>
      <c r="R353" s="16">
        <f>IF(COUNT(C353:P353)=0,"",IFERROR(D353/E353,0))</f>
        <v/>
      </c>
      <c r="S353" s="17">
        <f>IF(COUNT(C353:P353)=0,"",IFERROR(F353/D353,0))</f>
        <v/>
      </c>
      <c r="T353" s="15">
        <f>IF(COUNT(C353:P353)=0,"",IFERROR(C353/F353,0))</f>
        <v/>
      </c>
      <c r="U353" s="18">
        <f>IF(COUNT(C353:P353)=0,"",IFERROR(G353/F353,0))</f>
        <v/>
      </c>
      <c r="V353" s="15">
        <f>IF(COUNT(C353:P353)=0,"",IFERROR(C353/G353,0))</f>
        <v/>
      </c>
      <c r="W353" s="19">
        <f>IF(COUNT(C353:P353)=0,"",IFERROR(G353/D353*1000,0))</f>
        <v/>
      </c>
      <c r="X353" s="18">
        <f>IF(COUNT(C353:P353)=0,"",IFERROR(H353/G353,0))</f>
        <v/>
      </c>
      <c r="Y353" s="18">
        <f>IF(COUNT(C353:P353)=0,"",IFERROR(I353/H353,0))</f>
        <v/>
      </c>
      <c r="Z353" s="17">
        <f>IF(COUNT(C353:P353)=0,"",IFERROR(I353/G353,0))</f>
        <v/>
      </c>
      <c r="AA353" s="15">
        <f>IF(COUNT(C353:P353)=0,"",IFERROR(C353/I353,0))</f>
        <v/>
      </c>
      <c r="AB353" s="18">
        <f>IF(COUNT(C353:P353)=0,"",IFERROR(J353/I353,0))</f>
        <v/>
      </c>
      <c r="AC353" s="18">
        <f>IF(COUNT(C353:P353)=0,"",IFERROR(K353/I353,0))</f>
        <v/>
      </c>
      <c r="AD353" s="18">
        <f>IF(COUNT(C353:P353)=0,"",IFERROR(L353/I353,0))</f>
        <v/>
      </c>
      <c r="AE353" s="18">
        <f>IF(COUNT(C353:P353)=0,"",IFERROR(P353/I353,0))</f>
        <v/>
      </c>
      <c r="AF353" s="20">
        <f>IF(COUNT(C353:P353)=0,"",IFERROR(I353*Config!$C$7+J353*Config!$C$8+K353*Config!$C$9+L353*Config!$C$10+M353*Config!$C$11+N353*Config!$C$12+O353*Config!$C$13+P353*Config!$C$14,0))</f>
        <v/>
      </c>
      <c r="AG353" s="15">
        <f>IF(COUNT(C353:P353)=0,"",IFERROR(AF353/I353,0))</f>
        <v/>
      </c>
      <c r="AH353" s="20">
        <f>IF(COUNT(C353:P353)=0,"",IFERROR(AF353*(1-Config!$C$15-Config!$C$16-Config!$C$17),0))</f>
        <v/>
      </c>
      <c r="AI353" s="20">
        <f>IF(COUNT(C353:P353)=0,"",IFERROR(AH353-C353-Config!$C$18,0))</f>
        <v/>
      </c>
      <c r="AJ353" s="21">
        <f>IF(COUNT(C353:P353)=0,"",IFERROR(AH353/C353,0))</f>
        <v/>
      </c>
      <c r="AK353" s="15">
        <f>IF(COUNT(C353:P353)=0,"",IFERROR(AI353/G353,0))</f>
        <v/>
      </c>
      <c r="AL353" s="21">
        <f>IF(COUNT(C353:P353)=0,"",IFERROR(AK353/V353,0))</f>
        <v/>
      </c>
      <c r="AM353" s="15">
        <f>IF(COUNT(C353:P353)=0,"",IFERROR(AI353/I353,0))</f>
        <v/>
      </c>
      <c r="AN353" s="15">
        <f>IF(COUNT(C353:P353)=0,"",IFERROR(AH353/I353-AA353,0))</f>
        <v/>
      </c>
    </row>
    <row r="354">
      <c r="A354" s="12">
        <f>Config!$C$6+348</f>
        <v/>
      </c>
      <c r="B354" s="13">
        <f>INT((A354-Config!$C$6)/7)+1</f>
        <v/>
      </c>
      <c r="C354" s="10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5">
        <f>IF(COUNT(C354:P354)=0,"",IFERROR(C354/D354*1000,0))</f>
        <v/>
      </c>
      <c r="R354" s="16">
        <f>IF(COUNT(C354:P354)=0,"",IFERROR(D354/E354,0))</f>
        <v/>
      </c>
      <c r="S354" s="17">
        <f>IF(COUNT(C354:P354)=0,"",IFERROR(F354/D354,0))</f>
        <v/>
      </c>
      <c r="T354" s="15">
        <f>IF(COUNT(C354:P354)=0,"",IFERROR(C354/F354,0))</f>
        <v/>
      </c>
      <c r="U354" s="18">
        <f>IF(COUNT(C354:P354)=0,"",IFERROR(G354/F354,0))</f>
        <v/>
      </c>
      <c r="V354" s="15">
        <f>IF(COUNT(C354:P354)=0,"",IFERROR(C354/G354,0))</f>
        <v/>
      </c>
      <c r="W354" s="19">
        <f>IF(COUNT(C354:P354)=0,"",IFERROR(G354/D354*1000,0))</f>
        <v/>
      </c>
      <c r="X354" s="18">
        <f>IF(COUNT(C354:P354)=0,"",IFERROR(H354/G354,0))</f>
        <v/>
      </c>
      <c r="Y354" s="18">
        <f>IF(COUNT(C354:P354)=0,"",IFERROR(I354/H354,0))</f>
        <v/>
      </c>
      <c r="Z354" s="17">
        <f>IF(COUNT(C354:P354)=0,"",IFERROR(I354/G354,0))</f>
        <v/>
      </c>
      <c r="AA354" s="15">
        <f>IF(COUNT(C354:P354)=0,"",IFERROR(C354/I354,0))</f>
        <v/>
      </c>
      <c r="AB354" s="18">
        <f>IF(COUNT(C354:P354)=0,"",IFERROR(J354/I354,0))</f>
        <v/>
      </c>
      <c r="AC354" s="18">
        <f>IF(COUNT(C354:P354)=0,"",IFERROR(K354/I354,0))</f>
        <v/>
      </c>
      <c r="AD354" s="18">
        <f>IF(COUNT(C354:P354)=0,"",IFERROR(L354/I354,0))</f>
        <v/>
      </c>
      <c r="AE354" s="18">
        <f>IF(COUNT(C354:P354)=0,"",IFERROR(P354/I354,0))</f>
        <v/>
      </c>
      <c r="AF354" s="20">
        <f>IF(COUNT(C354:P354)=0,"",IFERROR(I354*Config!$C$7+J354*Config!$C$8+K354*Config!$C$9+L354*Config!$C$10+M354*Config!$C$11+N354*Config!$C$12+O354*Config!$C$13+P354*Config!$C$14,0))</f>
        <v/>
      </c>
      <c r="AG354" s="15">
        <f>IF(COUNT(C354:P354)=0,"",IFERROR(AF354/I354,0))</f>
        <v/>
      </c>
      <c r="AH354" s="20">
        <f>IF(COUNT(C354:P354)=0,"",IFERROR(AF354*(1-Config!$C$15-Config!$C$16-Config!$C$17),0))</f>
        <v/>
      </c>
      <c r="AI354" s="20">
        <f>IF(COUNT(C354:P354)=0,"",IFERROR(AH354-C354-Config!$C$18,0))</f>
        <v/>
      </c>
      <c r="AJ354" s="21">
        <f>IF(COUNT(C354:P354)=0,"",IFERROR(AH354/C354,0))</f>
        <v/>
      </c>
      <c r="AK354" s="15">
        <f>IF(COUNT(C354:P354)=0,"",IFERROR(AI354/G354,0))</f>
        <v/>
      </c>
      <c r="AL354" s="21">
        <f>IF(COUNT(C354:P354)=0,"",IFERROR(AK354/V354,0))</f>
        <v/>
      </c>
      <c r="AM354" s="15">
        <f>IF(COUNT(C354:P354)=0,"",IFERROR(AI354/I354,0))</f>
        <v/>
      </c>
      <c r="AN354" s="15">
        <f>IF(COUNT(C354:P354)=0,"",IFERROR(AH354/I354-AA354,0))</f>
        <v/>
      </c>
    </row>
    <row r="355">
      <c r="A355" s="12">
        <f>Config!$C$6+349</f>
        <v/>
      </c>
      <c r="B355" s="13">
        <f>INT((A355-Config!$C$6)/7)+1</f>
        <v/>
      </c>
      <c r="C355" s="10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5">
        <f>IF(COUNT(C355:P355)=0,"",IFERROR(C355/D355*1000,0))</f>
        <v/>
      </c>
      <c r="R355" s="16">
        <f>IF(COUNT(C355:P355)=0,"",IFERROR(D355/E355,0))</f>
        <v/>
      </c>
      <c r="S355" s="17">
        <f>IF(COUNT(C355:P355)=0,"",IFERROR(F355/D355,0))</f>
        <v/>
      </c>
      <c r="T355" s="15">
        <f>IF(COUNT(C355:P355)=0,"",IFERROR(C355/F355,0))</f>
        <v/>
      </c>
      <c r="U355" s="18">
        <f>IF(COUNT(C355:P355)=0,"",IFERROR(G355/F355,0))</f>
        <v/>
      </c>
      <c r="V355" s="15">
        <f>IF(COUNT(C355:P355)=0,"",IFERROR(C355/G355,0))</f>
        <v/>
      </c>
      <c r="W355" s="19">
        <f>IF(COUNT(C355:P355)=0,"",IFERROR(G355/D355*1000,0))</f>
        <v/>
      </c>
      <c r="X355" s="18">
        <f>IF(COUNT(C355:P355)=0,"",IFERROR(H355/G355,0))</f>
        <v/>
      </c>
      <c r="Y355" s="18">
        <f>IF(COUNT(C355:P355)=0,"",IFERROR(I355/H355,0))</f>
        <v/>
      </c>
      <c r="Z355" s="17">
        <f>IF(COUNT(C355:P355)=0,"",IFERROR(I355/G355,0))</f>
        <v/>
      </c>
      <c r="AA355" s="15">
        <f>IF(COUNT(C355:P355)=0,"",IFERROR(C355/I355,0))</f>
        <v/>
      </c>
      <c r="AB355" s="18">
        <f>IF(COUNT(C355:P355)=0,"",IFERROR(J355/I355,0))</f>
        <v/>
      </c>
      <c r="AC355" s="18">
        <f>IF(COUNT(C355:P355)=0,"",IFERROR(K355/I355,0))</f>
        <v/>
      </c>
      <c r="AD355" s="18">
        <f>IF(COUNT(C355:P355)=0,"",IFERROR(L355/I355,0))</f>
        <v/>
      </c>
      <c r="AE355" s="18">
        <f>IF(COUNT(C355:P355)=0,"",IFERROR(P355/I355,0))</f>
        <v/>
      </c>
      <c r="AF355" s="20">
        <f>IF(COUNT(C355:P355)=0,"",IFERROR(I355*Config!$C$7+J355*Config!$C$8+K355*Config!$C$9+L355*Config!$C$10+M355*Config!$C$11+N355*Config!$C$12+O355*Config!$C$13+P355*Config!$C$14,0))</f>
        <v/>
      </c>
      <c r="AG355" s="15">
        <f>IF(COUNT(C355:P355)=0,"",IFERROR(AF355/I355,0))</f>
        <v/>
      </c>
      <c r="AH355" s="20">
        <f>IF(COUNT(C355:P355)=0,"",IFERROR(AF355*(1-Config!$C$15-Config!$C$16-Config!$C$17),0))</f>
        <v/>
      </c>
      <c r="AI355" s="20">
        <f>IF(COUNT(C355:P355)=0,"",IFERROR(AH355-C355-Config!$C$18,0))</f>
        <v/>
      </c>
      <c r="AJ355" s="21">
        <f>IF(COUNT(C355:P355)=0,"",IFERROR(AH355/C355,0))</f>
        <v/>
      </c>
      <c r="AK355" s="15">
        <f>IF(COUNT(C355:P355)=0,"",IFERROR(AI355/G355,0))</f>
        <v/>
      </c>
      <c r="AL355" s="21">
        <f>IF(COUNT(C355:P355)=0,"",IFERROR(AK355/V355,0))</f>
        <v/>
      </c>
      <c r="AM355" s="15">
        <f>IF(COUNT(C355:P355)=0,"",IFERROR(AI355/I355,0))</f>
        <v/>
      </c>
      <c r="AN355" s="15">
        <f>IF(COUNT(C355:P355)=0,"",IFERROR(AH355/I355-AA355,0))</f>
        <v/>
      </c>
    </row>
    <row r="356">
      <c r="A356" s="12">
        <f>Config!$C$6+350</f>
        <v/>
      </c>
      <c r="B356" s="13">
        <f>INT((A356-Config!$C$6)/7)+1</f>
        <v/>
      </c>
      <c r="C356" s="10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5">
        <f>IF(COUNT(C356:P356)=0,"",IFERROR(C356/D356*1000,0))</f>
        <v/>
      </c>
      <c r="R356" s="16">
        <f>IF(COUNT(C356:P356)=0,"",IFERROR(D356/E356,0))</f>
        <v/>
      </c>
      <c r="S356" s="17">
        <f>IF(COUNT(C356:P356)=0,"",IFERROR(F356/D356,0))</f>
        <v/>
      </c>
      <c r="T356" s="15">
        <f>IF(COUNT(C356:P356)=0,"",IFERROR(C356/F356,0))</f>
        <v/>
      </c>
      <c r="U356" s="18">
        <f>IF(COUNT(C356:P356)=0,"",IFERROR(G356/F356,0))</f>
        <v/>
      </c>
      <c r="V356" s="15">
        <f>IF(COUNT(C356:P356)=0,"",IFERROR(C356/G356,0))</f>
        <v/>
      </c>
      <c r="W356" s="19">
        <f>IF(COUNT(C356:P356)=0,"",IFERROR(G356/D356*1000,0))</f>
        <v/>
      </c>
      <c r="X356" s="18">
        <f>IF(COUNT(C356:P356)=0,"",IFERROR(H356/G356,0))</f>
        <v/>
      </c>
      <c r="Y356" s="18">
        <f>IF(COUNT(C356:P356)=0,"",IFERROR(I356/H356,0))</f>
        <v/>
      </c>
      <c r="Z356" s="17">
        <f>IF(COUNT(C356:P356)=0,"",IFERROR(I356/G356,0))</f>
        <v/>
      </c>
      <c r="AA356" s="15">
        <f>IF(COUNT(C356:P356)=0,"",IFERROR(C356/I356,0))</f>
        <v/>
      </c>
      <c r="AB356" s="18">
        <f>IF(COUNT(C356:P356)=0,"",IFERROR(J356/I356,0))</f>
        <v/>
      </c>
      <c r="AC356" s="18">
        <f>IF(COUNT(C356:P356)=0,"",IFERROR(K356/I356,0))</f>
        <v/>
      </c>
      <c r="AD356" s="18">
        <f>IF(COUNT(C356:P356)=0,"",IFERROR(L356/I356,0))</f>
        <v/>
      </c>
      <c r="AE356" s="18">
        <f>IF(COUNT(C356:P356)=0,"",IFERROR(P356/I356,0))</f>
        <v/>
      </c>
      <c r="AF356" s="20">
        <f>IF(COUNT(C356:P356)=0,"",IFERROR(I356*Config!$C$7+J356*Config!$C$8+K356*Config!$C$9+L356*Config!$C$10+M356*Config!$C$11+N356*Config!$C$12+O356*Config!$C$13+P356*Config!$C$14,0))</f>
        <v/>
      </c>
      <c r="AG356" s="15">
        <f>IF(COUNT(C356:P356)=0,"",IFERROR(AF356/I356,0))</f>
        <v/>
      </c>
      <c r="AH356" s="20">
        <f>IF(COUNT(C356:P356)=0,"",IFERROR(AF356*(1-Config!$C$15-Config!$C$16-Config!$C$17),0))</f>
        <v/>
      </c>
      <c r="AI356" s="20">
        <f>IF(COUNT(C356:P356)=0,"",IFERROR(AH356-C356-Config!$C$18,0))</f>
        <v/>
      </c>
      <c r="AJ356" s="21">
        <f>IF(COUNT(C356:P356)=0,"",IFERROR(AH356/C356,0))</f>
        <v/>
      </c>
      <c r="AK356" s="15">
        <f>IF(COUNT(C356:P356)=0,"",IFERROR(AI356/G356,0))</f>
        <v/>
      </c>
      <c r="AL356" s="21">
        <f>IF(COUNT(C356:P356)=0,"",IFERROR(AK356/V356,0))</f>
        <v/>
      </c>
      <c r="AM356" s="15">
        <f>IF(COUNT(C356:P356)=0,"",IFERROR(AI356/I356,0))</f>
        <v/>
      </c>
      <c r="AN356" s="15">
        <f>IF(COUNT(C356:P356)=0,"",IFERROR(AH356/I356-AA356,0))</f>
        <v/>
      </c>
    </row>
    <row r="357">
      <c r="A357" s="12">
        <f>Config!$C$6+351</f>
        <v/>
      </c>
      <c r="B357" s="13">
        <f>INT((A357-Config!$C$6)/7)+1</f>
        <v/>
      </c>
      <c r="C357" s="10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5">
        <f>IF(COUNT(C357:P357)=0,"",IFERROR(C357/D357*1000,0))</f>
        <v/>
      </c>
      <c r="R357" s="16">
        <f>IF(COUNT(C357:P357)=0,"",IFERROR(D357/E357,0))</f>
        <v/>
      </c>
      <c r="S357" s="17">
        <f>IF(COUNT(C357:P357)=0,"",IFERROR(F357/D357,0))</f>
        <v/>
      </c>
      <c r="T357" s="15">
        <f>IF(COUNT(C357:P357)=0,"",IFERROR(C357/F357,0))</f>
        <v/>
      </c>
      <c r="U357" s="18">
        <f>IF(COUNT(C357:P357)=0,"",IFERROR(G357/F357,0))</f>
        <v/>
      </c>
      <c r="V357" s="15">
        <f>IF(COUNT(C357:P357)=0,"",IFERROR(C357/G357,0))</f>
        <v/>
      </c>
      <c r="W357" s="19">
        <f>IF(COUNT(C357:P357)=0,"",IFERROR(G357/D357*1000,0))</f>
        <v/>
      </c>
      <c r="X357" s="18">
        <f>IF(COUNT(C357:P357)=0,"",IFERROR(H357/G357,0))</f>
        <v/>
      </c>
      <c r="Y357" s="18">
        <f>IF(COUNT(C357:P357)=0,"",IFERROR(I357/H357,0))</f>
        <v/>
      </c>
      <c r="Z357" s="17">
        <f>IF(COUNT(C357:P357)=0,"",IFERROR(I357/G357,0))</f>
        <v/>
      </c>
      <c r="AA357" s="15">
        <f>IF(COUNT(C357:P357)=0,"",IFERROR(C357/I357,0))</f>
        <v/>
      </c>
      <c r="AB357" s="18">
        <f>IF(COUNT(C357:P357)=0,"",IFERROR(J357/I357,0))</f>
        <v/>
      </c>
      <c r="AC357" s="18">
        <f>IF(COUNT(C357:P357)=0,"",IFERROR(K357/I357,0))</f>
        <v/>
      </c>
      <c r="AD357" s="18">
        <f>IF(COUNT(C357:P357)=0,"",IFERROR(L357/I357,0))</f>
        <v/>
      </c>
      <c r="AE357" s="18">
        <f>IF(COUNT(C357:P357)=0,"",IFERROR(P357/I357,0))</f>
        <v/>
      </c>
      <c r="AF357" s="20">
        <f>IF(COUNT(C357:P357)=0,"",IFERROR(I357*Config!$C$7+J357*Config!$C$8+K357*Config!$C$9+L357*Config!$C$10+M357*Config!$C$11+N357*Config!$C$12+O357*Config!$C$13+P357*Config!$C$14,0))</f>
        <v/>
      </c>
      <c r="AG357" s="15">
        <f>IF(COUNT(C357:P357)=0,"",IFERROR(AF357/I357,0))</f>
        <v/>
      </c>
      <c r="AH357" s="20">
        <f>IF(COUNT(C357:P357)=0,"",IFERROR(AF357*(1-Config!$C$15-Config!$C$16-Config!$C$17),0))</f>
        <v/>
      </c>
      <c r="AI357" s="20">
        <f>IF(COUNT(C357:P357)=0,"",IFERROR(AH357-C357-Config!$C$18,0))</f>
        <v/>
      </c>
      <c r="AJ357" s="21">
        <f>IF(COUNT(C357:P357)=0,"",IFERROR(AH357/C357,0))</f>
        <v/>
      </c>
      <c r="AK357" s="15">
        <f>IF(COUNT(C357:P357)=0,"",IFERROR(AI357/G357,0))</f>
        <v/>
      </c>
      <c r="AL357" s="21">
        <f>IF(COUNT(C357:P357)=0,"",IFERROR(AK357/V357,0))</f>
        <v/>
      </c>
      <c r="AM357" s="15">
        <f>IF(COUNT(C357:P357)=0,"",IFERROR(AI357/I357,0))</f>
        <v/>
      </c>
      <c r="AN357" s="15">
        <f>IF(COUNT(C357:P357)=0,"",IFERROR(AH357/I357-AA357,0))</f>
        <v/>
      </c>
    </row>
    <row r="358">
      <c r="A358" s="12">
        <f>Config!$C$6+352</f>
        <v/>
      </c>
      <c r="B358" s="13">
        <f>INT((A358-Config!$C$6)/7)+1</f>
        <v/>
      </c>
      <c r="C358" s="10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5">
        <f>IF(COUNT(C358:P358)=0,"",IFERROR(C358/D358*1000,0))</f>
        <v/>
      </c>
      <c r="R358" s="16">
        <f>IF(COUNT(C358:P358)=0,"",IFERROR(D358/E358,0))</f>
        <v/>
      </c>
      <c r="S358" s="17">
        <f>IF(COUNT(C358:P358)=0,"",IFERROR(F358/D358,0))</f>
        <v/>
      </c>
      <c r="T358" s="15">
        <f>IF(COUNT(C358:P358)=0,"",IFERROR(C358/F358,0))</f>
        <v/>
      </c>
      <c r="U358" s="18">
        <f>IF(COUNT(C358:P358)=0,"",IFERROR(G358/F358,0))</f>
        <v/>
      </c>
      <c r="V358" s="15">
        <f>IF(COUNT(C358:P358)=0,"",IFERROR(C358/G358,0))</f>
        <v/>
      </c>
      <c r="W358" s="19">
        <f>IF(COUNT(C358:P358)=0,"",IFERROR(G358/D358*1000,0))</f>
        <v/>
      </c>
      <c r="X358" s="18">
        <f>IF(COUNT(C358:P358)=0,"",IFERROR(H358/G358,0))</f>
        <v/>
      </c>
      <c r="Y358" s="18">
        <f>IF(COUNT(C358:P358)=0,"",IFERROR(I358/H358,0))</f>
        <v/>
      </c>
      <c r="Z358" s="17">
        <f>IF(COUNT(C358:P358)=0,"",IFERROR(I358/G358,0))</f>
        <v/>
      </c>
      <c r="AA358" s="15">
        <f>IF(COUNT(C358:P358)=0,"",IFERROR(C358/I358,0))</f>
        <v/>
      </c>
      <c r="AB358" s="18">
        <f>IF(COUNT(C358:P358)=0,"",IFERROR(J358/I358,0))</f>
        <v/>
      </c>
      <c r="AC358" s="18">
        <f>IF(COUNT(C358:P358)=0,"",IFERROR(K358/I358,0))</f>
        <v/>
      </c>
      <c r="AD358" s="18">
        <f>IF(COUNT(C358:P358)=0,"",IFERROR(L358/I358,0))</f>
        <v/>
      </c>
      <c r="AE358" s="18">
        <f>IF(COUNT(C358:P358)=0,"",IFERROR(P358/I358,0))</f>
        <v/>
      </c>
      <c r="AF358" s="20">
        <f>IF(COUNT(C358:P358)=0,"",IFERROR(I358*Config!$C$7+J358*Config!$C$8+K358*Config!$C$9+L358*Config!$C$10+M358*Config!$C$11+N358*Config!$C$12+O358*Config!$C$13+P358*Config!$C$14,0))</f>
        <v/>
      </c>
      <c r="AG358" s="15">
        <f>IF(COUNT(C358:P358)=0,"",IFERROR(AF358/I358,0))</f>
        <v/>
      </c>
      <c r="AH358" s="20">
        <f>IF(COUNT(C358:P358)=0,"",IFERROR(AF358*(1-Config!$C$15-Config!$C$16-Config!$C$17),0))</f>
        <v/>
      </c>
      <c r="AI358" s="20">
        <f>IF(COUNT(C358:P358)=0,"",IFERROR(AH358-C358-Config!$C$18,0))</f>
        <v/>
      </c>
      <c r="AJ358" s="21">
        <f>IF(COUNT(C358:P358)=0,"",IFERROR(AH358/C358,0))</f>
        <v/>
      </c>
      <c r="AK358" s="15">
        <f>IF(COUNT(C358:P358)=0,"",IFERROR(AI358/G358,0))</f>
        <v/>
      </c>
      <c r="AL358" s="21">
        <f>IF(COUNT(C358:P358)=0,"",IFERROR(AK358/V358,0))</f>
        <v/>
      </c>
      <c r="AM358" s="15">
        <f>IF(COUNT(C358:P358)=0,"",IFERROR(AI358/I358,0))</f>
        <v/>
      </c>
      <c r="AN358" s="15">
        <f>IF(COUNT(C358:P358)=0,"",IFERROR(AH358/I358-AA358,0))</f>
        <v/>
      </c>
    </row>
    <row r="359">
      <c r="A359" s="12">
        <f>Config!$C$6+353</f>
        <v/>
      </c>
      <c r="B359" s="13">
        <f>INT((A359-Config!$C$6)/7)+1</f>
        <v/>
      </c>
      <c r="C359" s="10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5">
        <f>IF(COUNT(C359:P359)=0,"",IFERROR(C359/D359*1000,0))</f>
        <v/>
      </c>
      <c r="R359" s="16">
        <f>IF(COUNT(C359:P359)=0,"",IFERROR(D359/E359,0))</f>
        <v/>
      </c>
      <c r="S359" s="17">
        <f>IF(COUNT(C359:P359)=0,"",IFERROR(F359/D359,0))</f>
        <v/>
      </c>
      <c r="T359" s="15">
        <f>IF(COUNT(C359:P359)=0,"",IFERROR(C359/F359,0))</f>
        <v/>
      </c>
      <c r="U359" s="18">
        <f>IF(COUNT(C359:P359)=0,"",IFERROR(G359/F359,0))</f>
        <v/>
      </c>
      <c r="V359" s="15">
        <f>IF(COUNT(C359:P359)=0,"",IFERROR(C359/G359,0))</f>
        <v/>
      </c>
      <c r="W359" s="19">
        <f>IF(COUNT(C359:P359)=0,"",IFERROR(G359/D359*1000,0))</f>
        <v/>
      </c>
      <c r="X359" s="18">
        <f>IF(COUNT(C359:P359)=0,"",IFERROR(H359/G359,0))</f>
        <v/>
      </c>
      <c r="Y359" s="18">
        <f>IF(COUNT(C359:P359)=0,"",IFERROR(I359/H359,0))</f>
        <v/>
      </c>
      <c r="Z359" s="17">
        <f>IF(COUNT(C359:P359)=0,"",IFERROR(I359/G359,0))</f>
        <v/>
      </c>
      <c r="AA359" s="15">
        <f>IF(COUNT(C359:P359)=0,"",IFERROR(C359/I359,0))</f>
        <v/>
      </c>
      <c r="AB359" s="18">
        <f>IF(COUNT(C359:P359)=0,"",IFERROR(J359/I359,0))</f>
        <v/>
      </c>
      <c r="AC359" s="18">
        <f>IF(COUNT(C359:P359)=0,"",IFERROR(K359/I359,0))</f>
        <v/>
      </c>
      <c r="AD359" s="18">
        <f>IF(COUNT(C359:P359)=0,"",IFERROR(L359/I359,0))</f>
        <v/>
      </c>
      <c r="AE359" s="18">
        <f>IF(COUNT(C359:P359)=0,"",IFERROR(P359/I359,0))</f>
        <v/>
      </c>
      <c r="AF359" s="20">
        <f>IF(COUNT(C359:P359)=0,"",IFERROR(I359*Config!$C$7+J359*Config!$C$8+K359*Config!$C$9+L359*Config!$C$10+M359*Config!$C$11+N359*Config!$C$12+O359*Config!$C$13+P359*Config!$C$14,0))</f>
        <v/>
      </c>
      <c r="AG359" s="15">
        <f>IF(COUNT(C359:P359)=0,"",IFERROR(AF359/I359,0))</f>
        <v/>
      </c>
      <c r="AH359" s="20">
        <f>IF(COUNT(C359:P359)=0,"",IFERROR(AF359*(1-Config!$C$15-Config!$C$16-Config!$C$17),0))</f>
        <v/>
      </c>
      <c r="AI359" s="20">
        <f>IF(COUNT(C359:P359)=0,"",IFERROR(AH359-C359-Config!$C$18,0))</f>
        <v/>
      </c>
      <c r="AJ359" s="21">
        <f>IF(COUNT(C359:P359)=0,"",IFERROR(AH359/C359,0))</f>
        <v/>
      </c>
      <c r="AK359" s="15">
        <f>IF(COUNT(C359:P359)=0,"",IFERROR(AI359/G359,0))</f>
        <v/>
      </c>
      <c r="AL359" s="21">
        <f>IF(COUNT(C359:P359)=0,"",IFERROR(AK359/V359,0))</f>
        <v/>
      </c>
      <c r="AM359" s="15">
        <f>IF(COUNT(C359:P359)=0,"",IFERROR(AI359/I359,0))</f>
        <v/>
      </c>
      <c r="AN359" s="15">
        <f>IF(COUNT(C359:P359)=0,"",IFERROR(AH359/I359-AA359,0))</f>
        <v/>
      </c>
    </row>
    <row r="360">
      <c r="A360" s="12">
        <f>Config!$C$6+354</f>
        <v/>
      </c>
      <c r="B360" s="13">
        <f>INT((A360-Config!$C$6)/7)+1</f>
        <v/>
      </c>
      <c r="C360" s="10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5">
        <f>IF(COUNT(C360:P360)=0,"",IFERROR(C360/D360*1000,0))</f>
        <v/>
      </c>
      <c r="R360" s="16">
        <f>IF(COUNT(C360:P360)=0,"",IFERROR(D360/E360,0))</f>
        <v/>
      </c>
      <c r="S360" s="17">
        <f>IF(COUNT(C360:P360)=0,"",IFERROR(F360/D360,0))</f>
        <v/>
      </c>
      <c r="T360" s="15">
        <f>IF(COUNT(C360:P360)=0,"",IFERROR(C360/F360,0))</f>
        <v/>
      </c>
      <c r="U360" s="18">
        <f>IF(COUNT(C360:P360)=0,"",IFERROR(G360/F360,0))</f>
        <v/>
      </c>
      <c r="V360" s="15">
        <f>IF(COUNT(C360:P360)=0,"",IFERROR(C360/G360,0))</f>
        <v/>
      </c>
      <c r="W360" s="19">
        <f>IF(COUNT(C360:P360)=0,"",IFERROR(G360/D360*1000,0))</f>
        <v/>
      </c>
      <c r="X360" s="18">
        <f>IF(COUNT(C360:P360)=0,"",IFERROR(H360/G360,0))</f>
        <v/>
      </c>
      <c r="Y360" s="18">
        <f>IF(COUNT(C360:P360)=0,"",IFERROR(I360/H360,0))</f>
        <v/>
      </c>
      <c r="Z360" s="17">
        <f>IF(COUNT(C360:P360)=0,"",IFERROR(I360/G360,0))</f>
        <v/>
      </c>
      <c r="AA360" s="15">
        <f>IF(COUNT(C360:P360)=0,"",IFERROR(C360/I360,0))</f>
        <v/>
      </c>
      <c r="AB360" s="18">
        <f>IF(COUNT(C360:P360)=0,"",IFERROR(J360/I360,0))</f>
        <v/>
      </c>
      <c r="AC360" s="18">
        <f>IF(COUNT(C360:P360)=0,"",IFERROR(K360/I360,0))</f>
        <v/>
      </c>
      <c r="AD360" s="18">
        <f>IF(COUNT(C360:P360)=0,"",IFERROR(L360/I360,0))</f>
        <v/>
      </c>
      <c r="AE360" s="18">
        <f>IF(COUNT(C360:P360)=0,"",IFERROR(P360/I360,0))</f>
        <v/>
      </c>
      <c r="AF360" s="20">
        <f>IF(COUNT(C360:P360)=0,"",IFERROR(I360*Config!$C$7+J360*Config!$C$8+K360*Config!$C$9+L360*Config!$C$10+M360*Config!$C$11+N360*Config!$C$12+O360*Config!$C$13+P360*Config!$C$14,0))</f>
        <v/>
      </c>
      <c r="AG360" s="15">
        <f>IF(COUNT(C360:P360)=0,"",IFERROR(AF360/I360,0))</f>
        <v/>
      </c>
      <c r="AH360" s="20">
        <f>IF(COUNT(C360:P360)=0,"",IFERROR(AF360*(1-Config!$C$15-Config!$C$16-Config!$C$17),0))</f>
        <v/>
      </c>
      <c r="AI360" s="20">
        <f>IF(COUNT(C360:P360)=0,"",IFERROR(AH360-C360-Config!$C$18,0))</f>
        <v/>
      </c>
      <c r="AJ360" s="21">
        <f>IF(COUNT(C360:P360)=0,"",IFERROR(AH360/C360,0))</f>
        <v/>
      </c>
      <c r="AK360" s="15">
        <f>IF(COUNT(C360:P360)=0,"",IFERROR(AI360/G360,0))</f>
        <v/>
      </c>
      <c r="AL360" s="21">
        <f>IF(COUNT(C360:P360)=0,"",IFERROR(AK360/V360,0))</f>
        <v/>
      </c>
      <c r="AM360" s="15">
        <f>IF(COUNT(C360:P360)=0,"",IFERROR(AI360/I360,0))</f>
        <v/>
      </c>
      <c r="AN360" s="15">
        <f>IF(COUNT(C360:P360)=0,"",IFERROR(AH360/I360-AA360,0))</f>
        <v/>
      </c>
    </row>
    <row r="361">
      <c r="A361" s="12">
        <f>Config!$C$6+355</f>
        <v/>
      </c>
      <c r="B361" s="13">
        <f>INT((A361-Config!$C$6)/7)+1</f>
        <v/>
      </c>
      <c r="C361" s="10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5">
        <f>IF(COUNT(C361:P361)=0,"",IFERROR(C361/D361*1000,0))</f>
        <v/>
      </c>
      <c r="R361" s="16">
        <f>IF(COUNT(C361:P361)=0,"",IFERROR(D361/E361,0))</f>
        <v/>
      </c>
      <c r="S361" s="17">
        <f>IF(COUNT(C361:P361)=0,"",IFERROR(F361/D361,0))</f>
        <v/>
      </c>
      <c r="T361" s="15">
        <f>IF(COUNT(C361:P361)=0,"",IFERROR(C361/F361,0))</f>
        <v/>
      </c>
      <c r="U361" s="18">
        <f>IF(COUNT(C361:P361)=0,"",IFERROR(G361/F361,0))</f>
        <v/>
      </c>
      <c r="V361" s="15">
        <f>IF(COUNT(C361:P361)=0,"",IFERROR(C361/G361,0))</f>
        <v/>
      </c>
      <c r="W361" s="19">
        <f>IF(COUNT(C361:P361)=0,"",IFERROR(G361/D361*1000,0))</f>
        <v/>
      </c>
      <c r="X361" s="18">
        <f>IF(COUNT(C361:P361)=0,"",IFERROR(H361/G361,0))</f>
        <v/>
      </c>
      <c r="Y361" s="18">
        <f>IF(COUNT(C361:P361)=0,"",IFERROR(I361/H361,0))</f>
        <v/>
      </c>
      <c r="Z361" s="17">
        <f>IF(COUNT(C361:P361)=0,"",IFERROR(I361/G361,0))</f>
        <v/>
      </c>
      <c r="AA361" s="15">
        <f>IF(COUNT(C361:P361)=0,"",IFERROR(C361/I361,0))</f>
        <v/>
      </c>
      <c r="AB361" s="18">
        <f>IF(COUNT(C361:P361)=0,"",IFERROR(J361/I361,0))</f>
        <v/>
      </c>
      <c r="AC361" s="18">
        <f>IF(COUNT(C361:P361)=0,"",IFERROR(K361/I361,0))</f>
        <v/>
      </c>
      <c r="AD361" s="18">
        <f>IF(COUNT(C361:P361)=0,"",IFERROR(L361/I361,0))</f>
        <v/>
      </c>
      <c r="AE361" s="18">
        <f>IF(COUNT(C361:P361)=0,"",IFERROR(P361/I361,0))</f>
        <v/>
      </c>
      <c r="AF361" s="20">
        <f>IF(COUNT(C361:P361)=0,"",IFERROR(I361*Config!$C$7+J361*Config!$C$8+K361*Config!$C$9+L361*Config!$C$10+M361*Config!$C$11+N361*Config!$C$12+O361*Config!$C$13+P361*Config!$C$14,0))</f>
        <v/>
      </c>
      <c r="AG361" s="15">
        <f>IF(COUNT(C361:P361)=0,"",IFERROR(AF361/I361,0))</f>
        <v/>
      </c>
      <c r="AH361" s="20">
        <f>IF(COUNT(C361:P361)=0,"",IFERROR(AF361*(1-Config!$C$15-Config!$C$16-Config!$C$17),0))</f>
        <v/>
      </c>
      <c r="AI361" s="20">
        <f>IF(COUNT(C361:P361)=0,"",IFERROR(AH361-C361-Config!$C$18,0))</f>
        <v/>
      </c>
      <c r="AJ361" s="21">
        <f>IF(COUNT(C361:P361)=0,"",IFERROR(AH361/C361,0))</f>
        <v/>
      </c>
      <c r="AK361" s="15">
        <f>IF(COUNT(C361:P361)=0,"",IFERROR(AI361/G361,0))</f>
        <v/>
      </c>
      <c r="AL361" s="21">
        <f>IF(COUNT(C361:P361)=0,"",IFERROR(AK361/V361,0))</f>
        <v/>
      </c>
      <c r="AM361" s="15">
        <f>IF(COUNT(C361:P361)=0,"",IFERROR(AI361/I361,0))</f>
        <v/>
      </c>
      <c r="AN361" s="15">
        <f>IF(COUNT(C361:P361)=0,"",IFERROR(AH361/I361-AA361,0))</f>
        <v/>
      </c>
    </row>
    <row r="362">
      <c r="A362" s="12">
        <f>Config!$C$6+356</f>
        <v/>
      </c>
      <c r="B362" s="13">
        <f>INT((A362-Config!$C$6)/7)+1</f>
        <v/>
      </c>
      <c r="C362" s="10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5">
        <f>IF(COUNT(C362:P362)=0,"",IFERROR(C362/D362*1000,0))</f>
        <v/>
      </c>
      <c r="R362" s="16">
        <f>IF(COUNT(C362:P362)=0,"",IFERROR(D362/E362,0))</f>
        <v/>
      </c>
      <c r="S362" s="17">
        <f>IF(COUNT(C362:P362)=0,"",IFERROR(F362/D362,0))</f>
        <v/>
      </c>
      <c r="T362" s="15">
        <f>IF(COUNT(C362:P362)=0,"",IFERROR(C362/F362,0))</f>
        <v/>
      </c>
      <c r="U362" s="18">
        <f>IF(COUNT(C362:P362)=0,"",IFERROR(G362/F362,0))</f>
        <v/>
      </c>
      <c r="V362" s="15">
        <f>IF(COUNT(C362:P362)=0,"",IFERROR(C362/G362,0))</f>
        <v/>
      </c>
      <c r="W362" s="19">
        <f>IF(COUNT(C362:P362)=0,"",IFERROR(G362/D362*1000,0))</f>
        <v/>
      </c>
      <c r="X362" s="18">
        <f>IF(COUNT(C362:P362)=0,"",IFERROR(H362/G362,0))</f>
        <v/>
      </c>
      <c r="Y362" s="18">
        <f>IF(COUNT(C362:P362)=0,"",IFERROR(I362/H362,0))</f>
        <v/>
      </c>
      <c r="Z362" s="17">
        <f>IF(COUNT(C362:P362)=0,"",IFERROR(I362/G362,0))</f>
        <v/>
      </c>
      <c r="AA362" s="15">
        <f>IF(COUNT(C362:P362)=0,"",IFERROR(C362/I362,0))</f>
        <v/>
      </c>
      <c r="AB362" s="18">
        <f>IF(COUNT(C362:P362)=0,"",IFERROR(J362/I362,0))</f>
        <v/>
      </c>
      <c r="AC362" s="18">
        <f>IF(COUNT(C362:P362)=0,"",IFERROR(K362/I362,0))</f>
        <v/>
      </c>
      <c r="AD362" s="18">
        <f>IF(COUNT(C362:P362)=0,"",IFERROR(L362/I362,0))</f>
        <v/>
      </c>
      <c r="AE362" s="18">
        <f>IF(COUNT(C362:P362)=0,"",IFERROR(P362/I362,0))</f>
        <v/>
      </c>
      <c r="AF362" s="20">
        <f>IF(COUNT(C362:P362)=0,"",IFERROR(I362*Config!$C$7+J362*Config!$C$8+K362*Config!$C$9+L362*Config!$C$10+M362*Config!$C$11+N362*Config!$C$12+O362*Config!$C$13+P362*Config!$C$14,0))</f>
        <v/>
      </c>
      <c r="AG362" s="15">
        <f>IF(COUNT(C362:P362)=0,"",IFERROR(AF362/I362,0))</f>
        <v/>
      </c>
      <c r="AH362" s="20">
        <f>IF(COUNT(C362:P362)=0,"",IFERROR(AF362*(1-Config!$C$15-Config!$C$16-Config!$C$17),0))</f>
        <v/>
      </c>
      <c r="AI362" s="20">
        <f>IF(COUNT(C362:P362)=0,"",IFERROR(AH362-C362-Config!$C$18,0))</f>
        <v/>
      </c>
      <c r="AJ362" s="21">
        <f>IF(COUNT(C362:P362)=0,"",IFERROR(AH362/C362,0))</f>
        <v/>
      </c>
      <c r="AK362" s="15">
        <f>IF(COUNT(C362:P362)=0,"",IFERROR(AI362/G362,0))</f>
        <v/>
      </c>
      <c r="AL362" s="21">
        <f>IF(COUNT(C362:P362)=0,"",IFERROR(AK362/V362,0))</f>
        <v/>
      </c>
      <c r="AM362" s="15">
        <f>IF(COUNT(C362:P362)=0,"",IFERROR(AI362/I362,0))</f>
        <v/>
      </c>
      <c r="AN362" s="15">
        <f>IF(COUNT(C362:P362)=0,"",IFERROR(AH362/I362-AA362,0))</f>
        <v/>
      </c>
    </row>
    <row r="363">
      <c r="A363" s="12">
        <f>Config!$C$6+357</f>
        <v/>
      </c>
      <c r="B363" s="13">
        <f>INT((A363-Config!$C$6)/7)+1</f>
        <v/>
      </c>
      <c r="C363" s="10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5">
        <f>IF(COUNT(C363:P363)=0,"",IFERROR(C363/D363*1000,0))</f>
        <v/>
      </c>
      <c r="R363" s="16">
        <f>IF(COUNT(C363:P363)=0,"",IFERROR(D363/E363,0))</f>
        <v/>
      </c>
      <c r="S363" s="17">
        <f>IF(COUNT(C363:P363)=0,"",IFERROR(F363/D363,0))</f>
        <v/>
      </c>
      <c r="T363" s="15">
        <f>IF(COUNT(C363:P363)=0,"",IFERROR(C363/F363,0))</f>
        <v/>
      </c>
      <c r="U363" s="18">
        <f>IF(COUNT(C363:P363)=0,"",IFERROR(G363/F363,0))</f>
        <v/>
      </c>
      <c r="V363" s="15">
        <f>IF(COUNT(C363:P363)=0,"",IFERROR(C363/G363,0))</f>
        <v/>
      </c>
      <c r="W363" s="19">
        <f>IF(COUNT(C363:P363)=0,"",IFERROR(G363/D363*1000,0))</f>
        <v/>
      </c>
      <c r="X363" s="18">
        <f>IF(COUNT(C363:P363)=0,"",IFERROR(H363/G363,0))</f>
        <v/>
      </c>
      <c r="Y363" s="18">
        <f>IF(COUNT(C363:P363)=0,"",IFERROR(I363/H363,0))</f>
        <v/>
      </c>
      <c r="Z363" s="17">
        <f>IF(COUNT(C363:P363)=0,"",IFERROR(I363/G363,0))</f>
        <v/>
      </c>
      <c r="AA363" s="15">
        <f>IF(COUNT(C363:P363)=0,"",IFERROR(C363/I363,0))</f>
        <v/>
      </c>
      <c r="AB363" s="18">
        <f>IF(COUNT(C363:P363)=0,"",IFERROR(J363/I363,0))</f>
        <v/>
      </c>
      <c r="AC363" s="18">
        <f>IF(COUNT(C363:P363)=0,"",IFERROR(K363/I363,0))</f>
        <v/>
      </c>
      <c r="AD363" s="18">
        <f>IF(COUNT(C363:P363)=0,"",IFERROR(L363/I363,0))</f>
        <v/>
      </c>
      <c r="AE363" s="18">
        <f>IF(COUNT(C363:P363)=0,"",IFERROR(P363/I363,0))</f>
        <v/>
      </c>
      <c r="AF363" s="20">
        <f>IF(COUNT(C363:P363)=0,"",IFERROR(I363*Config!$C$7+J363*Config!$C$8+K363*Config!$C$9+L363*Config!$C$10+M363*Config!$C$11+N363*Config!$C$12+O363*Config!$C$13+P363*Config!$C$14,0))</f>
        <v/>
      </c>
      <c r="AG363" s="15">
        <f>IF(COUNT(C363:P363)=0,"",IFERROR(AF363/I363,0))</f>
        <v/>
      </c>
      <c r="AH363" s="20">
        <f>IF(COUNT(C363:P363)=0,"",IFERROR(AF363*(1-Config!$C$15-Config!$C$16-Config!$C$17),0))</f>
        <v/>
      </c>
      <c r="AI363" s="20">
        <f>IF(COUNT(C363:P363)=0,"",IFERROR(AH363-C363-Config!$C$18,0))</f>
        <v/>
      </c>
      <c r="AJ363" s="21">
        <f>IF(COUNT(C363:P363)=0,"",IFERROR(AH363/C363,0))</f>
        <v/>
      </c>
      <c r="AK363" s="15">
        <f>IF(COUNT(C363:P363)=0,"",IFERROR(AI363/G363,0))</f>
        <v/>
      </c>
      <c r="AL363" s="21">
        <f>IF(COUNT(C363:P363)=0,"",IFERROR(AK363/V363,0))</f>
        <v/>
      </c>
      <c r="AM363" s="15">
        <f>IF(COUNT(C363:P363)=0,"",IFERROR(AI363/I363,0))</f>
        <v/>
      </c>
      <c r="AN363" s="15">
        <f>IF(COUNT(C363:P363)=0,"",IFERROR(AH363/I363-AA363,0))</f>
        <v/>
      </c>
    </row>
    <row r="364">
      <c r="A364" s="12">
        <f>Config!$C$6+358</f>
        <v/>
      </c>
      <c r="B364" s="13">
        <f>INT((A364-Config!$C$6)/7)+1</f>
        <v/>
      </c>
      <c r="C364" s="10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5">
        <f>IF(COUNT(C364:P364)=0,"",IFERROR(C364/D364*1000,0))</f>
        <v/>
      </c>
      <c r="R364" s="16">
        <f>IF(COUNT(C364:P364)=0,"",IFERROR(D364/E364,0))</f>
        <v/>
      </c>
      <c r="S364" s="17">
        <f>IF(COUNT(C364:P364)=0,"",IFERROR(F364/D364,0))</f>
        <v/>
      </c>
      <c r="T364" s="15">
        <f>IF(COUNT(C364:P364)=0,"",IFERROR(C364/F364,0))</f>
        <v/>
      </c>
      <c r="U364" s="18">
        <f>IF(COUNT(C364:P364)=0,"",IFERROR(G364/F364,0))</f>
        <v/>
      </c>
      <c r="V364" s="15">
        <f>IF(COUNT(C364:P364)=0,"",IFERROR(C364/G364,0))</f>
        <v/>
      </c>
      <c r="W364" s="19">
        <f>IF(COUNT(C364:P364)=0,"",IFERROR(G364/D364*1000,0))</f>
        <v/>
      </c>
      <c r="X364" s="18">
        <f>IF(COUNT(C364:P364)=0,"",IFERROR(H364/G364,0))</f>
        <v/>
      </c>
      <c r="Y364" s="18">
        <f>IF(COUNT(C364:P364)=0,"",IFERROR(I364/H364,0))</f>
        <v/>
      </c>
      <c r="Z364" s="17">
        <f>IF(COUNT(C364:P364)=0,"",IFERROR(I364/G364,0))</f>
        <v/>
      </c>
      <c r="AA364" s="15">
        <f>IF(COUNT(C364:P364)=0,"",IFERROR(C364/I364,0))</f>
        <v/>
      </c>
      <c r="AB364" s="18">
        <f>IF(COUNT(C364:P364)=0,"",IFERROR(J364/I364,0))</f>
        <v/>
      </c>
      <c r="AC364" s="18">
        <f>IF(COUNT(C364:P364)=0,"",IFERROR(K364/I364,0))</f>
        <v/>
      </c>
      <c r="AD364" s="18">
        <f>IF(COUNT(C364:P364)=0,"",IFERROR(L364/I364,0))</f>
        <v/>
      </c>
      <c r="AE364" s="18">
        <f>IF(COUNT(C364:P364)=0,"",IFERROR(P364/I364,0))</f>
        <v/>
      </c>
      <c r="AF364" s="20">
        <f>IF(COUNT(C364:P364)=0,"",IFERROR(I364*Config!$C$7+J364*Config!$C$8+K364*Config!$C$9+L364*Config!$C$10+M364*Config!$C$11+N364*Config!$C$12+O364*Config!$C$13+P364*Config!$C$14,0))</f>
        <v/>
      </c>
      <c r="AG364" s="15">
        <f>IF(COUNT(C364:P364)=0,"",IFERROR(AF364/I364,0))</f>
        <v/>
      </c>
      <c r="AH364" s="20">
        <f>IF(COUNT(C364:P364)=0,"",IFERROR(AF364*(1-Config!$C$15-Config!$C$16-Config!$C$17),0))</f>
        <v/>
      </c>
      <c r="AI364" s="20">
        <f>IF(COUNT(C364:P364)=0,"",IFERROR(AH364-C364-Config!$C$18,0))</f>
        <v/>
      </c>
      <c r="AJ364" s="21">
        <f>IF(COUNT(C364:P364)=0,"",IFERROR(AH364/C364,0))</f>
        <v/>
      </c>
      <c r="AK364" s="15">
        <f>IF(COUNT(C364:P364)=0,"",IFERROR(AI364/G364,0))</f>
        <v/>
      </c>
      <c r="AL364" s="21">
        <f>IF(COUNT(C364:P364)=0,"",IFERROR(AK364/V364,0))</f>
        <v/>
      </c>
      <c r="AM364" s="15">
        <f>IF(COUNT(C364:P364)=0,"",IFERROR(AI364/I364,0))</f>
        <v/>
      </c>
      <c r="AN364" s="15">
        <f>IF(COUNT(C364:P364)=0,"",IFERROR(AH364/I364-AA364,0))</f>
        <v/>
      </c>
    </row>
    <row r="365">
      <c r="A365" s="12">
        <f>Config!$C$6+359</f>
        <v/>
      </c>
      <c r="B365" s="13">
        <f>INT((A365-Config!$C$6)/7)+1</f>
        <v/>
      </c>
      <c r="C365" s="10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5">
        <f>IF(COUNT(C365:P365)=0,"",IFERROR(C365/D365*1000,0))</f>
        <v/>
      </c>
      <c r="R365" s="16">
        <f>IF(COUNT(C365:P365)=0,"",IFERROR(D365/E365,0))</f>
        <v/>
      </c>
      <c r="S365" s="17">
        <f>IF(COUNT(C365:P365)=0,"",IFERROR(F365/D365,0))</f>
        <v/>
      </c>
      <c r="T365" s="15">
        <f>IF(COUNT(C365:P365)=0,"",IFERROR(C365/F365,0))</f>
        <v/>
      </c>
      <c r="U365" s="18">
        <f>IF(COUNT(C365:P365)=0,"",IFERROR(G365/F365,0))</f>
        <v/>
      </c>
      <c r="V365" s="15">
        <f>IF(COUNT(C365:P365)=0,"",IFERROR(C365/G365,0))</f>
        <v/>
      </c>
      <c r="W365" s="19">
        <f>IF(COUNT(C365:P365)=0,"",IFERROR(G365/D365*1000,0))</f>
        <v/>
      </c>
      <c r="X365" s="18">
        <f>IF(COUNT(C365:P365)=0,"",IFERROR(H365/G365,0))</f>
        <v/>
      </c>
      <c r="Y365" s="18">
        <f>IF(COUNT(C365:P365)=0,"",IFERROR(I365/H365,0))</f>
        <v/>
      </c>
      <c r="Z365" s="17">
        <f>IF(COUNT(C365:P365)=0,"",IFERROR(I365/G365,0))</f>
        <v/>
      </c>
      <c r="AA365" s="15">
        <f>IF(COUNT(C365:P365)=0,"",IFERROR(C365/I365,0))</f>
        <v/>
      </c>
      <c r="AB365" s="18">
        <f>IF(COUNT(C365:P365)=0,"",IFERROR(J365/I365,0))</f>
        <v/>
      </c>
      <c r="AC365" s="18">
        <f>IF(COUNT(C365:P365)=0,"",IFERROR(K365/I365,0))</f>
        <v/>
      </c>
      <c r="AD365" s="18">
        <f>IF(COUNT(C365:P365)=0,"",IFERROR(L365/I365,0))</f>
        <v/>
      </c>
      <c r="AE365" s="18">
        <f>IF(COUNT(C365:P365)=0,"",IFERROR(P365/I365,0))</f>
        <v/>
      </c>
      <c r="AF365" s="20">
        <f>IF(COUNT(C365:P365)=0,"",IFERROR(I365*Config!$C$7+J365*Config!$C$8+K365*Config!$C$9+L365*Config!$C$10+M365*Config!$C$11+N365*Config!$C$12+O365*Config!$C$13+P365*Config!$C$14,0))</f>
        <v/>
      </c>
      <c r="AG365" s="15">
        <f>IF(COUNT(C365:P365)=0,"",IFERROR(AF365/I365,0))</f>
        <v/>
      </c>
      <c r="AH365" s="20">
        <f>IF(COUNT(C365:P365)=0,"",IFERROR(AF365*(1-Config!$C$15-Config!$C$16-Config!$C$17),0))</f>
        <v/>
      </c>
      <c r="AI365" s="20">
        <f>IF(COUNT(C365:P365)=0,"",IFERROR(AH365-C365-Config!$C$18,0))</f>
        <v/>
      </c>
      <c r="AJ365" s="21">
        <f>IF(COUNT(C365:P365)=0,"",IFERROR(AH365/C365,0))</f>
        <v/>
      </c>
      <c r="AK365" s="15">
        <f>IF(COUNT(C365:P365)=0,"",IFERROR(AI365/G365,0))</f>
        <v/>
      </c>
      <c r="AL365" s="21">
        <f>IF(COUNT(C365:P365)=0,"",IFERROR(AK365/V365,0))</f>
        <v/>
      </c>
      <c r="AM365" s="15">
        <f>IF(COUNT(C365:P365)=0,"",IFERROR(AI365/I365,0))</f>
        <v/>
      </c>
      <c r="AN365" s="15">
        <f>IF(COUNT(C365:P365)=0,"",IFERROR(AH365/I365-AA365,0))</f>
        <v/>
      </c>
    </row>
    <row r="366">
      <c r="A366" s="12">
        <f>Config!$C$6+360</f>
        <v/>
      </c>
      <c r="B366" s="13">
        <f>INT((A366-Config!$C$6)/7)+1</f>
        <v/>
      </c>
      <c r="C366" s="10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5">
        <f>IF(COUNT(C366:P366)=0,"",IFERROR(C366/D366*1000,0))</f>
        <v/>
      </c>
      <c r="R366" s="16">
        <f>IF(COUNT(C366:P366)=0,"",IFERROR(D366/E366,0))</f>
        <v/>
      </c>
      <c r="S366" s="17">
        <f>IF(COUNT(C366:P366)=0,"",IFERROR(F366/D366,0))</f>
        <v/>
      </c>
      <c r="T366" s="15">
        <f>IF(COUNT(C366:P366)=0,"",IFERROR(C366/F366,0))</f>
        <v/>
      </c>
      <c r="U366" s="18">
        <f>IF(COUNT(C366:P366)=0,"",IFERROR(G366/F366,0))</f>
        <v/>
      </c>
      <c r="V366" s="15">
        <f>IF(COUNT(C366:P366)=0,"",IFERROR(C366/G366,0))</f>
        <v/>
      </c>
      <c r="W366" s="19">
        <f>IF(COUNT(C366:P366)=0,"",IFERROR(G366/D366*1000,0))</f>
        <v/>
      </c>
      <c r="X366" s="18">
        <f>IF(COUNT(C366:P366)=0,"",IFERROR(H366/G366,0))</f>
        <v/>
      </c>
      <c r="Y366" s="18">
        <f>IF(COUNT(C366:P366)=0,"",IFERROR(I366/H366,0))</f>
        <v/>
      </c>
      <c r="Z366" s="17">
        <f>IF(COUNT(C366:P366)=0,"",IFERROR(I366/G366,0))</f>
        <v/>
      </c>
      <c r="AA366" s="15">
        <f>IF(COUNT(C366:P366)=0,"",IFERROR(C366/I366,0))</f>
        <v/>
      </c>
      <c r="AB366" s="18">
        <f>IF(COUNT(C366:P366)=0,"",IFERROR(J366/I366,0))</f>
        <v/>
      </c>
      <c r="AC366" s="18">
        <f>IF(COUNT(C366:P366)=0,"",IFERROR(K366/I366,0))</f>
        <v/>
      </c>
      <c r="AD366" s="18">
        <f>IF(COUNT(C366:P366)=0,"",IFERROR(L366/I366,0))</f>
        <v/>
      </c>
      <c r="AE366" s="18">
        <f>IF(COUNT(C366:P366)=0,"",IFERROR(P366/I366,0))</f>
        <v/>
      </c>
      <c r="AF366" s="20">
        <f>IF(COUNT(C366:P366)=0,"",IFERROR(I366*Config!$C$7+J366*Config!$C$8+K366*Config!$C$9+L366*Config!$C$10+M366*Config!$C$11+N366*Config!$C$12+O366*Config!$C$13+P366*Config!$C$14,0))</f>
        <v/>
      </c>
      <c r="AG366" s="15">
        <f>IF(COUNT(C366:P366)=0,"",IFERROR(AF366/I366,0))</f>
        <v/>
      </c>
      <c r="AH366" s="20">
        <f>IF(COUNT(C366:P366)=0,"",IFERROR(AF366*(1-Config!$C$15-Config!$C$16-Config!$C$17),0))</f>
        <v/>
      </c>
      <c r="AI366" s="20">
        <f>IF(COUNT(C366:P366)=0,"",IFERROR(AH366-C366-Config!$C$18,0))</f>
        <v/>
      </c>
      <c r="AJ366" s="21">
        <f>IF(COUNT(C366:P366)=0,"",IFERROR(AH366/C366,0))</f>
        <v/>
      </c>
      <c r="AK366" s="15">
        <f>IF(COUNT(C366:P366)=0,"",IFERROR(AI366/G366,0))</f>
        <v/>
      </c>
      <c r="AL366" s="21">
        <f>IF(COUNT(C366:P366)=0,"",IFERROR(AK366/V366,0))</f>
        <v/>
      </c>
      <c r="AM366" s="15">
        <f>IF(COUNT(C366:P366)=0,"",IFERROR(AI366/I366,0))</f>
        <v/>
      </c>
      <c r="AN366" s="15">
        <f>IF(COUNT(C366:P366)=0,"",IFERROR(AH366/I366-AA366,0))</f>
        <v/>
      </c>
    </row>
    <row r="367">
      <c r="A367" s="12">
        <f>Config!$C$6+361</f>
        <v/>
      </c>
      <c r="B367" s="13">
        <f>INT((A367-Config!$C$6)/7)+1</f>
        <v/>
      </c>
      <c r="C367" s="10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5">
        <f>IF(COUNT(C367:P367)=0,"",IFERROR(C367/D367*1000,0))</f>
        <v/>
      </c>
      <c r="R367" s="16">
        <f>IF(COUNT(C367:P367)=0,"",IFERROR(D367/E367,0))</f>
        <v/>
      </c>
      <c r="S367" s="17">
        <f>IF(COUNT(C367:P367)=0,"",IFERROR(F367/D367,0))</f>
        <v/>
      </c>
      <c r="T367" s="15">
        <f>IF(COUNT(C367:P367)=0,"",IFERROR(C367/F367,0))</f>
        <v/>
      </c>
      <c r="U367" s="18">
        <f>IF(COUNT(C367:P367)=0,"",IFERROR(G367/F367,0))</f>
        <v/>
      </c>
      <c r="V367" s="15">
        <f>IF(COUNT(C367:P367)=0,"",IFERROR(C367/G367,0))</f>
        <v/>
      </c>
      <c r="W367" s="19">
        <f>IF(COUNT(C367:P367)=0,"",IFERROR(G367/D367*1000,0))</f>
        <v/>
      </c>
      <c r="X367" s="18">
        <f>IF(COUNT(C367:P367)=0,"",IFERROR(H367/G367,0))</f>
        <v/>
      </c>
      <c r="Y367" s="18">
        <f>IF(COUNT(C367:P367)=0,"",IFERROR(I367/H367,0))</f>
        <v/>
      </c>
      <c r="Z367" s="17">
        <f>IF(COUNT(C367:P367)=0,"",IFERROR(I367/G367,0))</f>
        <v/>
      </c>
      <c r="AA367" s="15">
        <f>IF(COUNT(C367:P367)=0,"",IFERROR(C367/I367,0))</f>
        <v/>
      </c>
      <c r="AB367" s="18">
        <f>IF(COUNT(C367:P367)=0,"",IFERROR(J367/I367,0))</f>
        <v/>
      </c>
      <c r="AC367" s="18">
        <f>IF(COUNT(C367:P367)=0,"",IFERROR(K367/I367,0))</f>
        <v/>
      </c>
      <c r="AD367" s="18">
        <f>IF(COUNT(C367:P367)=0,"",IFERROR(L367/I367,0))</f>
        <v/>
      </c>
      <c r="AE367" s="18">
        <f>IF(COUNT(C367:P367)=0,"",IFERROR(P367/I367,0))</f>
        <v/>
      </c>
      <c r="AF367" s="20">
        <f>IF(COUNT(C367:P367)=0,"",IFERROR(I367*Config!$C$7+J367*Config!$C$8+K367*Config!$C$9+L367*Config!$C$10+M367*Config!$C$11+N367*Config!$C$12+O367*Config!$C$13+P367*Config!$C$14,0))</f>
        <v/>
      </c>
      <c r="AG367" s="15">
        <f>IF(COUNT(C367:P367)=0,"",IFERROR(AF367/I367,0))</f>
        <v/>
      </c>
      <c r="AH367" s="20">
        <f>IF(COUNT(C367:P367)=0,"",IFERROR(AF367*(1-Config!$C$15-Config!$C$16-Config!$C$17),0))</f>
        <v/>
      </c>
      <c r="AI367" s="20">
        <f>IF(COUNT(C367:P367)=0,"",IFERROR(AH367-C367-Config!$C$18,0))</f>
        <v/>
      </c>
      <c r="AJ367" s="21">
        <f>IF(COUNT(C367:P367)=0,"",IFERROR(AH367/C367,0))</f>
        <v/>
      </c>
      <c r="AK367" s="15">
        <f>IF(COUNT(C367:P367)=0,"",IFERROR(AI367/G367,0))</f>
        <v/>
      </c>
      <c r="AL367" s="21">
        <f>IF(COUNT(C367:P367)=0,"",IFERROR(AK367/V367,0))</f>
        <v/>
      </c>
      <c r="AM367" s="15">
        <f>IF(COUNT(C367:P367)=0,"",IFERROR(AI367/I367,0))</f>
        <v/>
      </c>
      <c r="AN367" s="15">
        <f>IF(COUNT(C367:P367)=0,"",IFERROR(AH367/I367-AA367,0))</f>
        <v/>
      </c>
    </row>
    <row r="368">
      <c r="A368" s="12">
        <f>Config!$C$6+362</f>
        <v/>
      </c>
      <c r="B368" s="13">
        <f>INT((A368-Config!$C$6)/7)+1</f>
        <v/>
      </c>
      <c r="C368" s="10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5">
        <f>IF(COUNT(C368:P368)=0,"",IFERROR(C368/D368*1000,0))</f>
        <v/>
      </c>
      <c r="R368" s="16">
        <f>IF(COUNT(C368:P368)=0,"",IFERROR(D368/E368,0))</f>
        <v/>
      </c>
      <c r="S368" s="17">
        <f>IF(COUNT(C368:P368)=0,"",IFERROR(F368/D368,0))</f>
        <v/>
      </c>
      <c r="T368" s="15">
        <f>IF(COUNT(C368:P368)=0,"",IFERROR(C368/F368,0))</f>
        <v/>
      </c>
      <c r="U368" s="18">
        <f>IF(COUNT(C368:P368)=0,"",IFERROR(G368/F368,0))</f>
        <v/>
      </c>
      <c r="V368" s="15">
        <f>IF(COUNT(C368:P368)=0,"",IFERROR(C368/G368,0))</f>
        <v/>
      </c>
      <c r="W368" s="19">
        <f>IF(COUNT(C368:P368)=0,"",IFERROR(G368/D368*1000,0))</f>
        <v/>
      </c>
      <c r="X368" s="18">
        <f>IF(COUNT(C368:P368)=0,"",IFERROR(H368/G368,0))</f>
        <v/>
      </c>
      <c r="Y368" s="18">
        <f>IF(COUNT(C368:P368)=0,"",IFERROR(I368/H368,0))</f>
        <v/>
      </c>
      <c r="Z368" s="17">
        <f>IF(COUNT(C368:P368)=0,"",IFERROR(I368/G368,0))</f>
        <v/>
      </c>
      <c r="AA368" s="15">
        <f>IF(COUNT(C368:P368)=0,"",IFERROR(C368/I368,0))</f>
        <v/>
      </c>
      <c r="AB368" s="18">
        <f>IF(COUNT(C368:P368)=0,"",IFERROR(J368/I368,0))</f>
        <v/>
      </c>
      <c r="AC368" s="18">
        <f>IF(COUNT(C368:P368)=0,"",IFERROR(K368/I368,0))</f>
        <v/>
      </c>
      <c r="AD368" s="18">
        <f>IF(COUNT(C368:P368)=0,"",IFERROR(L368/I368,0))</f>
        <v/>
      </c>
      <c r="AE368" s="18">
        <f>IF(COUNT(C368:P368)=0,"",IFERROR(P368/I368,0))</f>
        <v/>
      </c>
      <c r="AF368" s="20">
        <f>IF(COUNT(C368:P368)=0,"",IFERROR(I368*Config!$C$7+J368*Config!$C$8+K368*Config!$C$9+L368*Config!$C$10+M368*Config!$C$11+N368*Config!$C$12+O368*Config!$C$13+P368*Config!$C$14,0))</f>
        <v/>
      </c>
      <c r="AG368" s="15">
        <f>IF(COUNT(C368:P368)=0,"",IFERROR(AF368/I368,0))</f>
        <v/>
      </c>
      <c r="AH368" s="20">
        <f>IF(COUNT(C368:P368)=0,"",IFERROR(AF368*(1-Config!$C$15-Config!$C$16-Config!$C$17),0))</f>
        <v/>
      </c>
      <c r="AI368" s="20">
        <f>IF(COUNT(C368:P368)=0,"",IFERROR(AH368-C368-Config!$C$18,0))</f>
        <v/>
      </c>
      <c r="AJ368" s="21">
        <f>IF(COUNT(C368:P368)=0,"",IFERROR(AH368/C368,0))</f>
        <v/>
      </c>
      <c r="AK368" s="15">
        <f>IF(COUNT(C368:P368)=0,"",IFERROR(AI368/G368,0))</f>
        <v/>
      </c>
      <c r="AL368" s="21">
        <f>IF(COUNT(C368:P368)=0,"",IFERROR(AK368/V368,0))</f>
        <v/>
      </c>
      <c r="AM368" s="15">
        <f>IF(COUNT(C368:P368)=0,"",IFERROR(AI368/I368,0))</f>
        <v/>
      </c>
      <c r="AN368" s="15">
        <f>IF(COUNT(C368:P368)=0,"",IFERROR(AH368/I368-AA368,0))</f>
        <v/>
      </c>
    </row>
    <row r="369">
      <c r="A369" s="12">
        <f>Config!$C$6+363</f>
        <v/>
      </c>
      <c r="B369" s="13">
        <f>INT((A369-Config!$C$6)/7)+1</f>
        <v/>
      </c>
      <c r="C369" s="10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5">
        <f>IF(COUNT(C369:P369)=0,"",IFERROR(C369/D369*1000,0))</f>
        <v/>
      </c>
      <c r="R369" s="16">
        <f>IF(COUNT(C369:P369)=0,"",IFERROR(D369/E369,0))</f>
        <v/>
      </c>
      <c r="S369" s="17">
        <f>IF(COUNT(C369:P369)=0,"",IFERROR(F369/D369,0))</f>
        <v/>
      </c>
      <c r="T369" s="15">
        <f>IF(COUNT(C369:P369)=0,"",IFERROR(C369/F369,0))</f>
        <v/>
      </c>
      <c r="U369" s="18">
        <f>IF(COUNT(C369:P369)=0,"",IFERROR(G369/F369,0))</f>
        <v/>
      </c>
      <c r="V369" s="15">
        <f>IF(COUNT(C369:P369)=0,"",IFERROR(C369/G369,0))</f>
        <v/>
      </c>
      <c r="W369" s="19">
        <f>IF(COUNT(C369:P369)=0,"",IFERROR(G369/D369*1000,0))</f>
        <v/>
      </c>
      <c r="X369" s="18">
        <f>IF(COUNT(C369:P369)=0,"",IFERROR(H369/G369,0))</f>
        <v/>
      </c>
      <c r="Y369" s="18">
        <f>IF(COUNT(C369:P369)=0,"",IFERROR(I369/H369,0))</f>
        <v/>
      </c>
      <c r="Z369" s="17">
        <f>IF(COUNT(C369:P369)=0,"",IFERROR(I369/G369,0))</f>
        <v/>
      </c>
      <c r="AA369" s="15">
        <f>IF(COUNT(C369:P369)=0,"",IFERROR(C369/I369,0))</f>
        <v/>
      </c>
      <c r="AB369" s="18">
        <f>IF(COUNT(C369:P369)=0,"",IFERROR(J369/I369,0))</f>
        <v/>
      </c>
      <c r="AC369" s="18">
        <f>IF(COUNT(C369:P369)=0,"",IFERROR(K369/I369,0))</f>
        <v/>
      </c>
      <c r="AD369" s="18">
        <f>IF(COUNT(C369:P369)=0,"",IFERROR(L369/I369,0))</f>
        <v/>
      </c>
      <c r="AE369" s="18">
        <f>IF(COUNT(C369:P369)=0,"",IFERROR(P369/I369,0))</f>
        <v/>
      </c>
      <c r="AF369" s="20">
        <f>IF(COUNT(C369:P369)=0,"",IFERROR(I369*Config!$C$7+J369*Config!$C$8+K369*Config!$C$9+L369*Config!$C$10+M369*Config!$C$11+N369*Config!$C$12+O369*Config!$C$13+P369*Config!$C$14,0))</f>
        <v/>
      </c>
      <c r="AG369" s="15">
        <f>IF(COUNT(C369:P369)=0,"",IFERROR(AF369/I369,0))</f>
        <v/>
      </c>
      <c r="AH369" s="20">
        <f>IF(COUNT(C369:P369)=0,"",IFERROR(AF369*(1-Config!$C$15-Config!$C$16-Config!$C$17),0))</f>
        <v/>
      </c>
      <c r="AI369" s="20">
        <f>IF(COUNT(C369:P369)=0,"",IFERROR(AH369-C369-Config!$C$18,0))</f>
        <v/>
      </c>
      <c r="AJ369" s="21">
        <f>IF(COUNT(C369:P369)=0,"",IFERROR(AH369/C369,0))</f>
        <v/>
      </c>
      <c r="AK369" s="15">
        <f>IF(COUNT(C369:P369)=0,"",IFERROR(AI369/G369,0))</f>
        <v/>
      </c>
      <c r="AL369" s="21">
        <f>IF(COUNT(C369:P369)=0,"",IFERROR(AK369/V369,0))</f>
        <v/>
      </c>
      <c r="AM369" s="15">
        <f>IF(COUNT(C369:P369)=0,"",IFERROR(AI369/I369,0))</f>
        <v/>
      </c>
      <c r="AN369" s="15">
        <f>IF(COUNT(C369:P369)=0,"",IFERROR(AH369/I369-AA369,0))</f>
        <v/>
      </c>
    </row>
    <row r="370">
      <c r="A370" s="12">
        <f>Config!$C$6+364</f>
        <v/>
      </c>
      <c r="B370" s="13">
        <f>INT((A370-Config!$C$6)/7)+1</f>
        <v/>
      </c>
      <c r="C370" s="10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5">
        <f>IF(COUNT(C370:P370)=0,"",IFERROR(C370/D370*1000,0))</f>
        <v/>
      </c>
      <c r="R370" s="16">
        <f>IF(COUNT(C370:P370)=0,"",IFERROR(D370/E370,0))</f>
        <v/>
      </c>
      <c r="S370" s="17">
        <f>IF(COUNT(C370:P370)=0,"",IFERROR(F370/D370,0))</f>
        <v/>
      </c>
      <c r="T370" s="15">
        <f>IF(COUNT(C370:P370)=0,"",IFERROR(C370/F370,0))</f>
        <v/>
      </c>
      <c r="U370" s="18">
        <f>IF(COUNT(C370:P370)=0,"",IFERROR(G370/F370,0))</f>
        <v/>
      </c>
      <c r="V370" s="15">
        <f>IF(COUNT(C370:P370)=0,"",IFERROR(C370/G370,0))</f>
        <v/>
      </c>
      <c r="W370" s="19">
        <f>IF(COUNT(C370:P370)=0,"",IFERROR(G370/D370*1000,0))</f>
        <v/>
      </c>
      <c r="X370" s="18">
        <f>IF(COUNT(C370:P370)=0,"",IFERROR(H370/G370,0))</f>
        <v/>
      </c>
      <c r="Y370" s="18">
        <f>IF(COUNT(C370:P370)=0,"",IFERROR(I370/H370,0))</f>
        <v/>
      </c>
      <c r="Z370" s="17">
        <f>IF(COUNT(C370:P370)=0,"",IFERROR(I370/G370,0))</f>
        <v/>
      </c>
      <c r="AA370" s="15">
        <f>IF(COUNT(C370:P370)=0,"",IFERROR(C370/I370,0))</f>
        <v/>
      </c>
      <c r="AB370" s="18">
        <f>IF(COUNT(C370:P370)=0,"",IFERROR(J370/I370,0))</f>
        <v/>
      </c>
      <c r="AC370" s="18">
        <f>IF(COUNT(C370:P370)=0,"",IFERROR(K370/I370,0))</f>
        <v/>
      </c>
      <c r="AD370" s="18">
        <f>IF(COUNT(C370:P370)=0,"",IFERROR(L370/I370,0))</f>
        <v/>
      </c>
      <c r="AE370" s="18">
        <f>IF(COUNT(C370:P370)=0,"",IFERROR(P370/I370,0))</f>
        <v/>
      </c>
      <c r="AF370" s="20">
        <f>IF(COUNT(C370:P370)=0,"",IFERROR(I370*Config!$C$7+J370*Config!$C$8+K370*Config!$C$9+L370*Config!$C$10+M370*Config!$C$11+N370*Config!$C$12+O370*Config!$C$13+P370*Config!$C$14,0))</f>
        <v/>
      </c>
      <c r="AG370" s="15">
        <f>IF(COUNT(C370:P370)=0,"",IFERROR(AF370/I370,0))</f>
        <v/>
      </c>
      <c r="AH370" s="20">
        <f>IF(COUNT(C370:P370)=0,"",IFERROR(AF370*(1-Config!$C$15-Config!$C$16-Config!$C$17),0))</f>
        <v/>
      </c>
      <c r="AI370" s="20">
        <f>IF(COUNT(C370:P370)=0,"",IFERROR(AH370-C370-Config!$C$18,0))</f>
        <v/>
      </c>
      <c r="AJ370" s="21">
        <f>IF(COUNT(C370:P370)=0,"",IFERROR(AH370/C370,0))</f>
        <v/>
      </c>
      <c r="AK370" s="15">
        <f>IF(COUNT(C370:P370)=0,"",IFERROR(AI370/G370,0))</f>
        <v/>
      </c>
      <c r="AL370" s="21">
        <f>IF(COUNT(C370:P370)=0,"",IFERROR(AK370/V370,0))</f>
        <v/>
      </c>
      <c r="AM370" s="15">
        <f>IF(COUNT(C370:P370)=0,"",IFERROR(AI370/I370,0))</f>
        <v/>
      </c>
      <c r="AN370" s="15">
        <f>IF(COUNT(C370:P370)=0,"",IFERROR(AH370/I370-AA370,0))</f>
        <v/>
      </c>
    </row>
    <row r="371">
      <c r="A371" s="12">
        <f>Config!$C$6+365</f>
        <v/>
      </c>
      <c r="B371" s="13">
        <f>INT((A371-Config!$C$6)/7)+1</f>
        <v/>
      </c>
      <c r="C371" s="10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5">
        <f>IF(COUNT(C371:P371)=0,"",IFERROR(C371/D371*1000,0))</f>
        <v/>
      </c>
      <c r="R371" s="16">
        <f>IF(COUNT(C371:P371)=0,"",IFERROR(D371/E371,0))</f>
        <v/>
      </c>
      <c r="S371" s="17">
        <f>IF(COUNT(C371:P371)=0,"",IFERROR(F371/D371,0))</f>
        <v/>
      </c>
      <c r="T371" s="15">
        <f>IF(COUNT(C371:P371)=0,"",IFERROR(C371/F371,0))</f>
        <v/>
      </c>
      <c r="U371" s="18">
        <f>IF(COUNT(C371:P371)=0,"",IFERROR(G371/F371,0))</f>
        <v/>
      </c>
      <c r="V371" s="15">
        <f>IF(COUNT(C371:P371)=0,"",IFERROR(C371/G371,0))</f>
        <v/>
      </c>
      <c r="W371" s="19">
        <f>IF(COUNT(C371:P371)=0,"",IFERROR(G371/D371*1000,0))</f>
        <v/>
      </c>
      <c r="X371" s="18">
        <f>IF(COUNT(C371:P371)=0,"",IFERROR(H371/G371,0))</f>
        <v/>
      </c>
      <c r="Y371" s="18">
        <f>IF(COUNT(C371:P371)=0,"",IFERROR(I371/H371,0))</f>
        <v/>
      </c>
      <c r="Z371" s="17">
        <f>IF(COUNT(C371:P371)=0,"",IFERROR(I371/G371,0))</f>
        <v/>
      </c>
      <c r="AA371" s="15">
        <f>IF(COUNT(C371:P371)=0,"",IFERROR(C371/I371,0))</f>
        <v/>
      </c>
      <c r="AB371" s="18">
        <f>IF(COUNT(C371:P371)=0,"",IFERROR(J371/I371,0))</f>
        <v/>
      </c>
      <c r="AC371" s="18">
        <f>IF(COUNT(C371:P371)=0,"",IFERROR(K371/I371,0))</f>
        <v/>
      </c>
      <c r="AD371" s="18">
        <f>IF(COUNT(C371:P371)=0,"",IFERROR(L371/I371,0))</f>
        <v/>
      </c>
      <c r="AE371" s="18">
        <f>IF(COUNT(C371:P371)=0,"",IFERROR(P371/I371,0))</f>
        <v/>
      </c>
      <c r="AF371" s="20">
        <f>IF(COUNT(C371:P371)=0,"",IFERROR(I371*Config!$C$7+J371*Config!$C$8+K371*Config!$C$9+L371*Config!$C$10+M371*Config!$C$11+N371*Config!$C$12+O371*Config!$C$13+P371*Config!$C$14,0))</f>
        <v/>
      </c>
      <c r="AG371" s="15">
        <f>IF(COUNT(C371:P371)=0,"",IFERROR(AF371/I371,0))</f>
        <v/>
      </c>
      <c r="AH371" s="20">
        <f>IF(COUNT(C371:P371)=0,"",IFERROR(AF371*(1-Config!$C$15-Config!$C$16-Config!$C$17),0))</f>
        <v/>
      </c>
      <c r="AI371" s="20">
        <f>IF(COUNT(C371:P371)=0,"",IFERROR(AH371-C371-Config!$C$18,0))</f>
        <v/>
      </c>
      <c r="AJ371" s="21">
        <f>IF(COUNT(C371:P371)=0,"",IFERROR(AH371/C371,0))</f>
        <v/>
      </c>
      <c r="AK371" s="15">
        <f>IF(COUNT(C371:P371)=0,"",IFERROR(AI371/G371,0))</f>
        <v/>
      </c>
      <c r="AL371" s="21">
        <f>IF(COUNT(C371:P371)=0,"",IFERROR(AK371/V371,0))</f>
        <v/>
      </c>
      <c r="AM371" s="15">
        <f>IF(COUNT(C371:P371)=0,"",IFERROR(AI371/I371,0))</f>
        <v/>
      </c>
      <c r="AN371" s="15">
        <f>IF(COUNT(C371:P371)=0,"",IFERROR(AH371/I371-AA371,0))</f>
        <v/>
      </c>
    </row>
    <row r="374">
      <c r="A374" s="3" t="inlineStr">
        <is>
          <t>Modelo financiero de embudos · creado por Jesús Tassarolo · TooAudience · youtube.com/@JesusTassaroloSinFiltro · v1.2 · octubre 2026</t>
        </is>
      </c>
    </row>
  </sheetData>
  <pageMargins left="0.75" right="0.75" top="1" bottom="1" header="0.5" footer="0.5"/>
  <headerFooter>
    <oddHeader>&amp;CJesús Tassarolo · TooAudience&amp;R&amp;D</oddHeader>
    <oddFooter>&amp;LModelo financiero de embudos · creado por Jesús Tassarolo · TooAudience · youtube.com/@JesusTassaroloSinFiltro&amp;RPágina &amp;P de &amp;N</oddFooter>
    <evenHeader>&amp;CJesús Tassarolo · TooAudience</evenHeader>
    <evenFooter>&amp;LModelo financiero de embudos · creado por Jesús Tassarolo · TooAudience · youtube.com/@JesusTassaroloSinFiltro&amp;RPágina &amp;P de &amp;N</evenFooter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© Jesús Tassarolo · TooAudience · youtube.com/@JesusTassaroloSinFiltro · uso personal; no redistribuir modificado</t>
        </is>
      </c>
    </row>
    <row r="2">
      <c r="A2" s="2" t="inlineStr">
        <is>
          <t>Semanal: el comparativo semana a semana, calculado solo desde Diario</t>
        </is>
      </c>
    </row>
    <row r="3">
      <c r="A3" s="3" t="inlineStr">
        <is>
          <t>Promedio, mediana, mejor y peor de tus semanas con datos. Abajo, el bloque «contra tu promedio»: cada semana contra la mediana de tus 4 semanas anteriores, con la tolerancia de Config. Ese es el umbral: tu promedio, no un número de mercado.</t>
        </is>
      </c>
    </row>
    <row r="4">
      <c r="B4" s="4" t="inlineStr">
        <is>
          <t>Lunes de la semana</t>
        </is>
      </c>
      <c r="C4" s="12">
        <f>Config!$C$6+0</f>
        <v/>
      </c>
      <c r="D4" s="12">
        <f>Config!$C$6+7</f>
        <v/>
      </c>
      <c r="E4" s="12">
        <f>Config!$C$6+14</f>
        <v/>
      </c>
      <c r="F4" s="12">
        <f>Config!$C$6+21</f>
        <v/>
      </c>
      <c r="G4" s="12">
        <f>Config!$C$6+28</f>
        <v/>
      </c>
      <c r="H4" s="12">
        <f>Config!$C$6+35</f>
        <v/>
      </c>
      <c r="I4" s="12">
        <f>Config!$C$6+42</f>
        <v/>
      </c>
      <c r="J4" s="12">
        <f>Config!$C$6+49</f>
        <v/>
      </c>
      <c r="K4" s="12">
        <f>Config!$C$6+56</f>
        <v/>
      </c>
      <c r="L4" s="12">
        <f>Config!$C$6+63</f>
        <v/>
      </c>
      <c r="M4" s="12">
        <f>Config!$C$6+70</f>
        <v/>
      </c>
      <c r="N4" s="12">
        <f>Config!$C$6+77</f>
        <v/>
      </c>
      <c r="O4" s="12">
        <f>Config!$C$6+84</f>
        <v/>
      </c>
      <c r="P4" s="12">
        <f>Config!$C$6+91</f>
        <v/>
      </c>
      <c r="Q4" s="12">
        <f>Config!$C$6+98</f>
        <v/>
      </c>
      <c r="R4" s="12">
        <f>Config!$C$6+105</f>
        <v/>
      </c>
      <c r="S4" s="12">
        <f>Config!$C$6+112</f>
        <v/>
      </c>
      <c r="T4" s="12">
        <f>Config!$C$6+119</f>
        <v/>
      </c>
      <c r="U4" s="12">
        <f>Config!$C$6+126</f>
        <v/>
      </c>
      <c r="V4" s="12">
        <f>Config!$C$6+133</f>
        <v/>
      </c>
      <c r="W4" s="12">
        <f>Config!$C$6+140</f>
        <v/>
      </c>
      <c r="X4" s="12">
        <f>Config!$C$6+147</f>
        <v/>
      </c>
      <c r="Y4" s="12">
        <f>Config!$C$6+154</f>
        <v/>
      </c>
      <c r="Z4" s="12">
        <f>Config!$C$6+161</f>
        <v/>
      </c>
      <c r="AA4" s="12">
        <f>Config!$C$6+168</f>
        <v/>
      </c>
      <c r="AB4" s="12">
        <f>Config!$C$6+175</f>
        <v/>
      </c>
    </row>
    <row r="5" ht="30" customHeight="1">
      <c r="A5" s="6" t="inlineStr">
        <is>
          <t>Categoría</t>
        </is>
      </c>
      <c r="B5" s="6" t="inlineStr">
        <is>
          <t>Métrica</t>
        </is>
      </c>
      <c r="C5" s="22" t="n">
        <v>1</v>
      </c>
      <c r="D5" s="22" t="n">
        <v>2</v>
      </c>
      <c r="E5" s="22" t="n">
        <v>3</v>
      </c>
      <c r="F5" s="22" t="n">
        <v>4</v>
      </c>
      <c r="G5" s="22" t="n">
        <v>5</v>
      </c>
      <c r="H5" s="22" t="n">
        <v>6</v>
      </c>
      <c r="I5" s="22" t="n">
        <v>7</v>
      </c>
      <c r="J5" s="22" t="n">
        <v>8</v>
      </c>
      <c r="K5" s="22" t="n">
        <v>9</v>
      </c>
      <c r="L5" s="22" t="n">
        <v>10</v>
      </c>
      <c r="M5" s="22" t="n">
        <v>11</v>
      </c>
      <c r="N5" s="22" t="n">
        <v>12</v>
      </c>
      <c r="O5" s="22" t="n">
        <v>13</v>
      </c>
      <c r="P5" s="22" t="n">
        <v>14</v>
      </c>
      <c r="Q5" s="22" t="n">
        <v>15</v>
      </c>
      <c r="R5" s="22" t="n">
        <v>16</v>
      </c>
      <c r="S5" s="22" t="n">
        <v>17</v>
      </c>
      <c r="T5" s="22" t="n">
        <v>18</v>
      </c>
      <c r="U5" s="22" t="n">
        <v>19</v>
      </c>
      <c r="V5" s="22" t="n">
        <v>20</v>
      </c>
      <c r="W5" s="22" t="n">
        <v>21</v>
      </c>
      <c r="X5" s="22" t="n">
        <v>22</v>
      </c>
      <c r="Y5" s="22" t="n">
        <v>23</v>
      </c>
      <c r="Z5" s="22" t="n">
        <v>24</v>
      </c>
      <c r="AA5" s="22" t="n">
        <v>25</v>
      </c>
      <c r="AB5" s="22" t="n">
        <v>26</v>
      </c>
      <c r="AC5" s="6" t="inlineStr">
        <is>
          <t>Promedio</t>
        </is>
      </c>
      <c r="AD5" s="6" t="inlineStr">
        <is>
          <t>Mediana</t>
        </is>
      </c>
      <c r="AE5" s="6" t="inlineStr">
        <is>
          <t>Mejor</t>
        </is>
      </c>
      <c r="AF5" s="6" t="inlineStr">
        <is>
          <t>Peor</t>
        </is>
      </c>
    </row>
    <row r="6">
      <c r="A6" t="inlineStr">
        <is>
          <t>Semana con datos (1 = sí)</t>
        </is>
      </c>
      <c r="C6" s="13">
        <f>IF(SUMIFS(Diario!$C$6:$C$371,Diario!$B$6:$B$371,C$5)+SUMIFS(Diario!$I$6:$I$371,Diario!$B$6:$B$371,C$5)&gt;0,1,0)</f>
        <v/>
      </c>
      <c r="D6" s="13">
        <f>IF(SUMIFS(Diario!$C$6:$C$371,Diario!$B$6:$B$371,D$5)+SUMIFS(Diario!$I$6:$I$371,Diario!$B$6:$B$371,D$5)&gt;0,1,0)</f>
        <v/>
      </c>
      <c r="E6" s="13">
        <f>IF(SUMIFS(Diario!$C$6:$C$371,Diario!$B$6:$B$371,E$5)+SUMIFS(Diario!$I$6:$I$371,Diario!$B$6:$B$371,E$5)&gt;0,1,0)</f>
        <v/>
      </c>
      <c r="F6" s="13">
        <f>IF(SUMIFS(Diario!$C$6:$C$371,Diario!$B$6:$B$371,F$5)+SUMIFS(Diario!$I$6:$I$371,Diario!$B$6:$B$371,F$5)&gt;0,1,0)</f>
        <v/>
      </c>
      <c r="G6" s="13">
        <f>IF(SUMIFS(Diario!$C$6:$C$371,Diario!$B$6:$B$371,G$5)+SUMIFS(Diario!$I$6:$I$371,Diario!$B$6:$B$371,G$5)&gt;0,1,0)</f>
        <v/>
      </c>
      <c r="H6" s="13">
        <f>IF(SUMIFS(Diario!$C$6:$C$371,Diario!$B$6:$B$371,H$5)+SUMIFS(Diario!$I$6:$I$371,Diario!$B$6:$B$371,H$5)&gt;0,1,0)</f>
        <v/>
      </c>
      <c r="I6" s="13">
        <f>IF(SUMIFS(Diario!$C$6:$C$371,Diario!$B$6:$B$371,I$5)+SUMIFS(Diario!$I$6:$I$371,Diario!$B$6:$B$371,I$5)&gt;0,1,0)</f>
        <v/>
      </c>
      <c r="J6" s="13">
        <f>IF(SUMIFS(Diario!$C$6:$C$371,Diario!$B$6:$B$371,J$5)+SUMIFS(Diario!$I$6:$I$371,Diario!$B$6:$B$371,J$5)&gt;0,1,0)</f>
        <v/>
      </c>
      <c r="K6" s="13">
        <f>IF(SUMIFS(Diario!$C$6:$C$371,Diario!$B$6:$B$371,K$5)+SUMIFS(Diario!$I$6:$I$371,Diario!$B$6:$B$371,K$5)&gt;0,1,0)</f>
        <v/>
      </c>
      <c r="L6" s="13">
        <f>IF(SUMIFS(Diario!$C$6:$C$371,Diario!$B$6:$B$371,L$5)+SUMIFS(Diario!$I$6:$I$371,Diario!$B$6:$B$371,L$5)&gt;0,1,0)</f>
        <v/>
      </c>
      <c r="M6" s="13">
        <f>IF(SUMIFS(Diario!$C$6:$C$371,Diario!$B$6:$B$371,M$5)+SUMIFS(Diario!$I$6:$I$371,Diario!$B$6:$B$371,M$5)&gt;0,1,0)</f>
        <v/>
      </c>
      <c r="N6" s="13">
        <f>IF(SUMIFS(Diario!$C$6:$C$371,Diario!$B$6:$B$371,N$5)+SUMIFS(Diario!$I$6:$I$371,Diario!$B$6:$B$371,N$5)&gt;0,1,0)</f>
        <v/>
      </c>
      <c r="O6" s="13">
        <f>IF(SUMIFS(Diario!$C$6:$C$371,Diario!$B$6:$B$371,O$5)+SUMIFS(Diario!$I$6:$I$371,Diario!$B$6:$B$371,O$5)&gt;0,1,0)</f>
        <v/>
      </c>
      <c r="P6" s="13">
        <f>IF(SUMIFS(Diario!$C$6:$C$371,Diario!$B$6:$B$371,P$5)+SUMIFS(Diario!$I$6:$I$371,Diario!$B$6:$B$371,P$5)&gt;0,1,0)</f>
        <v/>
      </c>
      <c r="Q6" s="13">
        <f>IF(SUMIFS(Diario!$C$6:$C$371,Diario!$B$6:$B$371,Q$5)+SUMIFS(Diario!$I$6:$I$371,Diario!$B$6:$B$371,Q$5)&gt;0,1,0)</f>
        <v/>
      </c>
      <c r="R6" s="13">
        <f>IF(SUMIFS(Diario!$C$6:$C$371,Diario!$B$6:$B$371,R$5)+SUMIFS(Diario!$I$6:$I$371,Diario!$B$6:$B$371,R$5)&gt;0,1,0)</f>
        <v/>
      </c>
      <c r="S6" s="13">
        <f>IF(SUMIFS(Diario!$C$6:$C$371,Diario!$B$6:$B$371,S$5)+SUMIFS(Diario!$I$6:$I$371,Diario!$B$6:$B$371,S$5)&gt;0,1,0)</f>
        <v/>
      </c>
      <c r="T6" s="13">
        <f>IF(SUMIFS(Diario!$C$6:$C$371,Diario!$B$6:$B$371,T$5)+SUMIFS(Diario!$I$6:$I$371,Diario!$B$6:$B$371,T$5)&gt;0,1,0)</f>
        <v/>
      </c>
      <c r="U6" s="13">
        <f>IF(SUMIFS(Diario!$C$6:$C$371,Diario!$B$6:$B$371,U$5)+SUMIFS(Diario!$I$6:$I$371,Diario!$B$6:$B$371,U$5)&gt;0,1,0)</f>
        <v/>
      </c>
      <c r="V6" s="13">
        <f>IF(SUMIFS(Diario!$C$6:$C$371,Diario!$B$6:$B$371,V$5)+SUMIFS(Diario!$I$6:$I$371,Diario!$B$6:$B$371,V$5)&gt;0,1,0)</f>
        <v/>
      </c>
      <c r="W6" s="13">
        <f>IF(SUMIFS(Diario!$C$6:$C$371,Diario!$B$6:$B$371,W$5)+SUMIFS(Diario!$I$6:$I$371,Diario!$B$6:$B$371,W$5)&gt;0,1,0)</f>
        <v/>
      </c>
      <c r="X6" s="13">
        <f>IF(SUMIFS(Diario!$C$6:$C$371,Diario!$B$6:$B$371,X$5)+SUMIFS(Diario!$I$6:$I$371,Diario!$B$6:$B$371,X$5)&gt;0,1,0)</f>
        <v/>
      </c>
      <c r="Y6" s="13">
        <f>IF(SUMIFS(Diario!$C$6:$C$371,Diario!$B$6:$B$371,Y$5)+SUMIFS(Diario!$I$6:$I$371,Diario!$B$6:$B$371,Y$5)&gt;0,1,0)</f>
        <v/>
      </c>
      <c r="Z6" s="13">
        <f>IF(SUMIFS(Diario!$C$6:$C$371,Diario!$B$6:$B$371,Z$5)+SUMIFS(Diario!$I$6:$I$371,Diario!$B$6:$B$371,Z$5)&gt;0,1,0)</f>
        <v/>
      </c>
      <c r="AA6" s="13">
        <f>IF(SUMIFS(Diario!$C$6:$C$371,Diario!$B$6:$B$371,AA$5)+SUMIFS(Diario!$I$6:$I$371,Diario!$B$6:$B$371,AA$5)&gt;0,1,0)</f>
        <v/>
      </c>
      <c r="AB6" s="13">
        <f>IF(SUMIFS(Diario!$C$6:$C$371,Diario!$B$6:$B$371,AB$5)+SUMIFS(Diario!$I$6:$I$371,Diario!$B$6:$B$371,AB$5)&gt;0,1,0)</f>
        <v/>
      </c>
    </row>
    <row r="7">
      <c r="A7" t="inlineStr">
        <is>
          <t>Número de semana si tiene datos</t>
        </is>
      </c>
      <c r="C7" s="13">
        <f>IF(C6=1,C$5,0)</f>
        <v/>
      </c>
      <c r="D7" s="13">
        <f>IF(D6=1,D$5,0)</f>
        <v/>
      </c>
      <c r="E7" s="13">
        <f>IF(E6=1,E$5,0)</f>
        <v/>
      </c>
      <c r="F7" s="13">
        <f>IF(F6=1,F$5,0)</f>
        <v/>
      </c>
      <c r="G7" s="13">
        <f>IF(G6=1,G$5,0)</f>
        <v/>
      </c>
      <c r="H7" s="13">
        <f>IF(H6=1,H$5,0)</f>
        <v/>
      </c>
      <c r="I7" s="13">
        <f>IF(I6=1,I$5,0)</f>
        <v/>
      </c>
      <c r="J7" s="13">
        <f>IF(J6=1,J$5,0)</f>
        <v/>
      </c>
      <c r="K7" s="13">
        <f>IF(K6=1,K$5,0)</f>
        <v/>
      </c>
      <c r="L7" s="13">
        <f>IF(L6=1,L$5,0)</f>
        <v/>
      </c>
      <c r="M7" s="13">
        <f>IF(M6=1,M$5,0)</f>
        <v/>
      </c>
      <c r="N7" s="13">
        <f>IF(N6=1,N$5,0)</f>
        <v/>
      </c>
      <c r="O7" s="13">
        <f>IF(O6=1,O$5,0)</f>
        <v/>
      </c>
      <c r="P7" s="13">
        <f>IF(P6=1,P$5,0)</f>
        <v/>
      </c>
      <c r="Q7" s="13">
        <f>IF(Q6=1,Q$5,0)</f>
        <v/>
      </c>
      <c r="R7" s="13">
        <f>IF(R6=1,R$5,0)</f>
        <v/>
      </c>
      <c r="S7" s="13">
        <f>IF(S6=1,S$5,0)</f>
        <v/>
      </c>
      <c r="T7" s="13">
        <f>IF(T6=1,T$5,0)</f>
        <v/>
      </c>
      <c r="U7" s="13">
        <f>IF(U6=1,U$5,0)</f>
        <v/>
      </c>
      <c r="V7" s="13">
        <f>IF(V6=1,V$5,0)</f>
        <v/>
      </c>
      <c r="W7" s="13">
        <f>IF(W6=1,W$5,0)</f>
        <v/>
      </c>
      <c r="X7" s="13">
        <f>IF(X6=1,X$5,0)</f>
        <v/>
      </c>
      <c r="Y7" s="13">
        <f>IF(Y6=1,Y$5,0)</f>
        <v/>
      </c>
      <c r="Z7" s="13">
        <f>IF(Z6=1,Z$5,0)</f>
        <v/>
      </c>
      <c r="AA7" s="13">
        <f>IF(AA6=1,AA$5,0)</f>
        <v/>
      </c>
      <c r="AB7" s="13">
        <f>IF(AB6=1,AB$5,0)</f>
        <v/>
      </c>
    </row>
    <row r="9">
      <c r="A9" s="23" t="inlineStr">
        <is>
          <t>1. Anuncios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</row>
    <row r="10">
      <c r="A10" t="inlineStr">
        <is>
          <t>Anuncios</t>
        </is>
      </c>
      <c r="B10" s="5" t="inlineStr">
        <is>
          <t>Inversión en publicidad (USD)</t>
        </is>
      </c>
      <c r="C10" s="20">
        <f>IF(C6=0,"",SUMIFS(Diario!$C$6:$C$371,Diario!$B$6:$B$371,C$5))</f>
        <v/>
      </c>
      <c r="D10" s="20">
        <f>IF(D6=0,"",SUMIFS(Diario!$C$6:$C$371,Diario!$B$6:$B$371,D$5))</f>
        <v/>
      </c>
      <c r="E10" s="20">
        <f>IF(E6=0,"",SUMIFS(Diario!$C$6:$C$371,Diario!$B$6:$B$371,E$5))</f>
        <v/>
      </c>
      <c r="F10" s="20">
        <f>IF(F6=0,"",SUMIFS(Diario!$C$6:$C$371,Diario!$B$6:$B$371,F$5))</f>
        <v/>
      </c>
      <c r="G10" s="20">
        <f>IF(G6=0,"",SUMIFS(Diario!$C$6:$C$371,Diario!$B$6:$B$371,G$5))</f>
        <v/>
      </c>
      <c r="H10" s="20">
        <f>IF(H6=0,"",SUMIFS(Diario!$C$6:$C$371,Diario!$B$6:$B$371,H$5))</f>
        <v/>
      </c>
      <c r="I10" s="20">
        <f>IF(I6=0,"",SUMIFS(Diario!$C$6:$C$371,Diario!$B$6:$B$371,I$5))</f>
        <v/>
      </c>
      <c r="J10" s="20">
        <f>IF(J6=0,"",SUMIFS(Diario!$C$6:$C$371,Diario!$B$6:$B$371,J$5))</f>
        <v/>
      </c>
      <c r="K10" s="20">
        <f>IF(K6=0,"",SUMIFS(Diario!$C$6:$C$371,Diario!$B$6:$B$371,K$5))</f>
        <v/>
      </c>
      <c r="L10" s="20">
        <f>IF(L6=0,"",SUMIFS(Diario!$C$6:$C$371,Diario!$B$6:$B$371,L$5))</f>
        <v/>
      </c>
      <c r="M10" s="20">
        <f>IF(M6=0,"",SUMIFS(Diario!$C$6:$C$371,Diario!$B$6:$B$371,M$5))</f>
        <v/>
      </c>
      <c r="N10" s="20">
        <f>IF(N6=0,"",SUMIFS(Diario!$C$6:$C$371,Diario!$B$6:$B$371,N$5))</f>
        <v/>
      </c>
      <c r="O10" s="20">
        <f>IF(O6=0,"",SUMIFS(Diario!$C$6:$C$371,Diario!$B$6:$B$371,O$5))</f>
        <v/>
      </c>
      <c r="P10" s="20">
        <f>IF(P6=0,"",SUMIFS(Diario!$C$6:$C$371,Diario!$B$6:$B$371,P$5))</f>
        <v/>
      </c>
      <c r="Q10" s="20">
        <f>IF(Q6=0,"",SUMIFS(Diario!$C$6:$C$371,Diario!$B$6:$B$371,Q$5))</f>
        <v/>
      </c>
      <c r="R10" s="20">
        <f>IF(R6=0,"",SUMIFS(Diario!$C$6:$C$371,Diario!$B$6:$B$371,R$5))</f>
        <v/>
      </c>
      <c r="S10" s="20">
        <f>IF(S6=0,"",SUMIFS(Diario!$C$6:$C$371,Diario!$B$6:$B$371,S$5))</f>
        <v/>
      </c>
      <c r="T10" s="20">
        <f>IF(T6=0,"",SUMIFS(Diario!$C$6:$C$371,Diario!$B$6:$B$371,T$5))</f>
        <v/>
      </c>
      <c r="U10" s="20">
        <f>IF(U6=0,"",SUMIFS(Diario!$C$6:$C$371,Diario!$B$6:$B$371,U$5))</f>
        <v/>
      </c>
      <c r="V10" s="20">
        <f>IF(V6=0,"",SUMIFS(Diario!$C$6:$C$371,Diario!$B$6:$B$371,V$5))</f>
        <v/>
      </c>
      <c r="W10" s="20">
        <f>IF(W6=0,"",SUMIFS(Diario!$C$6:$C$371,Diario!$B$6:$B$371,W$5))</f>
        <v/>
      </c>
      <c r="X10" s="20">
        <f>IF(X6=0,"",SUMIFS(Diario!$C$6:$C$371,Diario!$B$6:$B$371,X$5))</f>
        <v/>
      </c>
      <c r="Y10" s="20">
        <f>IF(Y6=0,"",SUMIFS(Diario!$C$6:$C$371,Diario!$B$6:$B$371,Y$5))</f>
        <v/>
      </c>
      <c r="Z10" s="20">
        <f>IF(Z6=0,"",SUMIFS(Diario!$C$6:$C$371,Diario!$B$6:$B$371,Z$5))</f>
        <v/>
      </c>
      <c r="AA10" s="20">
        <f>IF(AA6=0,"",SUMIFS(Diario!$C$6:$C$371,Diario!$B$6:$B$371,AA$5))</f>
        <v/>
      </c>
      <c r="AB10" s="20">
        <f>IF(AB6=0,"",SUMIFS(Diario!$C$6:$C$371,Diario!$B$6:$B$371,AB$5))</f>
        <v/>
      </c>
      <c r="AC10" s="20">
        <f>IFERROR(AVERAGE(C10:AB10),"")</f>
        <v/>
      </c>
      <c r="AD10" s="20">
        <f>IFERROR(MEDIAN(C10:AB10),"")</f>
        <v/>
      </c>
      <c r="AE10" s="20">
        <f>IFERROR(MAX(C10:AB10),"")</f>
        <v/>
      </c>
      <c r="AF10" s="20">
        <f>IFERROR(MIN(C10:AB10),"")</f>
        <v/>
      </c>
    </row>
    <row r="11">
      <c r="A11" t="inlineStr">
        <is>
          <t>Anuncios</t>
        </is>
      </c>
      <c r="B11" s="5" t="inlineStr">
        <is>
          <t>Impresiones</t>
        </is>
      </c>
      <c r="C11" s="13">
        <f>IF(C6=0,"",SUMIFS(Diario!$D$6:$D$371,Diario!$B$6:$B$371,C$5))</f>
        <v/>
      </c>
      <c r="D11" s="13">
        <f>IF(D6=0,"",SUMIFS(Diario!$D$6:$D$371,Diario!$B$6:$B$371,D$5))</f>
        <v/>
      </c>
      <c r="E11" s="13">
        <f>IF(E6=0,"",SUMIFS(Diario!$D$6:$D$371,Diario!$B$6:$B$371,E$5))</f>
        <v/>
      </c>
      <c r="F11" s="13">
        <f>IF(F6=0,"",SUMIFS(Diario!$D$6:$D$371,Diario!$B$6:$B$371,F$5))</f>
        <v/>
      </c>
      <c r="G11" s="13">
        <f>IF(G6=0,"",SUMIFS(Diario!$D$6:$D$371,Diario!$B$6:$B$371,G$5))</f>
        <v/>
      </c>
      <c r="H11" s="13">
        <f>IF(H6=0,"",SUMIFS(Diario!$D$6:$D$371,Diario!$B$6:$B$371,H$5))</f>
        <v/>
      </c>
      <c r="I11" s="13">
        <f>IF(I6=0,"",SUMIFS(Diario!$D$6:$D$371,Diario!$B$6:$B$371,I$5))</f>
        <v/>
      </c>
      <c r="J11" s="13">
        <f>IF(J6=0,"",SUMIFS(Diario!$D$6:$D$371,Diario!$B$6:$B$371,J$5))</f>
        <v/>
      </c>
      <c r="K11" s="13">
        <f>IF(K6=0,"",SUMIFS(Diario!$D$6:$D$371,Diario!$B$6:$B$371,K$5))</f>
        <v/>
      </c>
      <c r="L11" s="13">
        <f>IF(L6=0,"",SUMIFS(Diario!$D$6:$D$371,Diario!$B$6:$B$371,L$5))</f>
        <v/>
      </c>
      <c r="M11" s="13">
        <f>IF(M6=0,"",SUMIFS(Diario!$D$6:$D$371,Diario!$B$6:$B$371,M$5))</f>
        <v/>
      </c>
      <c r="N11" s="13">
        <f>IF(N6=0,"",SUMIFS(Diario!$D$6:$D$371,Diario!$B$6:$B$371,N$5))</f>
        <v/>
      </c>
      <c r="O11" s="13">
        <f>IF(O6=0,"",SUMIFS(Diario!$D$6:$D$371,Diario!$B$6:$B$371,O$5))</f>
        <v/>
      </c>
      <c r="P11" s="13">
        <f>IF(P6=0,"",SUMIFS(Diario!$D$6:$D$371,Diario!$B$6:$B$371,P$5))</f>
        <v/>
      </c>
      <c r="Q11" s="13">
        <f>IF(Q6=0,"",SUMIFS(Diario!$D$6:$D$371,Diario!$B$6:$B$371,Q$5))</f>
        <v/>
      </c>
      <c r="R11" s="13">
        <f>IF(R6=0,"",SUMIFS(Diario!$D$6:$D$371,Diario!$B$6:$B$371,R$5))</f>
        <v/>
      </c>
      <c r="S11" s="13">
        <f>IF(S6=0,"",SUMIFS(Diario!$D$6:$D$371,Diario!$B$6:$B$371,S$5))</f>
        <v/>
      </c>
      <c r="T11" s="13">
        <f>IF(T6=0,"",SUMIFS(Diario!$D$6:$D$371,Diario!$B$6:$B$371,T$5))</f>
        <v/>
      </c>
      <c r="U11" s="13">
        <f>IF(U6=0,"",SUMIFS(Diario!$D$6:$D$371,Diario!$B$6:$B$371,U$5))</f>
        <v/>
      </c>
      <c r="V11" s="13">
        <f>IF(V6=0,"",SUMIFS(Diario!$D$6:$D$371,Diario!$B$6:$B$371,V$5))</f>
        <v/>
      </c>
      <c r="W11" s="13">
        <f>IF(W6=0,"",SUMIFS(Diario!$D$6:$D$371,Diario!$B$6:$B$371,W$5))</f>
        <v/>
      </c>
      <c r="X11" s="13">
        <f>IF(X6=0,"",SUMIFS(Diario!$D$6:$D$371,Diario!$B$6:$B$371,X$5))</f>
        <v/>
      </c>
      <c r="Y11" s="13">
        <f>IF(Y6=0,"",SUMIFS(Diario!$D$6:$D$371,Diario!$B$6:$B$371,Y$5))</f>
        <v/>
      </c>
      <c r="Z11" s="13">
        <f>IF(Z6=0,"",SUMIFS(Diario!$D$6:$D$371,Diario!$B$6:$B$371,Z$5))</f>
        <v/>
      </c>
      <c r="AA11" s="13">
        <f>IF(AA6=0,"",SUMIFS(Diario!$D$6:$D$371,Diario!$B$6:$B$371,AA$5))</f>
        <v/>
      </c>
      <c r="AB11" s="13">
        <f>IF(AB6=0,"",SUMIFS(Diario!$D$6:$D$371,Diario!$B$6:$B$371,AB$5))</f>
        <v/>
      </c>
      <c r="AC11" s="13">
        <f>IFERROR(AVERAGE(C11:AB11),"")</f>
        <v/>
      </c>
      <c r="AD11" s="13">
        <f>IFERROR(MEDIAN(C11:AB11),"")</f>
        <v/>
      </c>
      <c r="AE11" s="13">
        <f>IFERROR(MAX(C11:AB11),"")</f>
        <v/>
      </c>
      <c r="AF11" s="13">
        <f>IFERROR(MIN(C11:AB11),"")</f>
        <v/>
      </c>
    </row>
    <row r="12">
      <c r="A12" t="inlineStr">
        <is>
          <t>Anuncios</t>
        </is>
      </c>
      <c r="B12" s="5" t="inlineStr">
        <is>
          <t>Alcance (personas únicas)</t>
        </is>
      </c>
      <c r="C12" s="13">
        <f>IF(C6=0,"",SUMIFS(Diario!$E$6:$E$371,Diario!$B$6:$B$371,C$5))</f>
        <v/>
      </c>
      <c r="D12" s="13">
        <f>IF(D6=0,"",SUMIFS(Diario!$E$6:$E$371,Diario!$B$6:$B$371,D$5))</f>
        <v/>
      </c>
      <c r="E12" s="13">
        <f>IF(E6=0,"",SUMIFS(Diario!$E$6:$E$371,Diario!$B$6:$B$371,E$5))</f>
        <v/>
      </c>
      <c r="F12" s="13">
        <f>IF(F6=0,"",SUMIFS(Diario!$E$6:$E$371,Diario!$B$6:$B$371,F$5))</f>
        <v/>
      </c>
      <c r="G12" s="13">
        <f>IF(G6=0,"",SUMIFS(Diario!$E$6:$E$371,Diario!$B$6:$B$371,G$5))</f>
        <v/>
      </c>
      <c r="H12" s="13">
        <f>IF(H6=0,"",SUMIFS(Diario!$E$6:$E$371,Diario!$B$6:$B$371,H$5))</f>
        <v/>
      </c>
      <c r="I12" s="13">
        <f>IF(I6=0,"",SUMIFS(Diario!$E$6:$E$371,Diario!$B$6:$B$371,I$5))</f>
        <v/>
      </c>
      <c r="J12" s="13">
        <f>IF(J6=0,"",SUMIFS(Diario!$E$6:$E$371,Diario!$B$6:$B$371,J$5))</f>
        <v/>
      </c>
      <c r="K12" s="13">
        <f>IF(K6=0,"",SUMIFS(Diario!$E$6:$E$371,Diario!$B$6:$B$371,K$5))</f>
        <v/>
      </c>
      <c r="L12" s="13">
        <f>IF(L6=0,"",SUMIFS(Diario!$E$6:$E$371,Diario!$B$6:$B$371,L$5))</f>
        <v/>
      </c>
      <c r="M12" s="13">
        <f>IF(M6=0,"",SUMIFS(Diario!$E$6:$E$371,Diario!$B$6:$B$371,M$5))</f>
        <v/>
      </c>
      <c r="N12" s="13">
        <f>IF(N6=0,"",SUMIFS(Diario!$E$6:$E$371,Diario!$B$6:$B$371,N$5))</f>
        <v/>
      </c>
      <c r="O12" s="13">
        <f>IF(O6=0,"",SUMIFS(Diario!$E$6:$E$371,Diario!$B$6:$B$371,O$5))</f>
        <v/>
      </c>
      <c r="P12" s="13">
        <f>IF(P6=0,"",SUMIFS(Diario!$E$6:$E$371,Diario!$B$6:$B$371,P$5))</f>
        <v/>
      </c>
      <c r="Q12" s="13">
        <f>IF(Q6=0,"",SUMIFS(Diario!$E$6:$E$371,Diario!$B$6:$B$371,Q$5))</f>
        <v/>
      </c>
      <c r="R12" s="13">
        <f>IF(R6=0,"",SUMIFS(Diario!$E$6:$E$371,Diario!$B$6:$B$371,R$5))</f>
        <v/>
      </c>
      <c r="S12" s="13">
        <f>IF(S6=0,"",SUMIFS(Diario!$E$6:$E$371,Diario!$B$6:$B$371,S$5))</f>
        <v/>
      </c>
      <c r="T12" s="13">
        <f>IF(T6=0,"",SUMIFS(Diario!$E$6:$E$371,Diario!$B$6:$B$371,T$5))</f>
        <v/>
      </c>
      <c r="U12" s="13">
        <f>IF(U6=0,"",SUMIFS(Diario!$E$6:$E$371,Diario!$B$6:$B$371,U$5))</f>
        <v/>
      </c>
      <c r="V12" s="13">
        <f>IF(V6=0,"",SUMIFS(Diario!$E$6:$E$371,Diario!$B$6:$B$371,V$5))</f>
        <v/>
      </c>
      <c r="W12" s="13">
        <f>IF(W6=0,"",SUMIFS(Diario!$E$6:$E$371,Diario!$B$6:$B$371,W$5))</f>
        <v/>
      </c>
      <c r="X12" s="13">
        <f>IF(X6=0,"",SUMIFS(Diario!$E$6:$E$371,Diario!$B$6:$B$371,X$5))</f>
        <v/>
      </c>
      <c r="Y12" s="13">
        <f>IF(Y6=0,"",SUMIFS(Diario!$E$6:$E$371,Diario!$B$6:$B$371,Y$5))</f>
        <v/>
      </c>
      <c r="Z12" s="13">
        <f>IF(Z6=0,"",SUMIFS(Diario!$E$6:$E$371,Diario!$B$6:$B$371,Z$5))</f>
        <v/>
      </c>
      <c r="AA12" s="13">
        <f>IF(AA6=0,"",SUMIFS(Diario!$E$6:$E$371,Diario!$B$6:$B$371,AA$5))</f>
        <v/>
      </c>
      <c r="AB12" s="13">
        <f>IF(AB6=0,"",SUMIFS(Diario!$E$6:$E$371,Diario!$B$6:$B$371,AB$5))</f>
        <v/>
      </c>
      <c r="AC12" s="13">
        <f>IFERROR(AVERAGE(C12:AB12),"")</f>
        <v/>
      </c>
      <c r="AD12" s="13">
        <f>IFERROR(MEDIAN(C12:AB12),"")</f>
        <v/>
      </c>
      <c r="AE12" s="13">
        <f>IFERROR(MAX(C12:AB12),"")</f>
        <v/>
      </c>
      <c r="AF12" s="13">
        <f>IFERROR(MIN(C12:AB12),"")</f>
        <v/>
      </c>
    </row>
    <row r="13">
      <c r="A13" t="inlineStr">
        <is>
          <t>Anuncios</t>
        </is>
      </c>
      <c r="B13" s="5" t="inlineStr">
        <is>
          <t>Clics en el enlace</t>
        </is>
      </c>
      <c r="C13" s="13">
        <f>IF(C6=0,"",SUMIFS(Diario!$F$6:$F$371,Diario!$B$6:$B$371,C$5))</f>
        <v/>
      </c>
      <c r="D13" s="13">
        <f>IF(D6=0,"",SUMIFS(Diario!$F$6:$F$371,Diario!$B$6:$B$371,D$5))</f>
        <v/>
      </c>
      <c r="E13" s="13">
        <f>IF(E6=0,"",SUMIFS(Diario!$F$6:$F$371,Diario!$B$6:$B$371,E$5))</f>
        <v/>
      </c>
      <c r="F13" s="13">
        <f>IF(F6=0,"",SUMIFS(Diario!$F$6:$F$371,Diario!$B$6:$B$371,F$5))</f>
        <v/>
      </c>
      <c r="G13" s="13">
        <f>IF(G6=0,"",SUMIFS(Diario!$F$6:$F$371,Diario!$B$6:$B$371,G$5))</f>
        <v/>
      </c>
      <c r="H13" s="13">
        <f>IF(H6=0,"",SUMIFS(Diario!$F$6:$F$371,Diario!$B$6:$B$371,H$5))</f>
        <v/>
      </c>
      <c r="I13" s="13">
        <f>IF(I6=0,"",SUMIFS(Diario!$F$6:$F$371,Diario!$B$6:$B$371,I$5))</f>
        <v/>
      </c>
      <c r="J13" s="13">
        <f>IF(J6=0,"",SUMIFS(Diario!$F$6:$F$371,Diario!$B$6:$B$371,J$5))</f>
        <v/>
      </c>
      <c r="K13" s="13">
        <f>IF(K6=0,"",SUMIFS(Diario!$F$6:$F$371,Diario!$B$6:$B$371,K$5))</f>
        <v/>
      </c>
      <c r="L13" s="13">
        <f>IF(L6=0,"",SUMIFS(Diario!$F$6:$F$371,Diario!$B$6:$B$371,L$5))</f>
        <v/>
      </c>
      <c r="M13" s="13">
        <f>IF(M6=0,"",SUMIFS(Diario!$F$6:$F$371,Diario!$B$6:$B$371,M$5))</f>
        <v/>
      </c>
      <c r="N13" s="13">
        <f>IF(N6=0,"",SUMIFS(Diario!$F$6:$F$371,Diario!$B$6:$B$371,N$5))</f>
        <v/>
      </c>
      <c r="O13" s="13">
        <f>IF(O6=0,"",SUMIFS(Diario!$F$6:$F$371,Diario!$B$6:$B$371,O$5))</f>
        <v/>
      </c>
      <c r="P13" s="13">
        <f>IF(P6=0,"",SUMIFS(Diario!$F$6:$F$371,Diario!$B$6:$B$371,P$5))</f>
        <v/>
      </c>
      <c r="Q13" s="13">
        <f>IF(Q6=0,"",SUMIFS(Diario!$F$6:$F$371,Diario!$B$6:$B$371,Q$5))</f>
        <v/>
      </c>
      <c r="R13" s="13">
        <f>IF(R6=0,"",SUMIFS(Diario!$F$6:$F$371,Diario!$B$6:$B$371,R$5))</f>
        <v/>
      </c>
      <c r="S13" s="13">
        <f>IF(S6=0,"",SUMIFS(Diario!$F$6:$F$371,Diario!$B$6:$B$371,S$5))</f>
        <v/>
      </c>
      <c r="T13" s="13">
        <f>IF(T6=0,"",SUMIFS(Diario!$F$6:$F$371,Diario!$B$6:$B$371,T$5))</f>
        <v/>
      </c>
      <c r="U13" s="13">
        <f>IF(U6=0,"",SUMIFS(Diario!$F$6:$F$371,Diario!$B$6:$B$371,U$5))</f>
        <v/>
      </c>
      <c r="V13" s="13">
        <f>IF(V6=0,"",SUMIFS(Diario!$F$6:$F$371,Diario!$B$6:$B$371,V$5))</f>
        <v/>
      </c>
      <c r="W13" s="13">
        <f>IF(W6=0,"",SUMIFS(Diario!$F$6:$F$371,Diario!$B$6:$B$371,W$5))</f>
        <v/>
      </c>
      <c r="X13" s="13">
        <f>IF(X6=0,"",SUMIFS(Diario!$F$6:$F$371,Diario!$B$6:$B$371,X$5))</f>
        <v/>
      </c>
      <c r="Y13" s="13">
        <f>IF(Y6=0,"",SUMIFS(Diario!$F$6:$F$371,Diario!$B$6:$B$371,Y$5))</f>
        <v/>
      </c>
      <c r="Z13" s="13">
        <f>IF(Z6=0,"",SUMIFS(Diario!$F$6:$F$371,Diario!$B$6:$B$371,Z$5))</f>
        <v/>
      </c>
      <c r="AA13" s="13">
        <f>IF(AA6=0,"",SUMIFS(Diario!$F$6:$F$371,Diario!$B$6:$B$371,AA$5))</f>
        <v/>
      </c>
      <c r="AB13" s="13">
        <f>IF(AB6=0,"",SUMIFS(Diario!$F$6:$F$371,Diario!$B$6:$B$371,AB$5))</f>
        <v/>
      </c>
      <c r="AC13" s="13">
        <f>IFERROR(AVERAGE(C13:AB13),"")</f>
        <v/>
      </c>
      <c r="AD13" s="13">
        <f>IFERROR(MEDIAN(C13:AB13),"")</f>
        <v/>
      </c>
      <c r="AE13" s="13">
        <f>IFERROR(MAX(C13:AB13),"")</f>
        <v/>
      </c>
      <c r="AF13" s="13">
        <f>IFERROR(MIN(C13:AB13),"")</f>
        <v/>
      </c>
    </row>
    <row r="14">
      <c r="A14" t="inlineStr">
        <is>
          <t>Anuncios</t>
        </is>
      </c>
      <c r="B14" s="5" t="inlineStr">
        <is>
          <t>Visitas a la página</t>
        </is>
      </c>
      <c r="C14" s="13">
        <f>IF(C6=0,"",SUMIFS(Diario!$G$6:$G$371,Diario!$B$6:$B$371,C$5))</f>
        <v/>
      </c>
      <c r="D14" s="13">
        <f>IF(D6=0,"",SUMIFS(Diario!$G$6:$G$371,Diario!$B$6:$B$371,D$5))</f>
        <v/>
      </c>
      <c r="E14" s="13">
        <f>IF(E6=0,"",SUMIFS(Diario!$G$6:$G$371,Diario!$B$6:$B$371,E$5))</f>
        <v/>
      </c>
      <c r="F14" s="13">
        <f>IF(F6=0,"",SUMIFS(Diario!$G$6:$G$371,Diario!$B$6:$B$371,F$5))</f>
        <v/>
      </c>
      <c r="G14" s="13">
        <f>IF(G6=0,"",SUMIFS(Diario!$G$6:$G$371,Diario!$B$6:$B$371,G$5))</f>
        <v/>
      </c>
      <c r="H14" s="13">
        <f>IF(H6=0,"",SUMIFS(Diario!$G$6:$G$371,Diario!$B$6:$B$371,H$5))</f>
        <v/>
      </c>
      <c r="I14" s="13">
        <f>IF(I6=0,"",SUMIFS(Diario!$G$6:$G$371,Diario!$B$6:$B$371,I$5))</f>
        <v/>
      </c>
      <c r="J14" s="13">
        <f>IF(J6=0,"",SUMIFS(Diario!$G$6:$G$371,Diario!$B$6:$B$371,J$5))</f>
        <v/>
      </c>
      <c r="K14" s="13">
        <f>IF(K6=0,"",SUMIFS(Diario!$G$6:$G$371,Diario!$B$6:$B$371,K$5))</f>
        <v/>
      </c>
      <c r="L14" s="13">
        <f>IF(L6=0,"",SUMIFS(Diario!$G$6:$G$371,Diario!$B$6:$B$371,L$5))</f>
        <v/>
      </c>
      <c r="M14" s="13">
        <f>IF(M6=0,"",SUMIFS(Diario!$G$6:$G$371,Diario!$B$6:$B$371,M$5))</f>
        <v/>
      </c>
      <c r="N14" s="13">
        <f>IF(N6=0,"",SUMIFS(Diario!$G$6:$G$371,Diario!$B$6:$B$371,N$5))</f>
        <v/>
      </c>
      <c r="O14" s="13">
        <f>IF(O6=0,"",SUMIFS(Diario!$G$6:$G$371,Diario!$B$6:$B$371,O$5))</f>
        <v/>
      </c>
      <c r="P14" s="13">
        <f>IF(P6=0,"",SUMIFS(Diario!$G$6:$G$371,Diario!$B$6:$B$371,P$5))</f>
        <v/>
      </c>
      <c r="Q14" s="13">
        <f>IF(Q6=0,"",SUMIFS(Diario!$G$6:$G$371,Diario!$B$6:$B$371,Q$5))</f>
        <v/>
      </c>
      <c r="R14" s="13">
        <f>IF(R6=0,"",SUMIFS(Diario!$G$6:$G$371,Diario!$B$6:$B$371,R$5))</f>
        <v/>
      </c>
      <c r="S14" s="13">
        <f>IF(S6=0,"",SUMIFS(Diario!$G$6:$G$371,Diario!$B$6:$B$371,S$5))</f>
        <v/>
      </c>
      <c r="T14" s="13">
        <f>IF(T6=0,"",SUMIFS(Diario!$G$6:$G$371,Diario!$B$6:$B$371,T$5))</f>
        <v/>
      </c>
      <c r="U14" s="13">
        <f>IF(U6=0,"",SUMIFS(Diario!$G$6:$G$371,Diario!$B$6:$B$371,U$5))</f>
        <v/>
      </c>
      <c r="V14" s="13">
        <f>IF(V6=0,"",SUMIFS(Diario!$G$6:$G$371,Diario!$B$6:$B$371,V$5))</f>
        <v/>
      </c>
      <c r="W14" s="13">
        <f>IF(W6=0,"",SUMIFS(Diario!$G$6:$G$371,Diario!$B$6:$B$371,W$5))</f>
        <v/>
      </c>
      <c r="X14" s="13">
        <f>IF(X6=0,"",SUMIFS(Diario!$G$6:$G$371,Diario!$B$6:$B$371,X$5))</f>
        <v/>
      </c>
      <c r="Y14" s="13">
        <f>IF(Y6=0,"",SUMIFS(Diario!$G$6:$G$371,Diario!$B$6:$B$371,Y$5))</f>
        <v/>
      </c>
      <c r="Z14" s="13">
        <f>IF(Z6=0,"",SUMIFS(Diario!$G$6:$G$371,Diario!$B$6:$B$371,Z$5))</f>
        <v/>
      </c>
      <c r="AA14" s="13">
        <f>IF(AA6=0,"",SUMIFS(Diario!$G$6:$G$371,Diario!$B$6:$B$371,AA$5))</f>
        <v/>
      </c>
      <c r="AB14" s="13">
        <f>IF(AB6=0,"",SUMIFS(Diario!$G$6:$G$371,Diario!$B$6:$B$371,AB$5))</f>
        <v/>
      </c>
      <c r="AC14" s="13">
        <f>IFERROR(AVERAGE(C14:AB14),"")</f>
        <v/>
      </c>
      <c r="AD14" s="13">
        <f>IFERROR(MEDIAN(C14:AB14),"")</f>
        <v/>
      </c>
      <c r="AE14" s="13">
        <f>IFERROR(MAX(C14:AB14),"")</f>
        <v/>
      </c>
      <c r="AF14" s="13">
        <f>IFERROR(MIN(C14:AB14),"")</f>
        <v/>
      </c>
    </row>
    <row r="15">
      <c r="A15" t="inlineStr">
        <is>
          <t>Anuncios</t>
        </is>
      </c>
      <c r="B15" s="25" t="inlineStr">
        <is>
          <t>CPM</t>
        </is>
      </c>
      <c r="C15" s="15">
        <f>IF(C6=0,"",IFERROR(C10/C11*1000,0))</f>
        <v/>
      </c>
      <c r="D15" s="15">
        <f>IF(D6=0,"",IFERROR(D10/D11*1000,0))</f>
        <v/>
      </c>
      <c r="E15" s="15">
        <f>IF(E6=0,"",IFERROR(E10/E11*1000,0))</f>
        <v/>
      </c>
      <c r="F15" s="15">
        <f>IF(F6=0,"",IFERROR(F10/F11*1000,0))</f>
        <v/>
      </c>
      <c r="G15" s="15">
        <f>IF(G6=0,"",IFERROR(G10/G11*1000,0))</f>
        <v/>
      </c>
      <c r="H15" s="15">
        <f>IF(H6=0,"",IFERROR(H10/H11*1000,0))</f>
        <v/>
      </c>
      <c r="I15" s="15">
        <f>IF(I6=0,"",IFERROR(I10/I11*1000,0))</f>
        <v/>
      </c>
      <c r="J15" s="15">
        <f>IF(J6=0,"",IFERROR(J10/J11*1000,0))</f>
        <v/>
      </c>
      <c r="K15" s="15">
        <f>IF(K6=0,"",IFERROR(K10/K11*1000,0))</f>
        <v/>
      </c>
      <c r="L15" s="15">
        <f>IF(L6=0,"",IFERROR(L10/L11*1000,0))</f>
        <v/>
      </c>
      <c r="M15" s="15">
        <f>IF(M6=0,"",IFERROR(M10/M11*1000,0))</f>
        <v/>
      </c>
      <c r="N15" s="15">
        <f>IF(N6=0,"",IFERROR(N10/N11*1000,0))</f>
        <v/>
      </c>
      <c r="O15" s="15">
        <f>IF(O6=0,"",IFERROR(O10/O11*1000,0))</f>
        <v/>
      </c>
      <c r="P15" s="15">
        <f>IF(P6=0,"",IFERROR(P10/P11*1000,0))</f>
        <v/>
      </c>
      <c r="Q15" s="15">
        <f>IF(Q6=0,"",IFERROR(Q10/Q11*1000,0))</f>
        <v/>
      </c>
      <c r="R15" s="15">
        <f>IF(R6=0,"",IFERROR(R10/R11*1000,0))</f>
        <v/>
      </c>
      <c r="S15" s="15">
        <f>IF(S6=0,"",IFERROR(S10/S11*1000,0))</f>
        <v/>
      </c>
      <c r="T15" s="15">
        <f>IF(T6=0,"",IFERROR(T10/T11*1000,0))</f>
        <v/>
      </c>
      <c r="U15" s="15">
        <f>IF(U6=0,"",IFERROR(U10/U11*1000,0))</f>
        <v/>
      </c>
      <c r="V15" s="15">
        <f>IF(V6=0,"",IFERROR(V10/V11*1000,0))</f>
        <v/>
      </c>
      <c r="W15" s="15">
        <f>IF(W6=0,"",IFERROR(W10/W11*1000,0))</f>
        <v/>
      </c>
      <c r="X15" s="15">
        <f>IF(X6=0,"",IFERROR(X10/X11*1000,0))</f>
        <v/>
      </c>
      <c r="Y15" s="15">
        <f>IF(Y6=0,"",IFERROR(Y10/Y11*1000,0))</f>
        <v/>
      </c>
      <c r="Z15" s="15">
        <f>IF(Z6=0,"",IFERROR(Z10/Z11*1000,0))</f>
        <v/>
      </c>
      <c r="AA15" s="15">
        <f>IF(AA6=0,"",IFERROR(AA10/AA11*1000,0))</f>
        <v/>
      </c>
      <c r="AB15" s="15">
        <f>IF(AB6=0,"",IFERROR(AB10/AB11*1000,0))</f>
        <v/>
      </c>
      <c r="AC15" s="15">
        <f>IFERROR(AVERAGE(C15:AB15),"")</f>
        <v/>
      </c>
      <c r="AD15" s="15">
        <f>IFERROR(MEDIAN(C15:AB15),"")</f>
        <v/>
      </c>
      <c r="AE15" s="15">
        <f>IFERROR(MIN(C15:AB15),"")</f>
        <v/>
      </c>
      <c r="AF15" s="15">
        <f>IFERROR(MAX(C15:AB15),"")</f>
        <v/>
      </c>
    </row>
    <row r="16">
      <c r="A16" t="inlineStr">
        <is>
          <t>Anuncios</t>
        </is>
      </c>
      <c r="B16" s="25" t="inlineStr">
        <is>
          <t>Frecuencia</t>
        </is>
      </c>
      <c r="C16" s="16">
        <f>IF(C6=0,"",IFERROR(C11/C12,0))</f>
        <v/>
      </c>
      <c r="D16" s="16">
        <f>IF(D6=0,"",IFERROR(D11/D12,0))</f>
        <v/>
      </c>
      <c r="E16" s="16">
        <f>IF(E6=0,"",IFERROR(E11/E12,0))</f>
        <v/>
      </c>
      <c r="F16" s="16">
        <f>IF(F6=0,"",IFERROR(F11/F12,0))</f>
        <v/>
      </c>
      <c r="G16" s="16">
        <f>IF(G6=0,"",IFERROR(G11/G12,0))</f>
        <v/>
      </c>
      <c r="H16" s="16">
        <f>IF(H6=0,"",IFERROR(H11/H12,0))</f>
        <v/>
      </c>
      <c r="I16" s="16">
        <f>IF(I6=0,"",IFERROR(I11/I12,0))</f>
        <v/>
      </c>
      <c r="J16" s="16">
        <f>IF(J6=0,"",IFERROR(J11/J12,0))</f>
        <v/>
      </c>
      <c r="K16" s="16">
        <f>IF(K6=0,"",IFERROR(K11/K12,0))</f>
        <v/>
      </c>
      <c r="L16" s="16">
        <f>IF(L6=0,"",IFERROR(L11/L12,0))</f>
        <v/>
      </c>
      <c r="M16" s="16">
        <f>IF(M6=0,"",IFERROR(M11/M12,0))</f>
        <v/>
      </c>
      <c r="N16" s="16">
        <f>IF(N6=0,"",IFERROR(N11/N12,0))</f>
        <v/>
      </c>
      <c r="O16" s="16">
        <f>IF(O6=0,"",IFERROR(O11/O12,0))</f>
        <v/>
      </c>
      <c r="P16" s="16">
        <f>IF(P6=0,"",IFERROR(P11/P12,0))</f>
        <v/>
      </c>
      <c r="Q16" s="16">
        <f>IF(Q6=0,"",IFERROR(Q11/Q12,0))</f>
        <v/>
      </c>
      <c r="R16" s="16">
        <f>IF(R6=0,"",IFERROR(R11/R12,0))</f>
        <v/>
      </c>
      <c r="S16" s="16">
        <f>IF(S6=0,"",IFERROR(S11/S12,0))</f>
        <v/>
      </c>
      <c r="T16" s="16">
        <f>IF(T6=0,"",IFERROR(T11/T12,0))</f>
        <v/>
      </c>
      <c r="U16" s="16">
        <f>IF(U6=0,"",IFERROR(U11/U12,0))</f>
        <v/>
      </c>
      <c r="V16" s="16">
        <f>IF(V6=0,"",IFERROR(V11/V12,0))</f>
        <v/>
      </c>
      <c r="W16" s="16">
        <f>IF(W6=0,"",IFERROR(W11/W12,0))</f>
        <v/>
      </c>
      <c r="X16" s="16">
        <f>IF(X6=0,"",IFERROR(X11/X12,0))</f>
        <v/>
      </c>
      <c r="Y16" s="16">
        <f>IF(Y6=0,"",IFERROR(Y11/Y12,0))</f>
        <v/>
      </c>
      <c r="Z16" s="16">
        <f>IF(Z6=0,"",IFERROR(Z11/Z12,0))</f>
        <v/>
      </c>
      <c r="AA16" s="16">
        <f>IF(AA6=0,"",IFERROR(AA11/AA12,0))</f>
        <v/>
      </c>
      <c r="AB16" s="16">
        <f>IF(AB6=0,"",IFERROR(AB11/AB12,0))</f>
        <v/>
      </c>
      <c r="AC16" s="16">
        <f>IFERROR(AVERAGE(C16:AB16),"")</f>
        <v/>
      </c>
      <c r="AD16" s="16">
        <f>IFERROR(MEDIAN(C16:AB16),"")</f>
        <v/>
      </c>
      <c r="AE16" s="16">
        <f>IFERROR(MIN(C16:AB16),"")</f>
        <v/>
      </c>
      <c r="AF16" s="16">
        <f>IFERROR(MAX(C16:AB16),"")</f>
        <v/>
      </c>
    </row>
    <row r="17">
      <c r="A17" t="inlineStr">
        <is>
          <t>Anuncios</t>
        </is>
      </c>
      <c r="B17" s="25" t="inlineStr">
        <is>
          <t>CTR al enlace</t>
        </is>
      </c>
      <c r="C17" s="17">
        <f>IF(C6=0,"",IFERROR(C13/C11,0))</f>
        <v/>
      </c>
      <c r="D17" s="17">
        <f>IF(D6=0,"",IFERROR(D13/D11,0))</f>
        <v/>
      </c>
      <c r="E17" s="17">
        <f>IF(E6=0,"",IFERROR(E13/E11,0))</f>
        <v/>
      </c>
      <c r="F17" s="17">
        <f>IF(F6=0,"",IFERROR(F13/F11,0))</f>
        <v/>
      </c>
      <c r="G17" s="17">
        <f>IF(G6=0,"",IFERROR(G13/G11,0))</f>
        <v/>
      </c>
      <c r="H17" s="17">
        <f>IF(H6=0,"",IFERROR(H13/H11,0))</f>
        <v/>
      </c>
      <c r="I17" s="17">
        <f>IF(I6=0,"",IFERROR(I13/I11,0))</f>
        <v/>
      </c>
      <c r="J17" s="17">
        <f>IF(J6=0,"",IFERROR(J13/J11,0))</f>
        <v/>
      </c>
      <c r="K17" s="17">
        <f>IF(K6=0,"",IFERROR(K13/K11,0))</f>
        <v/>
      </c>
      <c r="L17" s="17">
        <f>IF(L6=0,"",IFERROR(L13/L11,0))</f>
        <v/>
      </c>
      <c r="M17" s="17">
        <f>IF(M6=0,"",IFERROR(M13/M11,0))</f>
        <v/>
      </c>
      <c r="N17" s="17">
        <f>IF(N6=0,"",IFERROR(N13/N11,0))</f>
        <v/>
      </c>
      <c r="O17" s="17">
        <f>IF(O6=0,"",IFERROR(O13/O11,0))</f>
        <v/>
      </c>
      <c r="P17" s="17">
        <f>IF(P6=0,"",IFERROR(P13/P11,0))</f>
        <v/>
      </c>
      <c r="Q17" s="17">
        <f>IF(Q6=0,"",IFERROR(Q13/Q11,0))</f>
        <v/>
      </c>
      <c r="R17" s="17">
        <f>IF(R6=0,"",IFERROR(R13/R11,0))</f>
        <v/>
      </c>
      <c r="S17" s="17">
        <f>IF(S6=0,"",IFERROR(S13/S11,0))</f>
        <v/>
      </c>
      <c r="T17" s="17">
        <f>IF(T6=0,"",IFERROR(T13/T11,0))</f>
        <v/>
      </c>
      <c r="U17" s="17">
        <f>IF(U6=0,"",IFERROR(U13/U11,0))</f>
        <v/>
      </c>
      <c r="V17" s="17">
        <f>IF(V6=0,"",IFERROR(V13/V11,0))</f>
        <v/>
      </c>
      <c r="W17" s="17">
        <f>IF(W6=0,"",IFERROR(W13/W11,0))</f>
        <v/>
      </c>
      <c r="X17" s="17">
        <f>IF(X6=0,"",IFERROR(X13/X11,0))</f>
        <v/>
      </c>
      <c r="Y17" s="17">
        <f>IF(Y6=0,"",IFERROR(Y13/Y11,0))</f>
        <v/>
      </c>
      <c r="Z17" s="17">
        <f>IF(Z6=0,"",IFERROR(Z13/Z11,0))</f>
        <v/>
      </c>
      <c r="AA17" s="17">
        <f>IF(AA6=0,"",IFERROR(AA13/AA11,0))</f>
        <v/>
      </c>
      <c r="AB17" s="17">
        <f>IF(AB6=0,"",IFERROR(AB13/AB11,0))</f>
        <v/>
      </c>
      <c r="AC17" s="17">
        <f>IFERROR(AVERAGE(C17:AB17),"")</f>
        <v/>
      </c>
      <c r="AD17" s="17">
        <f>IFERROR(MEDIAN(C17:AB17),"")</f>
        <v/>
      </c>
      <c r="AE17" s="17">
        <f>IFERROR(MAX(C17:AB17),"")</f>
        <v/>
      </c>
      <c r="AF17" s="17">
        <f>IFERROR(MIN(C17:AB17),"")</f>
        <v/>
      </c>
    </row>
    <row r="18">
      <c r="A18" t="inlineStr">
        <is>
          <t>Anuncios</t>
        </is>
      </c>
      <c r="B18" s="5" t="inlineStr">
        <is>
          <t>CPC (por clic en el enlace)</t>
        </is>
      </c>
      <c r="C18" s="15">
        <f>IF(C6=0,"",IFERROR(C10/C13,0))</f>
        <v/>
      </c>
      <c r="D18" s="15">
        <f>IF(D6=0,"",IFERROR(D10/D13,0))</f>
        <v/>
      </c>
      <c r="E18" s="15">
        <f>IF(E6=0,"",IFERROR(E10/E13,0))</f>
        <v/>
      </c>
      <c r="F18" s="15">
        <f>IF(F6=0,"",IFERROR(F10/F13,0))</f>
        <v/>
      </c>
      <c r="G18" s="15">
        <f>IF(G6=0,"",IFERROR(G10/G13,0))</f>
        <v/>
      </c>
      <c r="H18" s="15">
        <f>IF(H6=0,"",IFERROR(H10/H13,0))</f>
        <v/>
      </c>
      <c r="I18" s="15">
        <f>IF(I6=0,"",IFERROR(I10/I13,0))</f>
        <v/>
      </c>
      <c r="J18" s="15">
        <f>IF(J6=0,"",IFERROR(J10/J13,0))</f>
        <v/>
      </c>
      <c r="K18" s="15">
        <f>IF(K6=0,"",IFERROR(K10/K13,0))</f>
        <v/>
      </c>
      <c r="L18" s="15">
        <f>IF(L6=0,"",IFERROR(L10/L13,0))</f>
        <v/>
      </c>
      <c r="M18" s="15">
        <f>IF(M6=0,"",IFERROR(M10/M13,0))</f>
        <v/>
      </c>
      <c r="N18" s="15">
        <f>IF(N6=0,"",IFERROR(N10/N13,0))</f>
        <v/>
      </c>
      <c r="O18" s="15">
        <f>IF(O6=0,"",IFERROR(O10/O13,0))</f>
        <v/>
      </c>
      <c r="P18" s="15">
        <f>IF(P6=0,"",IFERROR(P10/P13,0))</f>
        <v/>
      </c>
      <c r="Q18" s="15">
        <f>IF(Q6=0,"",IFERROR(Q10/Q13,0))</f>
        <v/>
      </c>
      <c r="R18" s="15">
        <f>IF(R6=0,"",IFERROR(R10/R13,0))</f>
        <v/>
      </c>
      <c r="S18" s="15">
        <f>IF(S6=0,"",IFERROR(S10/S13,0))</f>
        <v/>
      </c>
      <c r="T18" s="15">
        <f>IF(T6=0,"",IFERROR(T10/T13,0))</f>
        <v/>
      </c>
      <c r="U18" s="15">
        <f>IF(U6=0,"",IFERROR(U10/U13,0))</f>
        <v/>
      </c>
      <c r="V18" s="15">
        <f>IF(V6=0,"",IFERROR(V10/V13,0))</f>
        <v/>
      </c>
      <c r="W18" s="15">
        <f>IF(W6=0,"",IFERROR(W10/W13,0))</f>
        <v/>
      </c>
      <c r="X18" s="15">
        <f>IF(X6=0,"",IFERROR(X10/X13,0))</f>
        <v/>
      </c>
      <c r="Y18" s="15">
        <f>IF(Y6=0,"",IFERROR(Y10/Y13,0))</f>
        <v/>
      </c>
      <c r="Z18" s="15">
        <f>IF(Z6=0,"",IFERROR(Z10/Z13,0))</f>
        <v/>
      </c>
      <c r="AA18" s="15">
        <f>IF(AA6=0,"",IFERROR(AA10/AA13,0))</f>
        <v/>
      </c>
      <c r="AB18" s="15">
        <f>IF(AB6=0,"",IFERROR(AB10/AB13,0))</f>
        <v/>
      </c>
      <c r="AC18" s="15">
        <f>IFERROR(AVERAGE(C18:AB18),"")</f>
        <v/>
      </c>
      <c r="AD18" s="15">
        <f>IFERROR(MEDIAN(C18:AB18),"")</f>
        <v/>
      </c>
      <c r="AE18" s="15">
        <f>IFERROR(MIN(C18:AB18),"")</f>
        <v/>
      </c>
      <c r="AF18" s="15">
        <f>IFERROR(MAX(C18:AB18),"")</f>
        <v/>
      </c>
    </row>
    <row r="19">
      <c r="A19" t="inlineStr">
        <is>
          <t>Anuncios</t>
        </is>
      </c>
      <c r="B19" s="5" t="inlineStr">
        <is>
          <t>% clic → visita</t>
        </is>
      </c>
      <c r="C19" s="18">
        <f>IF(C6=0,"",IFERROR(C14/C13,0))</f>
        <v/>
      </c>
      <c r="D19" s="18">
        <f>IF(D6=0,"",IFERROR(D14/D13,0))</f>
        <v/>
      </c>
      <c r="E19" s="18">
        <f>IF(E6=0,"",IFERROR(E14/E13,0))</f>
        <v/>
      </c>
      <c r="F19" s="18">
        <f>IF(F6=0,"",IFERROR(F14/F13,0))</f>
        <v/>
      </c>
      <c r="G19" s="18">
        <f>IF(G6=0,"",IFERROR(G14/G13,0))</f>
        <v/>
      </c>
      <c r="H19" s="18">
        <f>IF(H6=0,"",IFERROR(H14/H13,0))</f>
        <v/>
      </c>
      <c r="I19" s="18">
        <f>IF(I6=0,"",IFERROR(I14/I13,0))</f>
        <v/>
      </c>
      <c r="J19" s="18">
        <f>IF(J6=0,"",IFERROR(J14/J13,0))</f>
        <v/>
      </c>
      <c r="K19" s="18">
        <f>IF(K6=0,"",IFERROR(K14/K13,0))</f>
        <v/>
      </c>
      <c r="L19" s="18">
        <f>IF(L6=0,"",IFERROR(L14/L13,0))</f>
        <v/>
      </c>
      <c r="M19" s="18">
        <f>IF(M6=0,"",IFERROR(M14/M13,0))</f>
        <v/>
      </c>
      <c r="N19" s="18">
        <f>IF(N6=0,"",IFERROR(N14/N13,0))</f>
        <v/>
      </c>
      <c r="O19" s="18">
        <f>IF(O6=0,"",IFERROR(O14/O13,0))</f>
        <v/>
      </c>
      <c r="P19" s="18">
        <f>IF(P6=0,"",IFERROR(P14/P13,0))</f>
        <v/>
      </c>
      <c r="Q19" s="18">
        <f>IF(Q6=0,"",IFERROR(Q14/Q13,0))</f>
        <v/>
      </c>
      <c r="R19" s="18">
        <f>IF(R6=0,"",IFERROR(R14/R13,0))</f>
        <v/>
      </c>
      <c r="S19" s="18">
        <f>IF(S6=0,"",IFERROR(S14/S13,0))</f>
        <v/>
      </c>
      <c r="T19" s="18">
        <f>IF(T6=0,"",IFERROR(T14/T13,0))</f>
        <v/>
      </c>
      <c r="U19" s="18">
        <f>IF(U6=0,"",IFERROR(U14/U13,0))</f>
        <v/>
      </c>
      <c r="V19" s="18">
        <f>IF(V6=0,"",IFERROR(V14/V13,0))</f>
        <v/>
      </c>
      <c r="W19" s="18">
        <f>IF(W6=0,"",IFERROR(W14/W13,0))</f>
        <v/>
      </c>
      <c r="X19" s="18">
        <f>IF(X6=0,"",IFERROR(X14/X13,0))</f>
        <v/>
      </c>
      <c r="Y19" s="18">
        <f>IF(Y6=0,"",IFERROR(Y14/Y13,0))</f>
        <v/>
      </c>
      <c r="Z19" s="18">
        <f>IF(Z6=0,"",IFERROR(Z14/Z13,0))</f>
        <v/>
      </c>
      <c r="AA19" s="18">
        <f>IF(AA6=0,"",IFERROR(AA14/AA13,0))</f>
        <v/>
      </c>
      <c r="AB19" s="18">
        <f>IF(AB6=0,"",IFERROR(AB14/AB13,0))</f>
        <v/>
      </c>
      <c r="AC19" s="18">
        <f>IFERROR(AVERAGE(C19:AB19),"")</f>
        <v/>
      </c>
      <c r="AD19" s="18">
        <f>IFERROR(MEDIAN(C19:AB19),"")</f>
        <v/>
      </c>
      <c r="AE19" s="18">
        <f>IFERROR(MAX(C19:AB19),"")</f>
        <v/>
      </c>
      <c r="AF19" s="18">
        <f>IFERROR(MIN(C19:AB19),"")</f>
        <v/>
      </c>
    </row>
    <row r="20">
      <c r="A20" t="inlineStr">
        <is>
          <t>Anuncios</t>
        </is>
      </c>
      <c r="B20" s="25" t="inlineStr">
        <is>
          <t>Costo por visita</t>
        </is>
      </c>
      <c r="C20" s="15">
        <f>IF(C6=0,"",IFERROR(C10/C14,0))</f>
        <v/>
      </c>
      <c r="D20" s="15">
        <f>IF(D6=0,"",IFERROR(D10/D14,0))</f>
        <v/>
      </c>
      <c r="E20" s="15">
        <f>IF(E6=0,"",IFERROR(E10/E14,0))</f>
        <v/>
      </c>
      <c r="F20" s="15">
        <f>IF(F6=0,"",IFERROR(F10/F14,0))</f>
        <v/>
      </c>
      <c r="G20" s="15">
        <f>IF(G6=0,"",IFERROR(G10/G14,0))</f>
        <v/>
      </c>
      <c r="H20" s="15">
        <f>IF(H6=0,"",IFERROR(H10/H14,0))</f>
        <v/>
      </c>
      <c r="I20" s="15">
        <f>IF(I6=0,"",IFERROR(I10/I14,0))</f>
        <v/>
      </c>
      <c r="J20" s="15">
        <f>IF(J6=0,"",IFERROR(J10/J14,0))</f>
        <v/>
      </c>
      <c r="K20" s="15">
        <f>IF(K6=0,"",IFERROR(K10/K14,0))</f>
        <v/>
      </c>
      <c r="L20" s="15">
        <f>IF(L6=0,"",IFERROR(L10/L14,0))</f>
        <v/>
      </c>
      <c r="M20" s="15">
        <f>IF(M6=0,"",IFERROR(M10/M14,0))</f>
        <v/>
      </c>
      <c r="N20" s="15">
        <f>IF(N6=0,"",IFERROR(N10/N14,0))</f>
        <v/>
      </c>
      <c r="O20" s="15">
        <f>IF(O6=0,"",IFERROR(O10/O14,0))</f>
        <v/>
      </c>
      <c r="P20" s="15">
        <f>IF(P6=0,"",IFERROR(P10/P14,0))</f>
        <v/>
      </c>
      <c r="Q20" s="15">
        <f>IF(Q6=0,"",IFERROR(Q10/Q14,0))</f>
        <v/>
      </c>
      <c r="R20" s="15">
        <f>IF(R6=0,"",IFERROR(R10/R14,0))</f>
        <v/>
      </c>
      <c r="S20" s="15">
        <f>IF(S6=0,"",IFERROR(S10/S14,0))</f>
        <v/>
      </c>
      <c r="T20" s="15">
        <f>IF(T6=0,"",IFERROR(T10/T14,0))</f>
        <v/>
      </c>
      <c r="U20" s="15">
        <f>IF(U6=0,"",IFERROR(U10/U14,0))</f>
        <v/>
      </c>
      <c r="V20" s="15">
        <f>IF(V6=0,"",IFERROR(V10/V14,0))</f>
        <v/>
      </c>
      <c r="W20" s="15">
        <f>IF(W6=0,"",IFERROR(W10/W14,0))</f>
        <v/>
      </c>
      <c r="X20" s="15">
        <f>IF(X6=0,"",IFERROR(X10/X14,0))</f>
        <v/>
      </c>
      <c r="Y20" s="15">
        <f>IF(Y6=0,"",IFERROR(Y10/Y14,0))</f>
        <v/>
      </c>
      <c r="Z20" s="15">
        <f>IF(Z6=0,"",IFERROR(Z10/Z14,0))</f>
        <v/>
      </c>
      <c r="AA20" s="15">
        <f>IF(AA6=0,"",IFERROR(AA10/AA14,0))</f>
        <v/>
      </c>
      <c r="AB20" s="15">
        <f>IF(AB6=0,"",IFERROR(AB10/AB14,0))</f>
        <v/>
      </c>
      <c r="AC20" s="15">
        <f>IFERROR(AVERAGE(C20:AB20),"")</f>
        <v/>
      </c>
      <c r="AD20" s="15">
        <f>IFERROR(MEDIAN(C20:AB20),"")</f>
        <v/>
      </c>
      <c r="AE20" s="15">
        <f>IFERROR(MIN(C20:AB20),"")</f>
        <v/>
      </c>
      <c r="AF20" s="15">
        <f>IFERROR(MAX(C20:AB20),"")</f>
        <v/>
      </c>
    </row>
    <row r="21">
      <c r="A21" t="inlineStr">
        <is>
          <t>Anuncios</t>
        </is>
      </c>
      <c r="B21" s="5" t="inlineStr">
        <is>
          <t>Visitas por cada 1.000 impresiones</t>
        </is>
      </c>
      <c r="C21" s="19">
        <f>IF(C6=0,"",IFERROR(C14/C11*1000,0))</f>
        <v/>
      </c>
      <c r="D21" s="19">
        <f>IF(D6=0,"",IFERROR(D14/D11*1000,0))</f>
        <v/>
      </c>
      <c r="E21" s="19">
        <f>IF(E6=0,"",IFERROR(E14/E11*1000,0))</f>
        <v/>
      </c>
      <c r="F21" s="19">
        <f>IF(F6=0,"",IFERROR(F14/F11*1000,0))</f>
        <v/>
      </c>
      <c r="G21" s="19">
        <f>IF(G6=0,"",IFERROR(G14/G11*1000,0))</f>
        <v/>
      </c>
      <c r="H21" s="19">
        <f>IF(H6=0,"",IFERROR(H14/H11*1000,0))</f>
        <v/>
      </c>
      <c r="I21" s="19">
        <f>IF(I6=0,"",IFERROR(I14/I11*1000,0))</f>
        <v/>
      </c>
      <c r="J21" s="19">
        <f>IF(J6=0,"",IFERROR(J14/J11*1000,0))</f>
        <v/>
      </c>
      <c r="K21" s="19">
        <f>IF(K6=0,"",IFERROR(K14/K11*1000,0))</f>
        <v/>
      </c>
      <c r="L21" s="19">
        <f>IF(L6=0,"",IFERROR(L14/L11*1000,0))</f>
        <v/>
      </c>
      <c r="M21" s="19">
        <f>IF(M6=0,"",IFERROR(M14/M11*1000,0))</f>
        <v/>
      </c>
      <c r="N21" s="19">
        <f>IF(N6=0,"",IFERROR(N14/N11*1000,0))</f>
        <v/>
      </c>
      <c r="O21" s="19">
        <f>IF(O6=0,"",IFERROR(O14/O11*1000,0))</f>
        <v/>
      </c>
      <c r="P21" s="19">
        <f>IF(P6=0,"",IFERROR(P14/P11*1000,0))</f>
        <v/>
      </c>
      <c r="Q21" s="19">
        <f>IF(Q6=0,"",IFERROR(Q14/Q11*1000,0))</f>
        <v/>
      </c>
      <c r="R21" s="19">
        <f>IF(R6=0,"",IFERROR(R14/R11*1000,0))</f>
        <v/>
      </c>
      <c r="S21" s="19">
        <f>IF(S6=0,"",IFERROR(S14/S11*1000,0))</f>
        <v/>
      </c>
      <c r="T21" s="19">
        <f>IF(T6=0,"",IFERROR(T14/T11*1000,0))</f>
        <v/>
      </c>
      <c r="U21" s="19">
        <f>IF(U6=0,"",IFERROR(U14/U11*1000,0))</f>
        <v/>
      </c>
      <c r="V21" s="19">
        <f>IF(V6=0,"",IFERROR(V14/V11*1000,0))</f>
        <v/>
      </c>
      <c r="W21" s="19">
        <f>IF(W6=0,"",IFERROR(W14/W11*1000,0))</f>
        <v/>
      </c>
      <c r="X21" s="19">
        <f>IF(X6=0,"",IFERROR(X14/X11*1000,0))</f>
        <v/>
      </c>
      <c r="Y21" s="19">
        <f>IF(Y6=0,"",IFERROR(Y14/Y11*1000,0))</f>
        <v/>
      </c>
      <c r="Z21" s="19">
        <f>IF(Z6=0,"",IFERROR(Z14/Z11*1000,0))</f>
        <v/>
      </c>
      <c r="AA21" s="19">
        <f>IF(AA6=0,"",IFERROR(AA14/AA11*1000,0))</f>
        <v/>
      </c>
      <c r="AB21" s="19">
        <f>IF(AB6=0,"",IFERROR(AB14/AB11*1000,0))</f>
        <v/>
      </c>
      <c r="AC21" s="19">
        <f>IFERROR(AVERAGE(C21:AB21),"")</f>
        <v/>
      </c>
      <c r="AD21" s="19">
        <f>IFERROR(MEDIAN(C21:AB21),"")</f>
        <v/>
      </c>
      <c r="AE21" s="19">
        <f>IFERROR(MAX(C21:AB21),"")</f>
        <v/>
      </c>
      <c r="AF21" s="19">
        <f>IFERROR(MIN(C21:AB21),"")</f>
        <v/>
      </c>
    </row>
    <row r="23">
      <c r="A23" s="23" t="inlineStr">
        <is>
          <t>2. Página de ventas y compra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</row>
    <row r="24">
      <c r="A24" t="inlineStr">
        <is>
          <t>Página de ventas y compra</t>
        </is>
      </c>
      <c r="B24" s="5" t="inlineStr">
        <is>
          <t>Inician el checkout</t>
        </is>
      </c>
      <c r="C24" s="13">
        <f>IF(C6=0,"",SUMIFS(Diario!$H$6:$H$371,Diario!$B$6:$B$371,C$5))</f>
        <v/>
      </c>
      <c r="D24" s="13">
        <f>IF(D6=0,"",SUMIFS(Diario!$H$6:$H$371,Diario!$B$6:$B$371,D$5))</f>
        <v/>
      </c>
      <c r="E24" s="13">
        <f>IF(E6=0,"",SUMIFS(Diario!$H$6:$H$371,Diario!$B$6:$B$371,E$5))</f>
        <v/>
      </c>
      <c r="F24" s="13">
        <f>IF(F6=0,"",SUMIFS(Diario!$H$6:$H$371,Diario!$B$6:$B$371,F$5))</f>
        <v/>
      </c>
      <c r="G24" s="13">
        <f>IF(G6=0,"",SUMIFS(Diario!$H$6:$H$371,Diario!$B$6:$B$371,G$5))</f>
        <v/>
      </c>
      <c r="H24" s="13">
        <f>IF(H6=0,"",SUMIFS(Diario!$H$6:$H$371,Diario!$B$6:$B$371,H$5))</f>
        <v/>
      </c>
      <c r="I24" s="13">
        <f>IF(I6=0,"",SUMIFS(Diario!$H$6:$H$371,Diario!$B$6:$B$371,I$5))</f>
        <v/>
      </c>
      <c r="J24" s="13">
        <f>IF(J6=0,"",SUMIFS(Diario!$H$6:$H$371,Diario!$B$6:$B$371,J$5))</f>
        <v/>
      </c>
      <c r="K24" s="13">
        <f>IF(K6=0,"",SUMIFS(Diario!$H$6:$H$371,Diario!$B$6:$B$371,K$5))</f>
        <v/>
      </c>
      <c r="L24" s="13">
        <f>IF(L6=0,"",SUMIFS(Diario!$H$6:$H$371,Diario!$B$6:$B$371,L$5))</f>
        <v/>
      </c>
      <c r="M24" s="13">
        <f>IF(M6=0,"",SUMIFS(Diario!$H$6:$H$371,Diario!$B$6:$B$371,M$5))</f>
        <v/>
      </c>
      <c r="N24" s="13">
        <f>IF(N6=0,"",SUMIFS(Diario!$H$6:$H$371,Diario!$B$6:$B$371,N$5))</f>
        <v/>
      </c>
      <c r="O24" s="13">
        <f>IF(O6=0,"",SUMIFS(Diario!$H$6:$H$371,Diario!$B$6:$B$371,O$5))</f>
        <v/>
      </c>
      <c r="P24" s="13">
        <f>IF(P6=0,"",SUMIFS(Diario!$H$6:$H$371,Diario!$B$6:$B$371,P$5))</f>
        <v/>
      </c>
      <c r="Q24" s="13">
        <f>IF(Q6=0,"",SUMIFS(Diario!$H$6:$H$371,Diario!$B$6:$B$371,Q$5))</f>
        <v/>
      </c>
      <c r="R24" s="13">
        <f>IF(R6=0,"",SUMIFS(Diario!$H$6:$H$371,Diario!$B$6:$B$371,R$5))</f>
        <v/>
      </c>
      <c r="S24" s="13">
        <f>IF(S6=0,"",SUMIFS(Diario!$H$6:$H$371,Diario!$B$6:$B$371,S$5))</f>
        <v/>
      </c>
      <c r="T24" s="13">
        <f>IF(T6=0,"",SUMIFS(Diario!$H$6:$H$371,Diario!$B$6:$B$371,T$5))</f>
        <v/>
      </c>
      <c r="U24" s="13">
        <f>IF(U6=0,"",SUMIFS(Diario!$H$6:$H$371,Diario!$B$6:$B$371,U$5))</f>
        <v/>
      </c>
      <c r="V24" s="13">
        <f>IF(V6=0,"",SUMIFS(Diario!$H$6:$H$371,Diario!$B$6:$B$371,V$5))</f>
        <v/>
      </c>
      <c r="W24" s="13">
        <f>IF(W6=0,"",SUMIFS(Diario!$H$6:$H$371,Diario!$B$6:$B$371,W$5))</f>
        <v/>
      </c>
      <c r="X24" s="13">
        <f>IF(X6=0,"",SUMIFS(Diario!$H$6:$H$371,Diario!$B$6:$B$371,X$5))</f>
        <v/>
      </c>
      <c r="Y24" s="13">
        <f>IF(Y6=0,"",SUMIFS(Diario!$H$6:$H$371,Diario!$B$6:$B$371,Y$5))</f>
        <v/>
      </c>
      <c r="Z24" s="13">
        <f>IF(Z6=0,"",SUMIFS(Diario!$H$6:$H$371,Diario!$B$6:$B$371,Z$5))</f>
        <v/>
      </c>
      <c r="AA24" s="13">
        <f>IF(AA6=0,"",SUMIFS(Diario!$H$6:$H$371,Diario!$B$6:$B$371,AA$5))</f>
        <v/>
      </c>
      <c r="AB24" s="13">
        <f>IF(AB6=0,"",SUMIFS(Diario!$H$6:$H$371,Diario!$B$6:$B$371,AB$5))</f>
        <v/>
      </c>
      <c r="AC24" s="13">
        <f>IFERROR(AVERAGE(C24:AB24),"")</f>
        <v/>
      </c>
      <c r="AD24" s="13">
        <f>IFERROR(MEDIAN(C24:AB24),"")</f>
        <v/>
      </c>
      <c r="AE24" s="13">
        <f>IFERROR(MAX(C24:AB24),"")</f>
        <v/>
      </c>
      <c r="AF24" s="13">
        <f>IFERROR(MIN(C24:AB24),"")</f>
        <v/>
      </c>
    </row>
    <row r="25">
      <c r="A25" t="inlineStr">
        <is>
          <t>Página de ventas y compra</t>
        </is>
      </c>
      <c r="B25" s="5" t="inlineStr">
        <is>
          <t>Compran el producto principal</t>
        </is>
      </c>
      <c r="C25" s="13">
        <f>IF(C6=0,"",SUMIFS(Diario!$I$6:$I$371,Diario!$B$6:$B$371,C$5))</f>
        <v/>
      </c>
      <c r="D25" s="13">
        <f>IF(D6=0,"",SUMIFS(Diario!$I$6:$I$371,Diario!$B$6:$B$371,D$5))</f>
        <v/>
      </c>
      <c r="E25" s="13">
        <f>IF(E6=0,"",SUMIFS(Diario!$I$6:$I$371,Diario!$B$6:$B$371,E$5))</f>
        <v/>
      </c>
      <c r="F25" s="13">
        <f>IF(F6=0,"",SUMIFS(Diario!$I$6:$I$371,Diario!$B$6:$B$371,F$5))</f>
        <v/>
      </c>
      <c r="G25" s="13">
        <f>IF(G6=0,"",SUMIFS(Diario!$I$6:$I$371,Diario!$B$6:$B$371,G$5))</f>
        <v/>
      </c>
      <c r="H25" s="13">
        <f>IF(H6=0,"",SUMIFS(Diario!$I$6:$I$371,Diario!$B$6:$B$371,H$5))</f>
        <v/>
      </c>
      <c r="I25" s="13">
        <f>IF(I6=0,"",SUMIFS(Diario!$I$6:$I$371,Diario!$B$6:$B$371,I$5))</f>
        <v/>
      </c>
      <c r="J25" s="13">
        <f>IF(J6=0,"",SUMIFS(Diario!$I$6:$I$371,Diario!$B$6:$B$371,J$5))</f>
        <v/>
      </c>
      <c r="K25" s="13">
        <f>IF(K6=0,"",SUMIFS(Diario!$I$6:$I$371,Diario!$B$6:$B$371,K$5))</f>
        <v/>
      </c>
      <c r="L25" s="13">
        <f>IF(L6=0,"",SUMIFS(Diario!$I$6:$I$371,Diario!$B$6:$B$371,L$5))</f>
        <v/>
      </c>
      <c r="M25" s="13">
        <f>IF(M6=0,"",SUMIFS(Diario!$I$6:$I$371,Diario!$B$6:$B$371,M$5))</f>
        <v/>
      </c>
      <c r="N25" s="13">
        <f>IF(N6=0,"",SUMIFS(Diario!$I$6:$I$371,Diario!$B$6:$B$371,N$5))</f>
        <v/>
      </c>
      <c r="O25" s="13">
        <f>IF(O6=0,"",SUMIFS(Diario!$I$6:$I$371,Diario!$B$6:$B$371,O$5))</f>
        <v/>
      </c>
      <c r="P25" s="13">
        <f>IF(P6=0,"",SUMIFS(Diario!$I$6:$I$371,Diario!$B$6:$B$371,P$5))</f>
        <v/>
      </c>
      <c r="Q25" s="13">
        <f>IF(Q6=0,"",SUMIFS(Diario!$I$6:$I$371,Diario!$B$6:$B$371,Q$5))</f>
        <v/>
      </c>
      <c r="R25" s="13">
        <f>IF(R6=0,"",SUMIFS(Diario!$I$6:$I$371,Diario!$B$6:$B$371,R$5))</f>
        <v/>
      </c>
      <c r="S25" s="13">
        <f>IF(S6=0,"",SUMIFS(Diario!$I$6:$I$371,Diario!$B$6:$B$371,S$5))</f>
        <v/>
      </c>
      <c r="T25" s="13">
        <f>IF(T6=0,"",SUMIFS(Diario!$I$6:$I$371,Diario!$B$6:$B$371,T$5))</f>
        <v/>
      </c>
      <c r="U25" s="13">
        <f>IF(U6=0,"",SUMIFS(Diario!$I$6:$I$371,Diario!$B$6:$B$371,U$5))</f>
        <v/>
      </c>
      <c r="V25" s="13">
        <f>IF(V6=0,"",SUMIFS(Diario!$I$6:$I$371,Diario!$B$6:$B$371,V$5))</f>
        <v/>
      </c>
      <c r="W25" s="13">
        <f>IF(W6=0,"",SUMIFS(Diario!$I$6:$I$371,Diario!$B$6:$B$371,W$5))</f>
        <v/>
      </c>
      <c r="X25" s="13">
        <f>IF(X6=0,"",SUMIFS(Diario!$I$6:$I$371,Diario!$B$6:$B$371,X$5))</f>
        <v/>
      </c>
      <c r="Y25" s="13">
        <f>IF(Y6=0,"",SUMIFS(Diario!$I$6:$I$371,Diario!$B$6:$B$371,Y$5))</f>
        <v/>
      </c>
      <c r="Z25" s="13">
        <f>IF(Z6=0,"",SUMIFS(Diario!$I$6:$I$371,Diario!$B$6:$B$371,Z$5))</f>
        <v/>
      </c>
      <c r="AA25" s="13">
        <f>IF(AA6=0,"",SUMIFS(Diario!$I$6:$I$371,Diario!$B$6:$B$371,AA$5))</f>
        <v/>
      </c>
      <c r="AB25" s="13">
        <f>IF(AB6=0,"",SUMIFS(Diario!$I$6:$I$371,Diario!$B$6:$B$371,AB$5))</f>
        <v/>
      </c>
      <c r="AC25" s="13">
        <f>IFERROR(AVERAGE(C25:AB25),"")</f>
        <v/>
      </c>
      <c r="AD25" s="13">
        <f>IFERROR(MEDIAN(C25:AB25),"")</f>
        <v/>
      </c>
      <c r="AE25" s="13">
        <f>IFERROR(MAX(C25:AB25),"")</f>
        <v/>
      </c>
      <c r="AF25" s="13">
        <f>IFERROR(MIN(C25:AB25),"")</f>
        <v/>
      </c>
    </row>
    <row r="26">
      <c r="A26" t="inlineStr">
        <is>
          <t>Página de ventas y compra</t>
        </is>
      </c>
      <c r="B26" s="25" t="inlineStr">
        <is>
          <t>% visita → checkout</t>
        </is>
      </c>
      <c r="C26" s="18">
        <f>IF(C6=0,"",IFERROR(C24/C14,0))</f>
        <v/>
      </c>
      <c r="D26" s="18">
        <f>IF(D6=0,"",IFERROR(D24/D14,0))</f>
        <v/>
      </c>
      <c r="E26" s="18">
        <f>IF(E6=0,"",IFERROR(E24/E14,0))</f>
        <v/>
      </c>
      <c r="F26" s="18">
        <f>IF(F6=0,"",IFERROR(F24/F14,0))</f>
        <v/>
      </c>
      <c r="G26" s="18">
        <f>IF(G6=0,"",IFERROR(G24/G14,0))</f>
        <v/>
      </c>
      <c r="H26" s="18">
        <f>IF(H6=0,"",IFERROR(H24/H14,0))</f>
        <v/>
      </c>
      <c r="I26" s="18">
        <f>IF(I6=0,"",IFERROR(I24/I14,0))</f>
        <v/>
      </c>
      <c r="J26" s="18">
        <f>IF(J6=0,"",IFERROR(J24/J14,0))</f>
        <v/>
      </c>
      <c r="K26" s="18">
        <f>IF(K6=0,"",IFERROR(K24/K14,0))</f>
        <v/>
      </c>
      <c r="L26" s="18">
        <f>IF(L6=0,"",IFERROR(L24/L14,0))</f>
        <v/>
      </c>
      <c r="M26" s="18">
        <f>IF(M6=0,"",IFERROR(M24/M14,0))</f>
        <v/>
      </c>
      <c r="N26" s="18">
        <f>IF(N6=0,"",IFERROR(N24/N14,0))</f>
        <v/>
      </c>
      <c r="O26" s="18">
        <f>IF(O6=0,"",IFERROR(O24/O14,0))</f>
        <v/>
      </c>
      <c r="P26" s="18">
        <f>IF(P6=0,"",IFERROR(P24/P14,0))</f>
        <v/>
      </c>
      <c r="Q26" s="18">
        <f>IF(Q6=0,"",IFERROR(Q24/Q14,0))</f>
        <v/>
      </c>
      <c r="R26" s="18">
        <f>IF(R6=0,"",IFERROR(R24/R14,0))</f>
        <v/>
      </c>
      <c r="S26" s="18">
        <f>IF(S6=0,"",IFERROR(S24/S14,0))</f>
        <v/>
      </c>
      <c r="T26" s="18">
        <f>IF(T6=0,"",IFERROR(T24/T14,0))</f>
        <v/>
      </c>
      <c r="U26" s="18">
        <f>IF(U6=0,"",IFERROR(U24/U14,0))</f>
        <v/>
      </c>
      <c r="V26" s="18">
        <f>IF(V6=0,"",IFERROR(V24/V14,0))</f>
        <v/>
      </c>
      <c r="W26" s="18">
        <f>IF(W6=0,"",IFERROR(W24/W14,0))</f>
        <v/>
      </c>
      <c r="X26" s="18">
        <f>IF(X6=0,"",IFERROR(X24/X14,0))</f>
        <v/>
      </c>
      <c r="Y26" s="18">
        <f>IF(Y6=0,"",IFERROR(Y24/Y14,0))</f>
        <v/>
      </c>
      <c r="Z26" s="18">
        <f>IF(Z6=0,"",IFERROR(Z24/Z14,0))</f>
        <v/>
      </c>
      <c r="AA26" s="18">
        <f>IF(AA6=0,"",IFERROR(AA24/AA14,0))</f>
        <v/>
      </c>
      <c r="AB26" s="18">
        <f>IF(AB6=0,"",IFERROR(AB24/AB14,0))</f>
        <v/>
      </c>
      <c r="AC26" s="18">
        <f>IFERROR(AVERAGE(C26:AB26),"")</f>
        <v/>
      </c>
      <c r="AD26" s="18">
        <f>IFERROR(MEDIAN(C26:AB26),"")</f>
        <v/>
      </c>
      <c r="AE26" s="18">
        <f>IFERROR(MAX(C26:AB26),"")</f>
        <v/>
      </c>
      <c r="AF26" s="18">
        <f>IFERROR(MIN(C26:AB26),"")</f>
        <v/>
      </c>
    </row>
    <row r="27">
      <c r="A27" t="inlineStr">
        <is>
          <t>Página de ventas y compra</t>
        </is>
      </c>
      <c r="B27" s="25" t="inlineStr">
        <is>
          <t>% checkout → compra</t>
        </is>
      </c>
      <c r="C27" s="18">
        <f>IF(C6=0,"",IFERROR(C25/C24,0))</f>
        <v/>
      </c>
      <c r="D27" s="18">
        <f>IF(D6=0,"",IFERROR(D25/D24,0))</f>
        <v/>
      </c>
      <c r="E27" s="18">
        <f>IF(E6=0,"",IFERROR(E25/E24,0))</f>
        <v/>
      </c>
      <c r="F27" s="18">
        <f>IF(F6=0,"",IFERROR(F25/F24,0))</f>
        <v/>
      </c>
      <c r="G27" s="18">
        <f>IF(G6=0,"",IFERROR(G25/G24,0))</f>
        <v/>
      </c>
      <c r="H27" s="18">
        <f>IF(H6=0,"",IFERROR(H25/H24,0))</f>
        <v/>
      </c>
      <c r="I27" s="18">
        <f>IF(I6=0,"",IFERROR(I25/I24,0))</f>
        <v/>
      </c>
      <c r="J27" s="18">
        <f>IF(J6=0,"",IFERROR(J25/J24,0))</f>
        <v/>
      </c>
      <c r="K27" s="18">
        <f>IF(K6=0,"",IFERROR(K25/K24,0))</f>
        <v/>
      </c>
      <c r="L27" s="18">
        <f>IF(L6=0,"",IFERROR(L25/L24,0))</f>
        <v/>
      </c>
      <c r="M27" s="18">
        <f>IF(M6=0,"",IFERROR(M25/M24,0))</f>
        <v/>
      </c>
      <c r="N27" s="18">
        <f>IF(N6=0,"",IFERROR(N25/N24,0))</f>
        <v/>
      </c>
      <c r="O27" s="18">
        <f>IF(O6=0,"",IFERROR(O25/O24,0))</f>
        <v/>
      </c>
      <c r="P27" s="18">
        <f>IF(P6=0,"",IFERROR(P25/P24,0))</f>
        <v/>
      </c>
      <c r="Q27" s="18">
        <f>IF(Q6=0,"",IFERROR(Q25/Q24,0))</f>
        <v/>
      </c>
      <c r="R27" s="18">
        <f>IF(R6=0,"",IFERROR(R25/R24,0))</f>
        <v/>
      </c>
      <c r="S27" s="18">
        <f>IF(S6=0,"",IFERROR(S25/S24,0))</f>
        <v/>
      </c>
      <c r="T27" s="18">
        <f>IF(T6=0,"",IFERROR(T25/T24,0))</f>
        <v/>
      </c>
      <c r="U27" s="18">
        <f>IF(U6=0,"",IFERROR(U25/U24,0))</f>
        <v/>
      </c>
      <c r="V27" s="18">
        <f>IF(V6=0,"",IFERROR(V25/V24,0))</f>
        <v/>
      </c>
      <c r="W27" s="18">
        <f>IF(W6=0,"",IFERROR(W25/W24,0))</f>
        <v/>
      </c>
      <c r="X27" s="18">
        <f>IF(X6=0,"",IFERROR(X25/X24,0))</f>
        <v/>
      </c>
      <c r="Y27" s="18">
        <f>IF(Y6=0,"",IFERROR(Y25/Y24,0))</f>
        <v/>
      </c>
      <c r="Z27" s="18">
        <f>IF(Z6=0,"",IFERROR(Z25/Z24,0))</f>
        <v/>
      </c>
      <c r="AA27" s="18">
        <f>IF(AA6=0,"",IFERROR(AA25/AA24,0))</f>
        <v/>
      </c>
      <c r="AB27" s="18">
        <f>IF(AB6=0,"",IFERROR(AB25/AB24,0))</f>
        <v/>
      </c>
      <c r="AC27" s="18">
        <f>IFERROR(AVERAGE(C27:AB27),"")</f>
        <v/>
      </c>
      <c r="AD27" s="18">
        <f>IFERROR(MEDIAN(C27:AB27),"")</f>
        <v/>
      </c>
      <c r="AE27" s="18">
        <f>IFERROR(MAX(C27:AB27),"")</f>
        <v/>
      </c>
      <c r="AF27" s="18">
        <f>IFERROR(MIN(C27:AB27),"")</f>
        <v/>
      </c>
    </row>
    <row r="28">
      <c r="A28" t="inlineStr">
        <is>
          <t>Página de ventas y compra</t>
        </is>
      </c>
      <c r="B28" s="5" t="inlineStr">
        <is>
          <t>% visita → compra</t>
        </is>
      </c>
      <c r="C28" s="17">
        <f>IF(C6=0,"",IFERROR(C25/C14,0))</f>
        <v/>
      </c>
      <c r="D28" s="17">
        <f>IF(D6=0,"",IFERROR(D25/D14,0))</f>
        <v/>
      </c>
      <c r="E28" s="17">
        <f>IF(E6=0,"",IFERROR(E25/E14,0))</f>
        <v/>
      </c>
      <c r="F28" s="17">
        <f>IF(F6=0,"",IFERROR(F25/F14,0))</f>
        <v/>
      </c>
      <c r="G28" s="17">
        <f>IF(G6=0,"",IFERROR(G25/G14,0))</f>
        <v/>
      </c>
      <c r="H28" s="17">
        <f>IF(H6=0,"",IFERROR(H25/H14,0))</f>
        <v/>
      </c>
      <c r="I28" s="17">
        <f>IF(I6=0,"",IFERROR(I25/I14,0))</f>
        <v/>
      </c>
      <c r="J28" s="17">
        <f>IF(J6=0,"",IFERROR(J25/J14,0))</f>
        <v/>
      </c>
      <c r="K28" s="17">
        <f>IF(K6=0,"",IFERROR(K25/K14,0))</f>
        <v/>
      </c>
      <c r="L28" s="17">
        <f>IF(L6=0,"",IFERROR(L25/L14,0))</f>
        <v/>
      </c>
      <c r="M28" s="17">
        <f>IF(M6=0,"",IFERROR(M25/M14,0))</f>
        <v/>
      </c>
      <c r="N28" s="17">
        <f>IF(N6=0,"",IFERROR(N25/N14,0))</f>
        <v/>
      </c>
      <c r="O28" s="17">
        <f>IF(O6=0,"",IFERROR(O25/O14,0))</f>
        <v/>
      </c>
      <c r="P28" s="17">
        <f>IF(P6=0,"",IFERROR(P25/P14,0))</f>
        <v/>
      </c>
      <c r="Q28" s="17">
        <f>IF(Q6=0,"",IFERROR(Q25/Q14,0))</f>
        <v/>
      </c>
      <c r="R28" s="17">
        <f>IF(R6=0,"",IFERROR(R25/R14,0))</f>
        <v/>
      </c>
      <c r="S28" s="17">
        <f>IF(S6=0,"",IFERROR(S25/S14,0))</f>
        <v/>
      </c>
      <c r="T28" s="17">
        <f>IF(T6=0,"",IFERROR(T25/T14,0))</f>
        <v/>
      </c>
      <c r="U28" s="17">
        <f>IF(U6=0,"",IFERROR(U25/U14,0))</f>
        <v/>
      </c>
      <c r="V28" s="17">
        <f>IF(V6=0,"",IFERROR(V25/V14,0))</f>
        <v/>
      </c>
      <c r="W28" s="17">
        <f>IF(W6=0,"",IFERROR(W25/W14,0))</f>
        <v/>
      </c>
      <c r="X28" s="17">
        <f>IF(X6=0,"",IFERROR(X25/X14,0))</f>
        <v/>
      </c>
      <c r="Y28" s="17">
        <f>IF(Y6=0,"",IFERROR(Y25/Y14,0))</f>
        <v/>
      </c>
      <c r="Z28" s="17">
        <f>IF(Z6=0,"",IFERROR(Z25/Z14,0))</f>
        <v/>
      </c>
      <c r="AA28" s="17">
        <f>IF(AA6=0,"",IFERROR(AA25/AA14,0))</f>
        <v/>
      </c>
      <c r="AB28" s="17">
        <f>IF(AB6=0,"",IFERROR(AB25/AB14,0))</f>
        <v/>
      </c>
      <c r="AC28" s="17">
        <f>IFERROR(AVERAGE(C28:AB28),"")</f>
        <v/>
      </c>
      <c r="AD28" s="17">
        <f>IFERROR(MEDIAN(C28:AB28),"")</f>
        <v/>
      </c>
      <c r="AE28" s="17">
        <f>IFERROR(MAX(C28:AB28),"")</f>
        <v/>
      </c>
      <c r="AF28" s="17">
        <f>IFERROR(MIN(C28:AB28),"")</f>
        <v/>
      </c>
    </row>
    <row r="29">
      <c r="A29" t="inlineStr">
        <is>
          <t>Página de ventas y compra</t>
        </is>
      </c>
      <c r="B29" s="25" t="inlineStr">
        <is>
          <t>CPA (costo por comprador)</t>
        </is>
      </c>
      <c r="C29" s="15">
        <f>IF(C6=0,"",IFERROR(C10/C25,0))</f>
        <v/>
      </c>
      <c r="D29" s="15">
        <f>IF(D6=0,"",IFERROR(D10/D25,0))</f>
        <v/>
      </c>
      <c r="E29" s="15">
        <f>IF(E6=0,"",IFERROR(E10/E25,0))</f>
        <v/>
      </c>
      <c r="F29" s="15">
        <f>IF(F6=0,"",IFERROR(F10/F25,0))</f>
        <v/>
      </c>
      <c r="G29" s="15">
        <f>IF(G6=0,"",IFERROR(G10/G25,0))</f>
        <v/>
      </c>
      <c r="H29" s="15">
        <f>IF(H6=0,"",IFERROR(H10/H25,0))</f>
        <v/>
      </c>
      <c r="I29" s="15">
        <f>IF(I6=0,"",IFERROR(I10/I25,0))</f>
        <v/>
      </c>
      <c r="J29" s="15">
        <f>IF(J6=0,"",IFERROR(J10/J25,0))</f>
        <v/>
      </c>
      <c r="K29" s="15">
        <f>IF(K6=0,"",IFERROR(K10/K25,0))</f>
        <v/>
      </c>
      <c r="L29" s="15">
        <f>IF(L6=0,"",IFERROR(L10/L25,0))</f>
        <v/>
      </c>
      <c r="M29" s="15">
        <f>IF(M6=0,"",IFERROR(M10/M25,0))</f>
        <v/>
      </c>
      <c r="N29" s="15">
        <f>IF(N6=0,"",IFERROR(N10/N25,0))</f>
        <v/>
      </c>
      <c r="O29" s="15">
        <f>IF(O6=0,"",IFERROR(O10/O25,0))</f>
        <v/>
      </c>
      <c r="P29" s="15">
        <f>IF(P6=0,"",IFERROR(P10/P25,0))</f>
        <v/>
      </c>
      <c r="Q29" s="15">
        <f>IF(Q6=0,"",IFERROR(Q10/Q25,0))</f>
        <v/>
      </c>
      <c r="R29" s="15">
        <f>IF(R6=0,"",IFERROR(R10/R25,0))</f>
        <v/>
      </c>
      <c r="S29" s="15">
        <f>IF(S6=0,"",IFERROR(S10/S25,0))</f>
        <v/>
      </c>
      <c r="T29" s="15">
        <f>IF(T6=0,"",IFERROR(T10/T25,0))</f>
        <v/>
      </c>
      <c r="U29" s="15">
        <f>IF(U6=0,"",IFERROR(U10/U25,0))</f>
        <v/>
      </c>
      <c r="V29" s="15">
        <f>IF(V6=0,"",IFERROR(V10/V25,0))</f>
        <v/>
      </c>
      <c r="W29" s="15">
        <f>IF(W6=0,"",IFERROR(W10/W25,0))</f>
        <v/>
      </c>
      <c r="X29" s="15">
        <f>IF(X6=0,"",IFERROR(X10/X25,0))</f>
        <v/>
      </c>
      <c r="Y29" s="15">
        <f>IF(Y6=0,"",IFERROR(Y10/Y25,0))</f>
        <v/>
      </c>
      <c r="Z29" s="15">
        <f>IF(Z6=0,"",IFERROR(Z10/Z25,0))</f>
        <v/>
      </c>
      <c r="AA29" s="15">
        <f>IF(AA6=0,"",IFERROR(AA10/AA25,0))</f>
        <v/>
      </c>
      <c r="AB29" s="15">
        <f>IF(AB6=0,"",IFERROR(AB10/AB25,0))</f>
        <v/>
      </c>
      <c r="AC29" s="15">
        <f>IFERROR(AVERAGE(C29:AB29),"")</f>
        <v/>
      </c>
      <c r="AD29" s="15">
        <f>IFERROR(MEDIAN(C29:AB29),"")</f>
        <v/>
      </c>
      <c r="AE29" s="15">
        <f>IFERROR(MIN(C29:AB29),"")</f>
        <v/>
      </c>
      <c r="AF29" s="15">
        <f>IFERROR(MAX(C29:AB29),"")</f>
        <v/>
      </c>
    </row>
    <row r="31">
      <c r="A31" s="23" t="inlineStr">
        <is>
          <t>3. Escalera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</row>
    <row r="32">
      <c r="A32" t="inlineStr">
        <is>
          <t>Escalera</t>
        </is>
      </c>
      <c r="B32" s="5" t="inlineStr">
        <is>
          <t>Toman el bump 1</t>
        </is>
      </c>
      <c r="C32" s="13">
        <f>IF(C6=0,"",SUMIFS(Diario!$J$6:$J$371,Diario!$B$6:$B$371,C$5))</f>
        <v/>
      </c>
      <c r="D32" s="13">
        <f>IF(D6=0,"",SUMIFS(Diario!$J$6:$J$371,Diario!$B$6:$B$371,D$5))</f>
        <v/>
      </c>
      <c r="E32" s="13">
        <f>IF(E6=0,"",SUMIFS(Diario!$J$6:$J$371,Diario!$B$6:$B$371,E$5))</f>
        <v/>
      </c>
      <c r="F32" s="13">
        <f>IF(F6=0,"",SUMIFS(Diario!$J$6:$J$371,Diario!$B$6:$B$371,F$5))</f>
        <v/>
      </c>
      <c r="G32" s="13">
        <f>IF(G6=0,"",SUMIFS(Diario!$J$6:$J$371,Diario!$B$6:$B$371,G$5))</f>
        <v/>
      </c>
      <c r="H32" s="13">
        <f>IF(H6=0,"",SUMIFS(Diario!$J$6:$J$371,Diario!$B$6:$B$371,H$5))</f>
        <v/>
      </c>
      <c r="I32" s="13">
        <f>IF(I6=0,"",SUMIFS(Diario!$J$6:$J$371,Diario!$B$6:$B$371,I$5))</f>
        <v/>
      </c>
      <c r="J32" s="13">
        <f>IF(J6=0,"",SUMIFS(Diario!$J$6:$J$371,Diario!$B$6:$B$371,J$5))</f>
        <v/>
      </c>
      <c r="K32" s="13">
        <f>IF(K6=0,"",SUMIFS(Diario!$J$6:$J$371,Diario!$B$6:$B$371,K$5))</f>
        <v/>
      </c>
      <c r="L32" s="13">
        <f>IF(L6=0,"",SUMIFS(Diario!$J$6:$J$371,Diario!$B$6:$B$371,L$5))</f>
        <v/>
      </c>
      <c r="M32" s="13">
        <f>IF(M6=0,"",SUMIFS(Diario!$J$6:$J$371,Diario!$B$6:$B$371,M$5))</f>
        <v/>
      </c>
      <c r="N32" s="13">
        <f>IF(N6=0,"",SUMIFS(Diario!$J$6:$J$371,Diario!$B$6:$B$371,N$5))</f>
        <v/>
      </c>
      <c r="O32" s="13">
        <f>IF(O6=0,"",SUMIFS(Diario!$J$6:$J$371,Diario!$B$6:$B$371,O$5))</f>
        <v/>
      </c>
      <c r="P32" s="13">
        <f>IF(P6=0,"",SUMIFS(Diario!$J$6:$J$371,Diario!$B$6:$B$371,P$5))</f>
        <v/>
      </c>
      <c r="Q32" s="13">
        <f>IF(Q6=0,"",SUMIFS(Diario!$J$6:$J$371,Diario!$B$6:$B$371,Q$5))</f>
        <v/>
      </c>
      <c r="R32" s="13">
        <f>IF(R6=0,"",SUMIFS(Diario!$J$6:$J$371,Diario!$B$6:$B$371,R$5))</f>
        <v/>
      </c>
      <c r="S32" s="13">
        <f>IF(S6=0,"",SUMIFS(Diario!$J$6:$J$371,Diario!$B$6:$B$371,S$5))</f>
        <v/>
      </c>
      <c r="T32" s="13">
        <f>IF(T6=0,"",SUMIFS(Diario!$J$6:$J$371,Diario!$B$6:$B$371,T$5))</f>
        <v/>
      </c>
      <c r="U32" s="13">
        <f>IF(U6=0,"",SUMIFS(Diario!$J$6:$J$371,Diario!$B$6:$B$371,U$5))</f>
        <v/>
      </c>
      <c r="V32" s="13">
        <f>IF(V6=0,"",SUMIFS(Diario!$J$6:$J$371,Diario!$B$6:$B$371,V$5))</f>
        <v/>
      </c>
      <c r="W32" s="13">
        <f>IF(W6=0,"",SUMIFS(Diario!$J$6:$J$371,Diario!$B$6:$B$371,W$5))</f>
        <v/>
      </c>
      <c r="X32" s="13">
        <f>IF(X6=0,"",SUMIFS(Diario!$J$6:$J$371,Diario!$B$6:$B$371,X$5))</f>
        <v/>
      </c>
      <c r="Y32" s="13">
        <f>IF(Y6=0,"",SUMIFS(Diario!$J$6:$J$371,Diario!$B$6:$B$371,Y$5))</f>
        <v/>
      </c>
      <c r="Z32" s="13">
        <f>IF(Z6=0,"",SUMIFS(Diario!$J$6:$J$371,Diario!$B$6:$B$371,Z$5))</f>
        <v/>
      </c>
      <c r="AA32" s="13">
        <f>IF(AA6=0,"",SUMIFS(Diario!$J$6:$J$371,Diario!$B$6:$B$371,AA$5))</f>
        <v/>
      </c>
      <c r="AB32" s="13">
        <f>IF(AB6=0,"",SUMIFS(Diario!$J$6:$J$371,Diario!$B$6:$B$371,AB$5))</f>
        <v/>
      </c>
      <c r="AC32" s="13">
        <f>IFERROR(AVERAGE(C32:AB32),"")</f>
        <v/>
      </c>
      <c r="AD32" s="13">
        <f>IFERROR(MEDIAN(C32:AB32),"")</f>
        <v/>
      </c>
      <c r="AE32" s="13">
        <f>IFERROR(MAX(C32:AB32),"")</f>
        <v/>
      </c>
      <c r="AF32" s="13">
        <f>IFERROR(MIN(C32:AB32),"")</f>
        <v/>
      </c>
    </row>
    <row r="33">
      <c r="A33" t="inlineStr">
        <is>
          <t>Escalera</t>
        </is>
      </c>
      <c r="B33" s="5" t="inlineStr">
        <is>
          <t>Toman el bump 2</t>
        </is>
      </c>
      <c r="C33" s="13">
        <f>IF(C6=0,"",SUMIFS(Diario!$K$6:$K$371,Diario!$B$6:$B$371,C$5))</f>
        <v/>
      </c>
      <c r="D33" s="13">
        <f>IF(D6=0,"",SUMIFS(Diario!$K$6:$K$371,Diario!$B$6:$B$371,D$5))</f>
        <v/>
      </c>
      <c r="E33" s="13">
        <f>IF(E6=0,"",SUMIFS(Diario!$K$6:$K$371,Diario!$B$6:$B$371,E$5))</f>
        <v/>
      </c>
      <c r="F33" s="13">
        <f>IF(F6=0,"",SUMIFS(Diario!$K$6:$K$371,Diario!$B$6:$B$371,F$5))</f>
        <v/>
      </c>
      <c r="G33" s="13">
        <f>IF(G6=0,"",SUMIFS(Diario!$K$6:$K$371,Diario!$B$6:$B$371,G$5))</f>
        <v/>
      </c>
      <c r="H33" s="13">
        <f>IF(H6=0,"",SUMIFS(Diario!$K$6:$K$371,Diario!$B$6:$B$371,H$5))</f>
        <v/>
      </c>
      <c r="I33" s="13">
        <f>IF(I6=0,"",SUMIFS(Diario!$K$6:$K$371,Diario!$B$6:$B$371,I$5))</f>
        <v/>
      </c>
      <c r="J33" s="13">
        <f>IF(J6=0,"",SUMIFS(Diario!$K$6:$K$371,Diario!$B$6:$B$371,J$5))</f>
        <v/>
      </c>
      <c r="K33" s="13">
        <f>IF(K6=0,"",SUMIFS(Diario!$K$6:$K$371,Diario!$B$6:$B$371,K$5))</f>
        <v/>
      </c>
      <c r="L33" s="13">
        <f>IF(L6=0,"",SUMIFS(Diario!$K$6:$K$371,Diario!$B$6:$B$371,L$5))</f>
        <v/>
      </c>
      <c r="M33" s="13">
        <f>IF(M6=0,"",SUMIFS(Diario!$K$6:$K$371,Diario!$B$6:$B$371,M$5))</f>
        <v/>
      </c>
      <c r="N33" s="13">
        <f>IF(N6=0,"",SUMIFS(Diario!$K$6:$K$371,Diario!$B$6:$B$371,N$5))</f>
        <v/>
      </c>
      <c r="O33" s="13">
        <f>IF(O6=0,"",SUMIFS(Diario!$K$6:$K$371,Diario!$B$6:$B$371,O$5))</f>
        <v/>
      </c>
      <c r="P33" s="13">
        <f>IF(P6=0,"",SUMIFS(Diario!$K$6:$K$371,Diario!$B$6:$B$371,P$5))</f>
        <v/>
      </c>
      <c r="Q33" s="13">
        <f>IF(Q6=0,"",SUMIFS(Diario!$K$6:$K$371,Diario!$B$6:$B$371,Q$5))</f>
        <v/>
      </c>
      <c r="R33" s="13">
        <f>IF(R6=0,"",SUMIFS(Diario!$K$6:$K$371,Diario!$B$6:$B$371,R$5))</f>
        <v/>
      </c>
      <c r="S33" s="13">
        <f>IF(S6=0,"",SUMIFS(Diario!$K$6:$K$371,Diario!$B$6:$B$371,S$5))</f>
        <v/>
      </c>
      <c r="T33" s="13">
        <f>IF(T6=0,"",SUMIFS(Diario!$K$6:$K$371,Diario!$B$6:$B$371,T$5))</f>
        <v/>
      </c>
      <c r="U33" s="13">
        <f>IF(U6=0,"",SUMIFS(Diario!$K$6:$K$371,Diario!$B$6:$B$371,U$5))</f>
        <v/>
      </c>
      <c r="V33" s="13">
        <f>IF(V6=0,"",SUMIFS(Diario!$K$6:$K$371,Diario!$B$6:$B$371,V$5))</f>
        <v/>
      </c>
      <c r="W33" s="13">
        <f>IF(W6=0,"",SUMIFS(Diario!$K$6:$K$371,Diario!$B$6:$B$371,W$5))</f>
        <v/>
      </c>
      <c r="X33" s="13">
        <f>IF(X6=0,"",SUMIFS(Diario!$K$6:$K$371,Diario!$B$6:$B$371,X$5))</f>
        <v/>
      </c>
      <c r="Y33" s="13">
        <f>IF(Y6=0,"",SUMIFS(Diario!$K$6:$K$371,Diario!$B$6:$B$371,Y$5))</f>
        <v/>
      </c>
      <c r="Z33" s="13">
        <f>IF(Z6=0,"",SUMIFS(Diario!$K$6:$K$371,Diario!$B$6:$B$371,Z$5))</f>
        <v/>
      </c>
      <c r="AA33" s="13">
        <f>IF(AA6=0,"",SUMIFS(Diario!$K$6:$K$371,Diario!$B$6:$B$371,AA$5))</f>
        <v/>
      </c>
      <c r="AB33" s="13">
        <f>IF(AB6=0,"",SUMIFS(Diario!$K$6:$K$371,Diario!$B$6:$B$371,AB$5))</f>
        <v/>
      </c>
      <c r="AC33" s="13">
        <f>IFERROR(AVERAGE(C33:AB33),"")</f>
        <v/>
      </c>
      <c r="AD33" s="13">
        <f>IFERROR(MEDIAN(C33:AB33),"")</f>
        <v/>
      </c>
      <c r="AE33" s="13">
        <f>IFERROR(MAX(C33:AB33),"")</f>
        <v/>
      </c>
      <c r="AF33" s="13">
        <f>IFERROR(MIN(C33:AB33),"")</f>
        <v/>
      </c>
    </row>
    <row r="34">
      <c r="A34" t="inlineStr">
        <is>
          <t>Escalera</t>
        </is>
      </c>
      <c r="B34" s="5" t="inlineStr">
        <is>
          <t>Toman la OTO 1</t>
        </is>
      </c>
      <c r="C34" s="13">
        <f>IF(C6=0,"",SUMIFS(Diario!$L$6:$L$371,Diario!$B$6:$B$371,C$5))</f>
        <v/>
      </c>
      <c r="D34" s="13">
        <f>IF(D6=0,"",SUMIFS(Diario!$L$6:$L$371,Diario!$B$6:$B$371,D$5))</f>
        <v/>
      </c>
      <c r="E34" s="13">
        <f>IF(E6=0,"",SUMIFS(Diario!$L$6:$L$371,Diario!$B$6:$B$371,E$5))</f>
        <v/>
      </c>
      <c r="F34" s="13">
        <f>IF(F6=0,"",SUMIFS(Diario!$L$6:$L$371,Diario!$B$6:$B$371,F$5))</f>
        <v/>
      </c>
      <c r="G34" s="13">
        <f>IF(G6=0,"",SUMIFS(Diario!$L$6:$L$371,Diario!$B$6:$B$371,G$5))</f>
        <v/>
      </c>
      <c r="H34" s="13">
        <f>IF(H6=0,"",SUMIFS(Diario!$L$6:$L$371,Diario!$B$6:$B$371,H$5))</f>
        <v/>
      </c>
      <c r="I34" s="13">
        <f>IF(I6=0,"",SUMIFS(Diario!$L$6:$L$371,Diario!$B$6:$B$371,I$5))</f>
        <v/>
      </c>
      <c r="J34" s="13">
        <f>IF(J6=0,"",SUMIFS(Diario!$L$6:$L$371,Diario!$B$6:$B$371,J$5))</f>
        <v/>
      </c>
      <c r="K34" s="13">
        <f>IF(K6=0,"",SUMIFS(Diario!$L$6:$L$371,Diario!$B$6:$B$371,K$5))</f>
        <v/>
      </c>
      <c r="L34" s="13">
        <f>IF(L6=0,"",SUMIFS(Diario!$L$6:$L$371,Diario!$B$6:$B$371,L$5))</f>
        <v/>
      </c>
      <c r="M34" s="13">
        <f>IF(M6=0,"",SUMIFS(Diario!$L$6:$L$371,Diario!$B$6:$B$371,M$5))</f>
        <v/>
      </c>
      <c r="N34" s="13">
        <f>IF(N6=0,"",SUMIFS(Diario!$L$6:$L$371,Diario!$B$6:$B$371,N$5))</f>
        <v/>
      </c>
      <c r="O34" s="13">
        <f>IF(O6=0,"",SUMIFS(Diario!$L$6:$L$371,Diario!$B$6:$B$371,O$5))</f>
        <v/>
      </c>
      <c r="P34" s="13">
        <f>IF(P6=0,"",SUMIFS(Diario!$L$6:$L$371,Diario!$B$6:$B$371,P$5))</f>
        <v/>
      </c>
      <c r="Q34" s="13">
        <f>IF(Q6=0,"",SUMIFS(Diario!$L$6:$L$371,Diario!$B$6:$B$371,Q$5))</f>
        <v/>
      </c>
      <c r="R34" s="13">
        <f>IF(R6=0,"",SUMIFS(Diario!$L$6:$L$371,Diario!$B$6:$B$371,R$5))</f>
        <v/>
      </c>
      <c r="S34" s="13">
        <f>IF(S6=0,"",SUMIFS(Diario!$L$6:$L$371,Diario!$B$6:$B$371,S$5))</f>
        <v/>
      </c>
      <c r="T34" s="13">
        <f>IF(T6=0,"",SUMIFS(Diario!$L$6:$L$371,Diario!$B$6:$B$371,T$5))</f>
        <v/>
      </c>
      <c r="U34" s="13">
        <f>IF(U6=0,"",SUMIFS(Diario!$L$6:$L$371,Diario!$B$6:$B$371,U$5))</f>
        <v/>
      </c>
      <c r="V34" s="13">
        <f>IF(V6=0,"",SUMIFS(Diario!$L$6:$L$371,Diario!$B$6:$B$371,V$5))</f>
        <v/>
      </c>
      <c r="W34" s="13">
        <f>IF(W6=0,"",SUMIFS(Diario!$L$6:$L$371,Diario!$B$6:$B$371,W$5))</f>
        <v/>
      </c>
      <c r="X34" s="13">
        <f>IF(X6=0,"",SUMIFS(Diario!$L$6:$L$371,Diario!$B$6:$B$371,X$5))</f>
        <v/>
      </c>
      <c r="Y34" s="13">
        <f>IF(Y6=0,"",SUMIFS(Diario!$L$6:$L$371,Diario!$B$6:$B$371,Y$5))</f>
        <v/>
      </c>
      <c r="Z34" s="13">
        <f>IF(Z6=0,"",SUMIFS(Diario!$L$6:$L$371,Diario!$B$6:$B$371,Z$5))</f>
        <v/>
      </c>
      <c r="AA34" s="13">
        <f>IF(AA6=0,"",SUMIFS(Diario!$L$6:$L$371,Diario!$B$6:$B$371,AA$5))</f>
        <v/>
      </c>
      <c r="AB34" s="13">
        <f>IF(AB6=0,"",SUMIFS(Diario!$L$6:$L$371,Diario!$B$6:$B$371,AB$5))</f>
        <v/>
      </c>
      <c r="AC34" s="13">
        <f>IFERROR(AVERAGE(C34:AB34),"")</f>
        <v/>
      </c>
      <c r="AD34" s="13">
        <f>IFERROR(MEDIAN(C34:AB34),"")</f>
        <v/>
      </c>
      <c r="AE34" s="13">
        <f>IFERROR(MAX(C34:AB34),"")</f>
        <v/>
      </c>
      <c r="AF34" s="13">
        <f>IFERROR(MIN(C34:AB34),"")</f>
        <v/>
      </c>
    </row>
    <row r="35">
      <c r="A35" t="inlineStr">
        <is>
          <t>Escalera</t>
        </is>
      </c>
      <c r="B35" s="5" t="inlineStr">
        <is>
          <t>Toman la OTO 2</t>
        </is>
      </c>
      <c r="C35" s="13">
        <f>IF(C6=0,"",SUMIFS(Diario!$M$6:$M$371,Diario!$B$6:$B$371,C$5))</f>
        <v/>
      </c>
      <c r="D35" s="13">
        <f>IF(D6=0,"",SUMIFS(Diario!$M$6:$M$371,Diario!$B$6:$B$371,D$5))</f>
        <v/>
      </c>
      <c r="E35" s="13">
        <f>IF(E6=0,"",SUMIFS(Diario!$M$6:$M$371,Diario!$B$6:$B$371,E$5))</f>
        <v/>
      </c>
      <c r="F35" s="13">
        <f>IF(F6=0,"",SUMIFS(Diario!$M$6:$M$371,Diario!$B$6:$B$371,F$5))</f>
        <v/>
      </c>
      <c r="G35" s="13">
        <f>IF(G6=0,"",SUMIFS(Diario!$M$6:$M$371,Diario!$B$6:$B$371,G$5))</f>
        <v/>
      </c>
      <c r="H35" s="13">
        <f>IF(H6=0,"",SUMIFS(Diario!$M$6:$M$371,Diario!$B$6:$B$371,H$5))</f>
        <v/>
      </c>
      <c r="I35" s="13">
        <f>IF(I6=0,"",SUMIFS(Diario!$M$6:$M$371,Diario!$B$6:$B$371,I$5))</f>
        <v/>
      </c>
      <c r="J35" s="13">
        <f>IF(J6=0,"",SUMIFS(Diario!$M$6:$M$371,Diario!$B$6:$B$371,J$5))</f>
        <v/>
      </c>
      <c r="K35" s="13">
        <f>IF(K6=0,"",SUMIFS(Diario!$M$6:$M$371,Diario!$B$6:$B$371,K$5))</f>
        <v/>
      </c>
      <c r="L35" s="13">
        <f>IF(L6=0,"",SUMIFS(Diario!$M$6:$M$371,Diario!$B$6:$B$371,L$5))</f>
        <v/>
      </c>
      <c r="M35" s="13">
        <f>IF(M6=0,"",SUMIFS(Diario!$M$6:$M$371,Diario!$B$6:$B$371,M$5))</f>
        <v/>
      </c>
      <c r="N35" s="13">
        <f>IF(N6=0,"",SUMIFS(Diario!$M$6:$M$371,Diario!$B$6:$B$371,N$5))</f>
        <v/>
      </c>
      <c r="O35" s="13">
        <f>IF(O6=0,"",SUMIFS(Diario!$M$6:$M$371,Diario!$B$6:$B$371,O$5))</f>
        <v/>
      </c>
      <c r="P35" s="13">
        <f>IF(P6=0,"",SUMIFS(Diario!$M$6:$M$371,Diario!$B$6:$B$371,P$5))</f>
        <v/>
      </c>
      <c r="Q35" s="13">
        <f>IF(Q6=0,"",SUMIFS(Diario!$M$6:$M$371,Diario!$B$6:$B$371,Q$5))</f>
        <v/>
      </c>
      <c r="R35" s="13">
        <f>IF(R6=0,"",SUMIFS(Diario!$M$6:$M$371,Diario!$B$6:$B$371,R$5))</f>
        <v/>
      </c>
      <c r="S35" s="13">
        <f>IF(S6=0,"",SUMIFS(Diario!$M$6:$M$371,Diario!$B$6:$B$371,S$5))</f>
        <v/>
      </c>
      <c r="T35" s="13">
        <f>IF(T6=0,"",SUMIFS(Diario!$M$6:$M$371,Diario!$B$6:$B$371,T$5))</f>
        <v/>
      </c>
      <c r="U35" s="13">
        <f>IF(U6=0,"",SUMIFS(Diario!$M$6:$M$371,Diario!$B$6:$B$371,U$5))</f>
        <v/>
      </c>
      <c r="V35" s="13">
        <f>IF(V6=0,"",SUMIFS(Diario!$M$6:$M$371,Diario!$B$6:$B$371,V$5))</f>
        <v/>
      </c>
      <c r="W35" s="13">
        <f>IF(W6=0,"",SUMIFS(Diario!$M$6:$M$371,Diario!$B$6:$B$371,W$5))</f>
        <v/>
      </c>
      <c r="X35" s="13">
        <f>IF(X6=0,"",SUMIFS(Diario!$M$6:$M$371,Diario!$B$6:$B$371,X$5))</f>
        <v/>
      </c>
      <c r="Y35" s="13">
        <f>IF(Y6=0,"",SUMIFS(Diario!$M$6:$M$371,Diario!$B$6:$B$371,Y$5))</f>
        <v/>
      </c>
      <c r="Z35" s="13">
        <f>IF(Z6=0,"",SUMIFS(Diario!$M$6:$M$371,Diario!$B$6:$B$371,Z$5))</f>
        <v/>
      </c>
      <c r="AA35" s="13">
        <f>IF(AA6=0,"",SUMIFS(Diario!$M$6:$M$371,Diario!$B$6:$B$371,AA$5))</f>
        <v/>
      </c>
      <c r="AB35" s="13">
        <f>IF(AB6=0,"",SUMIFS(Diario!$M$6:$M$371,Diario!$B$6:$B$371,AB$5))</f>
        <v/>
      </c>
      <c r="AC35" s="13">
        <f>IFERROR(AVERAGE(C35:AB35),"")</f>
        <v/>
      </c>
      <c r="AD35" s="13">
        <f>IFERROR(MEDIAN(C35:AB35),"")</f>
        <v/>
      </c>
      <c r="AE35" s="13">
        <f>IFERROR(MAX(C35:AB35),"")</f>
        <v/>
      </c>
      <c r="AF35" s="13">
        <f>IFERROR(MIN(C35:AB35),"")</f>
        <v/>
      </c>
    </row>
    <row r="36">
      <c r="A36" t="inlineStr">
        <is>
          <t>Escalera</t>
        </is>
      </c>
      <c r="B36" s="5" t="inlineStr">
        <is>
          <t>Toman la OTO 3</t>
        </is>
      </c>
      <c r="C36" s="13">
        <f>IF(C6=0,"",SUMIFS(Diario!$N$6:$N$371,Diario!$B$6:$B$371,C$5))</f>
        <v/>
      </c>
      <c r="D36" s="13">
        <f>IF(D6=0,"",SUMIFS(Diario!$N$6:$N$371,Diario!$B$6:$B$371,D$5))</f>
        <v/>
      </c>
      <c r="E36" s="13">
        <f>IF(E6=0,"",SUMIFS(Diario!$N$6:$N$371,Diario!$B$6:$B$371,E$5))</f>
        <v/>
      </c>
      <c r="F36" s="13">
        <f>IF(F6=0,"",SUMIFS(Diario!$N$6:$N$371,Diario!$B$6:$B$371,F$5))</f>
        <v/>
      </c>
      <c r="G36" s="13">
        <f>IF(G6=0,"",SUMIFS(Diario!$N$6:$N$371,Diario!$B$6:$B$371,G$5))</f>
        <v/>
      </c>
      <c r="H36" s="13">
        <f>IF(H6=0,"",SUMIFS(Diario!$N$6:$N$371,Diario!$B$6:$B$371,H$5))</f>
        <v/>
      </c>
      <c r="I36" s="13">
        <f>IF(I6=0,"",SUMIFS(Diario!$N$6:$N$371,Diario!$B$6:$B$371,I$5))</f>
        <v/>
      </c>
      <c r="J36" s="13">
        <f>IF(J6=0,"",SUMIFS(Diario!$N$6:$N$371,Diario!$B$6:$B$371,J$5))</f>
        <v/>
      </c>
      <c r="K36" s="13">
        <f>IF(K6=0,"",SUMIFS(Diario!$N$6:$N$371,Diario!$B$6:$B$371,K$5))</f>
        <v/>
      </c>
      <c r="L36" s="13">
        <f>IF(L6=0,"",SUMIFS(Diario!$N$6:$N$371,Diario!$B$6:$B$371,L$5))</f>
        <v/>
      </c>
      <c r="M36" s="13">
        <f>IF(M6=0,"",SUMIFS(Diario!$N$6:$N$371,Diario!$B$6:$B$371,M$5))</f>
        <v/>
      </c>
      <c r="N36" s="13">
        <f>IF(N6=0,"",SUMIFS(Diario!$N$6:$N$371,Diario!$B$6:$B$371,N$5))</f>
        <v/>
      </c>
      <c r="O36" s="13">
        <f>IF(O6=0,"",SUMIFS(Diario!$N$6:$N$371,Diario!$B$6:$B$371,O$5))</f>
        <v/>
      </c>
      <c r="P36" s="13">
        <f>IF(P6=0,"",SUMIFS(Diario!$N$6:$N$371,Diario!$B$6:$B$371,P$5))</f>
        <v/>
      </c>
      <c r="Q36" s="13">
        <f>IF(Q6=0,"",SUMIFS(Diario!$N$6:$N$371,Diario!$B$6:$B$371,Q$5))</f>
        <v/>
      </c>
      <c r="R36" s="13">
        <f>IF(R6=0,"",SUMIFS(Diario!$N$6:$N$371,Diario!$B$6:$B$371,R$5))</f>
        <v/>
      </c>
      <c r="S36" s="13">
        <f>IF(S6=0,"",SUMIFS(Diario!$N$6:$N$371,Diario!$B$6:$B$371,S$5))</f>
        <v/>
      </c>
      <c r="T36" s="13">
        <f>IF(T6=0,"",SUMIFS(Diario!$N$6:$N$371,Diario!$B$6:$B$371,T$5))</f>
        <v/>
      </c>
      <c r="U36" s="13">
        <f>IF(U6=0,"",SUMIFS(Diario!$N$6:$N$371,Diario!$B$6:$B$371,U$5))</f>
        <v/>
      </c>
      <c r="V36" s="13">
        <f>IF(V6=0,"",SUMIFS(Diario!$N$6:$N$371,Diario!$B$6:$B$371,V$5))</f>
        <v/>
      </c>
      <c r="W36" s="13">
        <f>IF(W6=0,"",SUMIFS(Diario!$N$6:$N$371,Diario!$B$6:$B$371,W$5))</f>
        <v/>
      </c>
      <c r="X36" s="13">
        <f>IF(X6=0,"",SUMIFS(Diario!$N$6:$N$371,Diario!$B$6:$B$371,X$5))</f>
        <v/>
      </c>
      <c r="Y36" s="13">
        <f>IF(Y6=0,"",SUMIFS(Diario!$N$6:$N$371,Diario!$B$6:$B$371,Y$5))</f>
        <v/>
      </c>
      <c r="Z36" s="13">
        <f>IF(Z6=0,"",SUMIFS(Diario!$N$6:$N$371,Diario!$B$6:$B$371,Z$5))</f>
        <v/>
      </c>
      <c r="AA36" s="13">
        <f>IF(AA6=0,"",SUMIFS(Diario!$N$6:$N$371,Diario!$B$6:$B$371,AA$5))</f>
        <v/>
      </c>
      <c r="AB36" s="13">
        <f>IF(AB6=0,"",SUMIFS(Diario!$N$6:$N$371,Diario!$B$6:$B$371,AB$5))</f>
        <v/>
      </c>
      <c r="AC36" s="13">
        <f>IFERROR(AVERAGE(C36:AB36),"")</f>
        <v/>
      </c>
      <c r="AD36" s="13">
        <f>IFERROR(MEDIAN(C36:AB36),"")</f>
        <v/>
      </c>
      <c r="AE36" s="13">
        <f>IFERROR(MAX(C36:AB36),"")</f>
        <v/>
      </c>
      <c r="AF36" s="13">
        <f>IFERROR(MIN(C36:AB36),"")</f>
        <v/>
      </c>
    </row>
    <row r="37">
      <c r="A37" t="inlineStr">
        <is>
          <t>Escalera</t>
        </is>
      </c>
      <c r="B37" s="5" t="inlineStr">
        <is>
          <t>Toman la OTO 4</t>
        </is>
      </c>
      <c r="C37" s="13">
        <f>IF(C6=0,"",SUMIFS(Diario!$O$6:$O$371,Diario!$B$6:$B$371,C$5))</f>
        <v/>
      </c>
      <c r="D37" s="13">
        <f>IF(D6=0,"",SUMIFS(Diario!$O$6:$O$371,Diario!$B$6:$B$371,D$5))</f>
        <v/>
      </c>
      <c r="E37" s="13">
        <f>IF(E6=0,"",SUMIFS(Diario!$O$6:$O$371,Diario!$B$6:$B$371,E$5))</f>
        <v/>
      </c>
      <c r="F37" s="13">
        <f>IF(F6=0,"",SUMIFS(Diario!$O$6:$O$371,Diario!$B$6:$B$371,F$5))</f>
        <v/>
      </c>
      <c r="G37" s="13">
        <f>IF(G6=0,"",SUMIFS(Diario!$O$6:$O$371,Diario!$B$6:$B$371,G$5))</f>
        <v/>
      </c>
      <c r="H37" s="13">
        <f>IF(H6=0,"",SUMIFS(Diario!$O$6:$O$371,Diario!$B$6:$B$371,H$5))</f>
        <v/>
      </c>
      <c r="I37" s="13">
        <f>IF(I6=0,"",SUMIFS(Diario!$O$6:$O$371,Diario!$B$6:$B$371,I$5))</f>
        <v/>
      </c>
      <c r="J37" s="13">
        <f>IF(J6=0,"",SUMIFS(Diario!$O$6:$O$371,Diario!$B$6:$B$371,J$5))</f>
        <v/>
      </c>
      <c r="K37" s="13">
        <f>IF(K6=0,"",SUMIFS(Diario!$O$6:$O$371,Diario!$B$6:$B$371,K$5))</f>
        <v/>
      </c>
      <c r="L37" s="13">
        <f>IF(L6=0,"",SUMIFS(Diario!$O$6:$O$371,Diario!$B$6:$B$371,L$5))</f>
        <v/>
      </c>
      <c r="M37" s="13">
        <f>IF(M6=0,"",SUMIFS(Diario!$O$6:$O$371,Diario!$B$6:$B$371,M$5))</f>
        <v/>
      </c>
      <c r="N37" s="13">
        <f>IF(N6=0,"",SUMIFS(Diario!$O$6:$O$371,Diario!$B$6:$B$371,N$5))</f>
        <v/>
      </c>
      <c r="O37" s="13">
        <f>IF(O6=0,"",SUMIFS(Diario!$O$6:$O$371,Diario!$B$6:$B$371,O$5))</f>
        <v/>
      </c>
      <c r="P37" s="13">
        <f>IF(P6=0,"",SUMIFS(Diario!$O$6:$O$371,Diario!$B$6:$B$371,P$5))</f>
        <v/>
      </c>
      <c r="Q37" s="13">
        <f>IF(Q6=0,"",SUMIFS(Diario!$O$6:$O$371,Diario!$B$6:$B$371,Q$5))</f>
        <v/>
      </c>
      <c r="R37" s="13">
        <f>IF(R6=0,"",SUMIFS(Diario!$O$6:$O$371,Diario!$B$6:$B$371,R$5))</f>
        <v/>
      </c>
      <c r="S37" s="13">
        <f>IF(S6=0,"",SUMIFS(Diario!$O$6:$O$371,Diario!$B$6:$B$371,S$5))</f>
        <v/>
      </c>
      <c r="T37" s="13">
        <f>IF(T6=0,"",SUMIFS(Diario!$O$6:$O$371,Diario!$B$6:$B$371,T$5))</f>
        <v/>
      </c>
      <c r="U37" s="13">
        <f>IF(U6=0,"",SUMIFS(Diario!$O$6:$O$371,Diario!$B$6:$B$371,U$5))</f>
        <v/>
      </c>
      <c r="V37" s="13">
        <f>IF(V6=0,"",SUMIFS(Diario!$O$6:$O$371,Diario!$B$6:$B$371,V$5))</f>
        <v/>
      </c>
      <c r="W37" s="13">
        <f>IF(W6=0,"",SUMIFS(Diario!$O$6:$O$371,Diario!$B$6:$B$371,W$5))</f>
        <v/>
      </c>
      <c r="X37" s="13">
        <f>IF(X6=0,"",SUMIFS(Diario!$O$6:$O$371,Diario!$B$6:$B$371,X$5))</f>
        <v/>
      </c>
      <c r="Y37" s="13">
        <f>IF(Y6=0,"",SUMIFS(Diario!$O$6:$O$371,Diario!$B$6:$B$371,Y$5))</f>
        <v/>
      </c>
      <c r="Z37" s="13">
        <f>IF(Z6=0,"",SUMIFS(Diario!$O$6:$O$371,Diario!$B$6:$B$371,Z$5))</f>
        <v/>
      </c>
      <c r="AA37" s="13">
        <f>IF(AA6=0,"",SUMIFS(Diario!$O$6:$O$371,Diario!$B$6:$B$371,AA$5))</f>
        <v/>
      </c>
      <c r="AB37" s="13">
        <f>IF(AB6=0,"",SUMIFS(Diario!$O$6:$O$371,Diario!$B$6:$B$371,AB$5))</f>
        <v/>
      </c>
      <c r="AC37" s="13">
        <f>IFERROR(AVERAGE(C37:AB37),"")</f>
        <v/>
      </c>
      <c r="AD37" s="13">
        <f>IFERROR(MEDIAN(C37:AB37),"")</f>
        <v/>
      </c>
      <c r="AE37" s="13">
        <f>IFERROR(MAX(C37:AB37),"")</f>
        <v/>
      </c>
      <c r="AF37" s="13">
        <f>IFERROR(MIN(C37:AB37),"")</f>
        <v/>
      </c>
    </row>
    <row r="38">
      <c r="A38" t="inlineStr">
        <is>
          <t>Escalera</t>
        </is>
      </c>
      <c r="B38" s="5" t="inlineStr">
        <is>
          <t>Ascienden al programa</t>
        </is>
      </c>
      <c r="C38" s="13">
        <f>IF(C6=0,"",SUMIFS(Diario!$P$6:$P$371,Diario!$B$6:$B$371,C$5))</f>
        <v/>
      </c>
      <c r="D38" s="13">
        <f>IF(D6=0,"",SUMIFS(Diario!$P$6:$P$371,Diario!$B$6:$B$371,D$5))</f>
        <v/>
      </c>
      <c r="E38" s="13">
        <f>IF(E6=0,"",SUMIFS(Diario!$P$6:$P$371,Diario!$B$6:$B$371,E$5))</f>
        <v/>
      </c>
      <c r="F38" s="13">
        <f>IF(F6=0,"",SUMIFS(Diario!$P$6:$P$371,Diario!$B$6:$B$371,F$5))</f>
        <v/>
      </c>
      <c r="G38" s="13">
        <f>IF(G6=0,"",SUMIFS(Diario!$P$6:$P$371,Diario!$B$6:$B$371,G$5))</f>
        <v/>
      </c>
      <c r="H38" s="13">
        <f>IF(H6=0,"",SUMIFS(Diario!$P$6:$P$371,Diario!$B$6:$B$371,H$5))</f>
        <v/>
      </c>
      <c r="I38" s="13">
        <f>IF(I6=0,"",SUMIFS(Diario!$P$6:$P$371,Diario!$B$6:$B$371,I$5))</f>
        <v/>
      </c>
      <c r="J38" s="13">
        <f>IF(J6=0,"",SUMIFS(Diario!$P$6:$P$371,Diario!$B$6:$B$371,J$5))</f>
        <v/>
      </c>
      <c r="K38" s="13">
        <f>IF(K6=0,"",SUMIFS(Diario!$P$6:$P$371,Diario!$B$6:$B$371,K$5))</f>
        <v/>
      </c>
      <c r="L38" s="13">
        <f>IF(L6=0,"",SUMIFS(Diario!$P$6:$P$371,Diario!$B$6:$B$371,L$5))</f>
        <v/>
      </c>
      <c r="M38" s="13">
        <f>IF(M6=0,"",SUMIFS(Diario!$P$6:$P$371,Diario!$B$6:$B$371,M$5))</f>
        <v/>
      </c>
      <c r="N38" s="13">
        <f>IF(N6=0,"",SUMIFS(Diario!$P$6:$P$371,Diario!$B$6:$B$371,N$5))</f>
        <v/>
      </c>
      <c r="O38" s="13">
        <f>IF(O6=0,"",SUMIFS(Diario!$P$6:$P$371,Diario!$B$6:$B$371,O$5))</f>
        <v/>
      </c>
      <c r="P38" s="13">
        <f>IF(P6=0,"",SUMIFS(Diario!$P$6:$P$371,Diario!$B$6:$B$371,P$5))</f>
        <v/>
      </c>
      <c r="Q38" s="13">
        <f>IF(Q6=0,"",SUMIFS(Diario!$P$6:$P$371,Diario!$B$6:$B$371,Q$5))</f>
        <v/>
      </c>
      <c r="R38" s="13">
        <f>IF(R6=0,"",SUMIFS(Diario!$P$6:$P$371,Diario!$B$6:$B$371,R$5))</f>
        <v/>
      </c>
      <c r="S38" s="13">
        <f>IF(S6=0,"",SUMIFS(Diario!$P$6:$P$371,Diario!$B$6:$B$371,S$5))</f>
        <v/>
      </c>
      <c r="T38" s="13">
        <f>IF(T6=0,"",SUMIFS(Diario!$P$6:$P$371,Diario!$B$6:$B$371,T$5))</f>
        <v/>
      </c>
      <c r="U38" s="13">
        <f>IF(U6=0,"",SUMIFS(Diario!$P$6:$P$371,Diario!$B$6:$B$371,U$5))</f>
        <v/>
      </c>
      <c r="V38" s="13">
        <f>IF(V6=0,"",SUMIFS(Diario!$P$6:$P$371,Diario!$B$6:$B$371,V$5))</f>
        <v/>
      </c>
      <c r="W38" s="13">
        <f>IF(W6=0,"",SUMIFS(Diario!$P$6:$P$371,Diario!$B$6:$B$371,W$5))</f>
        <v/>
      </c>
      <c r="X38" s="13">
        <f>IF(X6=0,"",SUMIFS(Diario!$P$6:$P$371,Diario!$B$6:$B$371,X$5))</f>
        <v/>
      </c>
      <c r="Y38" s="13">
        <f>IF(Y6=0,"",SUMIFS(Diario!$P$6:$P$371,Diario!$B$6:$B$371,Y$5))</f>
        <v/>
      </c>
      <c r="Z38" s="13">
        <f>IF(Z6=0,"",SUMIFS(Diario!$P$6:$P$371,Diario!$B$6:$B$371,Z$5))</f>
        <v/>
      </c>
      <c r="AA38" s="13">
        <f>IF(AA6=0,"",SUMIFS(Diario!$P$6:$P$371,Diario!$B$6:$B$371,AA$5))</f>
        <v/>
      </c>
      <c r="AB38" s="13">
        <f>IF(AB6=0,"",SUMIFS(Diario!$P$6:$P$371,Diario!$B$6:$B$371,AB$5))</f>
        <v/>
      </c>
      <c r="AC38" s="13">
        <f>IFERROR(AVERAGE(C38:AB38),"")</f>
        <v/>
      </c>
      <c r="AD38" s="13">
        <f>IFERROR(MEDIAN(C38:AB38),"")</f>
        <v/>
      </c>
      <c r="AE38" s="13">
        <f>IFERROR(MAX(C38:AB38),"")</f>
        <v/>
      </c>
      <c r="AF38" s="13">
        <f>IFERROR(MIN(C38:AB38),"")</f>
        <v/>
      </c>
    </row>
    <row r="39">
      <c r="A39" t="inlineStr">
        <is>
          <t>Escalera</t>
        </is>
      </c>
      <c r="B39" s="5" t="inlineStr">
        <is>
          <t>% toman el bump 1</t>
        </is>
      </c>
      <c r="C39" s="18">
        <f>IF(C6=0,"",IFERROR(C32/C25,0))</f>
        <v/>
      </c>
      <c r="D39" s="18">
        <f>IF(D6=0,"",IFERROR(D32/D25,0))</f>
        <v/>
      </c>
      <c r="E39" s="18">
        <f>IF(E6=0,"",IFERROR(E32/E25,0))</f>
        <v/>
      </c>
      <c r="F39" s="18">
        <f>IF(F6=0,"",IFERROR(F32/F25,0))</f>
        <v/>
      </c>
      <c r="G39" s="18">
        <f>IF(G6=0,"",IFERROR(G32/G25,0))</f>
        <v/>
      </c>
      <c r="H39" s="18">
        <f>IF(H6=0,"",IFERROR(H32/H25,0))</f>
        <v/>
      </c>
      <c r="I39" s="18">
        <f>IF(I6=0,"",IFERROR(I32/I25,0))</f>
        <v/>
      </c>
      <c r="J39" s="18">
        <f>IF(J6=0,"",IFERROR(J32/J25,0))</f>
        <v/>
      </c>
      <c r="K39" s="18">
        <f>IF(K6=0,"",IFERROR(K32/K25,0))</f>
        <v/>
      </c>
      <c r="L39" s="18">
        <f>IF(L6=0,"",IFERROR(L32/L25,0))</f>
        <v/>
      </c>
      <c r="M39" s="18">
        <f>IF(M6=0,"",IFERROR(M32/M25,0))</f>
        <v/>
      </c>
      <c r="N39" s="18">
        <f>IF(N6=0,"",IFERROR(N32/N25,0))</f>
        <v/>
      </c>
      <c r="O39" s="18">
        <f>IF(O6=0,"",IFERROR(O32/O25,0))</f>
        <v/>
      </c>
      <c r="P39" s="18">
        <f>IF(P6=0,"",IFERROR(P32/P25,0))</f>
        <v/>
      </c>
      <c r="Q39" s="18">
        <f>IF(Q6=0,"",IFERROR(Q32/Q25,0))</f>
        <v/>
      </c>
      <c r="R39" s="18">
        <f>IF(R6=0,"",IFERROR(R32/R25,0))</f>
        <v/>
      </c>
      <c r="S39" s="18">
        <f>IF(S6=0,"",IFERROR(S32/S25,0))</f>
        <v/>
      </c>
      <c r="T39" s="18">
        <f>IF(T6=0,"",IFERROR(T32/T25,0))</f>
        <v/>
      </c>
      <c r="U39" s="18">
        <f>IF(U6=0,"",IFERROR(U32/U25,0))</f>
        <v/>
      </c>
      <c r="V39" s="18">
        <f>IF(V6=0,"",IFERROR(V32/V25,0))</f>
        <v/>
      </c>
      <c r="W39" s="18">
        <f>IF(W6=0,"",IFERROR(W32/W25,0))</f>
        <v/>
      </c>
      <c r="X39" s="18">
        <f>IF(X6=0,"",IFERROR(X32/X25,0))</f>
        <v/>
      </c>
      <c r="Y39" s="18">
        <f>IF(Y6=0,"",IFERROR(Y32/Y25,0))</f>
        <v/>
      </c>
      <c r="Z39" s="18">
        <f>IF(Z6=0,"",IFERROR(Z32/Z25,0))</f>
        <v/>
      </c>
      <c r="AA39" s="18">
        <f>IF(AA6=0,"",IFERROR(AA32/AA25,0))</f>
        <v/>
      </c>
      <c r="AB39" s="18">
        <f>IF(AB6=0,"",IFERROR(AB32/AB25,0))</f>
        <v/>
      </c>
      <c r="AC39" s="18">
        <f>IFERROR(AVERAGE(C39:AB39),"")</f>
        <v/>
      </c>
      <c r="AD39" s="18">
        <f>IFERROR(MEDIAN(C39:AB39),"")</f>
        <v/>
      </c>
      <c r="AE39" s="18">
        <f>IFERROR(MAX(C39:AB39),"")</f>
        <v/>
      </c>
      <c r="AF39" s="18">
        <f>IFERROR(MIN(C39:AB39),"")</f>
        <v/>
      </c>
    </row>
    <row r="40">
      <c r="A40" t="inlineStr">
        <is>
          <t>Escalera</t>
        </is>
      </c>
      <c r="B40" s="5" t="inlineStr">
        <is>
          <t>% toman el bump 2</t>
        </is>
      </c>
      <c r="C40" s="18">
        <f>IF(C6=0,"",IFERROR(C33/C25,0))</f>
        <v/>
      </c>
      <c r="D40" s="18">
        <f>IF(D6=0,"",IFERROR(D33/D25,0))</f>
        <v/>
      </c>
      <c r="E40" s="18">
        <f>IF(E6=0,"",IFERROR(E33/E25,0))</f>
        <v/>
      </c>
      <c r="F40" s="18">
        <f>IF(F6=0,"",IFERROR(F33/F25,0))</f>
        <v/>
      </c>
      <c r="G40" s="18">
        <f>IF(G6=0,"",IFERROR(G33/G25,0))</f>
        <v/>
      </c>
      <c r="H40" s="18">
        <f>IF(H6=0,"",IFERROR(H33/H25,0))</f>
        <v/>
      </c>
      <c r="I40" s="18">
        <f>IF(I6=0,"",IFERROR(I33/I25,0))</f>
        <v/>
      </c>
      <c r="J40" s="18">
        <f>IF(J6=0,"",IFERROR(J33/J25,0))</f>
        <v/>
      </c>
      <c r="K40" s="18">
        <f>IF(K6=0,"",IFERROR(K33/K25,0))</f>
        <v/>
      </c>
      <c r="L40" s="18">
        <f>IF(L6=0,"",IFERROR(L33/L25,0))</f>
        <v/>
      </c>
      <c r="M40" s="18">
        <f>IF(M6=0,"",IFERROR(M33/M25,0))</f>
        <v/>
      </c>
      <c r="N40" s="18">
        <f>IF(N6=0,"",IFERROR(N33/N25,0))</f>
        <v/>
      </c>
      <c r="O40" s="18">
        <f>IF(O6=0,"",IFERROR(O33/O25,0))</f>
        <v/>
      </c>
      <c r="P40" s="18">
        <f>IF(P6=0,"",IFERROR(P33/P25,0))</f>
        <v/>
      </c>
      <c r="Q40" s="18">
        <f>IF(Q6=0,"",IFERROR(Q33/Q25,0))</f>
        <v/>
      </c>
      <c r="R40" s="18">
        <f>IF(R6=0,"",IFERROR(R33/R25,0))</f>
        <v/>
      </c>
      <c r="S40" s="18">
        <f>IF(S6=0,"",IFERROR(S33/S25,0))</f>
        <v/>
      </c>
      <c r="T40" s="18">
        <f>IF(T6=0,"",IFERROR(T33/T25,0))</f>
        <v/>
      </c>
      <c r="U40" s="18">
        <f>IF(U6=0,"",IFERROR(U33/U25,0))</f>
        <v/>
      </c>
      <c r="V40" s="18">
        <f>IF(V6=0,"",IFERROR(V33/V25,0))</f>
        <v/>
      </c>
      <c r="W40" s="18">
        <f>IF(W6=0,"",IFERROR(W33/W25,0))</f>
        <v/>
      </c>
      <c r="X40" s="18">
        <f>IF(X6=0,"",IFERROR(X33/X25,0))</f>
        <v/>
      </c>
      <c r="Y40" s="18">
        <f>IF(Y6=0,"",IFERROR(Y33/Y25,0))</f>
        <v/>
      </c>
      <c r="Z40" s="18">
        <f>IF(Z6=0,"",IFERROR(Z33/Z25,0))</f>
        <v/>
      </c>
      <c r="AA40" s="18">
        <f>IF(AA6=0,"",IFERROR(AA33/AA25,0))</f>
        <v/>
      </c>
      <c r="AB40" s="18">
        <f>IF(AB6=0,"",IFERROR(AB33/AB25,0))</f>
        <v/>
      </c>
      <c r="AC40" s="18">
        <f>IFERROR(AVERAGE(C40:AB40),"")</f>
        <v/>
      </c>
      <c r="AD40" s="18">
        <f>IFERROR(MEDIAN(C40:AB40),"")</f>
        <v/>
      </c>
      <c r="AE40" s="18">
        <f>IFERROR(MAX(C40:AB40),"")</f>
        <v/>
      </c>
      <c r="AF40" s="18">
        <f>IFERROR(MIN(C40:AB40),"")</f>
        <v/>
      </c>
    </row>
    <row r="41">
      <c r="A41" t="inlineStr">
        <is>
          <t>Escalera</t>
        </is>
      </c>
      <c r="B41" s="5" t="inlineStr">
        <is>
          <t>% toman la OTO 1</t>
        </is>
      </c>
      <c r="C41" s="18">
        <f>IF(C6=0,"",IFERROR(C34/C25,0))</f>
        <v/>
      </c>
      <c r="D41" s="18">
        <f>IF(D6=0,"",IFERROR(D34/D25,0))</f>
        <v/>
      </c>
      <c r="E41" s="18">
        <f>IF(E6=0,"",IFERROR(E34/E25,0))</f>
        <v/>
      </c>
      <c r="F41" s="18">
        <f>IF(F6=0,"",IFERROR(F34/F25,0))</f>
        <v/>
      </c>
      <c r="G41" s="18">
        <f>IF(G6=0,"",IFERROR(G34/G25,0))</f>
        <v/>
      </c>
      <c r="H41" s="18">
        <f>IF(H6=0,"",IFERROR(H34/H25,0))</f>
        <v/>
      </c>
      <c r="I41" s="18">
        <f>IF(I6=0,"",IFERROR(I34/I25,0))</f>
        <v/>
      </c>
      <c r="J41" s="18">
        <f>IF(J6=0,"",IFERROR(J34/J25,0))</f>
        <v/>
      </c>
      <c r="K41" s="18">
        <f>IF(K6=0,"",IFERROR(K34/K25,0))</f>
        <v/>
      </c>
      <c r="L41" s="18">
        <f>IF(L6=0,"",IFERROR(L34/L25,0))</f>
        <v/>
      </c>
      <c r="M41" s="18">
        <f>IF(M6=0,"",IFERROR(M34/M25,0))</f>
        <v/>
      </c>
      <c r="N41" s="18">
        <f>IF(N6=0,"",IFERROR(N34/N25,0))</f>
        <v/>
      </c>
      <c r="O41" s="18">
        <f>IF(O6=0,"",IFERROR(O34/O25,0))</f>
        <v/>
      </c>
      <c r="P41" s="18">
        <f>IF(P6=0,"",IFERROR(P34/P25,0))</f>
        <v/>
      </c>
      <c r="Q41" s="18">
        <f>IF(Q6=0,"",IFERROR(Q34/Q25,0))</f>
        <v/>
      </c>
      <c r="R41" s="18">
        <f>IF(R6=0,"",IFERROR(R34/R25,0))</f>
        <v/>
      </c>
      <c r="S41" s="18">
        <f>IF(S6=0,"",IFERROR(S34/S25,0))</f>
        <v/>
      </c>
      <c r="T41" s="18">
        <f>IF(T6=0,"",IFERROR(T34/T25,0))</f>
        <v/>
      </c>
      <c r="U41" s="18">
        <f>IF(U6=0,"",IFERROR(U34/U25,0))</f>
        <v/>
      </c>
      <c r="V41" s="18">
        <f>IF(V6=0,"",IFERROR(V34/V25,0))</f>
        <v/>
      </c>
      <c r="W41" s="18">
        <f>IF(W6=0,"",IFERROR(W34/W25,0))</f>
        <v/>
      </c>
      <c r="X41" s="18">
        <f>IF(X6=0,"",IFERROR(X34/X25,0))</f>
        <v/>
      </c>
      <c r="Y41" s="18">
        <f>IF(Y6=0,"",IFERROR(Y34/Y25,0))</f>
        <v/>
      </c>
      <c r="Z41" s="18">
        <f>IF(Z6=0,"",IFERROR(Z34/Z25,0))</f>
        <v/>
      </c>
      <c r="AA41" s="18">
        <f>IF(AA6=0,"",IFERROR(AA34/AA25,0))</f>
        <v/>
      </c>
      <c r="AB41" s="18">
        <f>IF(AB6=0,"",IFERROR(AB34/AB25,0))</f>
        <v/>
      </c>
      <c r="AC41" s="18">
        <f>IFERROR(AVERAGE(C41:AB41),"")</f>
        <v/>
      </c>
      <c r="AD41" s="18">
        <f>IFERROR(MEDIAN(C41:AB41),"")</f>
        <v/>
      </c>
      <c r="AE41" s="18">
        <f>IFERROR(MAX(C41:AB41),"")</f>
        <v/>
      </c>
      <c r="AF41" s="18">
        <f>IFERROR(MIN(C41:AB41),"")</f>
        <v/>
      </c>
    </row>
    <row r="42">
      <c r="A42" t="inlineStr">
        <is>
          <t>Escalera</t>
        </is>
      </c>
      <c r="B42" s="5" t="inlineStr">
        <is>
          <t>% ascienden</t>
        </is>
      </c>
      <c r="C42" s="18">
        <f>IF(C6=0,"",IFERROR(C38/C25,0))</f>
        <v/>
      </c>
      <c r="D42" s="18">
        <f>IF(D6=0,"",IFERROR(D38/D25,0))</f>
        <v/>
      </c>
      <c r="E42" s="18">
        <f>IF(E6=0,"",IFERROR(E38/E25,0))</f>
        <v/>
      </c>
      <c r="F42" s="18">
        <f>IF(F6=0,"",IFERROR(F38/F25,0))</f>
        <v/>
      </c>
      <c r="G42" s="18">
        <f>IF(G6=0,"",IFERROR(G38/G25,0))</f>
        <v/>
      </c>
      <c r="H42" s="18">
        <f>IF(H6=0,"",IFERROR(H38/H25,0))</f>
        <v/>
      </c>
      <c r="I42" s="18">
        <f>IF(I6=0,"",IFERROR(I38/I25,0))</f>
        <v/>
      </c>
      <c r="J42" s="18">
        <f>IF(J6=0,"",IFERROR(J38/J25,0))</f>
        <v/>
      </c>
      <c r="K42" s="18">
        <f>IF(K6=0,"",IFERROR(K38/K25,0))</f>
        <v/>
      </c>
      <c r="L42" s="18">
        <f>IF(L6=0,"",IFERROR(L38/L25,0))</f>
        <v/>
      </c>
      <c r="M42" s="18">
        <f>IF(M6=0,"",IFERROR(M38/M25,0))</f>
        <v/>
      </c>
      <c r="N42" s="18">
        <f>IF(N6=0,"",IFERROR(N38/N25,0))</f>
        <v/>
      </c>
      <c r="O42" s="18">
        <f>IF(O6=0,"",IFERROR(O38/O25,0))</f>
        <v/>
      </c>
      <c r="P42" s="18">
        <f>IF(P6=0,"",IFERROR(P38/P25,0))</f>
        <v/>
      </c>
      <c r="Q42" s="18">
        <f>IF(Q6=0,"",IFERROR(Q38/Q25,0))</f>
        <v/>
      </c>
      <c r="R42" s="18">
        <f>IF(R6=0,"",IFERROR(R38/R25,0))</f>
        <v/>
      </c>
      <c r="S42" s="18">
        <f>IF(S6=0,"",IFERROR(S38/S25,0))</f>
        <v/>
      </c>
      <c r="T42" s="18">
        <f>IF(T6=0,"",IFERROR(T38/T25,0))</f>
        <v/>
      </c>
      <c r="U42" s="18">
        <f>IF(U6=0,"",IFERROR(U38/U25,0))</f>
        <v/>
      </c>
      <c r="V42" s="18">
        <f>IF(V6=0,"",IFERROR(V38/V25,0))</f>
        <v/>
      </c>
      <c r="W42" s="18">
        <f>IF(W6=0,"",IFERROR(W38/W25,0))</f>
        <v/>
      </c>
      <c r="X42" s="18">
        <f>IF(X6=0,"",IFERROR(X38/X25,0))</f>
        <v/>
      </c>
      <c r="Y42" s="18">
        <f>IF(Y6=0,"",IFERROR(Y38/Y25,0))</f>
        <v/>
      </c>
      <c r="Z42" s="18">
        <f>IF(Z6=0,"",IFERROR(Z38/Z25,0))</f>
        <v/>
      </c>
      <c r="AA42" s="18">
        <f>IF(AA6=0,"",IFERROR(AA38/AA25,0))</f>
        <v/>
      </c>
      <c r="AB42" s="18">
        <f>IF(AB6=0,"",IFERROR(AB38/AB25,0))</f>
        <v/>
      </c>
      <c r="AC42" s="18">
        <f>IFERROR(AVERAGE(C42:AB42),"")</f>
        <v/>
      </c>
      <c r="AD42" s="18">
        <f>IFERROR(MEDIAN(C42:AB42),"")</f>
        <v/>
      </c>
      <c r="AE42" s="18">
        <f>IFERROR(MAX(C42:AB42),"")</f>
        <v/>
      </c>
      <c r="AF42" s="18">
        <f>IFERROR(MIN(C42:AB42),"")</f>
        <v/>
      </c>
    </row>
    <row r="43">
      <c r="A43" t="inlineStr">
        <is>
          <t>Escalera</t>
        </is>
      </c>
      <c r="B43" s="25" t="inlineStr">
        <is>
          <t>Order value (facturado por comprador)</t>
        </is>
      </c>
      <c r="C43" s="15">
        <f>IF(C6=0,"",IFERROR(C46/C25,0))</f>
        <v/>
      </c>
      <c r="D43" s="15">
        <f>IF(D6=0,"",IFERROR(D46/D25,0))</f>
        <v/>
      </c>
      <c r="E43" s="15">
        <f>IF(E6=0,"",IFERROR(E46/E25,0))</f>
        <v/>
      </c>
      <c r="F43" s="15">
        <f>IF(F6=0,"",IFERROR(F46/F25,0))</f>
        <v/>
      </c>
      <c r="G43" s="15">
        <f>IF(G6=0,"",IFERROR(G46/G25,0))</f>
        <v/>
      </c>
      <c r="H43" s="15">
        <f>IF(H6=0,"",IFERROR(H46/H25,0))</f>
        <v/>
      </c>
      <c r="I43" s="15">
        <f>IF(I6=0,"",IFERROR(I46/I25,0))</f>
        <v/>
      </c>
      <c r="J43" s="15">
        <f>IF(J6=0,"",IFERROR(J46/J25,0))</f>
        <v/>
      </c>
      <c r="K43" s="15">
        <f>IF(K6=0,"",IFERROR(K46/K25,0))</f>
        <v/>
      </c>
      <c r="L43" s="15">
        <f>IF(L6=0,"",IFERROR(L46/L25,0))</f>
        <v/>
      </c>
      <c r="M43" s="15">
        <f>IF(M6=0,"",IFERROR(M46/M25,0))</f>
        <v/>
      </c>
      <c r="N43" s="15">
        <f>IF(N6=0,"",IFERROR(N46/N25,0))</f>
        <v/>
      </c>
      <c r="O43" s="15">
        <f>IF(O6=0,"",IFERROR(O46/O25,0))</f>
        <v/>
      </c>
      <c r="P43" s="15">
        <f>IF(P6=0,"",IFERROR(P46/P25,0))</f>
        <v/>
      </c>
      <c r="Q43" s="15">
        <f>IF(Q6=0,"",IFERROR(Q46/Q25,0))</f>
        <v/>
      </c>
      <c r="R43" s="15">
        <f>IF(R6=0,"",IFERROR(R46/R25,0))</f>
        <v/>
      </c>
      <c r="S43" s="15">
        <f>IF(S6=0,"",IFERROR(S46/S25,0))</f>
        <v/>
      </c>
      <c r="T43" s="15">
        <f>IF(T6=0,"",IFERROR(T46/T25,0))</f>
        <v/>
      </c>
      <c r="U43" s="15">
        <f>IF(U6=0,"",IFERROR(U46/U25,0))</f>
        <v/>
      </c>
      <c r="V43" s="15">
        <f>IF(V6=0,"",IFERROR(V46/V25,0))</f>
        <v/>
      </c>
      <c r="W43" s="15">
        <f>IF(W6=0,"",IFERROR(W46/W25,0))</f>
        <v/>
      </c>
      <c r="X43" s="15">
        <f>IF(X6=0,"",IFERROR(X46/X25,0))</f>
        <v/>
      </c>
      <c r="Y43" s="15">
        <f>IF(Y6=0,"",IFERROR(Y46/Y25,0))</f>
        <v/>
      </c>
      <c r="Z43" s="15">
        <f>IF(Z6=0,"",IFERROR(Z46/Z25,0))</f>
        <v/>
      </c>
      <c r="AA43" s="15">
        <f>IF(AA6=0,"",IFERROR(AA46/AA25,0))</f>
        <v/>
      </c>
      <c r="AB43" s="15">
        <f>IF(AB6=0,"",IFERROR(AB46/AB25,0))</f>
        <v/>
      </c>
      <c r="AC43" s="15">
        <f>IFERROR(AVERAGE(C43:AB43),"")</f>
        <v/>
      </c>
      <c r="AD43" s="15">
        <f>IFERROR(MEDIAN(C43:AB43),"")</f>
        <v/>
      </c>
      <c r="AE43" s="15">
        <f>IFERROR(MAX(C43:AB43),"")</f>
        <v/>
      </c>
      <c r="AF43" s="15">
        <f>IFERROR(MIN(C43:AB43),"")</f>
        <v/>
      </c>
    </row>
    <row r="45">
      <c r="A45" s="23" t="inlineStr">
        <is>
          <t>4. Resultado</t>
        </is>
      </c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</row>
    <row r="46">
      <c r="A46" t="inlineStr">
        <is>
          <t>Resultado</t>
        </is>
      </c>
      <c r="B46" s="5" t="inlineStr">
        <is>
          <t>Facturado (toda la escalera)</t>
        </is>
      </c>
      <c r="C46" s="20">
        <f>IF(C6=0,"",IFERROR(C25*Config!$C$7+C32*Config!$C$8+C33*Config!$C$9+C34*Config!$C$10+C35*Config!$C$11+C36*Config!$C$12+C37*Config!$C$13+C38*Config!$C$14,0))</f>
        <v/>
      </c>
      <c r="D46" s="20">
        <f>IF(D6=0,"",IFERROR(D25*Config!$C$7+D32*Config!$C$8+D33*Config!$C$9+D34*Config!$C$10+D35*Config!$C$11+D36*Config!$C$12+D37*Config!$C$13+D38*Config!$C$14,0))</f>
        <v/>
      </c>
      <c r="E46" s="20">
        <f>IF(E6=0,"",IFERROR(E25*Config!$C$7+E32*Config!$C$8+E33*Config!$C$9+E34*Config!$C$10+E35*Config!$C$11+E36*Config!$C$12+E37*Config!$C$13+E38*Config!$C$14,0))</f>
        <v/>
      </c>
      <c r="F46" s="20">
        <f>IF(F6=0,"",IFERROR(F25*Config!$C$7+F32*Config!$C$8+F33*Config!$C$9+F34*Config!$C$10+F35*Config!$C$11+F36*Config!$C$12+F37*Config!$C$13+F38*Config!$C$14,0))</f>
        <v/>
      </c>
      <c r="G46" s="20">
        <f>IF(G6=0,"",IFERROR(G25*Config!$C$7+G32*Config!$C$8+G33*Config!$C$9+G34*Config!$C$10+G35*Config!$C$11+G36*Config!$C$12+G37*Config!$C$13+G38*Config!$C$14,0))</f>
        <v/>
      </c>
      <c r="H46" s="20">
        <f>IF(H6=0,"",IFERROR(H25*Config!$C$7+H32*Config!$C$8+H33*Config!$C$9+H34*Config!$C$10+H35*Config!$C$11+H36*Config!$C$12+H37*Config!$C$13+H38*Config!$C$14,0))</f>
        <v/>
      </c>
      <c r="I46" s="20">
        <f>IF(I6=0,"",IFERROR(I25*Config!$C$7+I32*Config!$C$8+I33*Config!$C$9+I34*Config!$C$10+I35*Config!$C$11+I36*Config!$C$12+I37*Config!$C$13+I38*Config!$C$14,0))</f>
        <v/>
      </c>
      <c r="J46" s="20">
        <f>IF(J6=0,"",IFERROR(J25*Config!$C$7+J32*Config!$C$8+J33*Config!$C$9+J34*Config!$C$10+J35*Config!$C$11+J36*Config!$C$12+J37*Config!$C$13+J38*Config!$C$14,0))</f>
        <v/>
      </c>
      <c r="K46" s="20">
        <f>IF(K6=0,"",IFERROR(K25*Config!$C$7+K32*Config!$C$8+K33*Config!$C$9+K34*Config!$C$10+K35*Config!$C$11+K36*Config!$C$12+K37*Config!$C$13+K38*Config!$C$14,0))</f>
        <v/>
      </c>
      <c r="L46" s="20">
        <f>IF(L6=0,"",IFERROR(L25*Config!$C$7+L32*Config!$C$8+L33*Config!$C$9+L34*Config!$C$10+L35*Config!$C$11+L36*Config!$C$12+L37*Config!$C$13+L38*Config!$C$14,0))</f>
        <v/>
      </c>
      <c r="M46" s="20">
        <f>IF(M6=0,"",IFERROR(M25*Config!$C$7+M32*Config!$C$8+M33*Config!$C$9+M34*Config!$C$10+M35*Config!$C$11+M36*Config!$C$12+M37*Config!$C$13+M38*Config!$C$14,0))</f>
        <v/>
      </c>
      <c r="N46" s="20">
        <f>IF(N6=0,"",IFERROR(N25*Config!$C$7+N32*Config!$C$8+N33*Config!$C$9+N34*Config!$C$10+N35*Config!$C$11+N36*Config!$C$12+N37*Config!$C$13+N38*Config!$C$14,0))</f>
        <v/>
      </c>
      <c r="O46" s="20">
        <f>IF(O6=0,"",IFERROR(O25*Config!$C$7+O32*Config!$C$8+O33*Config!$C$9+O34*Config!$C$10+O35*Config!$C$11+O36*Config!$C$12+O37*Config!$C$13+O38*Config!$C$14,0))</f>
        <v/>
      </c>
      <c r="P46" s="20">
        <f>IF(P6=0,"",IFERROR(P25*Config!$C$7+P32*Config!$C$8+P33*Config!$C$9+P34*Config!$C$10+P35*Config!$C$11+P36*Config!$C$12+P37*Config!$C$13+P38*Config!$C$14,0))</f>
        <v/>
      </c>
      <c r="Q46" s="20">
        <f>IF(Q6=0,"",IFERROR(Q25*Config!$C$7+Q32*Config!$C$8+Q33*Config!$C$9+Q34*Config!$C$10+Q35*Config!$C$11+Q36*Config!$C$12+Q37*Config!$C$13+Q38*Config!$C$14,0))</f>
        <v/>
      </c>
      <c r="R46" s="20">
        <f>IF(R6=0,"",IFERROR(R25*Config!$C$7+R32*Config!$C$8+R33*Config!$C$9+R34*Config!$C$10+R35*Config!$C$11+R36*Config!$C$12+R37*Config!$C$13+R38*Config!$C$14,0))</f>
        <v/>
      </c>
      <c r="S46" s="20">
        <f>IF(S6=0,"",IFERROR(S25*Config!$C$7+S32*Config!$C$8+S33*Config!$C$9+S34*Config!$C$10+S35*Config!$C$11+S36*Config!$C$12+S37*Config!$C$13+S38*Config!$C$14,0))</f>
        <v/>
      </c>
      <c r="T46" s="20">
        <f>IF(T6=0,"",IFERROR(T25*Config!$C$7+T32*Config!$C$8+T33*Config!$C$9+T34*Config!$C$10+T35*Config!$C$11+T36*Config!$C$12+T37*Config!$C$13+T38*Config!$C$14,0))</f>
        <v/>
      </c>
      <c r="U46" s="20">
        <f>IF(U6=0,"",IFERROR(U25*Config!$C$7+U32*Config!$C$8+U33*Config!$C$9+U34*Config!$C$10+U35*Config!$C$11+U36*Config!$C$12+U37*Config!$C$13+U38*Config!$C$14,0))</f>
        <v/>
      </c>
      <c r="V46" s="20">
        <f>IF(V6=0,"",IFERROR(V25*Config!$C$7+V32*Config!$C$8+V33*Config!$C$9+V34*Config!$C$10+V35*Config!$C$11+V36*Config!$C$12+V37*Config!$C$13+V38*Config!$C$14,0))</f>
        <v/>
      </c>
      <c r="W46" s="20">
        <f>IF(W6=0,"",IFERROR(W25*Config!$C$7+W32*Config!$C$8+W33*Config!$C$9+W34*Config!$C$10+W35*Config!$C$11+W36*Config!$C$12+W37*Config!$C$13+W38*Config!$C$14,0))</f>
        <v/>
      </c>
      <c r="X46" s="20">
        <f>IF(X6=0,"",IFERROR(X25*Config!$C$7+X32*Config!$C$8+X33*Config!$C$9+X34*Config!$C$10+X35*Config!$C$11+X36*Config!$C$12+X37*Config!$C$13+X38*Config!$C$14,0))</f>
        <v/>
      </c>
      <c r="Y46" s="20">
        <f>IF(Y6=0,"",IFERROR(Y25*Config!$C$7+Y32*Config!$C$8+Y33*Config!$C$9+Y34*Config!$C$10+Y35*Config!$C$11+Y36*Config!$C$12+Y37*Config!$C$13+Y38*Config!$C$14,0))</f>
        <v/>
      </c>
      <c r="Z46" s="20">
        <f>IF(Z6=0,"",IFERROR(Z25*Config!$C$7+Z32*Config!$C$8+Z33*Config!$C$9+Z34*Config!$C$10+Z35*Config!$C$11+Z36*Config!$C$12+Z37*Config!$C$13+Z38*Config!$C$14,0))</f>
        <v/>
      </c>
      <c r="AA46" s="20">
        <f>IF(AA6=0,"",IFERROR(AA25*Config!$C$7+AA32*Config!$C$8+AA33*Config!$C$9+AA34*Config!$C$10+AA35*Config!$C$11+AA36*Config!$C$12+AA37*Config!$C$13+AA38*Config!$C$14,0))</f>
        <v/>
      </c>
      <c r="AB46" s="20">
        <f>IF(AB6=0,"",IFERROR(AB25*Config!$C$7+AB32*Config!$C$8+AB33*Config!$C$9+AB34*Config!$C$10+AB35*Config!$C$11+AB36*Config!$C$12+AB37*Config!$C$13+AB38*Config!$C$14,0))</f>
        <v/>
      </c>
      <c r="AC46" s="20">
        <f>IFERROR(AVERAGE(C46:AB46),"")</f>
        <v/>
      </c>
      <c r="AD46" s="20">
        <f>IFERROR(MEDIAN(C46:AB46),"")</f>
        <v/>
      </c>
      <c r="AE46" s="20">
        <f>IFERROR(MAX(C46:AB46),"")</f>
        <v/>
      </c>
      <c r="AF46" s="20">
        <f>IFERROR(MIN(C46:AB46),"")</f>
        <v/>
      </c>
    </row>
    <row r="47">
      <c r="A47" t="inlineStr">
        <is>
          <t>Resultado</t>
        </is>
      </c>
      <c r="B47" s="5" t="inlineStr">
        <is>
          <t>Cash neto (después de comisiones y reembolsos)</t>
        </is>
      </c>
      <c r="C47" s="20">
        <f>IF(C6=0,"",IFERROR(C46*(1-Config!$C$15-Config!$C$16-Config!$C$17),0))</f>
        <v/>
      </c>
      <c r="D47" s="20">
        <f>IF(D6=0,"",IFERROR(D46*(1-Config!$C$15-Config!$C$16-Config!$C$17),0))</f>
        <v/>
      </c>
      <c r="E47" s="20">
        <f>IF(E6=0,"",IFERROR(E46*(1-Config!$C$15-Config!$C$16-Config!$C$17),0))</f>
        <v/>
      </c>
      <c r="F47" s="20">
        <f>IF(F6=0,"",IFERROR(F46*(1-Config!$C$15-Config!$C$16-Config!$C$17),0))</f>
        <v/>
      </c>
      <c r="G47" s="20">
        <f>IF(G6=0,"",IFERROR(G46*(1-Config!$C$15-Config!$C$16-Config!$C$17),0))</f>
        <v/>
      </c>
      <c r="H47" s="20">
        <f>IF(H6=0,"",IFERROR(H46*(1-Config!$C$15-Config!$C$16-Config!$C$17),0))</f>
        <v/>
      </c>
      <c r="I47" s="20">
        <f>IF(I6=0,"",IFERROR(I46*(1-Config!$C$15-Config!$C$16-Config!$C$17),0))</f>
        <v/>
      </c>
      <c r="J47" s="20">
        <f>IF(J6=0,"",IFERROR(J46*(1-Config!$C$15-Config!$C$16-Config!$C$17),0))</f>
        <v/>
      </c>
      <c r="K47" s="20">
        <f>IF(K6=0,"",IFERROR(K46*(1-Config!$C$15-Config!$C$16-Config!$C$17),0))</f>
        <v/>
      </c>
      <c r="L47" s="20">
        <f>IF(L6=0,"",IFERROR(L46*(1-Config!$C$15-Config!$C$16-Config!$C$17),0))</f>
        <v/>
      </c>
      <c r="M47" s="20">
        <f>IF(M6=0,"",IFERROR(M46*(1-Config!$C$15-Config!$C$16-Config!$C$17),0))</f>
        <v/>
      </c>
      <c r="N47" s="20">
        <f>IF(N6=0,"",IFERROR(N46*(1-Config!$C$15-Config!$C$16-Config!$C$17),0))</f>
        <v/>
      </c>
      <c r="O47" s="20">
        <f>IF(O6=0,"",IFERROR(O46*(1-Config!$C$15-Config!$C$16-Config!$C$17),0))</f>
        <v/>
      </c>
      <c r="P47" s="20">
        <f>IF(P6=0,"",IFERROR(P46*(1-Config!$C$15-Config!$C$16-Config!$C$17),0))</f>
        <v/>
      </c>
      <c r="Q47" s="20">
        <f>IF(Q6=0,"",IFERROR(Q46*(1-Config!$C$15-Config!$C$16-Config!$C$17),0))</f>
        <v/>
      </c>
      <c r="R47" s="20">
        <f>IF(R6=0,"",IFERROR(R46*(1-Config!$C$15-Config!$C$16-Config!$C$17),0))</f>
        <v/>
      </c>
      <c r="S47" s="20">
        <f>IF(S6=0,"",IFERROR(S46*(1-Config!$C$15-Config!$C$16-Config!$C$17),0))</f>
        <v/>
      </c>
      <c r="T47" s="20">
        <f>IF(T6=0,"",IFERROR(T46*(1-Config!$C$15-Config!$C$16-Config!$C$17),0))</f>
        <v/>
      </c>
      <c r="U47" s="20">
        <f>IF(U6=0,"",IFERROR(U46*(1-Config!$C$15-Config!$C$16-Config!$C$17),0))</f>
        <v/>
      </c>
      <c r="V47" s="20">
        <f>IF(V6=0,"",IFERROR(V46*(1-Config!$C$15-Config!$C$16-Config!$C$17),0))</f>
        <v/>
      </c>
      <c r="W47" s="20">
        <f>IF(W6=0,"",IFERROR(W46*(1-Config!$C$15-Config!$C$16-Config!$C$17),0))</f>
        <v/>
      </c>
      <c r="X47" s="20">
        <f>IF(X6=0,"",IFERROR(X46*(1-Config!$C$15-Config!$C$16-Config!$C$17),0))</f>
        <v/>
      </c>
      <c r="Y47" s="20">
        <f>IF(Y6=0,"",IFERROR(Y46*(1-Config!$C$15-Config!$C$16-Config!$C$17),0))</f>
        <v/>
      </c>
      <c r="Z47" s="20">
        <f>IF(Z6=0,"",IFERROR(Z46*(1-Config!$C$15-Config!$C$16-Config!$C$17),0))</f>
        <v/>
      </c>
      <c r="AA47" s="20">
        <f>IF(AA6=0,"",IFERROR(AA46*(1-Config!$C$15-Config!$C$16-Config!$C$17),0))</f>
        <v/>
      </c>
      <c r="AB47" s="20">
        <f>IF(AB6=0,"",IFERROR(AB46*(1-Config!$C$15-Config!$C$16-Config!$C$17),0))</f>
        <v/>
      </c>
      <c r="AC47" s="20">
        <f>IFERROR(AVERAGE(C47:AB47),"")</f>
        <v/>
      </c>
      <c r="AD47" s="20">
        <f>IFERROR(MEDIAN(C47:AB47),"")</f>
        <v/>
      </c>
      <c r="AE47" s="20">
        <f>IFERROR(MAX(C47:AB47),"")</f>
        <v/>
      </c>
      <c r="AF47" s="20">
        <f>IFERROR(MIN(C47:AB47),"")</f>
        <v/>
      </c>
    </row>
    <row r="48">
      <c r="A48" t="inlineStr">
        <is>
          <t>Resultado</t>
        </is>
      </c>
      <c r="B48" s="5" t="inlineStr">
        <is>
          <t>Ganancia (cash neto − pauta − fijos)</t>
        </is>
      </c>
      <c r="C48" s="20">
        <f>IF(C6=0,"",IFERROR(C47-C10-Config!$C$18*7,0))</f>
        <v/>
      </c>
      <c r="D48" s="20">
        <f>IF(D6=0,"",IFERROR(D47-D10-Config!$C$18*7,0))</f>
        <v/>
      </c>
      <c r="E48" s="20">
        <f>IF(E6=0,"",IFERROR(E47-E10-Config!$C$18*7,0))</f>
        <v/>
      </c>
      <c r="F48" s="20">
        <f>IF(F6=0,"",IFERROR(F47-F10-Config!$C$18*7,0))</f>
        <v/>
      </c>
      <c r="G48" s="20">
        <f>IF(G6=0,"",IFERROR(G47-G10-Config!$C$18*7,0))</f>
        <v/>
      </c>
      <c r="H48" s="20">
        <f>IF(H6=0,"",IFERROR(H47-H10-Config!$C$18*7,0))</f>
        <v/>
      </c>
      <c r="I48" s="20">
        <f>IF(I6=0,"",IFERROR(I47-I10-Config!$C$18*7,0))</f>
        <v/>
      </c>
      <c r="J48" s="20">
        <f>IF(J6=0,"",IFERROR(J47-J10-Config!$C$18*7,0))</f>
        <v/>
      </c>
      <c r="K48" s="20">
        <f>IF(K6=0,"",IFERROR(K47-K10-Config!$C$18*7,0))</f>
        <v/>
      </c>
      <c r="L48" s="20">
        <f>IF(L6=0,"",IFERROR(L47-L10-Config!$C$18*7,0))</f>
        <v/>
      </c>
      <c r="M48" s="20">
        <f>IF(M6=0,"",IFERROR(M47-M10-Config!$C$18*7,0))</f>
        <v/>
      </c>
      <c r="N48" s="20">
        <f>IF(N6=0,"",IFERROR(N47-N10-Config!$C$18*7,0))</f>
        <v/>
      </c>
      <c r="O48" s="20">
        <f>IF(O6=0,"",IFERROR(O47-O10-Config!$C$18*7,0))</f>
        <v/>
      </c>
      <c r="P48" s="20">
        <f>IF(P6=0,"",IFERROR(P47-P10-Config!$C$18*7,0))</f>
        <v/>
      </c>
      <c r="Q48" s="20">
        <f>IF(Q6=0,"",IFERROR(Q47-Q10-Config!$C$18*7,0))</f>
        <v/>
      </c>
      <c r="R48" s="20">
        <f>IF(R6=0,"",IFERROR(R47-R10-Config!$C$18*7,0))</f>
        <v/>
      </c>
      <c r="S48" s="20">
        <f>IF(S6=0,"",IFERROR(S47-S10-Config!$C$18*7,0))</f>
        <v/>
      </c>
      <c r="T48" s="20">
        <f>IF(T6=0,"",IFERROR(T47-T10-Config!$C$18*7,0))</f>
        <v/>
      </c>
      <c r="U48" s="20">
        <f>IF(U6=0,"",IFERROR(U47-U10-Config!$C$18*7,0))</f>
        <v/>
      </c>
      <c r="V48" s="20">
        <f>IF(V6=0,"",IFERROR(V47-V10-Config!$C$18*7,0))</f>
        <v/>
      </c>
      <c r="W48" s="20">
        <f>IF(W6=0,"",IFERROR(W47-W10-Config!$C$18*7,0))</f>
        <v/>
      </c>
      <c r="X48" s="20">
        <f>IF(X6=0,"",IFERROR(X47-X10-Config!$C$18*7,0))</f>
        <v/>
      </c>
      <c r="Y48" s="20">
        <f>IF(Y6=0,"",IFERROR(Y47-Y10-Config!$C$18*7,0))</f>
        <v/>
      </c>
      <c r="Z48" s="20">
        <f>IF(Z6=0,"",IFERROR(Z47-Z10-Config!$C$18*7,0))</f>
        <v/>
      </c>
      <c r="AA48" s="20">
        <f>IF(AA6=0,"",IFERROR(AA47-AA10-Config!$C$18*7,0))</f>
        <v/>
      </c>
      <c r="AB48" s="20">
        <f>IF(AB6=0,"",IFERROR(AB47-AB10-Config!$C$18*7,0))</f>
        <v/>
      </c>
      <c r="AC48" s="20">
        <f>IFERROR(AVERAGE(C48:AB48),"")</f>
        <v/>
      </c>
      <c r="AD48" s="20">
        <f>IFERROR(MEDIAN(C48:AB48),"")</f>
        <v/>
      </c>
      <c r="AE48" s="20">
        <f>IFERROR(MAX(C48:AB48),"")</f>
        <v/>
      </c>
      <c r="AF48" s="20">
        <f>IFERROR(MIN(C48:AB48),"")</f>
        <v/>
      </c>
    </row>
    <row r="49">
      <c r="A49" t="inlineStr">
        <is>
          <t>Resultado</t>
        </is>
      </c>
      <c r="B49" s="25" t="inlineStr">
        <is>
          <t>ROAS sobre cash neto</t>
        </is>
      </c>
      <c r="C49" s="21">
        <f>IF(C6=0,"",IFERROR(C47/C10,0))</f>
        <v/>
      </c>
      <c r="D49" s="21">
        <f>IF(D6=0,"",IFERROR(D47/D10,0))</f>
        <v/>
      </c>
      <c r="E49" s="21">
        <f>IF(E6=0,"",IFERROR(E47/E10,0))</f>
        <v/>
      </c>
      <c r="F49" s="21">
        <f>IF(F6=0,"",IFERROR(F47/F10,0))</f>
        <v/>
      </c>
      <c r="G49" s="21">
        <f>IF(G6=0,"",IFERROR(G47/G10,0))</f>
        <v/>
      </c>
      <c r="H49" s="21">
        <f>IF(H6=0,"",IFERROR(H47/H10,0))</f>
        <v/>
      </c>
      <c r="I49" s="21">
        <f>IF(I6=0,"",IFERROR(I47/I10,0))</f>
        <v/>
      </c>
      <c r="J49" s="21">
        <f>IF(J6=0,"",IFERROR(J47/J10,0))</f>
        <v/>
      </c>
      <c r="K49" s="21">
        <f>IF(K6=0,"",IFERROR(K47/K10,0))</f>
        <v/>
      </c>
      <c r="L49" s="21">
        <f>IF(L6=0,"",IFERROR(L47/L10,0))</f>
        <v/>
      </c>
      <c r="M49" s="21">
        <f>IF(M6=0,"",IFERROR(M47/M10,0))</f>
        <v/>
      </c>
      <c r="N49" s="21">
        <f>IF(N6=0,"",IFERROR(N47/N10,0))</f>
        <v/>
      </c>
      <c r="O49" s="21">
        <f>IF(O6=0,"",IFERROR(O47/O10,0))</f>
        <v/>
      </c>
      <c r="P49" s="21">
        <f>IF(P6=0,"",IFERROR(P47/P10,0))</f>
        <v/>
      </c>
      <c r="Q49" s="21">
        <f>IF(Q6=0,"",IFERROR(Q47/Q10,0))</f>
        <v/>
      </c>
      <c r="R49" s="21">
        <f>IF(R6=0,"",IFERROR(R47/R10,0))</f>
        <v/>
      </c>
      <c r="S49" s="21">
        <f>IF(S6=0,"",IFERROR(S47/S10,0))</f>
        <v/>
      </c>
      <c r="T49" s="21">
        <f>IF(T6=0,"",IFERROR(T47/T10,0))</f>
        <v/>
      </c>
      <c r="U49" s="21">
        <f>IF(U6=0,"",IFERROR(U47/U10,0))</f>
        <v/>
      </c>
      <c r="V49" s="21">
        <f>IF(V6=0,"",IFERROR(V47/V10,0))</f>
        <v/>
      </c>
      <c r="W49" s="21">
        <f>IF(W6=0,"",IFERROR(W47/W10,0))</f>
        <v/>
      </c>
      <c r="X49" s="21">
        <f>IF(X6=0,"",IFERROR(X47/X10,0))</f>
        <v/>
      </c>
      <c r="Y49" s="21">
        <f>IF(Y6=0,"",IFERROR(Y47/Y10,0))</f>
        <v/>
      </c>
      <c r="Z49" s="21">
        <f>IF(Z6=0,"",IFERROR(Z47/Z10,0))</f>
        <v/>
      </c>
      <c r="AA49" s="21">
        <f>IF(AA6=0,"",IFERROR(AA47/AA10,0))</f>
        <v/>
      </c>
      <c r="AB49" s="21">
        <f>IF(AB6=0,"",IFERROR(AB47/AB10,0))</f>
        <v/>
      </c>
      <c r="AC49" s="21">
        <f>IFERROR(AVERAGE(C49:AB49),"")</f>
        <v/>
      </c>
      <c r="AD49" s="21">
        <f>IFERROR(MEDIAN(C49:AB49),"")</f>
        <v/>
      </c>
      <c r="AE49" s="21">
        <f>IFERROR(MAX(C49:AB49),"")</f>
        <v/>
      </c>
      <c r="AF49" s="21">
        <f>IFERROR(MIN(C49:AB49),"")</f>
        <v/>
      </c>
    </row>
    <row r="50">
      <c r="A50" t="inlineStr">
        <is>
          <t>Resultado</t>
        </is>
      </c>
      <c r="B50" s="25" t="inlineStr">
        <is>
          <t>Ganancia por visita (la métrica más valiosa)</t>
        </is>
      </c>
      <c r="C50" s="15">
        <f>IF(C6=0,"",IFERROR(C48/C14,0))</f>
        <v/>
      </c>
      <c r="D50" s="15">
        <f>IF(D6=0,"",IFERROR(D48/D14,0))</f>
        <v/>
      </c>
      <c r="E50" s="15">
        <f>IF(E6=0,"",IFERROR(E48/E14,0))</f>
        <v/>
      </c>
      <c r="F50" s="15">
        <f>IF(F6=0,"",IFERROR(F48/F14,0))</f>
        <v/>
      </c>
      <c r="G50" s="15">
        <f>IF(G6=0,"",IFERROR(G48/G14,0))</f>
        <v/>
      </c>
      <c r="H50" s="15">
        <f>IF(H6=0,"",IFERROR(H48/H14,0))</f>
        <v/>
      </c>
      <c r="I50" s="15">
        <f>IF(I6=0,"",IFERROR(I48/I14,0))</f>
        <v/>
      </c>
      <c r="J50" s="15">
        <f>IF(J6=0,"",IFERROR(J48/J14,0))</f>
        <v/>
      </c>
      <c r="K50" s="15">
        <f>IF(K6=0,"",IFERROR(K48/K14,0))</f>
        <v/>
      </c>
      <c r="L50" s="15">
        <f>IF(L6=0,"",IFERROR(L48/L14,0))</f>
        <v/>
      </c>
      <c r="M50" s="15">
        <f>IF(M6=0,"",IFERROR(M48/M14,0))</f>
        <v/>
      </c>
      <c r="N50" s="15">
        <f>IF(N6=0,"",IFERROR(N48/N14,0))</f>
        <v/>
      </c>
      <c r="O50" s="15">
        <f>IF(O6=0,"",IFERROR(O48/O14,0))</f>
        <v/>
      </c>
      <c r="P50" s="15">
        <f>IF(P6=0,"",IFERROR(P48/P14,0))</f>
        <v/>
      </c>
      <c r="Q50" s="15">
        <f>IF(Q6=0,"",IFERROR(Q48/Q14,0))</f>
        <v/>
      </c>
      <c r="R50" s="15">
        <f>IF(R6=0,"",IFERROR(R48/R14,0))</f>
        <v/>
      </c>
      <c r="S50" s="15">
        <f>IF(S6=0,"",IFERROR(S48/S14,0))</f>
        <v/>
      </c>
      <c r="T50" s="15">
        <f>IF(T6=0,"",IFERROR(T48/T14,0))</f>
        <v/>
      </c>
      <c r="U50" s="15">
        <f>IF(U6=0,"",IFERROR(U48/U14,0))</f>
        <v/>
      </c>
      <c r="V50" s="15">
        <f>IF(V6=0,"",IFERROR(V48/V14,0))</f>
        <v/>
      </c>
      <c r="W50" s="15">
        <f>IF(W6=0,"",IFERROR(W48/W14,0))</f>
        <v/>
      </c>
      <c r="X50" s="15">
        <f>IF(X6=0,"",IFERROR(X48/X14,0))</f>
        <v/>
      </c>
      <c r="Y50" s="15">
        <f>IF(Y6=0,"",IFERROR(Y48/Y14,0))</f>
        <v/>
      </c>
      <c r="Z50" s="15">
        <f>IF(Z6=0,"",IFERROR(Z48/Z14,0))</f>
        <v/>
      </c>
      <c r="AA50" s="15">
        <f>IF(AA6=0,"",IFERROR(AA48/AA14,0))</f>
        <v/>
      </c>
      <c r="AB50" s="15">
        <f>IF(AB6=0,"",IFERROR(AB48/AB14,0))</f>
        <v/>
      </c>
      <c r="AC50" s="15">
        <f>IFERROR(AVERAGE(C50:AB50),"")</f>
        <v/>
      </c>
      <c r="AD50" s="15">
        <f>IFERROR(MEDIAN(C50:AB50),"")</f>
        <v/>
      </c>
      <c r="AE50" s="15">
        <f>IFERROR(MAX(C50:AB50),"")</f>
        <v/>
      </c>
      <c r="AF50" s="15">
        <f>IFERROR(MIN(C50:AB50),"")</f>
        <v/>
      </c>
    </row>
    <row r="51">
      <c r="A51" t="inlineStr">
        <is>
          <t>Resultado</t>
        </is>
      </c>
      <c r="B51" s="5" t="inlineStr">
        <is>
          <t>Margen por visita (ganancia por visita ÷ costo por visita)</t>
        </is>
      </c>
      <c r="C51" s="21">
        <f>IF(C6=0,"",IFERROR(C50/C20,0))</f>
        <v/>
      </c>
      <c r="D51" s="21">
        <f>IF(D6=0,"",IFERROR(D50/D20,0))</f>
        <v/>
      </c>
      <c r="E51" s="21">
        <f>IF(E6=0,"",IFERROR(E50/E20,0))</f>
        <v/>
      </c>
      <c r="F51" s="21">
        <f>IF(F6=0,"",IFERROR(F50/F20,0))</f>
        <v/>
      </c>
      <c r="G51" s="21">
        <f>IF(G6=0,"",IFERROR(G50/G20,0))</f>
        <v/>
      </c>
      <c r="H51" s="21">
        <f>IF(H6=0,"",IFERROR(H50/H20,0))</f>
        <v/>
      </c>
      <c r="I51" s="21">
        <f>IF(I6=0,"",IFERROR(I50/I20,0))</f>
        <v/>
      </c>
      <c r="J51" s="21">
        <f>IF(J6=0,"",IFERROR(J50/J20,0))</f>
        <v/>
      </c>
      <c r="K51" s="21">
        <f>IF(K6=0,"",IFERROR(K50/K20,0))</f>
        <v/>
      </c>
      <c r="L51" s="21">
        <f>IF(L6=0,"",IFERROR(L50/L20,0))</f>
        <v/>
      </c>
      <c r="M51" s="21">
        <f>IF(M6=0,"",IFERROR(M50/M20,0))</f>
        <v/>
      </c>
      <c r="N51" s="21">
        <f>IF(N6=0,"",IFERROR(N50/N20,0))</f>
        <v/>
      </c>
      <c r="O51" s="21">
        <f>IF(O6=0,"",IFERROR(O50/O20,0))</f>
        <v/>
      </c>
      <c r="P51" s="21">
        <f>IF(P6=0,"",IFERROR(P50/P20,0))</f>
        <v/>
      </c>
      <c r="Q51" s="21">
        <f>IF(Q6=0,"",IFERROR(Q50/Q20,0))</f>
        <v/>
      </c>
      <c r="R51" s="21">
        <f>IF(R6=0,"",IFERROR(R50/R20,0))</f>
        <v/>
      </c>
      <c r="S51" s="21">
        <f>IF(S6=0,"",IFERROR(S50/S20,0))</f>
        <v/>
      </c>
      <c r="T51" s="21">
        <f>IF(T6=0,"",IFERROR(T50/T20,0))</f>
        <v/>
      </c>
      <c r="U51" s="21">
        <f>IF(U6=0,"",IFERROR(U50/U20,0))</f>
        <v/>
      </c>
      <c r="V51" s="21">
        <f>IF(V6=0,"",IFERROR(V50/V20,0))</f>
        <v/>
      </c>
      <c r="W51" s="21">
        <f>IF(W6=0,"",IFERROR(W50/W20,0))</f>
        <v/>
      </c>
      <c r="X51" s="21">
        <f>IF(X6=0,"",IFERROR(X50/X20,0))</f>
        <v/>
      </c>
      <c r="Y51" s="21">
        <f>IF(Y6=0,"",IFERROR(Y50/Y20,0))</f>
        <v/>
      </c>
      <c r="Z51" s="21">
        <f>IF(Z6=0,"",IFERROR(Z50/Z20,0))</f>
        <v/>
      </c>
      <c r="AA51" s="21">
        <f>IF(AA6=0,"",IFERROR(AA50/AA20,0))</f>
        <v/>
      </c>
      <c r="AB51" s="21">
        <f>IF(AB6=0,"",IFERROR(AB50/AB20,0))</f>
        <v/>
      </c>
      <c r="AC51" s="21">
        <f>IFERROR(AVERAGE(C51:AB51),"")</f>
        <v/>
      </c>
      <c r="AD51" s="21">
        <f>IFERROR(MEDIAN(C51:AB51),"")</f>
        <v/>
      </c>
      <c r="AE51" s="21">
        <f>IFERROR(MAX(C51:AB51),"")</f>
        <v/>
      </c>
      <c r="AF51" s="21">
        <f>IFERROR(MIN(C51:AB51),"")</f>
        <v/>
      </c>
    </row>
    <row r="52">
      <c r="A52" t="inlineStr">
        <is>
          <t>Resultado</t>
        </is>
      </c>
      <c r="B52" s="5" t="inlineStr">
        <is>
          <t>Ganancia por comprador</t>
        </is>
      </c>
      <c r="C52" s="15">
        <f>IF(C6=0,"",IFERROR(C48/C25,0))</f>
        <v/>
      </c>
      <c r="D52" s="15">
        <f>IF(D6=0,"",IFERROR(D48/D25,0))</f>
        <v/>
      </c>
      <c r="E52" s="15">
        <f>IF(E6=0,"",IFERROR(E48/E25,0))</f>
        <v/>
      </c>
      <c r="F52" s="15">
        <f>IF(F6=0,"",IFERROR(F48/F25,0))</f>
        <v/>
      </c>
      <c r="G52" s="15">
        <f>IF(G6=0,"",IFERROR(G48/G25,0))</f>
        <v/>
      </c>
      <c r="H52" s="15">
        <f>IF(H6=0,"",IFERROR(H48/H25,0))</f>
        <v/>
      </c>
      <c r="I52" s="15">
        <f>IF(I6=0,"",IFERROR(I48/I25,0))</f>
        <v/>
      </c>
      <c r="J52" s="15">
        <f>IF(J6=0,"",IFERROR(J48/J25,0))</f>
        <v/>
      </c>
      <c r="K52" s="15">
        <f>IF(K6=0,"",IFERROR(K48/K25,0))</f>
        <v/>
      </c>
      <c r="L52" s="15">
        <f>IF(L6=0,"",IFERROR(L48/L25,0))</f>
        <v/>
      </c>
      <c r="M52" s="15">
        <f>IF(M6=0,"",IFERROR(M48/M25,0))</f>
        <v/>
      </c>
      <c r="N52" s="15">
        <f>IF(N6=0,"",IFERROR(N48/N25,0))</f>
        <v/>
      </c>
      <c r="O52" s="15">
        <f>IF(O6=0,"",IFERROR(O48/O25,0))</f>
        <v/>
      </c>
      <c r="P52" s="15">
        <f>IF(P6=0,"",IFERROR(P48/P25,0))</f>
        <v/>
      </c>
      <c r="Q52" s="15">
        <f>IF(Q6=0,"",IFERROR(Q48/Q25,0))</f>
        <v/>
      </c>
      <c r="R52" s="15">
        <f>IF(R6=0,"",IFERROR(R48/R25,0))</f>
        <v/>
      </c>
      <c r="S52" s="15">
        <f>IF(S6=0,"",IFERROR(S48/S25,0))</f>
        <v/>
      </c>
      <c r="T52" s="15">
        <f>IF(T6=0,"",IFERROR(T48/T25,0))</f>
        <v/>
      </c>
      <c r="U52" s="15">
        <f>IF(U6=0,"",IFERROR(U48/U25,0))</f>
        <v/>
      </c>
      <c r="V52" s="15">
        <f>IF(V6=0,"",IFERROR(V48/V25,0))</f>
        <v/>
      </c>
      <c r="W52" s="15">
        <f>IF(W6=0,"",IFERROR(W48/W25,0))</f>
        <v/>
      </c>
      <c r="X52" s="15">
        <f>IF(X6=0,"",IFERROR(X48/X25,0))</f>
        <v/>
      </c>
      <c r="Y52" s="15">
        <f>IF(Y6=0,"",IFERROR(Y48/Y25,0))</f>
        <v/>
      </c>
      <c r="Z52" s="15">
        <f>IF(Z6=0,"",IFERROR(Z48/Z25,0))</f>
        <v/>
      </c>
      <c r="AA52" s="15">
        <f>IF(AA6=0,"",IFERROR(AA48/AA25,0))</f>
        <v/>
      </c>
      <c r="AB52" s="15">
        <f>IF(AB6=0,"",IFERROR(AB48/AB25,0))</f>
        <v/>
      </c>
      <c r="AC52" s="15">
        <f>IFERROR(AVERAGE(C52:AB52),"")</f>
        <v/>
      </c>
      <c r="AD52" s="15">
        <f>IFERROR(MEDIAN(C52:AB52),"")</f>
        <v/>
      </c>
      <c r="AE52" s="15">
        <f>IFERROR(MAX(C52:AB52),"")</f>
        <v/>
      </c>
      <c r="AF52" s="15">
        <f>IFERROR(MIN(C52:AB52),"")</f>
        <v/>
      </c>
    </row>
    <row r="53">
      <c r="A53" t="inlineStr">
        <is>
          <t>Resultado</t>
        </is>
      </c>
      <c r="B53" s="5" t="inlineStr">
        <is>
          <t>AOV neto − CPA (lo que queda por comprador)</t>
        </is>
      </c>
      <c r="C53" s="15">
        <f>IF(C6=0,"",IFERROR(C47/C25-C29,0))</f>
        <v/>
      </c>
      <c r="D53" s="15">
        <f>IF(D6=0,"",IFERROR(D47/D25-D29,0))</f>
        <v/>
      </c>
      <c r="E53" s="15">
        <f>IF(E6=0,"",IFERROR(E47/E25-E29,0))</f>
        <v/>
      </c>
      <c r="F53" s="15">
        <f>IF(F6=0,"",IFERROR(F47/F25-F29,0))</f>
        <v/>
      </c>
      <c r="G53" s="15">
        <f>IF(G6=0,"",IFERROR(G47/G25-G29,0))</f>
        <v/>
      </c>
      <c r="H53" s="15">
        <f>IF(H6=0,"",IFERROR(H47/H25-H29,0))</f>
        <v/>
      </c>
      <c r="I53" s="15">
        <f>IF(I6=0,"",IFERROR(I47/I25-I29,0))</f>
        <v/>
      </c>
      <c r="J53" s="15">
        <f>IF(J6=0,"",IFERROR(J47/J25-J29,0))</f>
        <v/>
      </c>
      <c r="K53" s="15">
        <f>IF(K6=0,"",IFERROR(K47/K25-K29,0))</f>
        <v/>
      </c>
      <c r="L53" s="15">
        <f>IF(L6=0,"",IFERROR(L47/L25-L29,0))</f>
        <v/>
      </c>
      <c r="M53" s="15">
        <f>IF(M6=0,"",IFERROR(M47/M25-M29,0))</f>
        <v/>
      </c>
      <c r="N53" s="15">
        <f>IF(N6=0,"",IFERROR(N47/N25-N29,0))</f>
        <v/>
      </c>
      <c r="O53" s="15">
        <f>IF(O6=0,"",IFERROR(O47/O25-O29,0))</f>
        <v/>
      </c>
      <c r="P53" s="15">
        <f>IF(P6=0,"",IFERROR(P47/P25-P29,0))</f>
        <v/>
      </c>
      <c r="Q53" s="15">
        <f>IF(Q6=0,"",IFERROR(Q47/Q25-Q29,0))</f>
        <v/>
      </c>
      <c r="R53" s="15">
        <f>IF(R6=0,"",IFERROR(R47/R25-R29,0))</f>
        <v/>
      </c>
      <c r="S53" s="15">
        <f>IF(S6=0,"",IFERROR(S47/S25-S29,0))</f>
        <v/>
      </c>
      <c r="T53" s="15">
        <f>IF(T6=0,"",IFERROR(T47/T25-T29,0))</f>
        <v/>
      </c>
      <c r="U53" s="15">
        <f>IF(U6=0,"",IFERROR(U47/U25-U29,0))</f>
        <v/>
      </c>
      <c r="V53" s="15">
        <f>IF(V6=0,"",IFERROR(V47/V25-V29,0))</f>
        <v/>
      </c>
      <c r="W53" s="15">
        <f>IF(W6=0,"",IFERROR(W47/W25-W29,0))</f>
        <v/>
      </c>
      <c r="X53" s="15">
        <f>IF(X6=0,"",IFERROR(X47/X25-X29,0))</f>
        <v/>
      </c>
      <c r="Y53" s="15">
        <f>IF(Y6=0,"",IFERROR(Y47/Y25-Y29,0))</f>
        <v/>
      </c>
      <c r="Z53" s="15">
        <f>IF(Z6=0,"",IFERROR(Z47/Z25-Z29,0))</f>
        <v/>
      </c>
      <c r="AA53" s="15">
        <f>IF(AA6=0,"",IFERROR(AA47/AA25-AA29,0))</f>
        <v/>
      </c>
      <c r="AB53" s="15">
        <f>IF(AB6=0,"",IFERROR(AB47/AB25-AB29,0))</f>
        <v/>
      </c>
      <c r="AC53" s="15">
        <f>IFERROR(AVERAGE(C53:AB53),"")</f>
        <v/>
      </c>
      <c r="AD53" s="15">
        <f>IFERROR(MEDIAN(C53:AB53),"")</f>
        <v/>
      </c>
      <c r="AE53" s="15">
        <f>IFERROR(MAX(C53:AB53),"")</f>
        <v/>
      </c>
      <c r="AF53" s="15">
        <f>IFERROR(MIN(C53:AB53),"")</f>
        <v/>
      </c>
    </row>
    <row r="55">
      <c r="A55" s="23" t="inlineStr">
        <is>
          <t>6. Contra tu promedio: cada semana contra la mediana de tus 4 semanas anteriores (tolerancia en Config). Igual o mejor = VERDE · hasta la tolerancia peor = AMARILLO · más = ROJO</t>
        </is>
      </c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</row>
    <row r="56">
      <c r="A56" t="inlineStr">
        <is>
          <t>Mediana 4 semanas anteriores</t>
        </is>
      </c>
      <c r="B56" s="5" t="inlineStr">
        <is>
          <t>Ganancia por visita (la métrica más valiosa)</t>
        </is>
      </c>
      <c r="C56" s="26" t="inlineStr"/>
      <c r="D56" s="15">
        <f>IFERROR(MEDIAN(C50:C50),"")</f>
        <v/>
      </c>
      <c r="E56" s="15">
        <f>IFERROR(MEDIAN(C50:D50),"")</f>
        <v/>
      </c>
      <c r="F56" s="15">
        <f>IFERROR(MEDIAN(C50:E50),"")</f>
        <v/>
      </c>
      <c r="G56" s="15">
        <f>IFERROR(MEDIAN(C50:F50),"")</f>
        <v/>
      </c>
      <c r="H56" s="15">
        <f>IFERROR(MEDIAN(D50:G50),"")</f>
        <v/>
      </c>
      <c r="I56" s="15">
        <f>IFERROR(MEDIAN(E50:H50),"")</f>
        <v/>
      </c>
      <c r="J56" s="15">
        <f>IFERROR(MEDIAN(F50:I50),"")</f>
        <v/>
      </c>
      <c r="K56" s="15">
        <f>IFERROR(MEDIAN(G50:J50),"")</f>
        <v/>
      </c>
      <c r="L56" s="15">
        <f>IFERROR(MEDIAN(H50:K50),"")</f>
        <v/>
      </c>
      <c r="M56" s="15">
        <f>IFERROR(MEDIAN(I50:L50),"")</f>
        <v/>
      </c>
      <c r="N56" s="15">
        <f>IFERROR(MEDIAN(J50:M50),"")</f>
        <v/>
      </c>
      <c r="O56" s="15">
        <f>IFERROR(MEDIAN(K50:N50),"")</f>
        <v/>
      </c>
      <c r="P56" s="15">
        <f>IFERROR(MEDIAN(L50:O50),"")</f>
        <v/>
      </c>
      <c r="Q56" s="15">
        <f>IFERROR(MEDIAN(M50:P50),"")</f>
        <v/>
      </c>
      <c r="R56" s="15">
        <f>IFERROR(MEDIAN(N50:Q50),"")</f>
        <v/>
      </c>
      <c r="S56" s="15">
        <f>IFERROR(MEDIAN(O50:R50),"")</f>
        <v/>
      </c>
      <c r="T56" s="15">
        <f>IFERROR(MEDIAN(P50:S50),"")</f>
        <v/>
      </c>
      <c r="U56" s="15">
        <f>IFERROR(MEDIAN(Q50:T50),"")</f>
        <v/>
      </c>
      <c r="V56" s="15">
        <f>IFERROR(MEDIAN(R50:U50),"")</f>
        <v/>
      </c>
      <c r="W56" s="15">
        <f>IFERROR(MEDIAN(S50:V50),"")</f>
        <v/>
      </c>
      <c r="X56" s="15">
        <f>IFERROR(MEDIAN(T50:W50),"")</f>
        <v/>
      </c>
      <c r="Y56" s="15">
        <f>IFERROR(MEDIAN(U50:X50),"")</f>
        <v/>
      </c>
      <c r="Z56" s="15">
        <f>IFERROR(MEDIAN(V50:Y50),"")</f>
        <v/>
      </c>
      <c r="AA56" s="15">
        <f>IFERROR(MEDIAN(W50:Z50),"")</f>
        <v/>
      </c>
      <c r="AB56" s="15">
        <f>IFERROR(MEDIAN(X50:AA50),"")</f>
        <v/>
      </c>
    </row>
    <row r="57">
      <c r="A57" t="inlineStr">
        <is>
          <t>Semáforo</t>
        </is>
      </c>
      <c r="B57" s="25" t="inlineStr">
        <is>
          <t>Ganancia por visita (la métrica más valiosa)</t>
        </is>
      </c>
      <c r="C57" s="27">
        <f>IF(OR(C50="",C56=""),"",IF(C50&lt;=0,"ROJO",IF(C50&gt;=C56,"VERDE",IF(C50&gt;=C56*(1-Config!$C$20),"AMARILLO","ROJO"))))</f>
        <v/>
      </c>
      <c r="D57" s="27">
        <f>IF(OR(D50="",D56=""),"",IF(D50&lt;=0,"ROJO",IF(D50&gt;=D56,"VERDE",IF(D50&gt;=D56*(1-Config!$C$20),"AMARILLO","ROJO"))))</f>
        <v/>
      </c>
      <c r="E57" s="27">
        <f>IF(OR(E50="",E56=""),"",IF(E50&lt;=0,"ROJO",IF(E50&gt;=E56,"VERDE",IF(E50&gt;=E56*(1-Config!$C$20),"AMARILLO","ROJO"))))</f>
        <v/>
      </c>
      <c r="F57" s="27">
        <f>IF(OR(F50="",F56=""),"",IF(F50&lt;=0,"ROJO",IF(F50&gt;=F56,"VERDE",IF(F50&gt;=F56*(1-Config!$C$20),"AMARILLO","ROJO"))))</f>
        <v/>
      </c>
      <c r="G57" s="27">
        <f>IF(OR(G50="",G56=""),"",IF(G50&lt;=0,"ROJO",IF(G50&gt;=G56,"VERDE",IF(G50&gt;=G56*(1-Config!$C$20),"AMARILLO","ROJO"))))</f>
        <v/>
      </c>
      <c r="H57" s="27">
        <f>IF(OR(H50="",H56=""),"",IF(H50&lt;=0,"ROJO",IF(H50&gt;=H56,"VERDE",IF(H50&gt;=H56*(1-Config!$C$20),"AMARILLO","ROJO"))))</f>
        <v/>
      </c>
      <c r="I57" s="27">
        <f>IF(OR(I50="",I56=""),"",IF(I50&lt;=0,"ROJO",IF(I50&gt;=I56,"VERDE",IF(I50&gt;=I56*(1-Config!$C$20),"AMARILLO","ROJO"))))</f>
        <v/>
      </c>
      <c r="J57" s="27">
        <f>IF(OR(J50="",J56=""),"",IF(J50&lt;=0,"ROJO",IF(J50&gt;=J56,"VERDE",IF(J50&gt;=J56*(1-Config!$C$20),"AMARILLO","ROJO"))))</f>
        <v/>
      </c>
      <c r="K57" s="27">
        <f>IF(OR(K50="",K56=""),"",IF(K50&lt;=0,"ROJO",IF(K50&gt;=K56,"VERDE",IF(K50&gt;=K56*(1-Config!$C$20),"AMARILLO","ROJO"))))</f>
        <v/>
      </c>
      <c r="L57" s="27">
        <f>IF(OR(L50="",L56=""),"",IF(L50&lt;=0,"ROJO",IF(L50&gt;=L56,"VERDE",IF(L50&gt;=L56*(1-Config!$C$20),"AMARILLO","ROJO"))))</f>
        <v/>
      </c>
      <c r="M57" s="27">
        <f>IF(OR(M50="",M56=""),"",IF(M50&lt;=0,"ROJO",IF(M50&gt;=M56,"VERDE",IF(M50&gt;=M56*(1-Config!$C$20),"AMARILLO","ROJO"))))</f>
        <v/>
      </c>
      <c r="N57" s="27">
        <f>IF(OR(N50="",N56=""),"",IF(N50&lt;=0,"ROJO",IF(N50&gt;=N56,"VERDE",IF(N50&gt;=N56*(1-Config!$C$20),"AMARILLO","ROJO"))))</f>
        <v/>
      </c>
      <c r="O57" s="27">
        <f>IF(OR(O50="",O56=""),"",IF(O50&lt;=0,"ROJO",IF(O50&gt;=O56,"VERDE",IF(O50&gt;=O56*(1-Config!$C$20),"AMARILLO","ROJO"))))</f>
        <v/>
      </c>
      <c r="P57" s="27">
        <f>IF(OR(P50="",P56=""),"",IF(P50&lt;=0,"ROJO",IF(P50&gt;=P56,"VERDE",IF(P50&gt;=P56*(1-Config!$C$20),"AMARILLO","ROJO"))))</f>
        <v/>
      </c>
      <c r="Q57" s="27">
        <f>IF(OR(Q50="",Q56=""),"",IF(Q50&lt;=0,"ROJO",IF(Q50&gt;=Q56,"VERDE",IF(Q50&gt;=Q56*(1-Config!$C$20),"AMARILLO","ROJO"))))</f>
        <v/>
      </c>
      <c r="R57" s="27">
        <f>IF(OR(R50="",R56=""),"",IF(R50&lt;=0,"ROJO",IF(R50&gt;=R56,"VERDE",IF(R50&gt;=R56*(1-Config!$C$20),"AMARILLO","ROJO"))))</f>
        <v/>
      </c>
      <c r="S57" s="27">
        <f>IF(OR(S50="",S56=""),"",IF(S50&lt;=0,"ROJO",IF(S50&gt;=S56,"VERDE",IF(S50&gt;=S56*(1-Config!$C$20),"AMARILLO","ROJO"))))</f>
        <v/>
      </c>
      <c r="T57" s="27">
        <f>IF(OR(T50="",T56=""),"",IF(T50&lt;=0,"ROJO",IF(T50&gt;=T56,"VERDE",IF(T50&gt;=T56*(1-Config!$C$20),"AMARILLO","ROJO"))))</f>
        <v/>
      </c>
      <c r="U57" s="27">
        <f>IF(OR(U50="",U56=""),"",IF(U50&lt;=0,"ROJO",IF(U50&gt;=U56,"VERDE",IF(U50&gt;=U56*(1-Config!$C$20),"AMARILLO","ROJO"))))</f>
        <v/>
      </c>
      <c r="V57" s="27">
        <f>IF(OR(V50="",V56=""),"",IF(V50&lt;=0,"ROJO",IF(V50&gt;=V56,"VERDE",IF(V50&gt;=V56*(1-Config!$C$20),"AMARILLO","ROJO"))))</f>
        <v/>
      </c>
      <c r="W57" s="27">
        <f>IF(OR(W50="",W56=""),"",IF(W50&lt;=0,"ROJO",IF(W50&gt;=W56,"VERDE",IF(W50&gt;=W56*(1-Config!$C$20),"AMARILLO","ROJO"))))</f>
        <v/>
      </c>
      <c r="X57" s="27">
        <f>IF(OR(X50="",X56=""),"",IF(X50&lt;=0,"ROJO",IF(X50&gt;=X56,"VERDE",IF(X50&gt;=X56*(1-Config!$C$20),"AMARILLO","ROJO"))))</f>
        <v/>
      </c>
      <c r="Y57" s="27">
        <f>IF(OR(Y50="",Y56=""),"",IF(Y50&lt;=0,"ROJO",IF(Y50&gt;=Y56,"VERDE",IF(Y50&gt;=Y56*(1-Config!$C$20),"AMARILLO","ROJO"))))</f>
        <v/>
      </c>
      <c r="Z57" s="27">
        <f>IF(OR(Z50="",Z56=""),"",IF(Z50&lt;=0,"ROJO",IF(Z50&gt;=Z56,"VERDE",IF(Z50&gt;=Z56*(1-Config!$C$20),"AMARILLO","ROJO"))))</f>
        <v/>
      </c>
      <c r="AA57" s="27">
        <f>IF(OR(AA50="",AA56=""),"",IF(AA50&lt;=0,"ROJO",IF(AA50&gt;=AA56,"VERDE",IF(AA50&gt;=AA56*(1-Config!$C$20),"AMARILLO","ROJO"))))</f>
        <v/>
      </c>
      <c r="AB57" s="27">
        <f>IF(OR(AB50="",AB56=""),"",IF(AB50&lt;=0,"ROJO",IF(AB50&gt;=AB56,"VERDE",IF(AB50&gt;=AB56*(1-Config!$C$20),"AMARILLO","ROJO"))))</f>
        <v/>
      </c>
    </row>
    <row r="58">
      <c r="A58" t="inlineStr">
        <is>
          <t>Mediana 4 semanas anteriores</t>
        </is>
      </c>
      <c r="B58" s="5" t="inlineStr">
        <is>
          <t>Costo por visita</t>
        </is>
      </c>
      <c r="C58" s="26" t="inlineStr"/>
      <c r="D58" s="15">
        <f>IFERROR(MEDIAN(C20:C20),"")</f>
        <v/>
      </c>
      <c r="E58" s="15">
        <f>IFERROR(MEDIAN(C20:D20),"")</f>
        <v/>
      </c>
      <c r="F58" s="15">
        <f>IFERROR(MEDIAN(C20:E20),"")</f>
        <v/>
      </c>
      <c r="G58" s="15">
        <f>IFERROR(MEDIAN(C20:F20),"")</f>
        <v/>
      </c>
      <c r="H58" s="15">
        <f>IFERROR(MEDIAN(D20:G20),"")</f>
        <v/>
      </c>
      <c r="I58" s="15">
        <f>IFERROR(MEDIAN(E20:H20),"")</f>
        <v/>
      </c>
      <c r="J58" s="15">
        <f>IFERROR(MEDIAN(F20:I20),"")</f>
        <v/>
      </c>
      <c r="K58" s="15">
        <f>IFERROR(MEDIAN(G20:J20),"")</f>
        <v/>
      </c>
      <c r="L58" s="15">
        <f>IFERROR(MEDIAN(H20:K20),"")</f>
        <v/>
      </c>
      <c r="M58" s="15">
        <f>IFERROR(MEDIAN(I20:L20),"")</f>
        <v/>
      </c>
      <c r="N58" s="15">
        <f>IFERROR(MEDIAN(J20:M20),"")</f>
        <v/>
      </c>
      <c r="O58" s="15">
        <f>IFERROR(MEDIAN(K20:N20),"")</f>
        <v/>
      </c>
      <c r="P58" s="15">
        <f>IFERROR(MEDIAN(L20:O20),"")</f>
        <v/>
      </c>
      <c r="Q58" s="15">
        <f>IFERROR(MEDIAN(M20:P20),"")</f>
        <v/>
      </c>
      <c r="R58" s="15">
        <f>IFERROR(MEDIAN(N20:Q20),"")</f>
        <v/>
      </c>
      <c r="S58" s="15">
        <f>IFERROR(MEDIAN(O20:R20),"")</f>
        <v/>
      </c>
      <c r="T58" s="15">
        <f>IFERROR(MEDIAN(P20:S20),"")</f>
        <v/>
      </c>
      <c r="U58" s="15">
        <f>IFERROR(MEDIAN(Q20:T20),"")</f>
        <v/>
      </c>
      <c r="V58" s="15">
        <f>IFERROR(MEDIAN(R20:U20),"")</f>
        <v/>
      </c>
      <c r="W58" s="15">
        <f>IFERROR(MEDIAN(S20:V20),"")</f>
        <v/>
      </c>
      <c r="X58" s="15">
        <f>IFERROR(MEDIAN(T20:W20),"")</f>
        <v/>
      </c>
      <c r="Y58" s="15">
        <f>IFERROR(MEDIAN(U20:X20),"")</f>
        <v/>
      </c>
      <c r="Z58" s="15">
        <f>IFERROR(MEDIAN(V20:Y20),"")</f>
        <v/>
      </c>
      <c r="AA58" s="15">
        <f>IFERROR(MEDIAN(W20:Z20),"")</f>
        <v/>
      </c>
      <c r="AB58" s="15">
        <f>IFERROR(MEDIAN(X20:AA20),"")</f>
        <v/>
      </c>
    </row>
    <row r="59">
      <c r="A59" t="inlineStr">
        <is>
          <t>Semáforo</t>
        </is>
      </c>
      <c r="B59" s="25" t="inlineStr">
        <is>
          <t>Costo por visita</t>
        </is>
      </c>
      <c r="C59" s="27">
        <f>IF(OR(C20="",C58=""),"",IF(C20&lt;=C58,"VERDE",IF(C20&lt;=C58*(1+Config!$C$20),"AMARILLO","ROJO")))</f>
        <v/>
      </c>
      <c r="D59" s="27">
        <f>IF(OR(D20="",D58=""),"",IF(D20&lt;=D58,"VERDE",IF(D20&lt;=D58*(1+Config!$C$20),"AMARILLO","ROJO")))</f>
        <v/>
      </c>
      <c r="E59" s="27">
        <f>IF(OR(E20="",E58=""),"",IF(E20&lt;=E58,"VERDE",IF(E20&lt;=E58*(1+Config!$C$20),"AMARILLO","ROJO")))</f>
        <v/>
      </c>
      <c r="F59" s="27">
        <f>IF(OR(F20="",F58=""),"",IF(F20&lt;=F58,"VERDE",IF(F20&lt;=F58*(1+Config!$C$20),"AMARILLO","ROJO")))</f>
        <v/>
      </c>
      <c r="G59" s="27">
        <f>IF(OR(G20="",G58=""),"",IF(G20&lt;=G58,"VERDE",IF(G20&lt;=G58*(1+Config!$C$20),"AMARILLO","ROJO")))</f>
        <v/>
      </c>
      <c r="H59" s="27">
        <f>IF(OR(H20="",H58=""),"",IF(H20&lt;=H58,"VERDE",IF(H20&lt;=H58*(1+Config!$C$20),"AMARILLO","ROJO")))</f>
        <v/>
      </c>
      <c r="I59" s="27">
        <f>IF(OR(I20="",I58=""),"",IF(I20&lt;=I58,"VERDE",IF(I20&lt;=I58*(1+Config!$C$20),"AMARILLO","ROJO")))</f>
        <v/>
      </c>
      <c r="J59" s="27">
        <f>IF(OR(J20="",J58=""),"",IF(J20&lt;=J58,"VERDE",IF(J20&lt;=J58*(1+Config!$C$20),"AMARILLO","ROJO")))</f>
        <v/>
      </c>
      <c r="K59" s="27">
        <f>IF(OR(K20="",K58=""),"",IF(K20&lt;=K58,"VERDE",IF(K20&lt;=K58*(1+Config!$C$20),"AMARILLO","ROJO")))</f>
        <v/>
      </c>
      <c r="L59" s="27">
        <f>IF(OR(L20="",L58=""),"",IF(L20&lt;=L58,"VERDE",IF(L20&lt;=L58*(1+Config!$C$20),"AMARILLO","ROJO")))</f>
        <v/>
      </c>
      <c r="M59" s="27">
        <f>IF(OR(M20="",M58=""),"",IF(M20&lt;=M58,"VERDE",IF(M20&lt;=M58*(1+Config!$C$20),"AMARILLO","ROJO")))</f>
        <v/>
      </c>
      <c r="N59" s="27">
        <f>IF(OR(N20="",N58=""),"",IF(N20&lt;=N58,"VERDE",IF(N20&lt;=N58*(1+Config!$C$20),"AMARILLO","ROJO")))</f>
        <v/>
      </c>
      <c r="O59" s="27">
        <f>IF(OR(O20="",O58=""),"",IF(O20&lt;=O58,"VERDE",IF(O20&lt;=O58*(1+Config!$C$20),"AMARILLO","ROJO")))</f>
        <v/>
      </c>
      <c r="P59" s="27">
        <f>IF(OR(P20="",P58=""),"",IF(P20&lt;=P58,"VERDE",IF(P20&lt;=P58*(1+Config!$C$20),"AMARILLO","ROJO")))</f>
        <v/>
      </c>
      <c r="Q59" s="27">
        <f>IF(OR(Q20="",Q58=""),"",IF(Q20&lt;=Q58,"VERDE",IF(Q20&lt;=Q58*(1+Config!$C$20),"AMARILLO","ROJO")))</f>
        <v/>
      </c>
      <c r="R59" s="27">
        <f>IF(OR(R20="",R58=""),"",IF(R20&lt;=R58,"VERDE",IF(R20&lt;=R58*(1+Config!$C$20),"AMARILLO","ROJO")))</f>
        <v/>
      </c>
      <c r="S59" s="27">
        <f>IF(OR(S20="",S58=""),"",IF(S20&lt;=S58,"VERDE",IF(S20&lt;=S58*(1+Config!$C$20),"AMARILLO","ROJO")))</f>
        <v/>
      </c>
      <c r="T59" s="27">
        <f>IF(OR(T20="",T58=""),"",IF(T20&lt;=T58,"VERDE",IF(T20&lt;=T58*(1+Config!$C$20),"AMARILLO","ROJO")))</f>
        <v/>
      </c>
      <c r="U59" s="27">
        <f>IF(OR(U20="",U58=""),"",IF(U20&lt;=U58,"VERDE",IF(U20&lt;=U58*(1+Config!$C$20),"AMARILLO","ROJO")))</f>
        <v/>
      </c>
      <c r="V59" s="27">
        <f>IF(OR(V20="",V58=""),"",IF(V20&lt;=V58,"VERDE",IF(V20&lt;=V58*(1+Config!$C$20),"AMARILLO","ROJO")))</f>
        <v/>
      </c>
      <c r="W59" s="27">
        <f>IF(OR(W20="",W58=""),"",IF(W20&lt;=W58,"VERDE",IF(W20&lt;=W58*(1+Config!$C$20),"AMARILLO","ROJO")))</f>
        <v/>
      </c>
      <c r="X59" s="27">
        <f>IF(OR(X20="",X58=""),"",IF(X20&lt;=X58,"VERDE",IF(X20&lt;=X58*(1+Config!$C$20),"AMARILLO","ROJO")))</f>
        <v/>
      </c>
      <c r="Y59" s="27">
        <f>IF(OR(Y20="",Y58=""),"",IF(Y20&lt;=Y58,"VERDE",IF(Y20&lt;=Y58*(1+Config!$C$20),"AMARILLO","ROJO")))</f>
        <v/>
      </c>
      <c r="Z59" s="27">
        <f>IF(OR(Z20="",Z58=""),"",IF(Z20&lt;=Z58,"VERDE",IF(Z20&lt;=Z58*(1+Config!$C$20),"AMARILLO","ROJO")))</f>
        <v/>
      </c>
      <c r="AA59" s="27">
        <f>IF(OR(AA20="",AA58=""),"",IF(AA20&lt;=AA58,"VERDE",IF(AA20&lt;=AA58*(1+Config!$C$20),"AMARILLO","ROJO")))</f>
        <v/>
      </c>
      <c r="AB59" s="27">
        <f>IF(OR(AB20="",AB58=""),"",IF(AB20&lt;=AB58,"VERDE",IF(AB20&lt;=AB58*(1+Config!$C$20),"AMARILLO","ROJO")))</f>
        <v/>
      </c>
    </row>
    <row r="60">
      <c r="A60" t="inlineStr">
        <is>
          <t>Mediana 4 semanas anteriores</t>
        </is>
      </c>
      <c r="B60" s="5" t="inlineStr">
        <is>
          <t>% visita → checkout</t>
        </is>
      </c>
      <c r="C60" s="26" t="inlineStr"/>
      <c r="D60" s="18">
        <f>IFERROR(MEDIAN(C26:C26),"")</f>
        <v/>
      </c>
      <c r="E60" s="18">
        <f>IFERROR(MEDIAN(C26:D26),"")</f>
        <v/>
      </c>
      <c r="F60" s="18">
        <f>IFERROR(MEDIAN(C26:E26),"")</f>
        <v/>
      </c>
      <c r="G60" s="18">
        <f>IFERROR(MEDIAN(C26:F26),"")</f>
        <v/>
      </c>
      <c r="H60" s="18">
        <f>IFERROR(MEDIAN(D26:G26),"")</f>
        <v/>
      </c>
      <c r="I60" s="18">
        <f>IFERROR(MEDIAN(E26:H26),"")</f>
        <v/>
      </c>
      <c r="J60" s="18">
        <f>IFERROR(MEDIAN(F26:I26),"")</f>
        <v/>
      </c>
      <c r="K60" s="18">
        <f>IFERROR(MEDIAN(G26:J26),"")</f>
        <v/>
      </c>
      <c r="L60" s="18">
        <f>IFERROR(MEDIAN(H26:K26),"")</f>
        <v/>
      </c>
      <c r="M60" s="18">
        <f>IFERROR(MEDIAN(I26:L26),"")</f>
        <v/>
      </c>
      <c r="N60" s="18">
        <f>IFERROR(MEDIAN(J26:M26),"")</f>
        <v/>
      </c>
      <c r="O60" s="18">
        <f>IFERROR(MEDIAN(K26:N26),"")</f>
        <v/>
      </c>
      <c r="P60" s="18">
        <f>IFERROR(MEDIAN(L26:O26),"")</f>
        <v/>
      </c>
      <c r="Q60" s="18">
        <f>IFERROR(MEDIAN(M26:P26),"")</f>
        <v/>
      </c>
      <c r="R60" s="18">
        <f>IFERROR(MEDIAN(N26:Q26),"")</f>
        <v/>
      </c>
      <c r="S60" s="18">
        <f>IFERROR(MEDIAN(O26:R26),"")</f>
        <v/>
      </c>
      <c r="T60" s="18">
        <f>IFERROR(MEDIAN(P26:S26),"")</f>
        <v/>
      </c>
      <c r="U60" s="18">
        <f>IFERROR(MEDIAN(Q26:T26),"")</f>
        <v/>
      </c>
      <c r="V60" s="18">
        <f>IFERROR(MEDIAN(R26:U26),"")</f>
        <v/>
      </c>
      <c r="W60" s="18">
        <f>IFERROR(MEDIAN(S26:V26),"")</f>
        <v/>
      </c>
      <c r="X60" s="18">
        <f>IFERROR(MEDIAN(T26:W26),"")</f>
        <v/>
      </c>
      <c r="Y60" s="18">
        <f>IFERROR(MEDIAN(U26:X26),"")</f>
        <v/>
      </c>
      <c r="Z60" s="18">
        <f>IFERROR(MEDIAN(V26:Y26),"")</f>
        <v/>
      </c>
      <c r="AA60" s="18">
        <f>IFERROR(MEDIAN(W26:Z26),"")</f>
        <v/>
      </c>
      <c r="AB60" s="18">
        <f>IFERROR(MEDIAN(X26:AA26),"")</f>
        <v/>
      </c>
    </row>
    <row r="61">
      <c r="A61" t="inlineStr">
        <is>
          <t>Semáforo</t>
        </is>
      </c>
      <c r="B61" s="25" t="inlineStr">
        <is>
          <t>% visita → checkout</t>
        </is>
      </c>
      <c r="C61" s="27">
        <f>IF(OR(C26="",C60=""),"",IF(C26&gt;=C60,"VERDE",IF(C26&gt;=C60*(1-Config!$C$20),"AMARILLO","ROJO")))</f>
        <v/>
      </c>
      <c r="D61" s="27">
        <f>IF(OR(D26="",D60=""),"",IF(D26&gt;=D60,"VERDE",IF(D26&gt;=D60*(1-Config!$C$20),"AMARILLO","ROJO")))</f>
        <v/>
      </c>
      <c r="E61" s="27">
        <f>IF(OR(E26="",E60=""),"",IF(E26&gt;=E60,"VERDE",IF(E26&gt;=E60*(1-Config!$C$20),"AMARILLO","ROJO")))</f>
        <v/>
      </c>
      <c r="F61" s="27">
        <f>IF(OR(F26="",F60=""),"",IF(F26&gt;=F60,"VERDE",IF(F26&gt;=F60*(1-Config!$C$20),"AMARILLO","ROJO")))</f>
        <v/>
      </c>
      <c r="G61" s="27">
        <f>IF(OR(G26="",G60=""),"",IF(G26&gt;=G60,"VERDE",IF(G26&gt;=G60*(1-Config!$C$20),"AMARILLO","ROJO")))</f>
        <v/>
      </c>
      <c r="H61" s="27">
        <f>IF(OR(H26="",H60=""),"",IF(H26&gt;=H60,"VERDE",IF(H26&gt;=H60*(1-Config!$C$20),"AMARILLO","ROJO")))</f>
        <v/>
      </c>
      <c r="I61" s="27">
        <f>IF(OR(I26="",I60=""),"",IF(I26&gt;=I60,"VERDE",IF(I26&gt;=I60*(1-Config!$C$20),"AMARILLO","ROJO")))</f>
        <v/>
      </c>
      <c r="J61" s="27">
        <f>IF(OR(J26="",J60=""),"",IF(J26&gt;=J60,"VERDE",IF(J26&gt;=J60*(1-Config!$C$20),"AMARILLO","ROJO")))</f>
        <v/>
      </c>
      <c r="K61" s="27">
        <f>IF(OR(K26="",K60=""),"",IF(K26&gt;=K60,"VERDE",IF(K26&gt;=K60*(1-Config!$C$20),"AMARILLO","ROJO")))</f>
        <v/>
      </c>
      <c r="L61" s="27">
        <f>IF(OR(L26="",L60=""),"",IF(L26&gt;=L60,"VERDE",IF(L26&gt;=L60*(1-Config!$C$20),"AMARILLO","ROJO")))</f>
        <v/>
      </c>
      <c r="M61" s="27">
        <f>IF(OR(M26="",M60=""),"",IF(M26&gt;=M60,"VERDE",IF(M26&gt;=M60*(1-Config!$C$20),"AMARILLO","ROJO")))</f>
        <v/>
      </c>
      <c r="N61" s="27">
        <f>IF(OR(N26="",N60=""),"",IF(N26&gt;=N60,"VERDE",IF(N26&gt;=N60*(1-Config!$C$20),"AMARILLO","ROJO")))</f>
        <v/>
      </c>
      <c r="O61" s="27">
        <f>IF(OR(O26="",O60=""),"",IF(O26&gt;=O60,"VERDE",IF(O26&gt;=O60*(1-Config!$C$20),"AMARILLO","ROJO")))</f>
        <v/>
      </c>
      <c r="P61" s="27">
        <f>IF(OR(P26="",P60=""),"",IF(P26&gt;=P60,"VERDE",IF(P26&gt;=P60*(1-Config!$C$20),"AMARILLO","ROJO")))</f>
        <v/>
      </c>
      <c r="Q61" s="27">
        <f>IF(OR(Q26="",Q60=""),"",IF(Q26&gt;=Q60,"VERDE",IF(Q26&gt;=Q60*(1-Config!$C$20),"AMARILLO","ROJO")))</f>
        <v/>
      </c>
      <c r="R61" s="27">
        <f>IF(OR(R26="",R60=""),"",IF(R26&gt;=R60,"VERDE",IF(R26&gt;=R60*(1-Config!$C$20),"AMARILLO","ROJO")))</f>
        <v/>
      </c>
      <c r="S61" s="27">
        <f>IF(OR(S26="",S60=""),"",IF(S26&gt;=S60,"VERDE",IF(S26&gt;=S60*(1-Config!$C$20),"AMARILLO","ROJO")))</f>
        <v/>
      </c>
      <c r="T61" s="27">
        <f>IF(OR(T26="",T60=""),"",IF(T26&gt;=T60,"VERDE",IF(T26&gt;=T60*(1-Config!$C$20),"AMARILLO","ROJO")))</f>
        <v/>
      </c>
      <c r="U61" s="27">
        <f>IF(OR(U26="",U60=""),"",IF(U26&gt;=U60,"VERDE",IF(U26&gt;=U60*(1-Config!$C$20),"AMARILLO","ROJO")))</f>
        <v/>
      </c>
      <c r="V61" s="27">
        <f>IF(OR(V26="",V60=""),"",IF(V26&gt;=V60,"VERDE",IF(V26&gt;=V60*(1-Config!$C$20),"AMARILLO","ROJO")))</f>
        <v/>
      </c>
      <c r="W61" s="27">
        <f>IF(OR(W26="",W60=""),"",IF(W26&gt;=W60,"VERDE",IF(W26&gt;=W60*(1-Config!$C$20),"AMARILLO","ROJO")))</f>
        <v/>
      </c>
      <c r="X61" s="27">
        <f>IF(OR(X26="",X60=""),"",IF(X26&gt;=X60,"VERDE",IF(X26&gt;=X60*(1-Config!$C$20),"AMARILLO","ROJO")))</f>
        <v/>
      </c>
      <c r="Y61" s="27">
        <f>IF(OR(Y26="",Y60=""),"",IF(Y26&gt;=Y60,"VERDE",IF(Y26&gt;=Y60*(1-Config!$C$20),"AMARILLO","ROJO")))</f>
        <v/>
      </c>
      <c r="Z61" s="27">
        <f>IF(OR(Z26="",Z60=""),"",IF(Z26&gt;=Z60,"VERDE",IF(Z26&gt;=Z60*(1-Config!$C$20),"AMARILLO","ROJO")))</f>
        <v/>
      </c>
      <c r="AA61" s="27">
        <f>IF(OR(AA26="",AA60=""),"",IF(AA26&gt;=AA60,"VERDE",IF(AA26&gt;=AA60*(1-Config!$C$20),"AMARILLO","ROJO")))</f>
        <v/>
      </c>
      <c r="AB61" s="27">
        <f>IF(OR(AB26="",AB60=""),"",IF(AB26&gt;=AB60,"VERDE",IF(AB26&gt;=AB60*(1-Config!$C$20),"AMARILLO","ROJO")))</f>
        <v/>
      </c>
    </row>
    <row r="62">
      <c r="A62" t="inlineStr">
        <is>
          <t>Mediana 4 semanas anteriores</t>
        </is>
      </c>
      <c r="B62" s="5" t="inlineStr">
        <is>
          <t>% checkout → compra</t>
        </is>
      </c>
      <c r="C62" s="26" t="inlineStr"/>
      <c r="D62" s="18">
        <f>IFERROR(MEDIAN(C27:C27),"")</f>
        <v/>
      </c>
      <c r="E62" s="18">
        <f>IFERROR(MEDIAN(C27:D27),"")</f>
        <v/>
      </c>
      <c r="F62" s="18">
        <f>IFERROR(MEDIAN(C27:E27),"")</f>
        <v/>
      </c>
      <c r="G62" s="18">
        <f>IFERROR(MEDIAN(C27:F27),"")</f>
        <v/>
      </c>
      <c r="H62" s="18">
        <f>IFERROR(MEDIAN(D27:G27),"")</f>
        <v/>
      </c>
      <c r="I62" s="18">
        <f>IFERROR(MEDIAN(E27:H27),"")</f>
        <v/>
      </c>
      <c r="J62" s="18">
        <f>IFERROR(MEDIAN(F27:I27),"")</f>
        <v/>
      </c>
      <c r="K62" s="18">
        <f>IFERROR(MEDIAN(G27:J27),"")</f>
        <v/>
      </c>
      <c r="L62" s="18">
        <f>IFERROR(MEDIAN(H27:K27),"")</f>
        <v/>
      </c>
      <c r="M62" s="18">
        <f>IFERROR(MEDIAN(I27:L27),"")</f>
        <v/>
      </c>
      <c r="N62" s="18">
        <f>IFERROR(MEDIAN(J27:M27),"")</f>
        <v/>
      </c>
      <c r="O62" s="18">
        <f>IFERROR(MEDIAN(K27:N27),"")</f>
        <v/>
      </c>
      <c r="P62" s="18">
        <f>IFERROR(MEDIAN(L27:O27),"")</f>
        <v/>
      </c>
      <c r="Q62" s="18">
        <f>IFERROR(MEDIAN(M27:P27),"")</f>
        <v/>
      </c>
      <c r="R62" s="18">
        <f>IFERROR(MEDIAN(N27:Q27),"")</f>
        <v/>
      </c>
      <c r="S62" s="18">
        <f>IFERROR(MEDIAN(O27:R27),"")</f>
        <v/>
      </c>
      <c r="T62" s="18">
        <f>IFERROR(MEDIAN(P27:S27),"")</f>
        <v/>
      </c>
      <c r="U62" s="18">
        <f>IFERROR(MEDIAN(Q27:T27),"")</f>
        <v/>
      </c>
      <c r="V62" s="18">
        <f>IFERROR(MEDIAN(R27:U27),"")</f>
        <v/>
      </c>
      <c r="W62" s="18">
        <f>IFERROR(MEDIAN(S27:V27),"")</f>
        <v/>
      </c>
      <c r="X62" s="18">
        <f>IFERROR(MEDIAN(T27:W27),"")</f>
        <v/>
      </c>
      <c r="Y62" s="18">
        <f>IFERROR(MEDIAN(U27:X27),"")</f>
        <v/>
      </c>
      <c r="Z62" s="18">
        <f>IFERROR(MEDIAN(V27:Y27),"")</f>
        <v/>
      </c>
      <c r="AA62" s="18">
        <f>IFERROR(MEDIAN(W27:Z27),"")</f>
        <v/>
      </c>
      <c r="AB62" s="18">
        <f>IFERROR(MEDIAN(X27:AA27),"")</f>
        <v/>
      </c>
    </row>
    <row r="63">
      <c r="A63" t="inlineStr">
        <is>
          <t>Semáforo</t>
        </is>
      </c>
      <c r="B63" s="25" t="inlineStr">
        <is>
          <t>% checkout → compra</t>
        </is>
      </c>
      <c r="C63" s="27">
        <f>IF(OR(C27="",C62=""),"",IF(C27&gt;=C62,"VERDE",IF(C27&gt;=C62*(1-Config!$C$20),"AMARILLO","ROJO")))</f>
        <v/>
      </c>
      <c r="D63" s="27">
        <f>IF(OR(D27="",D62=""),"",IF(D27&gt;=D62,"VERDE",IF(D27&gt;=D62*(1-Config!$C$20),"AMARILLO","ROJO")))</f>
        <v/>
      </c>
      <c r="E63" s="27">
        <f>IF(OR(E27="",E62=""),"",IF(E27&gt;=E62,"VERDE",IF(E27&gt;=E62*(1-Config!$C$20),"AMARILLO","ROJO")))</f>
        <v/>
      </c>
      <c r="F63" s="27">
        <f>IF(OR(F27="",F62=""),"",IF(F27&gt;=F62,"VERDE",IF(F27&gt;=F62*(1-Config!$C$20),"AMARILLO","ROJO")))</f>
        <v/>
      </c>
      <c r="G63" s="27">
        <f>IF(OR(G27="",G62=""),"",IF(G27&gt;=G62,"VERDE",IF(G27&gt;=G62*(1-Config!$C$20),"AMARILLO","ROJO")))</f>
        <v/>
      </c>
      <c r="H63" s="27">
        <f>IF(OR(H27="",H62=""),"",IF(H27&gt;=H62,"VERDE",IF(H27&gt;=H62*(1-Config!$C$20),"AMARILLO","ROJO")))</f>
        <v/>
      </c>
      <c r="I63" s="27">
        <f>IF(OR(I27="",I62=""),"",IF(I27&gt;=I62,"VERDE",IF(I27&gt;=I62*(1-Config!$C$20),"AMARILLO","ROJO")))</f>
        <v/>
      </c>
      <c r="J63" s="27">
        <f>IF(OR(J27="",J62=""),"",IF(J27&gt;=J62,"VERDE",IF(J27&gt;=J62*(1-Config!$C$20),"AMARILLO","ROJO")))</f>
        <v/>
      </c>
      <c r="K63" s="27">
        <f>IF(OR(K27="",K62=""),"",IF(K27&gt;=K62,"VERDE",IF(K27&gt;=K62*(1-Config!$C$20),"AMARILLO","ROJO")))</f>
        <v/>
      </c>
      <c r="L63" s="27">
        <f>IF(OR(L27="",L62=""),"",IF(L27&gt;=L62,"VERDE",IF(L27&gt;=L62*(1-Config!$C$20),"AMARILLO","ROJO")))</f>
        <v/>
      </c>
      <c r="M63" s="27">
        <f>IF(OR(M27="",M62=""),"",IF(M27&gt;=M62,"VERDE",IF(M27&gt;=M62*(1-Config!$C$20),"AMARILLO","ROJO")))</f>
        <v/>
      </c>
      <c r="N63" s="27">
        <f>IF(OR(N27="",N62=""),"",IF(N27&gt;=N62,"VERDE",IF(N27&gt;=N62*(1-Config!$C$20),"AMARILLO","ROJO")))</f>
        <v/>
      </c>
      <c r="O63" s="27">
        <f>IF(OR(O27="",O62=""),"",IF(O27&gt;=O62,"VERDE",IF(O27&gt;=O62*(1-Config!$C$20),"AMARILLO","ROJO")))</f>
        <v/>
      </c>
      <c r="P63" s="27">
        <f>IF(OR(P27="",P62=""),"",IF(P27&gt;=P62,"VERDE",IF(P27&gt;=P62*(1-Config!$C$20),"AMARILLO","ROJO")))</f>
        <v/>
      </c>
      <c r="Q63" s="27">
        <f>IF(OR(Q27="",Q62=""),"",IF(Q27&gt;=Q62,"VERDE",IF(Q27&gt;=Q62*(1-Config!$C$20),"AMARILLO","ROJO")))</f>
        <v/>
      </c>
      <c r="R63" s="27">
        <f>IF(OR(R27="",R62=""),"",IF(R27&gt;=R62,"VERDE",IF(R27&gt;=R62*(1-Config!$C$20),"AMARILLO","ROJO")))</f>
        <v/>
      </c>
      <c r="S63" s="27">
        <f>IF(OR(S27="",S62=""),"",IF(S27&gt;=S62,"VERDE",IF(S27&gt;=S62*(1-Config!$C$20),"AMARILLO","ROJO")))</f>
        <v/>
      </c>
      <c r="T63" s="27">
        <f>IF(OR(T27="",T62=""),"",IF(T27&gt;=T62,"VERDE",IF(T27&gt;=T62*(1-Config!$C$20),"AMARILLO","ROJO")))</f>
        <v/>
      </c>
      <c r="U63" s="27">
        <f>IF(OR(U27="",U62=""),"",IF(U27&gt;=U62,"VERDE",IF(U27&gt;=U62*(1-Config!$C$20),"AMARILLO","ROJO")))</f>
        <v/>
      </c>
      <c r="V63" s="27">
        <f>IF(OR(V27="",V62=""),"",IF(V27&gt;=V62,"VERDE",IF(V27&gt;=V62*(1-Config!$C$20),"AMARILLO","ROJO")))</f>
        <v/>
      </c>
      <c r="W63" s="27">
        <f>IF(OR(W27="",W62=""),"",IF(W27&gt;=W62,"VERDE",IF(W27&gt;=W62*(1-Config!$C$20),"AMARILLO","ROJO")))</f>
        <v/>
      </c>
      <c r="X63" s="27">
        <f>IF(OR(X27="",X62=""),"",IF(X27&gt;=X62,"VERDE",IF(X27&gt;=X62*(1-Config!$C$20),"AMARILLO","ROJO")))</f>
        <v/>
      </c>
      <c r="Y63" s="27">
        <f>IF(OR(Y27="",Y62=""),"",IF(Y27&gt;=Y62,"VERDE",IF(Y27&gt;=Y62*(1-Config!$C$20),"AMARILLO","ROJO")))</f>
        <v/>
      </c>
      <c r="Z63" s="27">
        <f>IF(OR(Z27="",Z62=""),"",IF(Z27&gt;=Z62,"VERDE",IF(Z27&gt;=Z62*(1-Config!$C$20),"AMARILLO","ROJO")))</f>
        <v/>
      </c>
      <c r="AA63" s="27">
        <f>IF(OR(AA27="",AA62=""),"",IF(AA27&gt;=AA62,"VERDE",IF(AA27&gt;=AA62*(1-Config!$C$20),"AMARILLO","ROJO")))</f>
        <v/>
      </c>
      <c r="AB63" s="27">
        <f>IF(OR(AB27="",AB62=""),"",IF(AB27&gt;=AB62,"VERDE",IF(AB27&gt;=AB62*(1-Config!$C$20),"AMARILLO","ROJO")))</f>
        <v/>
      </c>
    </row>
    <row r="64">
      <c r="A64" t="inlineStr">
        <is>
          <t>Mediana 4 semanas anteriores</t>
        </is>
      </c>
      <c r="B64" s="5" t="inlineStr">
        <is>
          <t>CPA (costo por comprador)</t>
        </is>
      </c>
      <c r="C64" s="26" t="inlineStr"/>
      <c r="D64" s="15">
        <f>IFERROR(MEDIAN(C29:C29),"")</f>
        <v/>
      </c>
      <c r="E64" s="15">
        <f>IFERROR(MEDIAN(C29:D29),"")</f>
        <v/>
      </c>
      <c r="F64" s="15">
        <f>IFERROR(MEDIAN(C29:E29),"")</f>
        <v/>
      </c>
      <c r="G64" s="15">
        <f>IFERROR(MEDIAN(C29:F29),"")</f>
        <v/>
      </c>
      <c r="H64" s="15">
        <f>IFERROR(MEDIAN(D29:G29),"")</f>
        <v/>
      </c>
      <c r="I64" s="15">
        <f>IFERROR(MEDIAN(E29:H29),"")</f>
        <v/>
      </c>
      <c r="J64" s="15">
        <f>IFERROR(MEDIAN(F29:I29),"")</f>
        <v/>
      </c>
      <c r="K64" s="15">
        <f>IFERROR(MEDIAN(G29:J29),"")</f>
        <v/>
      </c>
      <c r="L64" s="15">
        <f>IFERROR(MEDIAN(H29:K29),"")</f>
        <v/>
      </c>
      <c r="M64" s="15">
        <f>IFERROR(MEDIAN(I29:L29),"")</f>
        <v/>
      </c>
      <c r="N64" s="15">
        <f>IFERROR(MEDIAN(J29:M29),"")</f>
        <v/>
      </c>
      <c r="O64" s="15">
        <f>IFERROR(MEDIAN(K29:N29),"")</f>
        <v/>
      </c>
      <c r="P64" s="15">
        <f>IFERROR(MEDIAN(L29:O29),"")</f>
        <v/>
      </c>
      <c r="Q64" s="15">
        <f>IFERROR(MEDIAN(M29:P29),"")</f>
        <v/>
      </c>
      <c r="R64" s="15">
        <f>IFERROR(MEDIAN(N29:Q29),"")</f>
        <v/>
      </c>
      <c r="S64" s="15">
        <f>IFERROR(MEDIAN(O29:R29),"")</f>
        <v/>
      </c>
      <c r="T64" s="15">
        <f>IFERROR(MEDIAN(P29:S29),"")</f>
        <v/>
      </c>
      <c r="U64" s="15">
        <f>IFERROR(MEDIAN(Q29:T29),"")</f>
        <v/>
      </c>
      <c r="V64" s="15">
        <f>IFERROR(MEDIAN(R29:U29),"")</f>
        <v/>
      </c>
      <c r="W64" s="15">
        <f>IFERROR(MEDIAN(S29:V29),"")</f>
        <v/>
      </c>
      <c r="X64" s="15">
        <f>IFERROR(MEDIAN(T29:W29),"")</f>
        <v/>
      </c>
      <c r="Y64" s="15">
        <f>IFERROR(MEDIAN(U29:X29),"")</f>
        <v/>
      </c>
      <c r="Z64" s="15">
        <f>IFERROR(MEDIAN(V29:Y29),"")</f>
        <v/>
      </c>
      <c r="AA64" s="15">
        <f>IFERROR(MEDIAN(W29:Z29),"")</f>
        <v/>
      </c>
      <c r="AB64" s="15">
        <f>IFERROR(MEDIAN(X29:AA29),"")</f>
        <v/>
      </c>
    </row>
    <row r="65">
      <c r="A65" t="inlineStr">
        <is>
          <t>Semáforo</t>
        </is>
      </c>
      <c r="B65" s="25" t="inlineStr">
        <is>
          <t>CPA (costo por comprador)</t>
        </is>
      </c>
      <c r="C65" s="27">
        <f>IF(OR(C29="",C64=""),"",IF(C29&lt;=C64,"VERDE",IF(C29&lt;=C64*(1+Config!$C$20),"AMARILLO","ROJO")))</f>
        <v/>
      </c>
      <c r="D65" s="27">
        <f>IF(OR(D29="",D64=""),"",IF(D29&lt;=D64,"VERDE",IF(D29&lt;=D64*(1+Config!$C$20),"AMARILLO","ROJO")))</f>
        <v/>
      </c>
      <c r="E65" s="27">
        <f>IF(OR(E29="",E64=""),"",IF(E29&lt;=E64,"VERDE",IF(E29&lt;=E64*(1+Config!$C$20),"AMARILLO","ROJO")))</f>
        <v/>
      </c>
      <c r="F65" s="27">
        <f>IF(OR(F29="",F64=""),"",IF(F29&lt;=F64,"VERDE",IF(F29&lt;=F64*(1+Config!$C$20),"AMARILLO","ROJO")))</f>
        <v/>
      </c>
      <c r="G65" s="27">
        <f>IF(OR(G29="",G64=""),"",IF(G29&lt;=G64,"VERDE",IF(G29&lt;=G64*(1+Config!$C$20),"AMARILLO","ROJO")))</f>
        <v/>
      </c>
      <c r="H65" s="27">
        <f>IF(OR(H29="",H64=""),"",IF(H29&lt;=H64,"VERDE",IF(H29&lt;=H64*(1+Config!$C$20),"AMARILLO","ROJO")))</f>
        <v/>
      </c>
      <c r="I65" s="27">
        <f>IF(OR(I29="",I64=""),"",IF(I29&lt;=I64,"VERDE",IF(I29&lt;=I64*(1+Config!$C$20),"AMARILLO","ROJO")))</f>
        <v/>
      </c>
      <c r="J65" s="27">
        <f>IF(OR(J29="",J64=""),"",IF(J29&lt;=J64,"VERDE",IF(J29&lt;=J64*(1+Config!$C$20),"AMARILLO","ROJO")))</f>
        <v/>
      </c>
      <c r="K65" s="27">
        <f>IF(OR(K29="",K64=""),"",IF(K29&lt;=K64,"VERDE",IF(K29&lt;=K64*(1+Config!$C$20),"AMARILLO","ROJO")))</f>
        <v/>
      </c>
      <c r="L65" s="27">
        <f>IF(OR(L29="",L64=""),"",IF(L29&lt;=L64,"VERDE",IF(L29&lt;=L64*(1+Config!$C$20),"AMARILLO","ROJO")))</f>
        <v/>
      </c>
      <c r="M65" s="27">
        <f>IF(OR(M29="",M64=""),"",IF(M29&lt;=M64,"VERDE",IF(M29&lt;=M64*(1+Config!$C$20),"AMARILLO","ROJO")))</f>
        <v/>
      </c>
      <c r="N65" s="27">
        <f>IF(OR(N29="",N64=""),"",IF(N29&lt;=N64,"VERDE",IF(N29&lt;=N64*(1+Config!$C$20),"AMARILLO","ROJO")))</f>
        <v/>
      </c>
      <c r="O65" s="27">
        <f>IF(OR(O29="",O64=""),"",IF(O29&lt;=O64,"VERDE",IF(O29&lt;=O64*(1+Config!$C$20),"AMARILLO","ROJO")))</f>
        <v/>
      </c>
      <c r="P65" s="27">
        <f>IF(OR(P29="",P64=""),"",IF(P29&lt;=P64,"VERDE",IF(P29&lt;=P64*(1+Config!$C$20),"AMARILLO","ROJO")))</f>
        <v/>
      </c>
      <c r="Q65" s="27">
        <f>IF(OR(Q29="",Q64=""),"",IF(Q29&lt;=Q64,"VERDE",IF(Q29&lt;=Q64*(1+Config!$C$20),"AMARILLO","ROJO")))</f>
        <v/>
      </c>
      <c r="R65" s="27">
        <f>IF(OR(R29="",R64=""),"",IF(R29&lt;=R64,"VERDE",IF(R29&lt;=R64*(1+Config!$C$20),"AMARILLO","ROJO")))</f>
        <v/>
      </c>
      <c r="S65" s="27">
        <f>IF(OR(S29="",S64=""),"",IF(S29&lt;=S64,"VERDE",IF(S29&lt;=S64*(1+Config!$C$20),"AMARILLO","ROJO")))</f>
        <v/>
      </c>
      <c r="T65" s="27">
        <f>IF(OR(T29="",T64=""),"",IF(T29&lt;=T64,"VERDE",IF(T29&lt;=T64*(1+Config!$C$20),"AMARILLO","ROJO")))</f>
        <v/>
      </c>
      <c r="U65" s="27">
        <f>IF(OR(U29="",U64=""),"",IF(U29&lt;=U64,"VERDE",IF(U29&lt;=U64*(1+Config!$C$20),"AMARILLO","ROJO")))</f>
        <v/>
      </c>
      <c r="V65" s="27">
        <f>IF(OR(V29="",V64=""),"",IF(V29&lt;=V64,"VERDE",IF(V29&lt;=V64*(1+Config!$C$20),"AMARILLO","ROJO")))</f>
        <v/>
      </c>
      <c r="W65" s="27">
        <f>IF(OR(W29="",W64=""),"",IF(W29&lt;=W64,"VERDE",IF(W29&lt;=W64*(1+Config!$C$20),"AMARILLO","ROJO")))</f>
        <v/>
      </c>
      <c r="X65" s="27">
        <f>IF(OR(X29="",X64=""),"",IF(X29&lt;=X64,"VERDE",IF(X29&lt;=X64*(1+Config!$C$20),"AMARILLO","ROJO")))</f>
        <v/>
      </c>
      <c r="Y65" s="27">
        <f>IF(OR(Y29="",Y64=""),"",IF(Y29&lt;=Y64,"VERDE",IF(Y29&lt;=Y64*(1+Config!$C$20),"AMARILLO","ROJO")))</f>
        <v/>
      </c>
      <c r="Z65" s="27">
        <f>IF(OR(Z29="",Z64=""),"",IF(Z29&lt;=Z64,"VERDE",IF(Z29&lt;=Z64*(1+Config!$C$20),"AMARILLO","ROJO")))</f>
        <v/>
      </c>
      <c r="AA65" s="27">
        <f>IF(OR(AA29="",AA64=""),"",IF(AA29&lt;=AA64,"VERDE",IF(AA29&lt;=AA64*(1+Config!$C$20),"AMARILLO","ROJO")))</f>
        <v/>
      </c>
      <c r="AB65" s="27">
        <f>IF(OR(AB29="",AB64=""),"",IF(AB29&lt;=AB64,"VERDE",IF(AB29&lt;=AB64*(1+Config!$C$20),"AMARILLO","ROJO")))</f>
        <v/>
      </c>
    </row>
    <row r="66">
      <c r="A66" t="inlineStr">
        <is>
          <t>Mediana 4 semanas anteriores</t>
        </is>
      </c>
      <c r="B66" s="5" t="inlineStr">
        <is>
          <t>Order value (facturado por comprador)</t>
        </is>
      </c>
      <c r="C66" s="26" t="inlineStr"/>
      <c r="D66" s="15">
        <f>IFERROR(MEDIAN(C43:C43),"")</f>
        <v/>
      </c>
      <c r="E66" s="15">
        <f>IFERROR(MEDIAN(C43:D43),"")</f>
        <v/>
      </c>
      <c r="F66" s="15">
        <f>IFERROR(MEDIAN(C43:E43),"")</f>
        <v/>
      </c>
      <c r="G66" s="15">
        <f>IFERROR(MEDIAN(C43:F43),"")</f>
        <v/>
      </c>
      <c r="H66" s="15">
        <f>IFERROR(MEDIAN(D43:G43),"")</f>
        <v/>
      </c>
      <c r="I66" s="15">
        <f>IFERROR(MEDIAN(E43:H43),"")</f>
        <v/>
      </c>
      <c r="J66" s="15">
        <f>IFERROR(MEDIAN(F43:I43),"")</f>
        <v/>
      </c>
      <c r="K66" s="15">
        <f>IFERROR(MEDIAN(G43:J43),"")</f>
        <v/>
      </c>
      <c r="L66" s="15">
        <f>IFERROR(MEDIAN(H43:K43),"")</f>
        <v/>
      </c>
      <c r="M66" s="15">
        <f>IFERROR(MEDIAN(I43:L43),"")</f>
        <v/>
      </c>
      <c r="N66" s="15">
        <f>IFERROR(MEDIAN(J43:M43),"")</f>
        <v/>
      </c>
      <c r="O66" s="15">
        <f>IFERROR(MEDIAN(K43:N43),"")</f>
        <v/>
      </c>
      <c r="P66" s="15">
        <f>IFERROR(MEDIAN(L43:O43),"")</f>
        <v/>
      </c>
      <c r="Q66" s="15">
        <f>IFERROR(MEDIAN(M43:P43),"")</f>
        <v/>
      </c>
      <c r="R66" s="15">
        <f>IFERROR(MEDIAN(N43:Q43),"")</f>
        <v/>
      </c>
      <c r="S66" s="15">
        <f>IFERROR(MEDIAN(O43:R43),"")</f>
        <v/>
      </c>
      <c r="T66" s="15">
        <f>IFERROR(MEDIAN(P43:S43),"")</f>
        <v/>
      </c>
      <c r="U66" s="15">
        <f>IFERROR(MEDIAN(Q43:T43),"")</f>
        <v/>
      </c>
      <c r="V66" s="15">
        <f>IFERROR(MEDIAN(R43:U43),"")</f>
        <v/>
      </c>
      <c r="W66" s="15">
        <f>IFERROR(MEDIAN(S43:V43),"")</f>
        <v/>
      </c>
      <c r="X66" s="15">
        <f>IFERROR(MEDIAN(T43:W43),"")</f>
        <v/>
      </c>
      <c r="Y66" s="15">
        <f>IFERROR(MEDIAN(U43:X43),"")</f>
        <v/>
      </c>
      <c r="Z66" s="15">
        <f>IFERROR(MEDIAN(V43:Y43),"")</f>
        <v/>
      </c>
      <c r="AA66" s="15">
        <f>IFERROR(MEDIAN(W43:Z43),"")</f>
        <v/>
      </c>
      <c r="AB66" s="15">
        <f>IFERROR(MEDIAN(X43:AA43),"")</f>
        <v/>
      </c>
    </row>
    <row r="67">
      <c r="A67" t="inlineStr">
        <is>
          <t>Semáforo</t>
        </is>
      </c>
      <c r="B67" s="25" t="inlineStr">
        <is>
          <t>Order value (facturado por comprador)</t>
        </is>
      </c>
      <c r="C67" s="27">
        <f>IF(OR(C43="",C66=""),"",IF(C43&gt;=C66,"VERDE",IF(C43&gt;=C66*(1-Config!$C$20),"AMARILLO","ROJO")))</f>
        <v/>
      </c>
      <c r="D67" s="27">
        <f>IF(OR(D43="",D66=""),"",IF(D43&gt;=D66,"VERDE",IF(D43&gt;=D66*(1-Config!$C$20),"AMARILLO","ROJO")))</f>
        <v/>
      </c>
      <c r="E67" s="27">
        <f>IF(OR(E43="",E66=""),"",IF(E43&gt;=E66,"VERDE",IF(E43&gt;=E66*(1-Config!$C$20),"AMARILLO","ROJO")))</f>
        <v/>
      </c>
      <c r="F67" s="27">
        <f>IF(OR(F43="",F66=""),"",IF(F43&gt;=F66,"VERDE",IF(F43&gt;=F66*(1-Config!$C$20),"AMARILLO","ROJO")))</f>
        <v/>
      </c>
      <c r="G67" s="27">
        <f>IF(OR(G43="",G66=""),"",IF(G43&gt;=G66,"VERDE",IF(G43&gt;=G66*(1-Config!$C$20),"AMARILLO","ROJO")))</f>
        <v/>
      </c>
      <c r="H67" s="27">
        <f>IF(OR(H43="",H66=""),"",IF(H43&gt;=H66,"VERDE",IF(H43&gt;=H66*(1-Config!$C$20),"AMARILLO","ROJO")))</f>
        <v/>
      </c>
      <c r="I67" s="27">
        <f>IF(OR(I43="",I66=""),"",IF(I43&gt;=I66,"VERDE",IF(I43&gt;=I66*(1-Config!$C$20),"AMARILLO","ROJO")))</f>
        <v/>
      </c>
      <c r="J67" s="27">
        <f>IF(OR(J43="",J66=""),"",IF(J43&gt;=J66,"VERDE",IF(J43&gt;=J66*(1-Config!$C$20),"AMARILLO","ROJO")))</f>
        <v/>
      </c>
      <c r="K67" s="27">
        <f>IF(OR(K43="",K66=""),"",IF(K43&gt;=K66,"VERDE",IF(K43&gt;=K66*(1-Config!$C$20),"AMARILLO","ROJO")))</f>
        <v/>
      </c>
      <c r="L67" s="27">
        <f>IF(OR(L43="",L66=""),"",IF(L43&gt;=L66,"VERDE",IF(L43&gt;=L66*(1-Config!$C$20),"AMARILLO","ROJO")))</f>
        <v/>
      </c>
      <c r="M67" s="27">
        <f>IF(OR(M43="",M66=""),"",IF(M43&gt;=M66,"VERDE",IF(M43&gt;=M66*(1-Config!$C$20),"AMARILLO","ROJO")))</f>
        <v/>
      </c>
      <c r="N67" s="27">
        <f>IF(OR(N43="",N66=""),"",IF(N43&gt;=N66,"VERDE",IF(N43&gt;=N66*(1-Config!$C$20),"AMARILLO","ROJO")))</f>
        <v/>
      </c>
      <c r="O67" s="27">
        <f>IF(OR(O43="",O66=""),"",IF(O43&gt;=O66,"VERDE",IF(O43&gt;=O66*(1-Config!$C$20),"AMARILLO","ROJO")))</f>
        <v/>
      </c>
      <c r="P67" s="27">
        <f>IF(OR(P43="",P66=""),"",IF(P43&gt;=P66,"VERDE",IF(P43&gt;=P66*(1-Config!$C$20),"AMARILLO","ROJO")))</f>
        <v/>
      </c>
      <c r="Q67" s="27">
        <f>IF(OR(Q43="",Q66=""),"",IF(Q43&gt;=Q66,"VERDE",IF(Q43&gt;=Q66*(1-Config!$C$20),"AMARILLO","ROJO")))</f>
        <v/>
      </c>
      <c r="R67" s="27">
        <f>IF(OR(R43="",R66=""),"",IF(R43&gt;=R66,"VERDE",IF(R43&gt;=R66*(1-Config!$C$20),"AMARILLO","ROJO")))</f>
        <v/>
      </c>
      <c r="S67" s="27">
        <f>IF(OR(S43="",S66=""),"",IF(S43&gt;=S66,"VERDE",IF(S43&gt;=S66*(1-Config!$C$20),"AMARILLO","ROJO")))</f>
        <v/>
      </c>
      <c r="T67" s="27">
        <f>IF(OR(T43="",T66=""),"",IF(T43&gt;=T66,"VERDE",IF(T43&gt;=T66*(1-Config!$C$20),"AMARILLO","ROJO")))</f>
        <v/>
      </c>
      <c r="U67" s="27">
        <f>IF(OR(U43="",U66=""),"",IF(U43&gt;=U66,"VERDE",IF(U43&gt;=U66*(1-Config!$C$20),"AMARILLO","ROJO")))</f>
        <v/>
      </c>
      <c r="V67" s="27">
        <f>IF(OR(V43="",V66=""),"",IF(V43&gt;=V66,"VERDE",IF(V43&gt;=V66*(1-Config!$C$20),"AMARILLO","ROJO")))</f>
        <v/>
      </c>
      <c r="W67" s="27">
        <f>IF(OR(W43="",W66=""),"",IF(W43&gt;=W66,"VERDE",IF(W43&gt;=W66*(1-Config!$C$20),"AMARILLO","ROJO")))</f>
        <v/>
      </c>
      <c r="X67" s="27">
        <f>IF(OR(X43="",X66=""),"",IF(X43&gt;=X66,"VERDE",IF(X43&gt;=X66*(1-Config!$C$20),"AMARILLO","ROJO")))</f>
        <v/>
      </c>
      <c r="Y67" s="27">
        <f>IF(OR(Y43="",Y66=""),"",IF(Y43&gt;=Y66,"VERDE",IF(Y43&gt;=Y66*(1-Config!$C$20),"AMARILLO","ROJO")))</f>
        <v/>
      </c>
      <c r="Z67" s="27">
        <f>IF(OR(Z43="",Z66=""),"",IF(Z43&gt;=Z66,"VERDE",IF(Z43&gt;=Z66*(1-Config!$C$20),"AMARILLO","ROJO")))</f>
        <v/>
      </c>
      <c r="AA67" s="27">
        <f>IF(OR(AA43="",AA66=""),"",IF(AA43&gt;=AA66,"VERDE",IF(AA43&gt;=AA66*(1-Config!$C$20),"AMARILLO","ROJO")))</f>
        <v/>
      </c>
      <c r="AB67" s="27">
        <f>IF(OR(AB43="",AB66=""),"",IF(AB43&gt;=AB66,"VERDE",IF(AB43&gt;=AB66*(1-Config!$C$20),"AMARILLO","ROJO")))</f>
        <v/>
      </c>
    </row>
    <row r="68">
      <c r="A68" t="inlineStr">
        <is>
          <t>Mediana 4 semanas anteriores</t>
        </is>
      </c>
      <c r="B68" s="5" t="inlineStr">
        <is>
          <t>ROAS sobre cash neto</t>
        </is>
      </c>
      <c r="C68" s="26" t="inlineStr"/>
      <c r="D68" s="21">
        <f>IFERROR(MEDIAN(C49:C49),"")</f>
        <v/>
      </c>
      <c r="E68" s="21">
        <f>IFERROR(MEDIAN(C49:D49),"")</f>
        <v/>
      </c>
      <c r="F68" s="21">
        <f>IFERROR(MEDIAN(C49:E49),"")</f>
        <v/>
      </c>
      <c r="G68" s="21">
        <f>IFERROR(MEDIAN(C49:F49),"")</f>
        <v/>
      </c>
      <c r="H68" s="21">
        <f>IFERROR(MEDIAN(D49:G49),"")</f>
        <v/>
      </c>
      <c r="I68" s="21">
        <f>IFERROR(MEDIAN(E49:H49),"")</f>
        <v/>
      </c>
      <c r="J68" s="21">
        <f>IFERROR(MEDIAN(F49:I49),"")</f>
        <v/>
      </c>
      <c r="K68" s="21">
        <f>IFERROR(MEDIAN(G49:J49),"")</f>
        <v/>
      </c>
      <c r="L68" s="21">
        <f>IFERROR(MEDIAN(H49:K49),"")</f>
        <v/>
      </c>
      <c r="M68" s="21">
        <f>IFERROR(MEDIAN(I49:L49),"")</f>
        <v/>
      </c>
      <c r="N68" s="21">
        <f>IFERROR(MEDIAN(J49:M49),"")</f>
        <v/>
      </c>
      <c r="O68" s="21">
        <f>IFERROR(MEDIAN(K49:N49),"")</f>
        <v/>
      </c>
      <c r="P68" s="21">
        <f>IFERROR(MEDIAN(L49:O49),"")</f>
        <v/>
      </c>
      <c r="Q68" s="21">
        <f>IFERROR(MEDIAN(M49:P49),"")</f>
        <v/>
      </c>
      <c r="R68" s="21">
        <f>IFERROR(MEDIAN(N49:Q49),"")</f>
        <v/>
      </c>
      <c r="S68" s="21">
        <f>IFERROR(MEDIAN(O49:R49),"")</f>
        <v/>
      </c>
      <c r="T68" s="21">
        <f>IFERROR(MEDIAN(P49:S49),"")</f>
        <v/>
      </c>
      <c r="U68" s="21">
        <f>IFERROR(MEDIAN(Q49:T49),"")</f>
        <v/>
      </c>
      <c r="V68" s="21">
        <f>IFERROR(MEDIAN(R49:U49),"")</f>
        <v/>
      </c>
      <c r="W68" s="21">
        <f>IFERROR(MEDIAN(S49:V49),"")</f>
        <v/>
      </c>
      <c r="X68" s="21">
        <f>IFERROR(MEDIAN(T49:W49),"")</f>
        <v/>
      </c>
      <c r="Y68" s="21">
        <f>IFERROR(MEDIAN(U49:X49),"")</f>
        <v/>
      </c>
      <c r="Z68" s="21">
        <f>IFERROR(MEDIAN(V49:Y49),"")</f>
        <v/>
      </c>
      <c r="AA68" s="21">
        <f>IFERROR(MEDIAN(W49:Z49),"")</f>
        <v/>
      </c>
      <c r="AB68" s="21">
        <f>IFERROR(MEDIAN(X49:AA49),"")</f>
        <v/>
      </c>
    </row>
    <row r="69">
      <c r="A69" t="inlineStr">
        <is>
          <t>Semáforo</t>
        </is>
      </c>
      <c r="B69" s="25" t="inlineStr">
        <is>
          <t>ROAS sobre cash neto</t>
        </is>
      </c>
      <c r="C69" s="27">
        <f>IF(OR(C49="",C68=""),"",IF(C49&lt;=1,"ROJO",IF(C49&gt;=C68,"VERDE",IF(C49&gt;=C68*(1-Config!$C$20),"AMARILLO","ROJO"))))</f>
        <v/>
      </c>
      <c r="D69" s="27">
        <f>IF(OR(D49="",D68=""),"",IF(D49&lt;=1,"ROJO",IF(D49&gt;=D68,"VERDE",IF(D49&gt;=D68*(1-Config!$C$20),"AMARILLO","ROJO"))))</f>
        <v/>
      </c>
      <c r="E69" s="27">
        <f>IF(OR(E49="",E68=""),"",IF(E49&lt;=1,"ROJO",IF(E49&gt;=E68,"VERDE",IF(E49&gt;=E68*(1-Config!$C$20),"AMARILLO","ROJO"))))</f>
        <v/>
      </c>
      <c r="F69" s="27">
        <f>IF(OR(F49="",F68=""),"",IF(F49&lt;=1,"ROJO",IF(F49&gt;=F68,"VERDE",IF(F49&gt;=F68*(1-Config!$C$20),"AMARILLO","ROJO"))))</f>
        <v/>
      </c>
      <c r="G69" s="27">
        <f>IF(OR(G49="",G68=""),"",IF(G49&lt;=1,"ROJO",IF(G49&gt;=G68,"VERDE",IF(G49&gt;=G68*(1-Config!$C$20),"AMARILLO","ROJO"))))</f>
        <v/>
      </c>
      <c r="H69" s="27">
        <f>IF(OR(H49="",H68=""),"",IF(H49&lt;=1,"ROJO",IF(H49&gt;=H68,"VERDE",IF(H49&gt;=H68*(1-Config!$C$20),"AMARILLO","ROJO"))))</f>
        <v/>
      </c>
      <c r="I69" s="27">
        <f>IF(OR(I49="",I68=""),"",IF(I49&lt;=1,"ROJO",IF(I49&gt;=I68,"VERDE",IF(I49&gt;=I68*(1-Config!$C$20),"AMARILLO","ROJO"))))</f>
        <v/>
      </c>
      <c r="J69" s="27">
        <f>IF(OR(J49="",J68=""),"",IF(J49&lt;=1,"ROJO",IF(J49&gt;=J68,"VERDE",IF(J49&gt;=J68*(1-Config!$C$20),"AMARILLO","ROJO"))))</f>
        <v/>
      </c>
      <c r="K69" s="27">
        <f>IF(OR(K49="",K68=""),"",IF(K49&lt;=1,"ROJO",IF(K49&gt;=K68,"VERDE",IF(K49&gt;=K68*(1-Config!$C$20),"AMARILLO","ROJO"))))</f>
        <v/>
      </c>
      <c r="L69" s="27">
        <f>IF(OR(L49="",L68=""),"",IF(L49&lt;=1,"ROJO",IF(L49&gt;=L68,"VERDE",IF(L49&gt;=L68*(1-Config!$C$20),"AMARILLO","ROJO"))))</f>
        <v/>
      </c>
      <c r="M69" s="27">
        <f>IF(OR(M49="",M68=""),"",IF(M49&lt;=1,"ROJO",IF(M49&gt;=M68,"VERDE",IF(M49&gt;=M68*(1-Config!$C$20),"AMARILLO","ROJO"))))</f>
        <v/>
      </c>
      <c r="N69" s="27">
        <f>IF(OR(N49="",N68=""),"",IF(N49&lt;=1,"ROJO",IF(N49&gt;=N68,"VERDE",IF(N49&gt;=N68*(1-Config!$C$20),"AMARILLO","ROJO"))))</f>
        <v/>
      </c>
      <c r="O69" s="27">
        <f>IF(OR(O49="",O68=""),"",IF(O49&lt;=1,"ROJO",IF(O49&gt;=O68,"VERDE",IF(O49&gt;=O68*(1-Config!$C$20),"AMARILLO","ROJO"))))</f>
        <v/>
      </c>
      <c r="P69" s="27">
        <f>IF(OR(P49="",P68=""),"",IF(P49&lt;=1,"ROJO",IF(P49&gt;=P68,"VERDE",IF(P49&gt;=P68*(1-Config!$C$20),"AMARILLO","ROJO"))))</f>
        <v/>
      </c>
      <c r="Q69" s="27">
        <f>IF(OR(Q49="",Q68=""),"",IF(Q49&lt;=1,"ROJO",IF(Q49&gt;=Q68,"VERDE",IF(Q49&gt;=Q68*(1-Config!$C$20),"AMARILLO","ROJO"))))</f>
        <v/>
      </c>
      <c r="R69" s="27">
        <f>IF(OR(R49="",R68=""),"",IF(R49&lt;=1,"ROJO",IF(R49&gt;=R68,"VERDE",IF(R49&gt;=R68*(1-Config!$C$20),"AMARILLO","ROJO"))))</f>
        <v/>
      </c>
      <c r="S69" s="27">
        <f>IF(OR(S49="",S68=""),"",IF(S49&lt;=1,"ROJO",IF(S49&gt;=S68,"VERDE",IF(S49&gt;=S68*(1-Config!$C$20),"AMARILLO","ROJO"))))</f>
        <v/>
      </c>
      <c r="T69" s="27">
        <f>IF(OR(T49="",T68=""),"",IF(T49&lt;=1,"ROJO",IF(T49&gt;=T68,"VERDE",IF(T49&gt;=T68*(1-Config!$C$20),"AMARILLO","ROJO"))))</f>
        <v/>
      </c>
      <c r="U69" s="27">
        <f>IF(OR(U49="",U68=""),"",IF(U49&lt;=1,"ROJO",IF(U49&gt;=U68,"VERDE",IF(U49&gt;=U68*(1-Config!$C$20),"AMARILLO","ROJO"))))</f>
        <v/>
      </c>
      <c r="V69" s="27">
        <f>IF(OR(V49="",V68=""),"",IF(V49&lt;=1,"ROJO",IF(V49&gt;=V68,"VERDE",IF(V49&gt;=V68*(1-Config!$C$20),"AMARILLO","ROJO"))))</f>
        <v/>
      </c>
      <c r="W69" s="27">
        <f>IF(OR(W49="",W68=""),"",IF(W49&lt;=1,"ROJO",IF(W49&gt;=W68,"VERDE",IF(W49&gt;=W68*(1-Config!$C$20),"AMARILLO","ROJO"))))</f>
        <v/>
      </c>
      <c r="X69" s="27">
        <f>IF(OR(X49="",X68=""),"",IF(X49&lt;=1,"ROJO",IF(X49&gt;=X68,"VERDE",IF(X49&gt;=X68*(1-Config!$C$20),"AMARILLO","ROJO"))))</f>
        <v/>
      </c>
      <c r="Y69" s="27">
        <f>IF(OR(Y49="",Y68=""),"",IF(Y49&lt;=1,"ROJO",IF(Y49&gt;=Y68,"VERDE",IF(Y49&gt;=Y68*(1-Config!$C$20),"AMARILLO","ROJO"))))</f>
        <v/>
      </c>
      <c r="Z69" s="27">
        <f>IF(OR(Z49="",Z68=""),"",IF(Z49&lt;=1,"ROJO",IF(Z49&gt;=Z68,"VERDE",IF(Z49&gt;=Z68*(1-Config!$C$20),"AMARILLO","ROJO"))))</f>
        <v/>
      </c>
      <c r="AA69" s="27">
        <f>IF(OR(AA49="",AA68=""),"",IF(AA49&lt;=1,"ROJO",IF(AA49&gt;=AA68,"VERDE",IF(AA49&gt;=AA68*(1-Config!$C$20),"AMARILLO","ROJO"))))</f>
        <v/>
      </c>
      <c r="AB69" s="27">
        <f>IF(OR(AB49="",AB68=""),"",IF(AB49&lt;=1,"ROJO",IF(AB49&gt;=AB68,"VERDE",IF(AB49&gt;=AB68*(1-Config!$C$20),"AMARILLO","ROJO"))))</f>
        <v/>
      </c>
    </row>
    <row r="70">
      <c r="A70" t="inlineStr">
        <is>
          <t>Mediana 4 semanas anteriores</t>
        </is>
      </c>
      <c r="B70" s="5" t="inlineStr">
        <is>
          <t>CPM</t>
        </is>
      </c>
      <c r="C70" s="26" t="inlineStr"/>
      <c r="D70" s="15">
        <f>IFERROR(MEDIAN(C15:C15),"")</f>
        <v/>
      </c>
      <c r="E70" s="15">
        <f>IFERROR(MEDIAN(C15:D15),"")</f>
        <v/>
      </c>
      <c r="F70" s="15">
        <f>IFERROR(MEDIAN(C15:E15),"")</f>
        <v/>
      </c>
      <c r="G70" s="15">
        <f>IFERROR(MEDIAN(C15:F15),"")</f>
        <v/>
      </c>
      <c r="H70" s="15">
        <f>IFERROR(MEDIAN(D15:G15),"")</f>
        <v/>
      </c>
      <c r="I70" s="15">
        <f>IFERROR(MEDIAN(E15:H15),"")</f>
        <v/>
      </c>
      <c r="J70" s="15">
        <f>IFERROR(MEDIAN(F15:I15),"")</f>
        <v/>
      </c>
      <c r="K70" s="15">
        <f>IFERROR(MEDIAN(G15:J15),"")</f>
        <v/>
      </c>
      <c r="L70" s="15">
        <f>IFERROR(MEDIAN(H15:K15),"")</f>
        <v/>
      </c>
      <c r="M70" s="15">
        <f>IFERROR(MEDIAN(I15:L15),"")</f>
        <v/>
      </c>
      <c r="N70" s="15">
        <f>IFERROR(MEDIAN(J15:M15),"")</f>
        <v/>
      </c>
      <c r="O70" s="15">
        <f>IFERROR(MEDIAN(K15:N15),"")</f>
        <v/>
      </c>
      <c r="P70" s="15">
        <f>IFERROR(MEDIAN(L15:O15),"")</f>
        <v/>
      </c>
      <c r="Q70" s="15">
        <f>IFERROR(MEDIAN(M15:P15),"")</f>
        <v/>
      </c>
      <c r="R70" s="15">
        <f>IFERROR(MEDIAN(N15:Q15),"")</f>
        <v/>
      </c>
      <c r="S70" s="15">
        <f>IFERROR(MEDIAN(O15:R15),"")</f>
        <v/>
      </c>
      <c r="T70" s="15">
        <f>IFERROR(MEDIAN(P15:S15),"")</f>
        <v/>
      </c>
      <c r="U70" s="15">
        <f>IFERROR(MEDIAN(Q15:T15),"")</f>
        <v/>
      </c>
      <c r="V70" s="15">
        <f>IFERROR(MEDIAN(R15:U15),"")</f>
        <v/>
      </c>
      <c r="W70" s="15">
        <f>IFERROR(MEDIAN(S15:V15),"")</f>
        <v/>
      </c>
      <c r="X70" s="15">
        <f>IFERROR(MEDIAN(T15:W15),"")</f>
        <v/>
      </c>
      <c r="Y70" s="15">
        <f>IFERROR(MEDIAN(U15:X15),"")</f>
        <v/>
      </c>
      <c r="Z70" s="15">
        <f>IFERROR(MEDIAN(V15:Y15),"")</f>
        <v/>
      </c>
      <c r="AA70" s="15">
        <f>IFERROR(MEDIAN(W15:Z15),"")</f>
        <v/>
      </c>
      <c r="AB70" s="15">
        <f>IFERROR(MEDIAN(X15:AA15),"")</f>
        <v/>
      </c>
    </row>
    <row r="71">
      <c r="A71" t="inlineStr">
        <is>
          <t>Semáforo</t>
        </is>
      </c>
      <c r="B71" s="25" t="inlineStr">
        <is>
          <t>CPM</t>
        </is>
      </c>
      <c r="C71" s="27">
        <f>IF(OR(C15="",C70=""),"",IF(C15&lt;=C70,"VERDE",IF(C15&lt;=C70*(1+Config!$C$20),"AMARILLO","ROJO")))</f>
        <v/>
      </c>
      <c r="D71" s="27">
        <f>IF(OR(D15="",D70=""),"",IF(D15&lt;=D70,"VERDE",IF(D15&lt;=D70*(1+Config!$C$20),"AMARILLO","ROJO")))</f>
        <v/>
      </c>
      <c r="E71" s="27">
        <f>IF(OR(E15="",E70=""),"",IF(E15&lt;=E70,"VERDE",IF(E15&lt;=E70*(1+Config!$C$20),"AMARILLO","ROJO")))</f>
        <v/>
      </c>
      <c r="F71" s="27">
        <f>IF(OR(F15="",F70=""),"",IF(F15&lt;=F70,"VERDE",IF(F15&lt;=F70*(1+Config!$C$20),"AMARILLO","ROJO")))</f>
        <v/>
      </c>
      <c r="G71" s="27">
        <f>IF(OR(G15="",G70=""),"",IF(G15&lt;=G70,"VERDE",IF(G15&lt;=G70*(1+Config!$C$20),"AMARILLO","ROJO")))</f>
        <v/>
      </c>
      <c r="H71" s="27">
        <f>IF(OR(H15="",H70=""),"",IF(H15&lt;=H70,"VERDE",IF(H15&lt;=H70*(1+Config!$C$20),"AMARILLO","ROJO")))</f>
        <v/>
      </c>
      <c r="I71" s="27">
        <f>IF(OR(I15="",I70=""),"",IF(I15&lt;=I70,"VERDE",IF(I15&lt;=I70*(1+Config!$C$20),"AMARILLO","ROJO")))</f>
        <v/>
      </c>
      <c r="J71" s="27">
        <f>IF(OR(J15="",J70=""),"",IF(J15&lt;=J70,"VERDE",IF(J15&lt;=J70*(1+Config!$C$20),"AMARILLO","ROJO")))</f>
        <v/>
      </c>
      <c r="K71" s="27">
        <f>IF(OR(K15="",K70=""),"",IF(K15&lt;=K70,"VERDE",IF(K15&lt;=K70*(1+Config!$C$20),"AMARILLO","ROJO")))</f>
        <v/>
      </c>
      <c r="L71" s="27">
        <f>IF(OR(L15="",L70=""),"",IF(L15&lt;=L70,"VERDE",IF(L15&lt;=L70*(1+Config!$C$20),"AMARILLO","ROJO")))</f>
        <v/>
      </c>
      <c r="M71" s="27">
        <f>IF(OR(M15="",M70=""),"",IF(M15&lt;=M70,"VERDE",IF(M15&lt;=M70*(1+Config!$C$20),"AMARILLO","ROJO")))</f>
        <v/>
      </c>
      <c r="N71" s="27">
        <f>IF(OR(N15="",N70=""),"",IF(N15&lt;=N70,"VERDE",IF(N15&lt;=N70*(1+Config!$C$20),"AMARILLO","ROJO")))</f>
        <v/>
      </c>
      <c r="O71" s="27">
        <f>IF(OR(O15="",O70=""),"",IF(O15&lt;=O70,"VERDE",IF(O15&lt;=O70*(1+Config!$C$20),"AMARILLO","ROJO")))</f>
        <v/>
      </c>
      <c r="P71" s="27">
        <f>IF(OR(P15="",P70=""),"",IF(P15&lt;=P70,"VERDE",IF(P15&lt;=P70*(1+Config!$C$20),"AMARILLO","ROJO")))</f>
        <v/>
      </c>
      <c r="Q71" s="27">
        <f>IF(OR(Q15="",Q70=""),"",IF(Q15&lt;=Q70,"VERDE",IF(Q15&lt;=Q70*(1+Config!$C$20),"AMARILLO","ROJO")))</f>
        <v/>
      </c>
      <c r="R71" s="27">
        <f>IF(OR(R15="",R70=""),"",IF(R15&lt;=R70,"VERDE",IF(R15&lt;=R70*(1+Config!$C$20),"AMARILLO","ROJO")))</f>
        <v/>
      </c>
      <c r="S71" s="27">
        <f>IF(OR(S15="",S70=""),"",IF(S15&lt;=S70,"VERDE",IF(S15&lt;=S70*(1+Config!$C$20),"AMARILLO","ROJO")))</f>
        <v/>
      </c>
      <c r="T71" s="27">
        <f>IF(OR(T15="",T70=""),"",IF(T15&lt;=T70,"VERDE",IF(T15&lt;=T70*(1+Config!$C$20),"AMARILLO","ROJO")))</f>
        <v/>
      </c>
      <c r="U71" s="27">
        <f>IF(OR(U15="",U70=""),"",IF(U15&lt;=U70,"VERDE",IF(U15&lt;=U70*(1+Config!$C$20),"AMARILLO","ROJO")))</f>
        <v/>
      </c>
      <c r="V71" s="27">
        <f>IF(OR(V15="",V70=""),"",IF(V15&lt;=V70,"VERDE",IF(V15&lt;=V70*(1+Config!$C$20),"AMARILLO","ROJO")))</f>
        <v/>
      </c>
      <c r="W71" s="27">
        <f>IF(OR(W15="",W70=""),"",IF(W15&lt;=W70,"VERDE",IF(W15&lt;=W70*(1+Config!$C$20),"AMARILLO","ROJO")))</f>
        <v/>
      </c>
      <c r="X71" s="27">
        <f>IF(OR(X15="",X70=""),"",IF(X15&lt;=X70,"VERDE",IF(X15&lt;=X70*(1+Config!$C$20),"AMARILLO","ROJO")))</f>
        <v/>
      </c>
      <c r="Y71" s="27">
        <f>IF(OR(Y15="",Y70=""),"",IF(Y15&lt;=Y70,"VERDE",IF(Y15&lt;=Y70*(1+Config!$C$20),"AMARILLO","ROJO")))</f>
        <v/>
      </c>
      <c r="Z71" s="27">
        <f>IF(OR(Z15="",Z70=""),"",IF(Z15&lt;=Z70,"VERDE",IF(Z15&lt;=Z70*(1+Config!$C$20),"AMARILLO","ROJO")))</f>
        <v/>
      </c>
      <c r="AA71" s="27">
        <f>IF(OR(AA15="",AA70=""),"",IF(AA15&lt;=AA70,"VERDE",IF(AA15&lt;=AA70*(1+Config!$C$20),"AMARILLO","ROJO")))</f>
        <v/>
      </c>
      <c r="AB71" s="27">
        <f>IF(OR(AB15="",AB70=""),"",IF(AB15&lt;=AB70,"VERDE",IF(AB15&lt;=AB70*(1+Config!$C$20),"AMARILLO","ROJO")))</f>
        <v/>
      </c>
    </row>
    <row r="72">
      <c r="A72" t="inlineStr">
        <is>
          <t>Mediana 4 semanas anteriores</t>
        </is>
      </c>
      <c r="B72" s="5" t="inlineStr">
        <is>
          <t>CTR al enlace</t>
        </is>
      </c>
      <c r="C72" s="26" t="inlineStr"/>
      <c r="D72" s="17">
        <f>IFERROR(MEDIAN(C17:C17),"")</f>
        <v/>
      </c>
      <c r="E72" s="17">
        <f>IFERROR(MEDIAN(C17:D17),"")</f>
        <v/>
      </c>
      <c r="F72" s="17">
        <f>IFERROR(MEDIAN(C17:E17),"")</f>
        <v/>
      </c>
      <c r="G72" s="17">
        <f>IFERROR(MEDIAN(C17:F17),"")</f>
        <v/>
      </c>
      <c r="H72" s="17">
        <f>IFERROR(MEDIAN(D17:G17),"")</f>
        <v/>
      </c>
      <c r="I72" s="17">
        <f>IFERROR(MEDIAN(E17:H17),"")</f>
        <v/>
      </c>
      <c r="J72" s="17">
        <f>IFERROR(MEDIAN(F17:I17),"")</f>
        <v/>
      </c>
      <c r="K72" s="17">
        <f>IFERROR(MEDIAN(G17:J17),"")</f>
        <v/>
      </c>
      <c r="L72" s="17">
        <f>IFERROR(MEDIAN(H17:K17),"")</f>
        <v/>
      </c>
      <c r="M72" s="17">
        <f>IFERROR(MEDIAN(I17:L17),"")</f>
        <v/>
      </c>
      <c r="N72" s="17">
        <f>IFERROR(MEDIAN(J17:M17),"")</f>
        <v/>
      </c>
      <c r="O72" s="17">
        <f>IFERROR(MEDIAN(K17:N17),"")</f>
        <v/>
      </c>
      <c r="P72" s="17">
        <f>IFERROR(MEDIAN(L17:O17),"")</f>
        <v/>
      </c>
      <c r="Q72" s="17">
        <f>IFERROR(MEDIAN(M17:P17),"")</f>
        <v/>
      </c>
      <c r="R72" s="17">
        <f>IFERROR(MEDIAN(N17:Q17),"")</f>
        <v/>
      </c>
      <c r="S72" s="17">
        <f>IFERROR(MEDIAN(O17:R17),"")</f>
        <v/>
      </c>
      <c r="T72" s="17">
        <f>IFERROR(MEDIAN(P17:S17),"")</f>
        <v/>
      </c>
      <c r="U72" s="17">
        <f>IFERROR(MEDIAN(Q17:T17),"")</f>
        <v/>
      </c>
      <c r="V72" s="17">
        <f>IFERROR(MEDIAN(R17:U17),"")</f>
        <v/>
      </c>
      <c r="W72" s="17">
        <f>IFERROR(MEDIAN(S17:V17),"")</f>
        <v/>
      </c>
      <c r="X72" s="17">
        <f>IFERROR(MEDIAN(T17:W17),"")</f>
        <v/>
      </c>
      <c r="Y72" s="17">
        <f>IFERROR(MEDIAN(U17:X17),"")</f>
        <v/>
      </c>
      <c r="Z72" s="17">
        <f>IFERROR(MEDIAN(V17:Y17),"")</f>
        <v/>
      </c>
      <c r="AA72" s="17">
        <f>IFERROR(MEDIAN(W17:Z17),"")</f>
        <v/>
      </c>
      <c r="AB72" s="17">
        <f>IFERROR(MEDIAN(X17:AA17),"")</f>
        <v/>
      </c>
    </row>
    <row r="73">
      <c r="A73" t="inlineStr">
        <is>
          <t>Semáforo</t>
        </is>
      </c>
      <c r="B73" s="25" t="inlineStr">
        <is>
          <t>CTR al enlace</t>
        </is>
      </c>
      <c r="C73" s="27">
        <f>IF(OR(C17="",C72=""),"",IF(C17&gt;=C72,"VERDE",IF(C17&gt;=C72*(1-Config!$C$20),"AMARILLO","ROJO")))</f>
        <v/>
      </c>
      <c r="D73" s="27">
        <f>IF(OR(D17="",D72=""),"",IF(D17&gt;=D72,"VERDE",IF(D17&gt;=D72*(1-Config!$C$20),"AMARILLO","ROJO")))</f>
        <v/>
      </c>
      <c r="E73" s="27">
        <f>IF(OR(E17="",E72=""),"",IF(E17&gt;=E72,"VERDE",IF(E17&gt;=E72*(1-Config!$C$20),"AMARILLO","ROJO")))</f>
        <v/>
      </c>
      <c r="F73" s="27">
        <f>IF(OR(F17="",F72=""),"",IF(F17&gt;=F72,"VERDE",IF(F17&gt;=F72*(1-Config!$C$20),"AMARILLO","ROJO")))</f>
        <v/>
      </c>
      <c r="G73" s="27">
        <f>IF(OR(G17="",G72=""),"",IF(G17&gt;=G72,"VERDE",IF(G17&gt;=G72*(1-Config!$C$20),"AMARILLO","ROJO")))</f>
        <v/>
      </c>
      <c r="H73" s="27">
        <f>IF(OR(H17="",H72=""),"",IF(H17&gt;=H72,"VERDE",IF(H17&gt;=H72*(1-Config!$C$20),"AMARILLO","ROJO")))</f>
        <v/>
      </c>
      <c r="I73" s="27">
        <f>IF(OR(I17="",I72=""),"",IF(I17&gt;=I72,"VERDE",IF(I17&gt;=I72*(1-Config!$C$20),"AMARILLO","ROJO")))</f>
        <v/>
      </c>
      <c r="J73" s="27">
        <f>IF(OR(J17="",J72=""),"",IF(J17&gt;=J72,"VERDE",IF(J17&gt;=J72*(1-Config!$C$20),"AMARILLO","ROJO")))</f>
        <v/>
      </c>
      <c r="K73" s="27">
        <f>IF(OR(K17="",K72=""),"",IF(K17&gt;=K72,"VERDE",IF(K17&gt;=K72*(1-Config!$C$20),"AMARILLO","ROJO")))</f>
        <v/>
      </c>
      <c r="L73" s="27">
        <f>IF(OR(L17="",L72=""),"",IF(L17&gt;=L72,"VERDE",IF(L17&gt;=L72*(1-Config!$C$20),"AMARILLO","ROJO")))</f>
        <v/>
      </c>
      <c r="M73" s="27">
        <f>IF(OR(M17="",M72=""),"",IF(M17&gt;=M72,"VERDE",IF(M17&gt;=M72*(1-Config!$C$20),"AMARILLO","ROJO")))</f>
        <v/>
      </c>
      <c r="N73" s="27">
        <f>IF(OR(N17="",N72=""),"",IF(N17&gt;=N72,"VERDE",IF(N17&gt;=N72*(1-Config!$C$20),"AMARILLO","ROJO")))</f>
        <v/>
      </c>
      <c r="O73" s="27">
        <f>IF(OR(O17="",O72=""),"",IF(O17&gt;=O72,"VERDE",IF(O17&gt;=O72*(1-Config!$C$20),"AMARILLO","ROJO")))</f>
        <v/>
      </c>
      <c r="P73" s="27">
        <f>IF(OR(P17="",P72=""),"",IF(P17&gt;=P72,"VERDE",IF(P17&gt;=P72*(1-Config!$C$20),"AMARILLO","ROJO")))</f>
        <v/>
      </c>
      <c r="Q73" s="27">
        <f>IF(OR(Q17="",Q72=""),"",IF(Q17&gt;=Q72,"VERDE",IF(Q17&gt;=Q72*(1-Config!$C$20),"AMARILLO","ROJO")))</f>
        <v/>
      </c>
      <c r="R73" s="27">
        <f>IF(OR(R17="",R72=""),"",IF(R17&gt;=R72,"VERDE",IF(R17&gt;=R72*(1-Config!$C$20),"AMARILLO","ROJO")))</f>
        <v/>
      </c>
      <c r="S73" s="27">
        <f>IF(OR(S17="",S72=""),"",IF(S17&gt;=S72,"VERDE",IF(S17&gt;=S72*(1-Config!$C$20),"AMARILLO","ROJO")))</f>
        <v/>
      </c>
      <c r="T73" s="27">
        <f>IF(OR(T17="",T72=""),"",IF(T17&gt;=T72,"VERDE",IF(T17&gt;=T72*(1-Config!$C$20),"AMARILLO","ROJO")))</f>
        <v/>
      </c>
      <c r="U73" s="27">
        <f>IF(OR(U17="",U72=""),"",IF(U17&gt;=U72,"VERDE",IF(U17&gt;=U72*(1-Config!$C$20),"AMARILLO","ROJO")))</f>
        <v/>
      </c>
      <c r="V73" s="27">
        <f>IF(OR(V17="",V72=""),"",IF(V17&gt;=V72,"VERDE",IF(V17&gt;=V72*(1-Config!$C$20),"AMARILLO","ROJO")))</f>
        <v/>
      </c>
      <c r="W73" s="27">
        <f>IF(OR(W17="",W72=""),"",IF(W17&gt;=W72,"VERDE",IF(W17&gt;=W72*(1-Config!$C$20),"AMARILLO","ROJO")))</f>
        <v/>
      </c>
      <c r="X73" s="27">
        <f>IF(OR(X17="",X72=""),"",IF(X17&gt;=X72,"VERDE",IF(X17&gt;=X72*(1-Config!$C$20),"AMARILLO","ROJO")))</f>
        <v/>
      </c>
      <c r="Y73" s="27">
        <f>IF(OR(Y17="",Y72=""),"",IF(Y17&gt;=Y72,"VERDE",IF(Y17&gt;=Y72*(1-Config!$C$20),"AMARILLO","ROJO")))</f>
        <v/>
      </c>
      <c r="Z73" s="27">
        <f>IF(OR(Z17="",Z72=""),"",IF(Z17&gt;=Z72,"VERDE",IF(Z17&gt;=Z72*(1-Config!$C$20),"AMARILLO","ROJO")))</f>
        <v/>
      </c>
      <c r="AA73" s="27">
        <f>IF(OR(AA17="",AA72=""),"",IF(AA17&gt;=AA72,"VERDE",IF(AA17&gt;=AA72*(1-Config!$C$20),"AMARILLO","ROJO")))</f>
        <v/>
      </c>
      <c r="AB73" s="27">
        <f>IF(OR(AB17="",AB72=""),"",IF(AB17&gt;=AB72,"VERDE",IF(AB17&gt;=AB72*(1-Config!$C$20),"AMARILLO","ROJO")))</f>
        <v/>
      </c>
    </row>
    <row r="74">
      <c r="A74" t="inlineStr">
        <is>
          <t>Mediana 4 semanas anteriores</t>
        </is>
      </c>
      <c r="B74" s="5" t="inlineStr">
        <is>
          <t>Frecuencia</t>
        </is>
      </c>
      <c r="C74" s="26" t="inlineStr"/>
      <c r="D74" s="16">
        <f>IFERROR(MEDIAN(C16:C16),"")</f>
        <v/>
      </c>
      <c r="E74" s="16">
        <f>IFERROR(MEDIAN(C16:D16),"")</f>
        <v/>
      </c>
      <c r="F74" s="16">
        <f>IFERROR(MEDIAN(C16:E16),"")</f>
        <v/>
      </c>
      <c r="G74" s="16">
        <f>IFERROR(MEDIAN(C16:F16),"")</f>
        <v/>
      </c>
      <c r="H74" s="16">
        <f>IFERROR(MEDIAN(D16:G16),"")</f>
        <v/>
      </c>
      <c r="I74" s="16">
        <f>IFERROR(MEDIAN(E16:H16),"")</f>
        <v/>
      </c>
      <c r="J74" s="16">
        <f>IFERROR(MEDIAN(F16:I16),"")</f>
        <v/>
      </c>
      <c r="K74" s="16">
        <f>IFERROR(MEDIAN(G16:J16),"")</f>
        <v/>
      </c>
      <c r="L74" s="16">
        <f>IFERROR(MEDIAN(H16:K16),"")</f>
        <v/>
      </c>
      <c r="M74" s="16">
        <f>IFERROR(MEDIAN(I16:L16),"")</f>
        <v/>
      </c>
      <c r="N74" s="16">
        <f>IFERROR(MEDIAN(J16:M16),"")</f>
        <v/>
      </c>
      <c r="O74" s="16">
        <f>IFERROR(MEDIAN(K16:N16),"")</f>
        <v/>
      </c>
      <c r="P74" s="16">
        <f>IFERROR(MEDIAN(L16:O16),"")</f>
        <v/>
      </c>
      <c r="Q74" s="16">
        <f>IFERROR(MEDIAN(M16:P16),"")</f>
        <v/>
      </c>
      <c r="R74" s="16">
        <f>IFERROR(MEDIAN(N16:Q16),"")</f>
        <v/>
      </c>
      <c r="S74" s="16">
        <f>IFERROR(MEDIAN(O16:R16),"")</f>
        <v/>
      </c>
      <c r="T74" s="16">
        <f>IFERROR(MEDIAN(P16:S16),"")</f>
        <v/>
      </c>
      <c r="U74" s="16">
        <f>IFERROR(MEDIAN(Q16:T16),"")</f>
        <v/>
      </c>
      <c r="V74" s="16">
        <f>IFERROR(MEDIAN(R16:U16),"")</f>
        <v/>
      </c>
      <c r="W74" s="16">
        <f>IFERROR(MEDIAN(S16:V16),"")</f>
        <v/>
      </c>
      <c r="X74" s="16">
        <f>IFERROR(MEDIAN(T16:W16),"")</f>
        <v/>
      </c>
      <c r="Y74" s="16">
        <f>IFERROR(MEDIAN(U16:X16),"")</f>
        <v/>
      </c>
      <c r="Z74" s="16">
        <f>IFERROR(MEDIAN(V16:Y16),"")</f>
        <v/>
      </c>
      <c r="AA74" s="16">
        <f>IFERROR(MEDIAN(W16:Z16),"")</f>
        <v/>
      </c>
      <c r="AB74" s="16">
        <f>IFERROR(MEDIAN(X16:AA16),"")</f>
        <v/>
      </c>
    </row>
    <row r="75">
      <c r="A75" t="inlineStr">
        <is>
          <t>Semáforo</t>
        </is>
      </c>
      <c r="B75" s="25" t="inlineStr">
        <is>
          <t>Frecuencia</t>
        </is>
      </c>
      <c r="C75" s="27">
        <f>IF(OR(C16="",C74=""),"",IF(C16&lt;=C74,"VERDE",IF(C16&lt;=C74*(1+Config!$C$20),"AMARILLO","ROJO")))</f>
        <v/>
      </c>
      <c r="D75" s="27">
        <f>IF(OR(D16="",D74=""),"",IF(D16&lt;=D74,"VERDE",IF(D16&lt;=D74*(1+Config!$C$20),"AMARILLO","ROJO")))</f>
        <v/>
      </c>
      <c r="E75" s="27">
        <f>IF(OR(E16="",E74=""),"",IF(E16&lt;=E74,"VERDE",IF(E16&lt;=E74*(1+Config!$C$20),"AMARILLO","ROJO")))</f>
        <v/>
      </c>
      <c r="F75" s="27">
        <f>IF(OR(F16="",F74=""),"",IF(F16&lt;=F74,"VERDE",IF(F16&lt;=F74*(1+Config!$C$20),"AMARILLO","ROJO")))</f>
        <v/>
      </c>
      <c r="G75" s="27">
        <f>IF(OR(G16="",G74=""),"",IF(G16&lt;=G74,"VERDE",IF(G16&lt;=G74*(1+Config!$C$20),"AMARILLO","ROJO")))</f>
        <v/>
      </c>
      <c r="H75" s="27">
        <f>IF(OR(H16="",H74=""),"",IF(H16&lt;=H74,"VERDE",IF(H16&lt;=H74*(1+Config!$C$20),"AMARILLO","ROJO")))</f>
        <v/>
      </c>
      <c r="I75" s="27">
        <f>IF(OR(I16="",I74=""),"",IF(I16&lt;=I74,"VERDE",IF(I16&lt;=I74*(1+Config!$C$20),"AMARILLO","ROJO")))</f>
        <v/>
      </c>
      <c r="J75" s="27">
        <f>IF(OR(J16="",J74=""),"",IF(J16&lt;=J74,"VERDE",IF(J16&lt;=J74*(1+Config!$C$20),"AMARILLO","ROJO")))</f>
        <v/>
      </c>
      <c r="K75" s="27">
        <f>IF(OR(K16="",K74=""),"",IF(K16&lt;=K74,"VERDE",IF(K16&lt;=K74*(1+Config!$C$20),"AMARILLO","ROJO")))</f>
        <v/>
      </c>
      <c r="L75" s="27">
        <f>IF(OR(L16="",L74=""),"",IF(L16&lt;=L74,"VERDE",IF(L16&lt;=L74*(1+Config!$C$20),"AMARILLO","ROJO")))</f>
        <v/>
      </c>
      <c r="M75" s="27">
        <f>IF(OR(M16="",M74=""),"",IF(M16&lt;=M74,"VERDE",IF(M16&lt;=M74*(1+Config!$C$20),"AMARILLO","ROJO")))</f>
        <v/>
      </c>
      <c r="N75" s="27">
        <f>IF(OR(N16="",N74=""),"",IF(N16&lt;=N74,"VERDE",IF(N16&lt;=N74*(1+Config!$C$20),"AMARILLO","ROJO")))</f>
        <v/>
      </c>
      <c r="O75" s="27">
        <f>IF(OR(O16="",O74=""),"",IF(O16&lt;=O74,"VERDE",IF(O16&lt;=O74*(1+Config!$C$20),"AMARILLO","ROJO")))</f>
        <v/>
      </c>
      <c r="P75" s="27">
        <f>IF(OR(P16="",P74=""),"",IF(P16&lt;=P74,"VERDE",IF(P16&lt;=P74*(1+Config!$C$20),"AMARILLO","ROJO")))</f>
        <v/>
      </c>
      <c r="Q75" s="27">
        <f>IF(OR(Q16="",Q74=""),"",IF(Q16&lt;=Q74,"VERDE",IF(Q16&lt;=Q74*(1+Config!$C$20),"AMARILLO","ROJO")))</f>
        <v/>
      </c>
      <c r="R75" s="27">
        <f>IF(OR(R16="",R74=""),"",IF(R16&lt;=R74,"VERDE",IF(R16&lt;=R74*(1+Config!$C$20),"AMARILLO","ROJO")))</f>
        <v/>
      </c>
      <c r="S75" s="27">
        <f>IF(OR(S16="",S74=""),"",IF(S16&lt;=S74,"VERDE",IF(S16&lt;=S74*(1+Config!$C$20),"AMARILLO","ROJO")))</f>
        <v/>
      </c>
      <c r="T75" s="27">
        <f>IF(OR(T16="",T74=""),"",IF(T16&lt;=T74,"VERDE",IF(T16&lt;=T74*(1+Config!$C$20),"AMARILLO","ROJO")))</f>
        <v/>
      </c>
      <c r="U75" s="27">
        <f>IF(OR(U16="",U74=""),"",IF(U16&lt;=U74,"VERDE",IF(U16&lt;=U74*(1+Config!$C$20),"AMARILLO","ROJO")))</f>
        <v/>
      </c>
      <c r="V75" s="27">
        <f>IF(OR(V16="",V74=""),"",IF(V16&lt;=V74,"VERDE",IF(V16&lt;=V74*(1+Config!$C$20),"AMARILLO","ROJO")))</f>
        <v/>
      </c>
      <c r="W75" s="27">
        <f>IF(OR(W16="",W74=""),"",IF(W16&lt;=W74,"VERDE",IF(W16&lt;=W74*(1+Config!$C$20),"AMARILLO","ROJO")))</f>
        <v/>
      </c>
      <c r="X75" s="27">
        <f>IF(OR(X16="",X74=""),"",IF(X16&lt;=X74,"VERDE",IF(X16&lt;=X74*(1+Config!$C$20),"AMARILLO","ROJO")))</f>
        <v/>
      </c>
      <c r="Y75" s="27">
        <f>IF(OR(Y16="",Y74=""),"",IF(Y16&lt;=Y74,"VERDE",IF(Y16&lt;=Y74*(1+Config!$C$20),"AMARILLO","ROJO")))</f>
        <v/>
      </c>
      <c r="Z75" s="27">
        <f>IF(OR(Z16="",Z74=""),"",IF(Z16&lt;=Z74,"VERDE",IF(Z16&lt;=Z74*(1+Config!$C$20),"AMARILLO","ROJO")))</f>
        <v/>
      </c>
      <c r="AA75" s="27">
        <f>IF(OR(AA16="",AA74=""),"",IF(AA16&lt;=AA74,"VERDE",IF(AA16&lt;=AA74*(1+Config!$C$20),"AMARILLO","ROJO")))</f>
        <v/>
      </c>
      <c r="AB75" s="27">
        <f>IF(OR(AB16="",AB74=""),"",IF(AB16&lt;=AB74,"VERDE",IF(AB16&lt;=AB74*(1+Config!$C$20),"AMARILLO","ROJO")))</f>
        <v/>
      </c>
    </row>
    <row r="77">
      <c r="A77" s="3" t="inlineStr">
        <is>
          <t>Modelo financiero de embudos · creado por Jesús Tassarolo · TooAudience · youtube.com/@JesusTassaroloSinFiltro · v1.2 · octubre 2026</t>
        </is>
      </c>
    </row>
  </sheetData>
  <conditionalFormatting sqref="C57:AB57">
    <cfRule type="cellIs" priority="1" operator="equal" dxfId="0">
      <formula>"VERDE"</formula>
    </cfRule>
    <cfRule type="cellIs" priority="2" operator="equal" dxfId="1">
      <formula>"AMARILLO"</formula>
    </cfRule>
    <cfRule type="cellIs" priority="3" operator="equal" dxfId="2">
      <formula>"ROJO"</formula>
    </cfRule>
  </conditionalFormatting>
  <conditionalFormatting sqref="C59:AB59">
    <cfRule type="cellIs" priority="4" operator="equal" dxfId="0">
      <formula>"VERDE"</formula>
    </cfRule>
    <cfRule type="cellIs" priority="5" operator="equal" dxfId="1">
      <formula>"AMARILLO"</formula>
    </cfRule>
    <cfRule type="cellIs" priority="6" operator="equal" dxfId="2">
      <formula>"ROJO"</formula>
    </cfRule>
  </conditionalFormatting>
  <conditionalFormatting sqref="C61:AB61">
    <cfRule type="cellIs" priority="7" operator="equal" dxfId="0">
      <formula>"VERDE"</formula>
    </cfRule>
    <cfRule type="cellIs" priority="8" operator="equal" dxfId="1">
      <formula>"AMARILLO"</formula>
    </cfRule>
    <cfRule type="cellIs" priority="9" operator="equal" dxfId="2">
      <formula>"ROJO"</formula>
    </cfRule>
  </conditionalFormatting>
  <conditionalFormatting sqref="C63:AB63">
    <cfRule type="cellIs" priority="10" operator="equal" dxfId="0">
      <formula>"VERDE"</formula>
    </cfRule>
    <cfRule type="cellIs" priority="11" operator="equal" dxfId="1">
      <formula>"AMARILLO"</formula>
    </cfRule>
    <cfRule type="cellIs" priority="12" operator="equal" dxfId="2">
      <formula>"ROJO"</formula>
    </cfRule>
  </conditionalFormatting>
  <conditionalFormatting sqref="C65:AB65">
    <cfRule type="cellIs" priority="13" operator="equal" dxfId="0">
      <formula>"VERDE"</formula>
    </cfRule>
    <cfRule type="cellIs" priority="14" operator="equal" dxfId="1">
      <formula>"AMARILLO"</formula>
    </cfRule>
    <cfRule type="cellIs" priority="15" operator="equal" dxfId="2">
      <formula>"ROJO"</formula>
    </cfRule>
  </conditionalFormatting>
  <conditionalFormatting sqref="C67:AB67">
    <cfRule type="cellIs" priority="16" operator="equal" dxfId="0">
      <formula>"VERDE"</formula>
    </cfRule>
    <cfRule type="cellIs" priority="17" operator="equal" dxfId="1">
      <formula>"AMARILLO"</formula>
    </cfRule>
    <cfRule type="cellIs" priority="18" operator="equal" dxfId="2">
      <formula>"ROJO"</formula>
    </cfRule>
  </conditionalFormatting>
  <conditionalFormatting sqref="C69:AB69">
    <cfRule type="cellIs" priority="19" operator="equal" dxfId="0">
      <formula>"VERDE"</formula>
    </cfRule>
    <cfRule type="cellIs" priority="20" operator="equal" dxfId="1">
      <formula>"AMARILLO"</formula>
    </cfRule>
    <cfRule type="cellIs" priority="21" operator="equal" dxfId="2">
      <formula>"ROJO"</formula>
    </cfRule>
  </conditionalFormatting>
  <conditionalFormatting sqref="C71:AB71">
    <cfRule type="cellIs" priority="22" operator="equal" dxfId="0">
      <formula>"VERDE"</formula>
    </cfRule>
    <cfRule type="cellIs" priority="23" operator="equal" dxfId="1">
      <formula>"AMARILLO"</formula>
    </cfRule>
    <cfRule type="cellIs" priority="24" operator="equal" dxfId="2">
      <formula>"ROJO"</formula>
    </cfRule>
  </conditionalFormatting>
  <conditionalFormatting sqref="C73:AB73">
    <cfRule type="cellIs" priority="25" operator="equal" dxfId="0">
      <formula>"VERDE"</formula>
    </cfRule>
    <cfRule type="cellIs" priority="26" operator="equal" dxfId="1">
      <formula>"AMARILLO"</formula>
    </cfRule>
    <cfRule type="cellIs" priority="27" operator="equal" dxfId="2">
      <formula>"ROJO"</formula>
    </cfRule>
  </conditionalFormatting>
  <conditionalFormatting sqref="C75:AB75">
    <cfRule type="cellIs" priority="28" operator="equal" dxfId="0">
      <formula>"VERDE"</formula>
    </cfRule>
    <cfRule type="cellIs" priority="29" operator="equal" dxfId="1">
      <formula>"AMARILLO"</formula>
    </cfRule>
    <cfRule type="cellIs" priority="30" operator="equal" dxfId="2">
      <formula>"ROJO"</formula>
    </cfRule>
  </conditionalFormatting>
  <pageMargins left="0.75" right="0.75" top="1" bottom="1" header="0.5" footer="0.5"/>
  <headerFooter>
    <oddHeader>&amp;CJesús Tassarolo · TooAudience&amp;R&amp;D</oddHeader>
    <oddFooter>&amp;LModelo financiero de embudos · creado por Jesús Tassarolo · TooAudience · youtube.com/@JesusTassaroloSinFiltro&amp;RPágina &amp;P de &amp;N</oddFooter>
    <evenHeader>&amp;CJesús Tassarolo · TooAudience</evenHeader>
    <evenFooter>&amp;LModelo financiero de embudos · creado por Jesús Tassarolo · TooAudience · youtube.com/@JesusTassaroloSinFiltro&amp;RPágina &amp;P de &amp;N</evenFooter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1" customWidth="1" min="4" max="4"/>
    <col width="16" customWidth="1" min="5" max="5"/>
    <col width="18" customWidth="1" min="6" max="6"/>
    <col width="13" customWidth="1" min="7" max="7"/>
    <col width="14" customWidth="1" min="8" max="8"/>
  </cols>
  <sheetData>
    <row r="1">
      <c r="A1" s="1" t="inlineStr">
        <is>
          <t>© Jesús Tassarolo · TooAudience · youtube.com/@JesusTassaroloSinFiltro · uso personal; no redistribuir modificado</t>
        </is>
      </c>
    </row>
    <row r="2">
      <c r="A2" s="2" t="inlineStr">
        <is>
          <t>Resumen: la semana elegida contra la anterior, contra tu mediana y contra tu meta</t>
        </is>
      </c>
    </row>
    <row r="3">
      <c r="A3" s="3" t="inlineStr">
        <is>
          <t>Las filas están en el orden en que miro un embudo. El semáforo compara con la mediana de tus 4 semanas anteriores, con la tolerancia de Config.</t>
        </is>
      </c>
    </row>
    <row r="4">
      <c r="A4" s="4" t="inlineStr">
        <is>
          <t>Semana a mostrar</t>
        </is>
      </c>
      <c r="B4" s="14">
        <f>MAX(Semanal!$C$7:$AB$7)</f>
        <v/>
      </c>
      <c r="C4" s="3" t="inlineStr">
        <is>
          <t>← la última con datos; escribí otro número para ver otra semana</t>
        </is>
      </c>
    </row>
    <row r="6" ht="44" customHeight="1">
      <c r="A6" s="6" t="inlineStr">
        <is>
          <t>KPI</t>
        </is>
      </c>
      <c r="B6" s="6" t="inlineStr">
        <is>
          <t>Esta semana</t>
        </is>
      </c>
      <c r="C6" s="6" t="inlineStr">
        <is>
          <t>Semana anterior</t>
        </is>
      </c>
      <c r="D6" s="6" t="inlineStr">
        <is>
          <t>Variación</t>
        </is>
      </c>
      <c r="E6" s="6" t="inlineStr">
        <is>
          <t>Mediana 4 semanas previas</t>
        </is>
      </c>
      <c r="F6" s="6" t="inlineStr">
        <is>
          <t>Semáforo contra tu promedio</t>
        </is>
      </c>
      <c r="G6" s="6" t="inlineStr">
        <is>
          <t>Mejor semana</t>
        </is>
      </c>
      <c r="H6" s="6" t="inlineStr">
        <is>
          <t>Meta (tu objetivo)</t>
        </is>
      </c>
    </row>
    <row r="7">
      <c r="A7" s="5" t="inlineStr">
        <is>
          <t>Inversión en publicidad (USD)</t>
        </is>
      </c>
      <c r="B7" s="28">
        <f>IFERROR(INDEX(Semanal!$C$10:$AB$10,1,$B$4),"")</f>
        <v/>
      </c>
      <c r="C7" s="20">
        <f>IF($B$4&lt;=1,"",IFERROR(INDEX(Semanal!$C$10:$AB$10,1,$B$4-1),""))</f>
        <v/>
      </c>
      <c r="D7" s="18">
        <f>IFERROR(IF(OR(B7="",C7=""),"",(B7-C7)/C7),"")</f>
        <v/>
      </c>
      <c r="E7" s="26" t="inlineStr"/>
      <c r="F7" s="26" t="inlineStr"/>
      <c r="G7" s="20">
        <f>Semanal!$AE$10</f>
        <v/>
      </c>
      <c r="H7" s="10" t="n"/>
    </row>
    <row r="8">
      <c r="A8" s="5" t="inlineStr">
        <is>
          <t>Visitas a la página</t>
        </is>
      </c>
      <c r="B8" s="29">
        <f>IFERROR(INDEX(Semanal!$C$14:$AB$14,1,$B$4),"")</f>
        <v/>
      </c>
      <c r="C8" s="13">
        <f>IF($B$4&lt;=1,"",IFERROR(INDEX(Semanal!$C$14:$AB$14,1,$B$4-1),""))</f>
        <v/>
      </c>
      <c r="D8" s="18">
        <f>IFERROR(IF(OR(B8="",C8=""),"",(B8-C8)/C8),"")</f>
        <v/>
      </c>
      <c r="E8" s="26" t="inlineStr"/>
      <c r="F8" s="26" t="inlineStr"/>
      <c r="G8" s="13">
        <f>Semanal!$AE$14</f>
        <v/>
      </c>
      <c r="H8" s="14" t="n"/>
    </row>
    <row r="9">
      <c r="A9" s="25" t="inlineStr">
        <is>
          <t>Costo por visita</t>
        </is>
      </c>
      <c r="B9" s="30">
        <f>IFERROR(INDEX(Semanal!$C$20:$AB$20,1,$B$4),"")</f>
        <v/>
      </c>
      <c r="C9" s="15">
        <f>IF($B$4&lt;=1,"",IFERROR(INDEX(Semanal!$C$20:$AB$20,1,$B$4-1),""))</f>
        <v/>
      </c>
      <c r="D9" s="18">
        <f>IFERROR(IF(OR(B9="",C9=""),"",(B9-C9)/C9),"")</f>
        <v/>
      </c>
      <c r="E9" s="15">
        <f>IFERROR(INDEX(Semanal!$C$58:$AB$58,1,$B$4),"")</f>
        <v/>
      </c>
      <c r="F9" s="27">
        <f>IFERROR(INDEX(Semanal!$C$59:$AB$59,1,$B$4),"")</f>
        <v/>
      </c>
      <c r="G9" s="15">
        <f>Semanal!$AE$20</f>
        <v/>
      </c>
      <c r="H9" s="8" t="n"/>
    </row>
    <row r="10">
      <c r="A10" s="5" t="inlineStr">
        <is>
          <t>Compran el producto principal</t>
        </is>
      </c>
      <c r="B10" s="29">
        <f>IFERROR(INDEX(Semanal!$C$25:$AB$25,1,$B$4),"")</f>
        <v/>
      </c>
      <c r="C10" s="13">
        <f>IF($B$4&lt;=1,"",IFERROR(INDEX(Semanal!$C$25:$AB$25,1,$B$4-1),""))</f>
        <v/>
      </c>
      <c r="D10" s="18">
        <f>IFERROR(IF(OR(B10="",C10=""),"",(B10-C10)/C10),"")</f>
        <v/>
      </c>
      <c r="E10" s="26" t="inlineStr"/>
      <c r="F10" s="26" t="inlineStr"/>
      <c r="G10" s="13">
        <f>Semanal!$AE$25</f>
        <v/>
      </c>
      <c r="H10" s="14" t="n"/>
    </row>
    <row r="11">
      <c r="A11" s="25" t="inlineStr">
        <is>
          <t>CPA (costo por comprador)</t>
        </is>
      </c>
      <c r="B11" s="30">
        <f>IFERROR(INDEX(Semanal!$C$29:$AB$29,1,$B$4),"")</f>
        <v/>
      </c>
      <c r="C11" s="15">
        <f>IF($B$4&lt;=1,"",IFERROR(INDEX(Semanal!$C$29:$AB$29,1,$B$4-1),""))</f>
        <v/>
      </c>
      <c r="D11" s="18">
        <f>IFERROR(IF(OR(B11="",C11=""),"",(B11-C11)/C11),"")</f>
        <v/>
      </c>
      <c r="E11" s="15">
        <f>IFERROR(INDEX(Semanal!$C$64:$AB$64,1,$B$4),"")</f>
        <v/>
      </c>
      <c r="F11" s="27">
        <f>IFERROR(INDEX(Semanal!$C$65:$AB$65,1,$B$4),"")</f>
        <v/>
      </c>
      <c r="G11" s="15">
        <f>Semanal!$AE$29</f>
        <v/>
      </c>
      <c r="H11" s="8" t="n"/>
    </row>
    <row r="12">
      <c r="A12" s="25" t="inlineStr">
        <is>
          <t>% visita → checkout</t>
        </is>
      </c>
      <c r="B12" s="31">
        <f>IFERROR(INDEX(Semanal!$C$26:$AB$26,1,$B$4),"")</f>
        <v/>
      </c>
      <c r="C12" s="18">
        <f>IF($B$4&lt;=1,"",IFERROR(INDEX(Semanal!$C$26:$AB$26,1,$B$4-1),""))</f>
        <v/>
      </c>
      <c r="D12" s="18">
        <f>IFERROR(IF(OR(B12="",C12=""),"",(B12-C12)/C12),"")</f>
        <v/>
      </c>
      <c r="E12" s="18">
        <f>IFERROR(INDEX(Semanal!$C$60:$AB$60,1,$B$4),"")</f>
        <v/>
      </c>
      <c r="F12" s="27">
        <f>IFERROR(INDEX(Semanal!$C$61:$AB$61,1,$B$4),"")</f>
        <v/>
      </c>
      <c r="G12" s="18">
        <f>Semanal!$AE$26</f>
        <v/>
      </c>
      <c r="H12" s="9" t="n"/>
    </row>
    <row r="13">
      <c r="A13" s="25" t="inlineStr">
        <is>
          <t>% checkout → compra</t>
        </is>
      </c>
      <c r="B13" s="31">
        <f>IFERROR(INDEX(Semanal!$C$27:$AB$27,1,$B$4),"")</f>
        <v/>
      </c>
      <c r="C13" s="18">
        <f>IF($B$4&lt;=1,"",IFERROR(INDEX(Semanal!$C$27:$AB$27,1,$B$4-1),""))</f>
        <v/>
      </c>
      <c r="D13" s="18">
        <f>IFERROR(IF(OR(B13="",C13=""),"",(B13-C13)/C13),"")</f>
        <v/>
      </c>
      <c r="E13" s="18">
        <f>IFERROR(INDEX(Semanal!$C$62:$AB$62,1,$B$4),"")</f>
        <v/>
      </c>
      <c r="F13" s="27">
        <f>IFERROR(INDEX(Semanal!$C$63:$AB$63,1,$B$4),"")</f>
        <v/>
      </c>
      <c r="G13" s="18">
        <f>Semanal!$AE$27</f>
        <v/>
      </c>
      <c r="H13" s="9" t="n"/>
    </row>
    <row r="14">
      <c r="A14" s="25" t="inlineStr">
        <is>
          <t>Order value (facturado por comprador)</t>
        </is>
      </c>
      <c r="B14" s="30">
        <f>IFERROR(INDEX(Semanal!$C$43:$AB$43,1,$B$4),"")</f>
        <v/>
      </c>
      <c r="C14" s="15">
        <f>IF($B$4&lt;=1,"",IFERROR(INDEX(Semanal!$C$43:$AB$43,1,$B$4-1),""))</f>
        <v/>
      </c>
      <c r="D14" s="18">
        <f>IFERROR(IF(OR(B14="",C14=""),"",(B14-C14)/C14),"")</f>
        <v/>
      </c>
      <c r="E14" s="15">
        <f>IFERROR(INDEX(Semanal!$C$66:$AB$66,1,$B$4),"")</f>
        <v/>
      </c>
      <c r="F14" s="27">
        <f>IFERROR(INDEX(Semanal!$C$67:$AB$67,1,$B$4),"")</f>
        <v/>
      </c>
      <c r="G14" s="15">
        <f>Semanal!$AE$43</f>
        <v/>
      </c>
      <c r="H14" s="8" t="n"/>
    </row>
    <row r="15">
      <c r="A15" s="5" t="inlineStr">
        <is>
          <t>Facturado (toda la escalera)</t>
        </is>
      </c>
      <c r="B15" s="28">
        <f>IFERROR(INDEX(Semanal!$C$46:$AB$46,1,$B$4),"")</f>
        <v/>
      </c>
      <c r="C15" s="20">
        <f>IF($B$4&lt;=1,"",IFERROR(INDEX(Semanal!$C$46:$AB$46,1,$B$4-1),""))</f>
        <v/>
      </c>
      <c r="D15" s="18">
        <f>IFERROR(IF(OR(B15="",C15=""),"",(B15-C15)/C15),"")</f>
        <v/>
      </c>
      <c r="E15" s="26" t="inlineStr"/>
      <c r="F15" s="26" t="inlineStr"/>
      <c r="G15" s="20">
        <f>Semanal!$AE$46</f>
        <v/>
      </c>
      <c r="H15" s="10" t="n"/>
    </row>
    <row r="16">
      <c r="A16" s="5" t="inlineStr">
        <is>
          <t>Cash neto (después de comisiones y reembolsos)</t>
        </is>
      </c>
      <c r="B16" s="28">
        <f>IFERROR(INDEX(Semanal!$C$47:$AB$47,1,$B$4),"")</f>
        <v/>
      </c>
      <c r="C16" s="20">
        <f>IF($B$4&lt;=1,"",IFERROR(INDEX(Semanal!$C$47:$AB$47,1,$B$4-1),""))</f>
        <v/>
      </c>
      <c r="D16" s="18">
        <f>IFERROR(IF(OR(B16="",C16=""),"",(B16-C16)/C16),"")</f>
        <v/>
      </c>
      <c r="E16" s="26" t="inlineStr"/>
      <c r="F16" s="26" t="inlineStr"/>
      <c r="G16" s="20">
        <f>Semanal!$AE$47</f>
        <v/>
      </c>
      <c r="H16" s="10" t="n"/>
    </row>
    <row r="17">
      <c r="A17" s="5" t="inlineStr">
        <is>
          <t>Ganancia (cash neto − pauta − fijos)</t>
        </is>
      </c>
      <c r="B17" s="28">
        <f>IFERROR(INDEX(Semanal!$C$48:$AB$48,1,$B$4),"")</f>
        <v/>
      </c>
      <c r="C17" s="20">
        <f>IF($B$4&lt;=1,"",IFERROR(INDEX(Semanal!$C$48:$AB$48,1,$B$4-1),""))</f>
        <v/>
      </c>
      <c r="D17" s="18">
        <f>IFERROR(IF(OR(B17="",C17=""),"",(B17-C17)/C17),"")</f>
        <v/>
      </c>
      <c r="E17" s="26" t="inlineStr"/>
      <c r="F17" s="26" t="inlineStr"/>
      <c r="G17" s="20">
        <f>Semanal!$AE$48</f>
        <v/>
      </c>
      <c r="H17" s="10" t="n"/>
    </row>
    <row r="18">
      <c r="A18" s="25" t="inlineStr">
        <is>
          <t>Ganancia por visita (la métrica más valiosa)</t>
        </is>
      </c>
      <c r="B18" s="30">
        <f>IFERROR(INDEX(Semanal!$C$50:$AB$50,1,$B$4),"")</f>
        <v/>
      </c>
      <c r="C18" s="15">
        <f>IF($B$4&lt;=1,"",IFERROR(INDEX(Semanal!$C$50:$AB$50,1,$B$4-1),""))</f>
        <v/>
      </c>
      <c r="D18" s="18">
        <f>IFERROR(IF(OR(B18="",C18=""),"",(B18-C18)/C18),"")</f>
        <v/>
      </c>
      <c r="E18" s="15">
        <f>IFERROR(INDEX(Semanal!$C$56:$AB$56,1,$B$4),"")</f>
        <v/>
      </c>
      <c r="F18" s="27">
        <f>IFERROR(INDEX(Semanal!$C$57:$AB$57,1,$B$4),"")</f>
        <v/>
      </c>
      <c r="G18" s="15">
        <f>Semanal!$AE$50</f>
        <v/>
      </c>
      <c r="H18" s="8" t="n"/>
    </row>
    <row r="19">
      <c r="A19" s="25" t="inlineStr">
        <is>
          <t>ROAS sobre cash neto</t>
        </is>
      </c>
      <c r="B19" s="32">
        <f>IFERROR(INDEX(Semanal!$C$49:$AB$49,1,$B$4),"")</f>
        <v/>
      </c>
      <c r="C19" s="21">
        <f>IF($B$4&lt;=1,"",IFERROR(INDEX(Semanal!$C$49:$AB$49,1,$B$4-1),""))</f>
        <v/>
      </c>
      <c r="D19" s="18">
        <f>IFERROR(IF(OR(B19="",C19=""),"",(B19-C19)/C19),"")</f>
        <v/>
      </c>
      <c r="E19" s="21">
        <f>IFERROR(INDEX(Semanal!$C$68:$AB$68,1,$B$4),"")</f>
        <v/>
      </c>
      <c r="F19" s="27">
        <f>IFERROR(INDEX(Semanal!$C$69:$AB$69,1,$B$4),"")</f>
        <v/>
      </c>
      <c r="G19" s="21">
        <f>Semanal!$AE$49</f>
        <v/>
      </c>
      <c r="H19" s="11" t="n"/>
    </row>
    <row r="20">
      <c r="A20" s="25" t="inlineStr">
        <is>
          <t>CPM</t>
        </is>
      </c>
      <c r="B20" s="30">
        <f>IFERROR(INDEX(Semanal!$C$15:$AB$15,1,$B$4),"")</f>
        <v/>
      </c>
      <c r="C20" s="15">
        <f>IF($B$4&lt;=1,"",IFERROR(INDEX(Semanal!$C$15:$AB$15,1,$B$4-1),""))</f>
        <v/>
      </c>
      <c r="D20" s="18">
        <f>IFERROR(IF(OR(B20="",C20=""),"",(B20-C20)/C20),"")</f>
        <v/>
      </c>
      <c r="E20" s="15">
        <f>IFERROR(INDEX(Semanal!$C$70:$AB$70,1,$B$4),"")</f>
        <v/>
      </c>
      <c r="F20" s="27">
        <f>IFERROR(INDEX(Semanal!$C$71:$AB$71,1,$B$4),"")</f>
        <v/>
      </c>
      <c r="G20" s="15">
        <f>Semanal!$AE$15</f>
        <v/>
      </c>
      <c r="H20" s="8" t="n"/>
    </row>
    <row r="21">
      <c r="A21" s="25" t="inlineStr">
        <is>
          <t>CTR al enlace</t>
        </is>
      </c>
      <c r="B21" s="33">
        <f>IFERROR(INDEX(Semanal!$C$17:$AB$17,1,$B$4),"")</f>
        <v/>
      </c>
      <c r="C21" s="17">
        <f>IF($B$4&lt;=1,"",IFERROR(INDEX(Semanal!$C$17:$AB$17,1,$B$4-1),""))</f>
        <v/>
      </c>
      <c r="D21" s="18">
        <f>IFERROR(IF(OR(B21="",C21=""),"",(B21-C21)/C21),"")</f>
        <v/>
      </c>
      <c r="E21" s="17">
        <f>IFERROR(INDEX(Semanal!$C$72:$AB$72,1,$B$4),"")</f>
        <v/>
      </c>
      <c r="F21" s="27">
        <f>IFERROR(INDEX(Semanal!$C$73:$AB$73,1,$B$4),"")</f>
        <v/>
      </c>
      <c r="G21" s="17">
        <f>Semanal!$AE$17</f>
        <v/>
      </c>
      <c r="H21" s="34" t="n"/>
    </row>
    <row r="23">
      <c r="A23" s="4" t="inlineStr">
        <is>
          <t>Cómo se lee</t>
        </is>
      </c>
    </row>
    <row r="24" ht="30" customHeight="1">
      <c r="A24" s="5" t="inlineStr">
        <is>
          <t>• Se mira de arriba hacia abajo y se para en el primer rojo: un rojo arriba (costo por visita, CPL) arrastra todo lo de abajo.</t>
        </is>
      </c>
    </row>
    <row r="25" ht="30" customHeight="1">
      <c r="A25" s="5" t="inlineStr">
        <is>
          <t>• La ganancia por visita resume todo lo que pasa después de la página: si está en rojo con el costo por visita en verde, el problema no es el tráfico.</t>
        </is>
      </c>
    </row>
    <row r="26" ht="30" customHeight="1">
      <c r="A26" s="5" t="inlineStr">
        <is>
          <t>• El CPL se lee también como % del CPM: el umbral de costo depende del nicho. Con CPM de 3 un CPL de 1 y con CPM de 25 un CPL de 10 son el mismo embudo.</t>
        </is>
      </c>
    </row>
    <row r="27" ht="30" customHeight="1">
      <c r="A27" s="5" t="inlineStr">
        <is>
          <t>• Una decisión por semana, anotada, y a los 7 días mirar qué pasó. Nunca por un día. En llamada, 3 o 4 eventos.</t>
        </is>
      </c>
    </row>
    <row r="28" ht="30" customHeight="1">
      <c r="A28" s="5" t="inlineStr">
        <is>
          <t>• La fila de la semana se copia a la hoja Seguimiento del modelo financiero de este embudo: ahí está el techo (hasta cuánto pagar) y el guardarraíl para subir o bajar.</t>
        </is>
      </c>
    </row>
    <row r="30">
      <c r="A30" s="3" t="inlineStr">
        <is>
          <t>Modelo financiero de embudos · creado por Jesús Tassarolo · TooAudience · youtube.com/@JesusTassaroloSinFiltro · v1.2 · octubre 2026</t>
        </is>
      </c>
    </row>
  </sheetData>
  <mergeCells count="5">
    <mergeCell ref="A26:H26"/>
    <mergeCell ref="A25:H25"/>
    <mergeCell ref="A24:H24"/>
    <mergeCell ref="A28:H28"/>
    <mergeCell ref="A27:H27"/>
  </mergeCells>
  <conditionalFormatting sqref="F7:F21">
    <cfRule type="cellIs" priority="1" operator="equal" dxfId="0">
      <formula>"VERDE"</formula>
    </cfRule>
    <cfRule type="cellIs" priority="2" operator="equal" dxfId="1">
      <formula>"AMARILLO"</formula>
    </cfRule>
    <cfRule type="cellIs" priority="3" operator="equal" dxfId="2">
      <formula>"ROJO"</formula>
    </cfRule>
  </conditionalFormatting>
  <pageMargins left="0.75" right="0.75" top="1" bottom="1" header="0.5" footer="0.5"/>
  <headerFooter>
    <oddHeader>&amp;CJesús Tassarolo · TooAudience&amp;R&amp;D</oddHeader>
    <oddFooter>&amp;LModelo financiero de embudos · creado por Jesús Tassarolo · TooAudience · youtube.com/@JesusTassaroloSinFiltro&amp;RPágina &amp;P de &amp;N</oddFooter>
    <evenHeader>&amp;CJesús Tassarolo · TooAudience</evenHeader>
    <evenFooter>&amp;LModelo financiero de embudos · creado por Jesús Tassarolo · TooAudience · youtube.com/@JesusTassaroloSinFiltro&amp;RPágina &amp;P de &amp;N</evenFooter>
    <firstHeader/>
    <firstFooter/>
  </headerFooter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2" t="inlineStr">
        <is>
          <t>Autoría y licencia</t>
        </is>
      </c>
    </row>
    <row r="4">
      <c r="B4" s="5" t="inlineStr">
        <is>
          <t>Métricas diarias · Embudo low-ticket con VSL, bumps y OTOs</t>
        </is>
      </c>
    </row>
    <row r="5">
      <c r="B5" s="5" t="inlineStr">
        <is>
          <t>Modelo financiero de embudos · creado por Jesús Tassarolo · TooAudience · youtube.com/@JesusTassaroloSinFiltro</t>
        </is>
      </c>
    </row>
    <row r="6">
      <c r="B6" s="5" t="inlineStr">
        <is>
          <t>v1.2 · octubre 2026</t>
        </is>
      </c>
    </row>
    <row r="7">
      <c r="B7" s="5" t="inlineStr"/>
    </row>
    <row r="8">
      <c r="B8" s="5" t="inlineStr">
        <is>
          <t>Licencia Creative Commons BY-NC-ND 4.0: podés usar este archivo con tus números y compartirlo tal cual, citando al autor. No podés venderlo, modificar su estructura para redistribuirlo ni quitar la línea de autoría.</t>
        </is>
      </c>
    </row>
    <row r="9">
      <c r="B9" s="5" t="inlineStr"/>
    </row>
    <row r="10">
      <c r="B10" s="5" t="inlineStr">
        <is>
          <t>Este archivo, sus fórmulas, sus umbrales y su método son obra de Jesús Tassarolo (TooAudience). Si lo compartís, compartilo entero y con esta hoja.</t>
        </is>
      </c>
    </row>
    <row r="11">
      <c r="B11" s="5" t="inlineStr">
        <is>
          <t>Canal: youtube.com/@JesusTassaroloSinFiltro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Jesús Tassarolo</dc:creator>
  <dc:title xmlns:dc="http://purl.org/dc/elements/1.1/">Métricas diarias · Embudo low-ticket con VSL, bumps y OTOs</dc:title>
  <dc:description xmlns:dc="http://purl.org/dc/elements/1.1/">Modelo financiero de embudos · creado por Jesús Tassarolo · TooAudience · youtube.com/@JesusTassaroloSinFiltro · Licencia Creative Commons BY-NC-ND 4.0: podés usar este archivo con tus números y compartirlo tal cual, citando al autor. No podés venderlo, modificar su estructura para redistribuirlo ni quitar la línea de autoría. · Métricas diarias · v1.2 · octubre 2026</dc:description>
  <dc:subject xmlns:dc="http://purl.org/dc/elements/1.1/">Modelo financiero de embudos · Jesús Tassarolo · TooAudience</dc:subject>
  <dcterms:created xmlns:dcterms="http://purl.org/dc/terms/" xmlns:xsi="http://www.w3.org/2001/XMLSchema-instance" xsi:type="dcterms:W3CDTF">2026-10-02T16:03:49Z</dcterms:created>
  <dcterms:modified xmlns:dcterms="http://purl.org/dc/terms/" xmlns:xsi="http://www.w3.org/2001/XMLSchema-instance" xsi:type="dcterms:W3CDTF">2026-10-02T16:03:49Z</dcterms:modified>
  <cp:lastModifiedBy>Jesús Tassarolo</cp:lastModifiedBy>
  <cp:category>TooAudience · Mastermind</cp:category>
  <cp:keywords>Jesús Tassarolo, TooAudience, modelo financiero, embudos, mastermind</cp:keywords>
</cp:coreProperties>
</file>

<file path=docProps/custom.xml><?xml version="1.0" encoding="utf-8"?>
<Properties xmlns="http://schemas.openxmlformats.org/officeDocument/2006/custom-properties">
  <property name="Autor" fmtid="{D5CDD505-2E9C-101B-9397-08002B2CF9AE}" pid="2">
    <vt:lpwstr xmlns:vt="http://schemas.openxmlformats.org/officeDocument/2006/docPropsVTypes">Jesús Tassarolo</vt:lpwstr>
  </property>
  <property name="Marca" fmtid="{D5CDD505-2E9C-101B-9397-08002B2CF9AE}" pid="3">
    <vt:lpwstr xmlns:vt="http://schemas.openxmlformats.org/officeDocument/2006/docPropsVTypes">Modelo financiero de embudos · creado por Jesús Tassarolo · TooAudience · youtube.com/@JesusTassaroloSinFiltro</vt:lpwstr>
  </property>
  <property name="Licencia" fmtid="{D5CDD505-2E9C-101B-9397-08002B2CF9AE}" pid="4">
    <vt:lpwstr xmlns:vt="http://schemas.openxmlformats.org/officeDocument/2006/docPropsVTypes">CC BY-NC-ND 4.0</vt:lpwstr>
  </property>
  <property name="YouTube" fmtid="{D5CDD505-2E9C-101B-9397-08002B2CF9AE}" pid="5">
    <vt:lpwstr xmlns:vt="http://schemas.openxmlformats.org/officeDocument/2006/docPropsVTypes">youtube.com/@JesusTassaroloSinFiltro</vt:lpwstr>
  </property>
  <property name="Version" fmtid="{D5CDD505-2E9C-101B-9397-08002B2CF9AE}" pid="6">
    <vt:lpwstr xmlns:vt="http://schemas.openxmlformats.org/officeDocument/2006/docPropsVTypes">v1.2 · octubre 2026</vt:lpwstr>
  </property>
</Properties>
</file>