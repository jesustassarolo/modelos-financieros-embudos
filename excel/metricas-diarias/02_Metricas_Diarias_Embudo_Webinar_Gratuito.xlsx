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Semanal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&quot;$&quot;#,##0.00"/>
    <numFmt numFmtId="167" formatCode="0.0%"/>
    <numFmt numFmtId="168" formatCode="&quot;$&quot;#,##0"/>
    <numFmt numFmtId="169" formatCode="0.00&quot;x&quot;"/>
    <numFmt numFmtId="170" formatCode="0.0"/>
    <numFmt numFmtId="171" formatCode="&quot;SEM &quot;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5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68" fontId="0" fillId="3" borderId="1" pivotButton="0" quotePrefix="0" xfId="0"/>
    <xf numFmtId="169" fontId="0" fillId="3" borderId="1" pivotButton="0" quotePrefix="0" xfId="0"/>
    <xf numFmtId="165" fontId="0" fillId="4" borderId="1" pivotButton="0" quotePrefix="0" xfId="0"/>
    <xf numFmtId="3" fontId="0" fillId="4" borderId="1" pivotButton="0" quotePrefix="0" xfId="0"/>
    <xf numFmtId="3" fontId="0" fillId="3" borderId="1" pivotButton="0" quotePrefix="0" xfId="0"/>
    <xf numFmtId="166" fontId="0" fillId="4" borderId="1" pivotButton="0" quotePrefix="0" xfId="0"/>
    <xf numFmtId="2" fontId="0" fillId="4" borderId="1" pivotButton="0" quotePrefix="0" xfId="0"/>
    <xf numFmtId="10" fontId="0" fillId="4" borderId="1" pivotButton="0" quotePrefix="0" xfId="0"/>
    <xf numFmtId="167" fontId="0" fillId="4" borderId="1" pivotButton="0" quotePrefix="0" xfId="0"/>
    <xf numFmtId="170" fontId="0" fillId="4" borderId="1" pivotButton="0" quotePrefix="0" xfId="0"/>
    <xf numFmtId="168" fontId="0" fillId="4" borderId="1" pivotButton="0" quotePrefix="0" xfId="0"/>
    <xf numFmtId="169" fontId="0" fillId="4" borderId="1" pivotButton="0" quotePrefix="0" xfId="0"/>
    <xf numFmtId="171" fontId="3" fillId="2" borderId="1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5" borderId="0" pivotButton="0" quotePrefix="0" xfId="0"/>
    <xf numFmtId="0" fontId="4" fillId="0" borderId="0" applyAlignment="1" pivotButton="0" quotePrefix="0" xfId="0">
      <alignment vertical="top" wrapText="1"/>
    </xf>
    <xf numFmtId="0" fontId="0" fillId="4" borderId="1" pivotButton="0" quotePrefix="0" xfId="0"/>
    <xf numFmtId="49" fontId="4" fillId="4" borderId="1" pivotButton="0" quotePrefix="0" xfId="0"/>
    <xf numFmtId="168" fontId="4" fillId="4" borderId="1" pivotButton="0" quotePrefix="0" xfId="0"/>
    <xf numFmtId="3" fontId="4" fillId="4" borderId="1" pivotButton="0" quotePrefix="0" xfId="0"/>
    <xf numFmtId="166" fontId="4" fillId="4" borderId="1" pivotButton="0" quotePrefix="0" xfId="0"/>
    <xf numFmtId="167" fontId="4" fillId="4" borderId="1" pivotButton="0" quotePrefix="0" xfId="0"/>
    <xf numFmtId="169" fontId="4" fillId="4" borderId="1" pivotButton="0" quotePrefix="0" xfId="0"/>
    <xf numFmtId="10" fontId="4" fillId="4" borderId="1" pivotButton="0" quotePrefix="0" xfId="0"/>
    <xf numFmtId="10" fontId="0" fillId="3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Métricas diarias · Embudo de webinar gratuito</t>
        </is>
      </c>
    </row>
    <row r="3">
      <c r="B3" s="2" t="inlineStr">
        <is>
          <t>Las métricas diarias de todo el embudo, para saber cómo estás con tus propios números. Acompaña al modelo financiero del mismo embudo.</t>
        </is>
      </c>
    </row>
    <row r="5">
      <c r="B5" s="3" t="inlineStr">
        <is>
          <t>Qué es</t>
        </is>
      </c>
    </row>
    <row r="6" ht="45" customHeight="1">
      <c r="B6" s="4" t="inlineStr">
        <is>
          <t>Un registro diario de cada paso del embudo (anuncios, página, unidades, etapas, ventas, cash) que se convierte solo en un comparativo semanal y en un resumen con semáforo. El semáforo no usa números de mercado: compara cada semana con la mediana de tus 4 semanas anteriores, con una tolerancia del 25 % (la cambiás en Config).</t>
        </is>
      </c>
    </row>
    <row r="8">
      <c r="B8" s="3" t="inlineStr">
        <is>
          <t>1. Config</t>
        </is>
      </c>
    </row>
    <row r="9" ht="30" customHeight="1">
      <c r="B9" s="4" t="inlineStr">
        <is>
          <t>Poné tus precios, comisiones, reembolsos, costos fijos por día y la fecha de inicio (un lunes). Todo lo demás se calcula con eso.</t>
        </is>
      </c>
    </row>
    <row r="11">
      <c r="B11" s="3" t="inlineStr">
        <is>
          <t>2. Diario (todos los días, 3 minutos)</t>
        </is>
      </c>
    </row>
    <row r="12" ht="45" customHeight="1">
      <c r="B12" s="4" t="inlineStr">
        <is>
          <t>Una fila por día. Cargá las celdas amarillas con lo que hubo: inversión, impresiones, alcance, clics en el enlace, visitas y cada paso del embudo. Si un día no hubo evento, dejá vacío. Las celdas azules se calculan solas (CPM, CTR, costo por visita, CPL, conversiones, facturado, cash neto, ganancia, ROAS y la ganancia por visita).</t>
        </is>
      </c>
    </row>
    <row r="14">
      <c r="B14" s="3" t="inlineStr">
        <is>
          <t>3. Semanal (los lunes, 10 minutos)</t>
        </is>
      </c>
    </row>
    <row r="15" ht="45" customHeight="1">
      <c r="B15" s="4" t="inlineStr">
        <is>
          <t>No se carga nada: suma Diario por semana y calcula las conversiones y los costos de la semana, el promedio, la mediana, la mejor y la peor. Abajo, el bloque «contra tu promedio» marca en verde, amarillo o rojo cada métrica clave contra la mediana de tus 4 semanas anteriores.</t>
        </is>
      </c>
    </row>
    <row r="17">
      <c r="B17" s="3" t="inlineStr">
        <is>
          <t>4. Resumen</t>
        </is>
      </c>
    </row>
    <row r="18" ht="45" customHeight="1">
      <c r="B18" s="4" t="inlineStr">
        <is>
          <t>La semana elegida (por defecto la última con datos) contra la anterior, contra tu mediana y contra la meta que vos escribas. Las filas van en el orden en que se mira un embudo: primero el tráfico y la ganancia por visita, después la página, después las etapas, después las ventas y la caja.</t>
        </is>
      </c>
    </row>
    <row r="20">
      <c r="B20" s="3" t="inlineStr">
        <is>
          <t>5. Decidir</t>
        </is>
      </c>
    </row>
    <row r="21" ht="30" customHeight="1">
      <c r="B21" s="4" t="inlineStr">
        <is>
          <t>Una sola decisión por semana y a los 7 días mirar qué pasó. Se para en el primer rojo de arriba hacia abajo. Nunca se decide por un día, y en llamada se juzga con 3 o 4 eventos.</t>
        </is>
      </c>
    </row>
    <row r="23">
      <c r="B23" s="3" t="inlineStr">
        <is>
          <t>6. Conectar con el modelo financiero</t>
        </is>
      </c>
    </row>
    <row r="24" ht="45" customHeight="1">
      <c r="B24" s="4" t="inlineStr">
        <is>
          <t>Copiá la fila semanal (inversión, cantidades por paso, ventas, facturado, cash cobrado) en la hoja Seguimiento del modelo financiero de este embudo: ahí está el techo (hasta cuánto pagar por cada unidad), el objetivo y el guardarraíl para subir o bajar la inversión.</t>
        </is>
      </c>
    </row>
    <row r="26">
      <c r="B26" s="3" t="inlineStr">
        <is>
          <t>Lo que manda en este embudo</t>
        </is>
      </c>
    </row>
    <row r="27" ht="30" customHeight="1">
      <c r="B27" s="4" t="inlineStr">
        <is>
          <t>Lo que vale un registro contra lo que te cuesta, y el CPL leído contra tu CPM: con CPM de 3 un CPL de 1 y con CPM de 25 un CPL de 10 son el mismo embudo.</t>
        </is>
      </c>
    </row>
    <row r="29">
      <c r="B29" s="3" t="inlineStr">
        <is>
          <t>Regla de los umbrales</t>
        </is>
      </c>
    </row>
    <row r="30" ht="45" customHeight="1">
      <c r="B30" s="4" t="inlineStr">
        <is>
          <t>Tu promedio es el umbral: igual o mejor, verde; hasta 25 % peor, amarillo; más, rojo. Y los costos dependen del nicho: el CPL se lee también como porcentaje del CPM. Los primeros 28 días del ejemplo están cargados para que veas cómo funciona: borralos y cargá los tuyos.</t>
        </is>
      </c>
    </row>
    <row r="32">
      <c r="B32" s="3" t="inlineStr">
        <is>
          <t>Compatibilidad</t>
        </is>
      </c>
    </row>
    <row r="33" ht="30" customHeight="1">
      <c r="B33" s="4" t="inlineStr">
        <is>
          <t>Funciona en Excel, Google Sheets y Numbers (solo funciones básicas). Si lo subís a Drive, abrilo con Google Sheets: las fórmulas se conservan.</t>
        </is>
      </c>
    </row>
    <row r="35">
      <c r="B35" s="3" t="inlineStr">
        <is>
          <t>Autor y versión</t>
        </is>
      </c>
    </row>
    <row r="36">
      <c r="B36" s="2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16" customWidth="1" min="3" max="3"/>
    <col width="70" customWidth="1" min="4" max="4"/>
  </cols>
  <sheetData>
    <row r="2">
      <c r="B2" s="1" t="inlineStr">
        <is>
          <t>Config: tus precios, comisiones y la fecha de inicio</t>
        </is>
      </c>
    </row>
    <row r="3">
      <c r="B3" s="2" t="inlineStr">
        <is>
          <t>Amarillo = podés cambiarlo. Todo lo demás del libro se calcula con esto.</t>
        </is>
      </c>
    </row>
    <row r="5">
      <c r="A5" s="5" t="inlineStr"/>
      <c r="B5" s="5" t="inlineStr">
        <is>
          <t>Dato</t>
        </is>
      </c>
      <c r="C5" s="5" t="inlineStr">
        <is>
          <t>Valor</t>
        </is>
      </c>
      <c r="D5" s="5" t="inlineStr">
        <is>
          <t>Nota</t>
        </is>
      </c>
    </row>
    <row r="6">
      <c r="B6" t="inlineStr">
        <is>
          <t>Fecha de inicio del registro (un lunes)</t>
        </is>
      </c>
      <c r="C6" s="6" t="n">
        <v>46272</v>
      </c>
      <c r="D6" s="4" t="inlineStr">
        <is>
          <t>Desde este día se numeran las semanas en Diario y Semanal. Elegí un lunes.</t>
        </is>
      </c>
    </row>
    <row r="7">
      <c r="B7" t="inlineStr">
        <is>
          <t>Precio de la oferta del webinar</t>
        </is>
      </c>
      <c r="C7" s="7" t="n">
        <v>297</v>
      </c>
      <c r="D7" s="4" t="inlineStr"/>
    </row>
    <row r="8">
      <c r="B8" t="inlineStr">
        <is>
          <t>Precio del bump</t>
        </is>
      </c>
      <c r="C8" s="7" t="n">
        <v>47</v>
      </c>
      <c r="D8" s="4" t="inlineStr"/>
    </row>
    <row r="9">
      <c r="B9" t="inlineStr">
        <is>
          <t>Precio del programa superior</t>
        </is>
      </c>
      <c r="C9" s="7" t="n">
        <v>997</v>
      </c>
      <c r="D9" s="4" t="inlineStr"/>
    </row>
    <row r="10">
      <c r="B10" t="inlineStr">
        <is>
          <t>Comisión de la pasarela de pago</t>
        </is>
      </c>
      <c r="C10" s="8" t="n">
        <v>0.1</v>
      </c>
      <c r="D10" s="4" t="inlineStr">
        <is>
          <t>Lo que se queda la plataforma de cobro.</t>
        </is>
      </c>
    </row>
    <row r="11">
      <c r="B11" t="inlineStr">
        <is>
          <t>Comisión del equipo de ventas</t>
        </is>
      </c>
      <c r="C11" s="8" t="n">
        <v>0</v>
      </c>
      <c r="D11" s="4" t="inlineStr">
        <is>
          <t>Si vendés por llamada: lo que cobra el closer sobre lo cobrado.</t>
        </is>
      </c>
    </row>
    <row r="12">
      <c r="B12" t="inlineStr">
        <is>
          <t>Reembolsos y contracargos</t>
        </is>
      </c>
      <c r="C12" s="8" t="n">
        <v>0.05</v>
      </c>
      <c r="D12" s="4" t="inlineStr">
        <is>
          <t>Promedio histórico. 5 % es normal en productos digitales.</t>
        </is>
      </c>
    </row>
    <row r="13">
      <c r="B13" t="inlineStr">
        <is>
          <t>Costos fijos por día (USD)</t>
        </is>
      </c>
      <c r="C13" s="9" t="n">
        <v>170</v>
      </c>
      <c r="D13" s="4" t="inlineStr">
        <is>
          <t>Lo que pagás aunque no vendas, dividido por los días del período.</t>
        </is>
      </c>
    </row>
    <row r="14">
      <c r="B14" t="inlineStr">
        <is>
          <t>ROAS objetivo sobre cash neto</t>
        </is>
      </c>
      <c r="C14" s="10" t="n">
        <v>2</v>
      </c>
      <c r="D14" s="4" t="inlineStr">
        <is>
          <t>El retorno mínimo que querés por cada dólar, ya neto.</t>
        </is>
      </c>
    </row>
    <row r="15">
      <c r="B15" t="inlineStr">
        <is>
          <t>Tolerancia del semáforo contra tu promedio</t>
        </is>
      </c>
      <c r="C15" s="8" t="n">
        <v>0.25</v>
      </c>
      <c r="D15" s="4" t="inlineStr">
        <is>
          <t>Igual o mejor que tu mediana = verde; hasta esta distancia peor = amarillo; más = rojo. 20 a 30 %.</t>
        </is>
      </c>
    </row>
    <row r="18">
      <c r="A18" s="2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V37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</cols>
  <sheetData>
    <row r="2">
      <c r="A2" s="1" t="inlineStr">
        <is>
          <t>Diario: una fila por día. Amarillo = lo que cargás; azul = lo que calcula el libro</t>
        </is>
      </c>
    </row>
    <row r="3">
      <c r="A3" s="2" t="inlineStr">
        <is>
          <t>Cargá cada día lo que hubo (vacío si no hubo). Los porcentajes de un solo día pueden ser raros en embudos con evento semanal: la lectura buena está en Semanal.</t>
        </is>
      </c>
    </row>
    <row r="5" ht="60" customHeight="1">
      <c r="A5" s="5" t="inlineStr">
        <is>
          <t>Fecha</t>
        </is>
      </c>
      <c r="B5" s="5" t="inlineStr">
        <is>
          <t>Semana</t>
        </is>
      </c>
      <c r="C5" s="5" t="inlineStr">
        <is>
          <t>Inversión en publicidad (USD)</t>
        </is>
      </c>
      <c r="D5" s="5" t="inlineStr">
        <is>
          <t>Impresiones</t>
        </is>
      </c>
      <c r="E5" s="5" t="inlineStr">
        <is>
          <t>Alcance (personas únicas)</t>
        </is>
      </c>
      <c r="F5" s="5" t="inlineStr">
        <is>
          <t>Clics en el enlace</t>
        </is>
      </c>
      <c r="G5" s="5" t="inlineStr">
        <is>
          <t>Visitas a la página</t>
        </is>
      </c>
      <c r="H5" s="5" t="inlineStr">
        <is>
          <t>Registros (leads)</t>
        </is>
      </c>
      <c r="I5" s="5" t="inlineStr">
        <is>
          <t>Registros calificados</t>
        </is>
      </c>
      <c r="J5" s="5" t="inlineStr">
        <is>
          <t>Entran al grupo de WhatsApp</t>
        </is>
      </c>
      <c r="K5" s="5" t="inlineStr">
        <is>
          <t>Asistentes en vivo</t>
        </is>
      </c>
      <c r="L5" s="5" t="inlineStr">
        <is>
          <t>Ven el replay</t>
        </is>
      </c>
      <c r="M5" s="5" t="inlineStr">
        <is>
          <t>Solicitudes (formulario de compra, aplicación o vendedor)</t>
        </is>
      </c>
      <c r="N5" s="5" t="inlineStr">
        <is>
          <t>Compran la oferta</t>
        </is>
      </c>
      <c r="O5" s="5" t="inlineStr">
        <is>
          <t>Toman el bump</t>
        </is>
      </c>
      <c r="P5" s="5" t="inlineStr">
        <is>
          <t>Pasan al programa superior</t>
        </is>
      </c>
      <c r="Q5" s="5" t="inlineStr">
        <is>
          <t>CPM</t>
        </is>
      </c>
      <c r="R5" s="5" t="inlineStr">
        <is>
          <t>Frecuencia</t>
        </is>
      </c>
      <c r="S5" s="5" t="inlineStr">
        <is>
          <t>CTR al enlace</t>
        </is>
      </c>
      <c r="T5" s="5" t="inlineStr">
        <is>
          <t>CPC (por clic en el enlace)</t>
        </is>
      </c>
      <c r="U5" s="5" t="inlineStr">
        <is>
          <t>% clic → visita</t>
        </is>
      </c>
      <c r="V5" s="5" t="inlineStr">
        <is>
          <t>Costo por visita</t>
        </is>
      </c>
      <c r="W5" s="5" t="inlineStr">
        <is>
          <t>Visitas por cada 1.000 impresiones</t>
        </is>
      </c>
      <c r="X5" s="5" t="inlineStr">
        <is>
          <t>% visita → registro (conversión de la landing)</t>
        </is>
      </c>
      <c r="Y5" s="5" t="inlineStr">
        <is>
          <t>CPL (costo por registro)</t>
        </is>
      </c>
      <c r="Z5" s="5" t="inlineStr">
        <is>
          <t>CPL calificado</t>
        </is>
      </c>
      <c r="AA5" s="5" t="inlineStr">
        <is>
          <t>CPL como % del CPM (el umbral depende del nicho)</t>
        </is>
      </c>
      <c r="AB5" s="5" t="inlineStr">
        <is>
          <t>Registros por cada 1.000 impresiones</t>
        </is>
      </c>
      <c r="AC5" s="5" t="inlineStr">
        <is>
          <t>% registro → grupo</t>
        </is>
      </c>
      <c r="AD5" s="5" t="inlineStr">
        <is>
          <t>Costo por persona en el grupo</t>
        </is>
      </c>
      <c r="AE5" s="5" t="inlineStr">
        <is>
          <t>% registro → en vivo</t>
        </is>
      </c>
      <c r="AF5" s="5" t="inlineStr">
        <is>
          <t>% registro → replay</t>
        </is>
      </c>
      <c r="AG5" s="5" t="inlineStr">
        <is>
          <t>Costo por asistente en vivo</t>
        </is>
      </c>
      <c r="AH5" s="5" t="inlineStr">
        <is>
          <t>% en vivo → solicitud</t>
        </is>
      </c>
      <c r="AI5" s="5" t="inlineStr">
        <is>
          <t>Costo por solicitud</t>
        </is>
      </c>
      <c r="AJ5" s="5" t="inlineStr">
        <is>
          <t>% solicitud → compra</t>
        </is>
      </c>
      <c r="AK5" s="5" t="inlineStr">
        <is>
          <t>% registro → compra</t>
        </is>
      </c>
      <c r="AL5" s="5" t="inlineStr">
        <is>
          <t>CPA (costo por comprador)</t>
        </is>
      </c>
      <c r="AM5" s="5" t="inlineStr">
        <is>
          <t>% toman el bump</t>
        </is>
      </c>
      <c r="AN5" s="5" t="inlineStr">
        <is>
          <t>% pasan al programa</t>
        </is>
      </c>
      <c r="AO5" s="5" t="inlineStr">
        <is>
          <t>Facturado (oferta + bump + programa)</t>
        </is>
      </c>
      <c r="AP5" s="5" t="inlineStr">
        <is>
          <t>Order value (facturado por comprador)</t>
        </is>
      </c>
      <c r="AQ5" s="5" t="inlineStr">
        <is>
          <t>Cash neto (después de comisiones y reembolsos)</t>
        </is>
      </c>
      <c r="AR5" s="5" t="inlineStr">
        <is>
          <t>Ganancia (cash neto − pauta − fijos)</t>
        </is>
      </c>
      <c r="AS5" s="5" t="inlineStr">
        <is>
          <t>ROAS sobre cash neto</t>
        </is>
      </c>
      <c r="AT5" s="5" t="inlineStr">
        <is>
          <t>Ganancia por visita (la métrica más valiosa)</t>
        </is>
      </c>
      <c r="AU5" s="5" t="inlineStr">
        <is>
          <t>Margen por visita (ganancia por visita ÷ costo por visita)</t>
        </is>
      </c>
      <c r="AV5" s="5" t="inlineStr">
        <is>
          <t>Ganancia por registro</t>
        </is>
      </c>
    </row>
    <row r="6">
      <c r="A6" s="11">
        <f>Config!$C$6+0</f>
        <v/>
      </c>
      <c r="B6" s="12">
        <f>INT((A6-Config!$C$6)/7)+1</f>
        <v/>
      </c>
      <c r="C6" s="9" t="n">
        <v>847</v>
      </c>
      <c r="D6" s="13" t="n">
        <v>185605</v>
      </c>
      <c r="E6" s="13" t="n">
        <v>112303</v>
      </c>
      <c r="F6" s="13" t="n">
        <v>4050</v>
      </c>
      <c r="G6" s="13" t="n">
        <v>3652</v>
      </c>
      <c r="H6" s="13" t="n">
        <v>857</v>
      </c>
      <c r="I6" s="13" t="n">
        <v>514</v>
      </c>
      <c r="J6" s="13" t="n">
        <v>575</v>
      </c>
      <c r="K6" s="13" t="n"/>
      <c r="L6" s="13" t="n"/>
      <c r="M6" s="13" t="n"/>
      <c r="N6" s="13" t="n"/>
      <c r="O6" s="13" t="n"/>
      <c r="P6" s="13" t="n"/>
      <c r="Q6" s="14">
        <f>IF(COUNT(C6:P6)=0,"",IFERROR(C6/D6*1000,0))</f>
        <v/>
      </c>
      <c r="R6" s="15">
        <f>IF(COUNT(C6:P6)=0,"",IFERROR(D6/E6,0))</f>
        <v/>
      </c>
      <c r="S6" s="16">
        <f>IF(COUNT(C6:P6)=0,"",IFERROR(F6/D6,0))</f>
        <v/>
      </c>
      <c r="T6" s="14">
        <f>IF(COUNT(C6:P6)=0,"",IFERROR(C6/F6,0))</f>
        <v/>
      </c>
      <c r="U6" s="17">
        <f>IF(COUNT(C6:P6)=0,"",IFERROR(G6/F6,0))</f>
        <v/>
      </c>
      <c r="V6" s="14">
        <f>IF(COUNT(C6:P6)=0,"",IFERROR(C6/G6,0))</f>
        <v/>
      </c>
      <c r="W6" s="18">
        <f>IF(COUNT(C6:P6)=0,"",IFERROR(G6/D6*1000,0))</f>
        <v/>
      </c>
      <c r="X6" s="17">
        <f>IF(COUNT(C6:P6)=0,"",IFERROR(H6/G6,0))</f>
        <v/>
      </c>
      <c r="Y6" s="14">
        <f>IF(COUNT(C6:P6)=0,"",IFERROR(C6/H6,0))</f>
        <v/>
      </c>
      <c r="Z6" s="14">
        <f>IF(COUNT(C6:P6)=0,"",IFERROR(C6/I6,0))</f>
        <v/>
      </c>
      <c r="AA6" s="17">
        <f>IF(COUNT(C6:P6)=0,"",IFERROR(Y6/Q6,0))</f>
        <v/>
      </c>
      <c r="AB6" s="18">
        <f>IF(COUNT(C6:P6)=0,"",IFERROR(H6/D6*1000,0))</f>
        <v/>
      </c>
      <c r="AC6" s="17">
        <f>IF(COUNT(C6:P6)=0,"",IFERROR(J6/H6,0))</f>
        <v/>
      </c>
      <c r="AD6" s="14">
        <f>IF(COUNT(C6:P6)=0,"",IFERROR(C6/J6,0))</f>
        <v/>
      </c>
      <c r="AE6" s="17">
        <f>IF(COUNT(C6:P6)=0,"",IFERROR(K6/H6,0))</f>
        <v/>
      </c>
      <c r="AF6" s="17">
        <f>IF(COUNT(C6:P6)=0,"",IFERROR(L6/H6,0))</f>
        <v/>
      </c>
      <c r="AG6" s="14">
        <f>IF(COUNT(C6:P6)=0,"",IFERROR(C6/K6,0))</f>
        <v/>
      </c>
      <c r="AH6" s="17">
        <f>IF(COUNT(C6:P6)=0,"",IFERROR(M6/K6,0))</f>
        <v/>
      </c>
      <c r="AI6" s="14">
        <f>IF(COUNT(C6:P6)=0,"",IFERROR(C6/M6,0))</f>
        <v/>
      </c>
      <c r="AJ6" s="17">
        <f>IF(COUNT(C6:P6)=0,"",IFERROR(N6/M6,0))</f>
        <v/>
      </c>
      <c r="AK6" s="16">
        <f>IF(COUNT(C6:P6)=0,"",IFERROR(N6/H6,0))</f>
        <v/>
      </c>
      <c r="AL6" s="14">
        <f>IF(COUNT(C6:P6)=0,"",IFERROR(C6/N6,0))</f>
        <v/>
      </c>
      <c r="AM6" s="17">
        <f>IF(COUNT(C6:P6)=0,"",IFERROR(O6/N6,0))</f>
        <v/>
      </c>
      <c r="AN6" s="17">
        <f>IF(COUNT(C6:P6)=0,"",IFERROR(P6/N6,0))</f>
        <v/>
      </c>
      <c r="AO6" s="19">
        <f>IF(COUNT(C6:P6)=0,"",IFERROR(N6*Config!$C$7+O6*Config!$C$8+P6*Config!$C$9,0))</f>
        <v/>
      </c>
      <c r="AP6" s="14">
        <f>IF(COUNT(C6:P6)=0,"",IFERROR(AO6/N6,0))</f>
        <v/>
      </c>
      <c r="AQ6" s="19">
        <f>IF(COUNT(C6:P6)=0,"",IFERROR(AO6*(1-Config!$C$10-Config!$C$11-Config!$C$12),0))</f>
        <v/>
      </c>
      <c r="AR6" s="19">
        <f>IF(COUNT(C6:P6)=0,"",IFERROR(AQ6-C6-Config!$C$13,0))</f>
        <v/>
      </c>
      <c r="AS6" s="20">
        <f>IF(COUNT(C6:P6)=0,"",IFERROR(AQ6/C6,0))</f>
        <v/>
      </c>
      <c r="AT6" s="14">
        <f>IF(COUNT(C6:P6)=0,"",IFERROR(AR6/G6,0))</f>
        <v/>
      </c>
      <c r="AU6" s="20">
        <f>IF(COUNT(C6:P6)=0,"",IFERROR(AT6/V6,0))</f>
        <v/>
      </c>
      <c r="AV6" s="14">
        <f>IF(COUNT(C6:P6)=0,"",IFERROR(AR6/H6,0))</f>
        <v/>
      </c>
    </row>
    <row r="7">
      <c r="A7" s="11">
        <f>Config!$C$6+1</f>
        <v/>
      </c>
      <c r="B7" s="12">
        <f>INT((A7-Config!$C$6)/7)+1</f>
        <v/>
      </c>
      <c r="C7" s="9" t="n">
        <v>859</v>
      </c>
      <c r="D7" s="13" t="n">
        <v>185215</v>
      </c>
      <c r="E7" s="13" t="n">
        <v>115365</v>
      </c>
      <c r="F7" s="13" t="n">
        <v>3678</v>
      </c>
      <c r="G7" s="13" t="n">
        <v>3154</v>
      </c>
      <c r="H7" s="13" t="n">
        <v>654</v>
      </c>
      <c r="I7" s="13" t="n">
        <v>392</v>
      </c>
      <c r="J7" s="13" t="n">
        <v>438</v>
      </c>
      <c r="K7" s="13" t="n"/>
      <c r="L7" s="13" t="n"/>
      <c r="M7" s="13" t="n"/>
      <c r="N7" s="13" t="n"/>
      <c r="O7" s="13" t="n"/>
      <c r="P7" s="13" t="n"/>
      <c r="Q7" s="14">
        <f>IF(COUNT(C7:P7)=0,"",IFERROR(C7/D7*1000,0))</f>
        <v/>
      </c>
      <c r="R7" s="15">
        <f>IF(COUNT(C7:P7)=0,"",IFERROR(D7/E7,0))</f>
        <v/>
      </c>
      <c r="S7" s="16">
        <f>IF(COUNT(C7:P7)=0,"",IFERROR(F7/D7,0))</f>
        <v/>
      </c>
      <c r="T7" s="14">
        <f>IF(COUNT(C7:P7)=0,"",IFERROR(C7/F7,0))</f>
        <v/>
      </c>
      <c r="U7" s="17">
        <f>IF(COUNT(C7:P7)=0,"",IFERROR(G7/F7,0))</f>
        <v/>
      </c>
      <c r="V7" s="14">
        <f>IF(COUNT(C7:P7)=0,"",IFERROR(C7/G7,0))</f>
        <v/>
      </c>
      <c r="W7" s="18">
        <f>IF(COUNT(C7:P7)=0,"",IFERROR(G7/D7*1000,0))</f>
        <v/>
      </c>
      <c r="X7" s="17">
        <f>IF(COUNT(C7:P7)=0,"",IFERROR(H7/G7,0))</f>
        <v/>
      </c>
      <c r="Y7" s="14">
        <f>IF(COUNT(C7:P7)=0,"",IFERROR(C7/H7,0))</f>
        <v/>
      </c>
      <c r="Z7" s="14">
        <f>IF(COUNT(C7:P7)=0,"",IFERROR(C7/I7,0))</f>
        <v/>
      </c>
      <c r="AA7" s="17">
        <f>IF(COUNT(C7:P7)=0,"",IFERROR(Y7/Q7,0))</f>
        <v/>
      </c>
      <c r="AB7" s="18">
        <f>IF(COUNT(C7:P7)=0,"",IFERROR(H7/D7*1000,0))</f>
        <v/>
      </c>
      <c r="AC7" s="17">
        <f>IF(COUNT(C7:P7)=0,"",IFERROR(J7/H7,0))</f>
        <v/>
      </c>
      <c r="AD7" s="14">
        <f>IF(COUNT(C7:P7)=0,"",IFERROR(C7/J7,0))</f>
        <v/>
      </c>
      <c r="AE7" s="17">
        <f>IF(COUNT(C7:P7)=0,"",IFERROR(K7/H7,0))</f>
        <v/>
      </c>
      <c r="AF7" s="17">
        <f>IF(COUNT(C7:P7)=0,"",IFERROR(L7/H7,0))</f>
        <v/>
      </c>
      <c r="AG7" s="14">
        <f>IF(COUNT(C7:P7)=0,"",IFERROR(C7/K7,0))</f>
        <v/>
      </c>
      <c r="AH7" s="17">
        <f>IF(COUNT(C7:P7)=0,"",IFERROR(M7/K7,0))</f>
        <v/>
      </c>
      <c r="AI7" s="14">
        <f>IF(COUNT(C7:P7)=0,"",IFERROR(C7/M7,0))</f>
        <v/>
      </c>
      <c r="AJ7" s="17">
        <f>IF(COUNT(C7:P7)=0,"",IFERROR(N7/M7,0))</f>
        <v/>
      </c>
      <c r="AK7" s="16">
        <f>IF(COUNT(C7:P7)=0,"",IFERROR(N7/H7,0))</f>
        <v/>
      </c>
      <c r="AL7" s="14">
        <f>IF(COUNT(C7:P7)=0,"",IFERROR(C7/N7,0))</f>
        <v/>
      </c>
      <c r="AM7" s="17">
        <f>IF(COUNT(C7:P7)=0,"",IFERROR(O7/N7,0))</f>
        <v/>
      </c>
      <c r="AN7" s="17">
        <f>IF(COUNT(C7:P7)=0,"",IFERROR(P7/N7,0))</f>
        <v/>
      </c>
      <c r="AO7" s="19">
        <f>IF(COUNT(C7:P7)=0,"",IFERROR(N7*Config!$C$7+O7*Config!$C$8+P7*Config!$C$9,0))</f>
        <v/>
      </c>
      <c r="AP7" s="14">
        <f>IF(COUNT(C7:P7)=0,"",IFERROR(AO7/N7,0))</f>
        <v/>
      </c>
      <c r="AQ7" s="19">
        <f>IF(COUNT(C7:P7)=0,"",IFERROR(AO7*(1-Config!$C$10-Config!$C$11-Config!$C$12),0))</f>
        <v/>
      </c>
      <c r="AR7" s="19">
        <f>IF(COUNT(C7:P7)=0,"",IFERROR(AQ7-C7-Config!$C$13,0))</f>
        <v/>
      </c>
      <c r="AS7" s="20">
        <f>IF(COUNT(C7:P7)=0,"",IFERROR(AQ7/C7,0))</f>
        <v/>
      </c>
      <c r="AT7" s="14">
        <f>IF(COUNT(C7:P7)=0,"",IFERROR(AR7/G7,0))</f>
        <v/>
      </c>
      <c r="AU7" s="20">
        <f>IF(COUNT(C7:P7)=0,"",IFERROR(AT7/V7,0))</f>
        <v/>
      </c>
      <c r="AV7" s="14">
        <f>IF(COUNT(C7:P7)=0,"",IFERROR(AR7/H7,0))</f>
        <v/>
      </c>
    </row>
    <row r="8">
      <c r="A8" s="11">
        <f>Config!$C$6+2</f>
        <v/>
      </c>
      <c r="B8" s="12">
        <f>INT((A8-Config!$C$6)/7)+1</f>
        <v/>
      </c>
      <c r="C8" s="9" t="n">
        <v>897</v>
      </c>
      <c r="D8" s="13" t="n">
        <v>223904</v>
      </c>
      <c r="E8" s="13" t="n">
        <v>133787</v>
      </c>
      <c r="F8" s="13" t="n">
        <v>5475</v>
      </c>
      <c r="G8" s="13" t="n">
        <v>5110</v>
      </c>
      <c r="H8" s="13" t="n">
        <v>1208</v>
      </c>
      <c r="I8" s="13" t="n">
        <v>725</v>
      </c>
      <c r="J8" s="13" t="n">
        <v>809</v>
      </c>
      <c r="K8" s="13" t="n"/>
      <c r="L8" s="13" t="n"/>
      <c r="M8" s="13" t="n"/>
      <c r="N8" s="13" t="n"/>
      <c r="O8" s="13" t="n"/>
      <c r="P8" s="13" t="n"/>
      <c r="Q8" s="14">
        <f>IF(COUNT(C8:P8)=0,"",IFERROR(C8/D8*1000,0))</f>
        <v/>
      </c>
      <c r="R8" s="15">
        <f>IF(COUNT(C8:P8)=0,"",IFERROR(D8/E8,0))</f>
        <v/>
      </c>
      <c r="S8" s="16">
        <f>IF(COUNT(C8:P8)=0,"",IFERROR(F8/D8,0))</f>
        <v/>
      </c>
      <c r="T8" s="14">
        <f>IF(COUNT(C8:P8)=0,"",IFERROR(C8/F8,0))</f>
        <v/>
      </c>
      <c r="U8" s="17">
        <f>IF(COUNT(C8:P8)=0,"",IFERROR(G8/F8,0))</f>
        <v/>
      </c>
      <c r="V8" s="14">
        <f>IF(COUNT(C8:P8)=0,"",IFERROR(C8/G8,0))</f>
        <v/>
      </c>
      <c r="W8" s="18">
        <f>IF(COUNT(C8:P8)=0,"",IFERROR(G8/D8*1000,0))</f>
        <v/>
      </c>
      <c r="X8" s="17">
        <f>IF(COUNT(C8:P8)=0,"",IFERROR(H8/G8,0))</f>
        <v/>
      </c>
      <c r="Y8" s="14">
        <f>IF(COUNT(C8:P8)=0,"",IFERROR(C8/H8,0))</f>
        <v/>
      </c>
      <c r="Z8" s="14">
        <f>IF(COUNT(C8:P8)=0,"",IFERROR(C8/I8,0))</f>
        <v/>
      </c>
      <c r="AA8" s="17">
        <f>IF(COUNT(C8:P8)=0,"",IFERROR(Y8/Q8,0))</f>
        <v/>
      </c>
      <c r="AB8" s="18">
        <f>IF(COUNT(C8:P8)=0,"",IFERROR(H8/D8*1000,0))</f>
        <v/>
      </c>
      <c r="AC8" s="17">
        <f>IF(COUNT(C8:P8)=0,"",IFERROR(J8/H8,0))</f>
        <v/>
      </c>
      <c r="AD8" s="14">
        <f>IF(COUNT(C8:P8)=0,"",IFERROR(C8/J8,0))</f>
        <v/>
      </c>
      <c r="AE8" s="17">
        <f>IF(COUNT(C8:P8)=0,"",IFERROR(K8/H8,0))</f>
        <v/>
      </c>
      <c r="AF8" s="17">
        <f>IF(COUNT(C8:P8)=0,"",IFERROR(L8/H8,0))</f>
        <v/>
      </c>
      <c r="AG8" s="14">
        <f>IF(COUNT(C8:P8)=0,"",IFERROR(C8/K8,0))</f>
        <v/>
      </c>
      <c r="AH8" s="17">
        <f>IF(COUNT(C8:P8)=0,"",IFERROR(M8/K8,0))</f>
        <v/>
      </c>
      <c r="AI8" s="14">
        <f>IF(COUNT(C8:P8)=0,"",IFERROR(C8/M8,0))</f>
        <v/>
      </c>
      <c r="AJ8" s="17">
        <f>IF(COUNT(C8:P8)=0,"",IFERROR(N8/M8,0))</f>
        <v/>
      </c>
      <c r="AK8" s="16">
        <f>IF(COUNT(C8:P8)=0,"",IFERROR(N8/H8,0))</f>
        <v/>
      </c>
      <c r="AL8" s="14">
        <f>IF(COUNT(C8:P8)=0,"",IFERROR(C8/N8,0))</f>
        <v/>
      </c>
      <c r="AM8" s="17">
        <f>IF(COUNT(C8:P8)=0,"",IFERROR(O8/N8,0))</f>
        <v/>
      </c>
      <c r="AN8" s="17">
        <f>IF(COUNT(C8:P8)=0,"",IFERROR(P8/N8,0))</f>
        <v/>
      </c>
      <c r="AO8" s="19">
        <f>IF(COUNT(C8:P8)=0,"",IFERROR(N8*Config!$C$7+O8*Config!$C$8+P8*Config!$C$9,0))</f>
        <v/>
      </c>
      <c r="AP8" s="14">
        <f>IF(COUNT(C8:P8)=0,"",IFERROR(AO8/N8,0))</f>
        <v/>
      </c>
      <c r="AQ8" s="19">
        <f>IF(COUNT(C8:P8)=0,"",IFERROR(AO8*(1-Config!$C$10-Config!$C$11-Config!$C$12),0))</f>
        <v/>
      </c>
      <c r="AR8" s="19">
        <f>IF(COUNT(C8:P8)=0,"",IFERROR(AQ8-C8-Config!$C$13,0))</f>
        <v/>
      </c>
      <c r="AS8" s="20">
        <f>IF(COUNT(C8:P8)=0,"",IFERROR(AQ8/C8,0))</f>
        <v/>
      </c>
      <c r="AT8" s="14">
        <f>IF(COUNT(C8:P8)=0,"",IFERROR(AR8/G8,0))</f>
        <v/>
      </c>
      <c r="AU8" s="20">
        <f>IF(COUNT(C8:P8)=0,"",IFERROR(AT8/V8,0))</f>
        <v/>
      </c>
      <c r="AV8" s="14">
        <f>IF(COUNT(C8:P8)=0,"",IFERROR(AR8/H8,0))</f>
        <v/>
      </c>
    </row>
    <row r="9">
      <c r="A9" s="11">
        <f>Config!$C$6+3</f>
        <v/>
      </c>
      <c r="B9" s="12">
        <f>INT((A9-Config!$C$6)/7)+1</f>
        <v/>
      </c>
      <c r="C9" s="9" t="n">
        <v>757</v>
      </c>
      <c r="D9" s="13" t="n">
        <v>167138</v>
      </c>
      <c r="E9" s="13" t="n">
        <v>124596</v>
      </c>
      <c r="F9" s="13" t="n">
        <v>3404</v>
      </c>
      <c r="G9" s="13" t="n">
        <v>2874</v>
      </c>
      <c r="H9" s="13" t="n">
        <v>586</v>
      </c>
      <c r="I9" s="13" t="n">
        <v>352</v>
      </c>
      <c r="J9" s="13" t="n">
        <v>393</v>
      </c>
      <c r="K9" s="13" t="n">
        <v>888</v>
      </c>
      <c r="L9" s="13" t="n">
        <v>1195</v>
      </c>
      <c r="M9" s="13" t="n">
        <v>95</v>
      </c>
      <c r="N9" s="13" t="n">
        <v>38</v>
      </c>
      <c r="O9" s="13" t="n">
        <v>8</v>
      </c>
      <c r="P9" s="13" t="n">
        <v>0</v>
      </c>
      <c r="Q9" s="14">
        <f>IF(COUNT(C9:P9)=0,"",IFERROR(C9/D9*1000,0))</f>
        <v/>
      </c>
      <c r="R9" s="15">
        <f>IF(COUNT(C9:P9)=0,"",IFERROR(D9/E9,0))</f>
        <v/>
      </c>
      <c r="S9" s="16">
        <f>IF(COUNT(C9:P9)=0,"",IFERROR(F9/D9,0))</f>
        <v/>
      </c>
      <c r="T9" s="14">
        <f>IF(COUNT(C9:P9)=0,"",IFERROR(C9/F9,0))</f>
        <v/>
      </c>
      <c r="U9" s="17">
        <f>IF(COUNT(C9:P9)=0,"",IFERROR(G9/F9,0))</f>
        <v/>
      </c>
      <c r="V9" s="14">
        <f>IF(COUNT(C9:P9)=0,"",IFERROR(C9/G9,0))</f>
        <v/>
      </c>
      <c r="W9" s="18">
        <f>IF(COUNT(C9:P9)=0,"",IFERROR(G9/D9*1000,0))</f>
        <v/>
      </c>
      <c r="X9" s="17">
        <f>IF(COUNT(C9:P9)=0,"",IFERROR(H9/G9,0))</f>
        <v/>
      </c>
      <c r="Y9" s="14">
        <f>IF(COUNT(C9:P9)=0,"",IFERROR(C9/H9,0))</f>
        <v/>
      </c>
      <c r="Z9" s="14">
        <f>IF(COUNT(C9:P9)=0,"",IFERROR(C9/I9,0))</f>
        <v/>
      </c>
      <c r="AA9" s="17">
        <f>IF(COUNT(C9:P9)=0,"",IFERROR(Y9/Q9,0))</f>
        <v/>
      </c>
      <c r="AB9" s="18">
        <f>IF(COUNT(C9:P9)=0,"",IFERROR(H9/D9*1000,0))</f>
        <v/>
      </c>
      <c r="AC9" s="17">
        <f>IF(COUNT(C9:P9)=0,"",IFERROR(J9/H9,0))</f>
        <v/>
      </c>
      <c r="AD9" s="14">
        <f>IF(COUNT(C9:P9)=0,"",IFERROR(C9/J9,0))</f>
        <v/>
      </c>
      <c r="AE9" s="17">
        <f>IF(COUNT(C9:P9)=0,"",IFERROR(K9/H9,0))</f>
        <v/>
      </c>
      <c r="AF9" s="17">
        <f>IF(COUNT(C9:P9)=0,"",IFERROR(L9/H9,0))</f>
        <v/>
      </c>
      <c r="AG9" s="14">
        <f>IF(COUNT(C9:P9)=0,"",IFERROR(C9/K9,0))</f>
        <v/>
      </c>
      <c r="AH9" s="17">
        <f>IF(COUNT(C9:P9)=0,"",IFERROR(M9/K9,0))</f>
        <v/>
      </c>
      <c r="AI9" s="14">
        <f>IF(COUNT(C9:P9)=0,"",IFERROR(C9/M9,0))</f>
        <v/>
      </c>
      <c r="AJ9" s="17">
        <f>IF(COUNT(C9:P9)=0,"",IFERROR(N9/M9,0))</f>
        <v/>
      </c>
      <c r="AK9" s="16">
        <f>IF(COUNT(C9:P9)=0,"",IFERROR(N9/H9,0))</f>
        <v/>
      </c>
      <c r="AL9" s="14">
        <f>IF(COUNT(C9:P9)=0,"",IFERROR(C9/N9,0))</f>
        <v/>
      </c>
      <c r="AM9" s="17">
        <f>IF(COUNT(C9:P9)=0,"",IFERROR(O9/N9,0))</f>
        <v/>
      </c>
      <c r="AN9" s="17">
        <f>IF(COUNT(C9:P9)=0,"",IFERROR(P9/N9,0))</f>
        <v/>
      </c>
      <c r="AO9" s="19">
        <f>IF(COUNT(C9:P9)=0,"",IFERROR(N9*Config!$C$7+O9*Config!$C$8+P9*Config!$C$9,0))</f>
        <v/>
      </c>
      <c r="AP9" s="14">
        <f>IF(COUNT(C9:P9)=0,"",IFERROR(AO9/N9,0))</f>
        <v/>
      </c>
      <c r="AQ9" s="19">
        <f>IF(COUNT(C9:P9)=0,"",IFERROR(AO9*(1-Config!$C$10-Config!$C$11-Config!$C$12),0))</f>
        <v/>
      </c>
      <c r="AR9" s="19">
        <f>IF(COUNT(C9:P9)=0,"",IFERROR(AQ9-C9-Config!$C$13,0))</f>
        <v/>
      </c>
      <c r="AS9" s="20">
        <f>IF(COUNT(C9:P9)=0,"",IFERROR(AQ9/C9,0))</f>
        <v/>
      </c>
      <c r="AT9" s="14">
        <f>IF(COUNT(C9:P9)=0,"",IFERROR(AR9/G9,0))</f>
        <v/>
      </c>
      <c r="AU9" s="20">
        <f>IF(COUNT(C9:P9)=0,"",IFERROR(AT9/V9,0))</f>
        <v/>
      </c>
      <c r="AV9" s="14">
        <f>IF(COUNT(C9:P9)=0,"",IFERROR(AR9/H9,0))</f>
        <v/>
      </c>
    </row>
    <row r="10">
      <c r="A10" s="11">
        <f>Config!$C$6+4</f>
        <v/>
      </c>
      <c r="B10" s="12">
        <f>INT((A10-Config!$C$6)/7)+1</f>
        <v/>
      </c>
      <c r="C10" s="9" t="n">
        <v>861</v>
      </c>
      <c r="D10" s="13" t="n">
        <v>185087</v>
      </c>
      <c r="E10" s="13" t="n">
        <v>123398</v>
      </c>
      <c r="F10" s="13" t="n">
        <v>4231</v>
      </c>
      <c r="G10" s="13" t="n">
        <v>3769</v>
      </c>
      <c r="H10" s="13" t="n">
        <v>821</v>
      </c>
      <c r="I10" s="13" t="n">
        <v>492</v>
      </c>
      <c r="J10" s="13" t="n">
        <v>550</v>
      </c>
      <c r="K10" s="13" t="n"/>
      <c r="L10" s="13" t="n">
        <v>1590</v>
      </c>
      <c r="M10" s="13" t="n">
        <v>110</v>
      </c>
      <c r="N10" s="13" t="n">
        <v>44</v>
      </c>
      <c r="O10" s="13" t="n">
        <v>9</v>
      </c>
      <c r="P10" s="13" t="n">
        <v>2</v>
      </c>
      <c r="Q10" s="14">
        <f>IF(COUNT(C10:P10)=0,"",IFERROR(C10/D10*1000,0))</f>
        <v/>
      </c>
      <c r="R10" s="15">
        <f>IF(COUNT(C10:P10)=0,"",IFERROR(D10/E10,0))</f>
        <v/>
      </c>
      <c r="S10" s="16">
        <f>IF(COUNT(C10:P10)=0,"",IFERROR(F10/D10,0))</f>
        <v/>
      </c>
      <c r="T10" s="14">
        <f>IF(COUNT(C10:P10)=0,"",IFERROR(C10/F10,0))</f>
        <v/>
      </c>
      <c r="U10" s="17">
        <f>IF(COUNT(C10:P10)=0,"",IFERROR(G10/F10,0))</f>
        <v/>
      </c>
      <c r="V10" s="14">
        <f>IF(COUNT(C10:P10)=0,"",IFERROR(C10/G10,0))</f>
        <v/>
      </c>
      <c r="W10" s="18">
        <f>IF(COUNT(C10:P10)=0,"",IFERROR(G10/D10*1000,0))</f>
        <v/>
      </c>
      <c r="X10" s="17">
        <f>IF(COUNT(C10:P10)=0,"",IFERROR(H10/G10,0))</f>
        <v/>
      </c>
      <c r="Y10" s="14">
        <f>IF(COUNT(C10:P10)=0,"",IFERROR(C10/H10,0))</f>
        <v/>
      </c>
      <c r="Z10" s="14">
        <f>IF(COUNT(C10:P10)=0,"",IFERROR(C10/I10,0))</f>
        <v/>
      </c>
      <c r="AA10" s="17">
        <f>IF(COUNT(C10:P10)=0,"",IFERROR(Y10/Q10,0))</f>
        <v/>
      </c>
      <c r="AB10" s="18">
        <f>IF(COUNT(C10:P10)=0,"",IFERROR(H10/D10*1000,0))</f>
        <v/>
      </c>
      <c r="AC10" s="17">
        <f>IF(COUNT(C10:P10)=0,"",IFERROR(J10/H10,0))</f>
        <v/>
      </c>
      <c r="AD10" s="14">
        <f>IF(COUNT(C10:P10)=0,"",IFERROR(C10/J10,0))</f>
        <v/>
      </c>
      <c r="AE10" s="17">
        <f>IF(COUNT(C10:P10)=0,"",IFERROR(K10/H10,0))</f>
        <v/>
      </c>
      <c r="AF10" s="17">
        <f>IF(COUNT(C10:P10)=0,"",IFERROR(L10/H10,0))</f>
        <v/>
      </c>
      <c r="AG10" s="14">
        <f>IF(COUNT(C10:P10)=0,"",IFERROR(C10/K10,0))</f>
        <v/>
      </c>
      <c r="AH10" s="17">
        <f>IF(COUNT(C10:P10)=0,"",IFERROR(M10/K10,0))</f>
        <v/>
      </c>
      <c r="AI10" s="14">
        <f>IF(COUNT(C10:P10)=0,"",IFERROR(C10/M10,0))</f>
        <v/>
      </c>
      <c r="AJ10" s="17">
        <f>IF(COUNT(C10:P10)=0,"",IFERROR(N10/M10,0))</f>
        <v/>
      </c>
      <c r="AK10" s="16">
        <f>IF(COUNT(C10:P10)=0,"",IFERROR(N10/H10,0))</f>
        <v/>
      </c>
      <c r="AL10" s="14">
        <f>IF(COUNT(C10:P10)=0,"",IFERROR(C10/N10,0))</f>
        <v/>
      </c>
      <c r="AM10" s="17">
        <f>IF(COUNT(C10:P10)=0,"",IFERROR(O10/N10,0))</f>
        <v/>
      </c>
      <c r="AN10" s="17">
        <f>IF(COUNT(C10:P10)=0,"",IFERROR(P10/N10,0))</f>
        <v/>
      </c>
      <c r="AO10" s="19">
        <f>IF(COUNT(C10:P10)=0,"",IFERROR(N10*Config!$C$7+O10*Config!$C$8+P10*Config!$C$9,0))</f>
        <v/>
      </c>
      <c r="AP10" s="14">
        <f>IF(COUNT(C10:P10)=0,"",IFERROR(AO10/N10,0))</f>
        <v/>
      </c>
      <c r="AQ10" s="19">
        <f>IF(COUNT(C10:P10)=0,"",IFERROR(AO10*(1-Config!$C$10-Config!$C$11-Config!$C$12),0))</f>
        <v/>
      </c>
      <c r="AR10" s="19">
        <f>IF(COUNT(C10:P10)=0,"",IFERROR(AQ10-C10-Config!$C$13,0))</f>
        <v/>
      </c>
      <c r="AS10" s="20">
        <f>IF(COUNT(C10:P10)=0,"",IFERROR(AQ10/C10,0))</f>
        <v/>
      </c>
      <c r="AT10" s="14">
        <f>IF(COUNT(C10:P10)=0,"",IFERROR(AR10/G10,0))</f>
        <v/>
      </c>
      <c r="AU10" s="20">
        <f>IF(COUNT(C10:P10)=0,"",IFERROR(AT10/V10,0))</f>
        <v/>
      </c>
      <c r="AV10" s="14">
        <f>IF(COUNT(C10:P10)=0,"",IFERROR(AR10/H10,0))</f>
        <v/>
      </c>
    </row>
    <row r="11">
      <c r="A11" s="11">
        <f>Config!$C$6+5</f>
        <v/>
      </c>
      <c r="B11" s="12">
        <f>INT((A11-Config!$C$6)/7)+1</f>
        <v/>
      </c>
      <c r="C11" s="9" t="n">
        <v>927</v>
      </c>
      <c r="D11" s="13" t="n">
        <v>196209</v>
      </c>
      <c r="E11" s="13" t="n">
        <v>136874</v>
      </c>
      <c r="F11" s="13" t="n">
        <v>4037</v>
      </c>
      <c r="G11" s="13" t="n">
        <v>3449</v>
      </c>
      <c r="H11" s="13" t="n">
        <v>711</v>
      </c>
      <c r="I11" s="13" t="n">
        <v>427</v>
      </c>
      <c r="J11" s="13" t="n">
        <v>477</v>
      </c>
      <c r="K11" s="13" t="n"/>
      <c r="L11" s="13" t="n">
        <v>619</v>
      </c>
      <c r="M11" s="13" t="n">
        <v>33</v>
      </c>
      <c r="N11" s="13" t="n">
        <v>13</v>
      </c>
      <c r="O11" s="13" t="n">
        <v>3</v>
      </c>
      <c r="P11" s="13" t="n">
        <v>1</v>
      </c>
      <c r="Q11" s="14">
        <f>IF(COUNT(C11:P11)=0,"",IFERROR(C11/D11*1000,0))</f>
        <v/>
      </c>
      <c r="R11" s="15">
        <f>IF(COUNT(C11:P11)=0,"",IFERROR(D11/E11,0))</f>
        <v/>
      </c>
      <c r="S11" s="16">
        <f>IF(COUNT(C11:P11)=0,"",IFERROR(F11/D11,0))</f>
        <v/>
      </c>
      <c r="T11" s="14">
        <f>IF(COUNT(C11:P11)=0,"",IFERROR(C11/F11,0))</f>
        <v/>
      </c>
      <c r="U11" s="17">
        <f>IF(COUNT(C11:P11)=0,"",IFERROR(G11/F11,0))</f>
        <v/>
      </c>
      <c r="V11" s="14">
        <f>IF(COUNT(C11:P11)=0,"",IFERROR(C11/G11,0))</f>
        <v/>
      </c>
      <c r="W11" s="18">
        <f>IF(COUNT(C11:P11)=0,"",IFERROR(G11/D11*1000,0))</f>
        <v/>
      </c>
      <c r="X11" s="17">
        <f>IF(COUNT(C11:P11)=0,"",IFERROR(H11/G11,0))</f>
        <v/>
      </c>
      <c r="Y11" s="14">
        <f>IF(COUNT(C11:P11)=0,"",IFERROR(C11/H11,0))</f>
        <v/>
      </c>
      <c r="Z11" s="14">
        <f>IF(COUNT(C11:P11)=0,"",IFERROR(C11/I11,0))</f>
        <v/>
      </c>
      <c r="AA11" s="17">
        <f>IF(COUNT(C11:P11)=0,"",IFERROR(Y11/Q11,0))</f>
        <v/>
      </c>
      <c r="AB11" s="18">
        <f>IF(COUNT(C11:P11)=0,"",IFERROR(H11/D11*1000,0))</f>
        <v/>
      </c>
      <c r="AC11" s="17">
        <f>IF(COUNT(C11:P11)=0,"",IFERROR(J11/H11,0))</f>
        <v/>
      </c>
      <c r="AD11" s="14">
        <f>IF(COUNT(C11:P11)=0,"",IFERROR(C11/J11,0))</f>
        <v/>
      </c>
      <c r="AE11" s="17">
        <f>IF(COUNT(C11:P11)=0,"",IFERROR(K11/H11,0))</f>
        <v/>
      </c>
      <c r="AF11" s="17">
        <f>IF(COUNT(C11:P11)=0,"",IFERROR(L11/H11,0))</f>
        <v/>
      </c>
      <c r="AG11" s="14">
        <f>IF(COUNT(C11:P11)=0,"",IFERROR(C11/K11,0))</f>
        <v/>
      </c>
      <c r="AH11" s="17">
        <f>IF(COUNT(C11:P11)=0,"",IFERROR(M11/K11,0))</f>
        <v/>
      </c>
      <c r="AI11" s="14">
        <f>IF(COUNT(C11:P11)=0,"",IFERROR(C11/M11,0))</f>
        <v/>
      </c>
      <c r="AJ11" s="17">
        <f>IF(COUNT(C11:P11)=0,"",IFERROR(N11/M11,0))</f>
        <v/>
      </c>
      <c r="AK11" s="16">
        <f>IF(COUNT(C11:P11)=0,"",IFERROR(N11/H11,0))</f>
        <v/>
      </c>
      <c r="AL11" s="14">
        <f>IF(COUNT(C11:P11)=0,"",IFERROR(C11/N11,0))</f>
        <v/>
      </c>
      <c r="AM11" s="17">
        <f>IF(COUNT(C11:P11)=0,"",IFERROR(O11/N11,0))</f>
        <v/>
      </c>
      <c r="AN11" s="17">
        <f>IF(COUNT(C11:P11)=0,"",IFERROR(P11/N11,0))</f>
        <v/>
      </c>
      <c r="AO11" s="19">
        <f>IF(COUNT(C11:P11)=0,"",IFERROR(N11*Config!$C$7+O11*Config!$C$8+P11*Config!$C$9,0))</f>
        <v/>
      </c>
      <c r="AP11" s="14">
        <f>IF(COUNT(C11:P11)=0,"",IFERROR(AO11/N11,0))</f>
        <v/>
      </c>
      <c r="AQ11" s="19">
        <f>IF(COUNT(C11:P11)=0,"",IFERROR(AO11*(1-Config!$C$10-Config!$C$11-Config!$C$12),0))</f>
        <v/>
      </c>
      <c r="AR11" s="19">
        <f>IF(COUNT(C11:P11)=0,"",IFERROR(AQ11-C11-Config!$C$13,0))</f>
        <v/>
      </c>
      <c r="AS11" s="20">
        <f>IF(COUNT(C11:P11)=0,"",IFERROR(AQ11/C11,0))</f>
        <v/>
      </c>
      <c r="AT11" s="14">
        <f>IF(COUNT(C11:P11)=0,"",IFERROR(AR11/G11,0))</f>
        <v/>
      </c>
      <c r="AU11" s="20">
        <f>IF(COUNT(C11:P11)=0,"",IFERROR(AT11/V11,0))</f>
        <v/>
      </c>
      <c r="AV11" s="14">
        <f>IF(COUNT(C11:P11)=0,"",IFERROR(AR11/H11,0))</f>
        <v/>
      </c>
    </row>
    <row r="12">
      <c r="A12" s="11">
        <f>Config!$C$6+6</f>
        <v/>
      </c>
      <c r="B12" s="12">
        <f>INT((A12-Config!$C$6)/7)+1</f>
        <v/>
      </c>
      <c r="C12" s="9" t="n">
        <v>928</v>
      </c>
      <c r="D12" s="13" t="n">
        <v>212061</v>
      </c>
      <c r="E12" s="13" t="n">
        <v>127372</v>
      </c>
      <c r="F12" s="13" t="n">
        <v>5054</v>
      </c>
      <c r="G12" s="13" t="n">
        <v>4004</v>
      </c>
      <c r="H12" s="13" t="n">
        <v>857</v>
      </c>
      <c r="I12" s="13" t="n">
        <v>514</v>
      </c>
      <c r="J12" s="13" t="n">
        <v>574</v>
      </c>
      <c r="K12" s="13" t="n"/>
      <c r="L12" s="13" t="n"/>
      <c r="M12" s="13" t="n"/>
      <c r="N12" s="13" t="n"/>
      <c r="O12" s="13" t="n"/>
      <c r="P12" s="13" t="n"/>
      <c r="Q12" s="14">
        <f>IF(COUNT(C12:P12)=0,"",IFERROR(C12/D12*1000,0))</f>
        <v/>
      </c>
      <c r="R12" s="15">
        <f>IF(COUNT(C12:P12)=0,"",IFERROR(D12/E12,0))</f>
        <v/>
      </c>
      <c r="S12" s="16">
        <f>IF(COUNT(C12:P12)=0,"",IFERROR(F12/D12,0))</f>
        <v/>
      </c>
      <c r="T12" s="14">
        <f>IF(COUNT(C12:P12)=0,"",IFERROR(C12/F12,0))</f>
        <v/>
      </c>
      <c r="U12" s="17">
        <f>IF(COUNT(C12:P12)=0,"",IFERROR(G12/F12,0))</f>
        <v/>
      </c>
      <c r="V12" s="14">
        <f>IF(COUNT(C12:P12)=0,"",IFERROR(C12/G12,0))</f>
        <v/>
      </c>
      <c r="W12" s="18">
        <f>IF(COUNT(C12:P12)=0,"",IFERROR(G12/D12*1000,0))</f>
        <v/>
      </c>
      <c r="X12" s="17">
        <f>IF(COUNT(C12:P12)=0,"",IFERROR(H12/G12,0))</f>
        <v/>
      </c>
      <c r="Y12" s="14">
        <f>IF(COUNT(C12:P12)=0,"",IFERROR(C12/H12,0))</f>
        <v/>
      </c>
      <c r="Z12" s="14">
        <f>IF(COUNT(C12:P12)=0,"",IFERROR(C12/I12,0))</f>
        <v/>
      </c>
      <c r="AA12" s="17">
        <f>IF(COUNT(C12:P12)=0,"",IFERROR(Y12/Q12,0))</f>
        <v/>
      </c>
      <c r="AB12" s="18">
        <f>IF(COUNT(C12:P12)=0,"",IFERROR(H12/D12*1000,0))</f>
        <v/>
      </c>
      <c r="AC12" s="17">
        <f>IF(COUNT(C12:P12)=0,"",IFERROR(J12/H12,0))</f>
        <v/>
      </c>
      <c r="AD12" s="14">
        <f>IF(COUNT(C12:P12)=0,"",IFERROR(C12/J12,0))</f>
        <v/>
      </c>
      <c r="AE12" s="17">
        <f>IF(COUNT(C12:P12)=0,"",IFERROR(K12/H12,0))</f>
        <v/>
      </c>
      <c r="AF12" s="17">
        <f>IF(COUNT(C12:P12)=0,"",IFERROR(L12/H12,0))</f>
        <v/>
      </c>
      <c r="AG12" s="14">
        <f>IF(COUNT(C12:P12)=0,"",IFERROR(C12/K12,0))</f>
        <v/>
      </c>
      <c r="AH12" s="17">
        <f>IF(COUNT(C12:P12)=0,"",IFERROR(M12/K12,0))</f>
        <v/>
      </c>
      <c r="AI12" s="14">
        <f>IF(COUNT(C12:P12)=0,"",IFERROR(C12/M12,0))</f>
        <v/>
      </c>
      <c r="AJ12" s="17">
        <f>IF(COUNT(C12:P12)=0,"",IFERROR(N12/M12,0))</f>
        <v/>
      </c>
      <c r="AK12" s="16">
        <f>IF(COUNT(C12:P12)=0,"",IFERROR(N12/H12,0))</f>
        <v/>
      </c>
      <c r="AL12" s="14">
        <f>IF(COUNT(C12:P12)=0,"",IFERROR(C12/N12,0))</f>
        <v/>
      </c>
      <c r="AM12" s="17">
        <f>IF(COUNT(C12:P12)=0,"",IFERROR(O12/N12,0))</f>
        <v/>
      </c>
      <c r="AN12" s="17">
        <f>IF(COUNT(C12:P12)=0,"",IFERROR(P12/N12,0))</f>
        <v/>
      </c>
      <c r="AO12" s="19">
        <f>IF(COUNT(C12:P12)=0,"",IFERROR(N12*Config!$C$7+O12*Config!$C$8+P12*Config!$C$9,0))</f>
        <v/>
      </c>
      <c r="AP12" s="14">
        <f>IF(COUNT(C12:P12)=0,"",IFERROR(AO12/N12,0))</f>
        <v/>
      </c>
      <c r="AQ12" s="19">
        <f>IF(COUNT(C12:P12)=0,"",IFERROR(AO12*(1-Config!$C$10-Config!$C$11-Config!$C$12),0))</f>
        <v/>
      </c>
      <c r="AR12" s="19">
        <f>IF(COUNT(C12:P12)=0,"",IFERROR(AQ12-C12-Config!$C$13,0))</f>
        <v/>
      </c>
      <c r="AS12" s="20">
        <f>IF(COUNT(C12:P12)=0,"",IFERROR(AQ12/C12,0))</f>
        <v/>
      </c>
      <c r="AT12" s="14">
        <f>IF(COUNT(C12:P12)=0,"",IFERROR(AR12/G12,0))</f>
        <v/>
      </c>
      <c r="AU12" s="20">
        <f>IF(COUNT(C12:P12)=0,"",IFERROR(AT12/V12,0))</f>
        <v/>
      </c>
      <c r="AV12" s="14">
        <f>IF(COUNT(C12:P12)=0,"",IFERROR(AR12/H12,0))</f>
        <v/>
      </c>
    </row>
    <row r="13">
      <c r="A13" s="11">
        <f>Config!$C$6+7</f>
        <v/>
      </c>
      <c r="B13" s="12">
        <f>INT((A13-Config!$C$6)/7)+1</f>
        <v/>
      </c>
      <c r="C13" s="9" t="n">
        <v>851</v>
      </c>
      <c r="D13" s="13" t="n">
        <v>169528</v>
      </c>
      <c r="E13" s="13" t="n">
        <v>115871</v>
      </c>
      <c r="F13" s="13" t="n">
        <v>3347</v>
      </c>
      <c r="G13" s="13" t="n">
        <v>3106</v>
      </c>
      <c r="H13" s="13" t="n">
        <v>762</v>
      </c>
      <c r="I13" s="13" t="n">
        <v>457</v>
      </c>
      <c r="J13" s="13" t="n">
        <v>511</v>
      </c>
      <c r="K13" s="13" t="n"/>
      <c r="L13" s="13" t="n"/>
      <c r="M13" s="13" t="n"/>
      <c r="N13" s="13" t="n"/>
      <c r="O13" s="13" t="n"/>
      <c r="P13" s="13" t="n"/>
      <c r="Q13" s="14">
        <f>IF(COUNT(C13:P13)=0,"",IFERROR(C13/D13*1000,0))</f>
        <v/>
      </c>
      <c r="R13" s="15">
        <f>IF(COUNT(C13:P13)=0,"",IFERROR(D13/E13,0))</f>
        <v/>
      </c>
      <c r="S13" s="16">
        <f>IF(COUNT(C13:P13)=0,"",IFERROR(F13/D13,0))</f>
        <v/>
      </c>
      <c r="T13" s="14">
        <f>IF(COUNT(C13:P13)=0,"",IFERROR(C13/F13,0))</f>
        <v/>
      </c>
      <c r="U13" s="17">
        <f>IF(COUNT(C13:P13)=0,"",IFERROR(G13/F13,0))</f>
        <v/>
      </c>
      <c r="V13" s="14">
        <f>IF(COUNT(C13:P13)=0,"",IFERROR(C13/G13,0))</f>
        <v/>
      </c>
      <c r="W13" s="18">
        <f>IF(COUNT(C13:P13)=0,"",IFERROR(G13/D13*1000,0))</f>
        <v/>
      </c>
      <c r="X13" s="17">
        <f>IF(COUNT(C13:P13)=0,"",IFERROR(H13/G13,0))</f>
        <v/>
      </c>
      <c r="Y13" s="14">
        <f>IF(COUNT(C13:P13)=0,"",IFERROR(C13/H13,0))</f>
        <v/>
      </c>
      <c r="Z13" s="14">
        <f>IF(COUNT(C13:P13)=0,"",IFERROR(C13/I13,0))</f>
        <v/>
      </c>
      <c r="AA13" s="17">
        <f>IF(COUNT(C13:P13)=0,"",IFERROR(Y13/Q13,0))</f>
        <v/>
      </c>
      <c r="AB13" s="18">
        <f>IF(COUNT(C13:P13)=0,"",IFERROR(H13/D13*1000,0))</f>
        <v/>
      </c>
      <c r="AC13" s="17">
        <f>IF(COUNT(C13:P13)=0,"",IFERROR(J13/H13,0))</f>
        <v/>
      </c>
      <c r="AD13" s="14">
        <f>IF(COUNT(C13:P13)=0,"",IFERROR(C13/J13,0))</f>
        <v/>
      </c>
      <c r="AE13" s="17">
        <f>IF(COUNT(C13:P13)=0,"",IFERROR(K13/H13,0))</f>
        <v/>
      </c>
      <c r="AF13" s="17">
        <f>IF(COUNT(C13:P13)=0,"",IFERROR(L13/H13,0))</f>
        <v/>
      </c>
      <c r="AG13" s="14">
        <f>IF(COUNT(C13:P13)=0,"",IFERROR(C13/K13,0))</f>
        <v/>
      </c>
      <c r="AH13" s="17">
        <f>IF(COUNT(C13:P13)=0,"",IFERROR(M13/K13,0))</f>
        <v/>
      </c>
      <c r="AI13" s="14">
        <f>IF(COUNT(C13:P13)=0,"",IFERROR(C13/M13,0))</f>
        <v/>
      </c>
      <c r="AJ13" s="17">
        <f>IF(COUNT(C13:P13)=0,"",IFERROR(N13/M13,0))</f>
        <v/>
      </c>
      <c r="AK13" s="16">
        <f>IF(COUNT(C13:P13)=0,"",IFERROR(N13/H13,0))</f>
        <v/>
      </c>
      <c r="AL13" s="14">
        <f>IF(COUNT(C13:P13)=0,"",IFERROR(C13/N13,0))</f>
        <v/>
      </c>
      <c r="AM13" s="17">
        <f>IF(COUNT(C13:P13)=0,"",IFERROR(O13/N13,0))</f>
        <v/>
      </c>
      <c r="AN13" s="17">
        <f>IF(COUNT(C13:P13)=0,"",IFERROR(P13/N13,0))</f>
        <v/>
      </c>
      <c r="AO13" s="19">
        <f>IF(COUNT(C13:P13)=0,"",IFERROR(N13*Config!$C$7+O13*Config!$C$8+P13*Config!$C$9,0))</f>
        <v/>
      </c>
      <c r="AP13" s="14">
        <f>IF(COUNT(C13:P13)=0,"",IFERROR(AO13/N13,0))</f>
        <v/>
      </c>
      <c r="AQ13" s="19">
        <f>IF(COUNT(C13:P13)=0,"",IFERROR(AO13*(1-Config!$C$10-Config!$C$11-Config!$C$12),0))</f>
        <v/>
      </c>
      <c r="AR13" s="19">
        <f>IF(COUNT(C13:P13)=0,"",IFERROR(AQ13-C13-Config!$C$13,0))</f>
        <v/>
      </c>
      <c r="AS13" s="20">
        <f>IF(COUNT(C13:P13)=0,"",IFERROR(AQ13/C13,0))</f>
        <v/>
      </c>
      <c r="AT13" s="14">
        <f>IF(COUNT(C13:P13)=0,"",IFERROR(AR13/G13,0))</f>
        <v/>
      </c>
      <c r="AU13" s="20">
        <f>IF(COUNT(C13:P13)=0,"",IFERROR(AT13/V13,0))</f>
        <v/>
      </c>
      <c r="AV13" s="14">
        <f>IF(COUNT(C13:P13)=0,"",IFERROR(AR13/H13,0))</f>
        <v/>
      </c>
    </row>
    <row r="14">
      <c r="A14" s="11">
        <f>Config!$C$6+8</f>
        <v/>
      </c>
      <c r="B14" s="12">
        <f>INT((A14-Config!$C$6)/7)+1</f>
        <v/>
      </c>
      <c r="C14" s="9" t="n">
        <v>772</v>
      </c>
      <c r="D14" s="13" t="n">
        <v>178757</v>
      </c>
      <c r="E14" s="13" t="n">
        <v>107228</v>
      </c>
      <c r="F14" s="13" t="n">
        <v>4176</v>
      </c>
      <c r="G14" s="13" t="n">
        <v>3414</v>
      </c>
      <c r="H14" s="13" t="n">
        <v>737</v>
      </c>
      <c r="I14" s="13" t="n">
        <v>442</v>
      </c>
      <c r="J14" s="13" t="n">
        <v>494</v>
      </c>
      <c r="K14" s="13" t="n"/>
      <c r="L14" s="13" t="n"/>
      <c r="M14" s="13" t="n"/>
      <c r="N14" s="13" t="n"/>
      <c r="O14" s="13" t="n"/>
      <c r="P14" s="13" t="n"/>
      <c r="Q14" s="14">
        <f>IF(COUNT(C14:P14)=0,"",IFERROR(C14/D14*1000,0))</f>
        <v/>
      </c>
      <c r="R14" s="15">
        <f>IF(COUNT(C14:P14)=0,"",IFERROR(D14/E14,0))</f>
        <v/>
      </c>
      <c r="S14" s="16">
        <f>IF(COUNT(C14:P14)=0,"",IFERROR(F14/D14,0))</f>
        <v/>
      </c>
      <c r="T14" s="14">
        <f>IF(COUNT(C14:P14)=0,"",IFERROR(C14/F14,0))</f>
        <v/>
      </c>
      <c r="U14" s="17">
        <f>IF(COUNT(C14:P14)=0,"",IFERROR(G14/F14,0))</f>
        <v/>
      </c>
      <c r="V14" s="14">
        <f>IF(COUNT(C14:P14)=0,"",IFERROR(C14/G14,0))</f>
        <v/>
      </c>
      <c r="W14" s="18">
        <f>IF(COUNT(C14:P14)=0,"",IFERROR(G14/D14*1000,0))</f>
        <v/>
      </c>
      <c r="X14" s="17">
        <f>IF(COUNT(C14:P14)=0,"",IFERROR(H14/G14,0))</f>
        <v/>
      </c>
      <c r="Y14" s="14">
        <f>IF(COUNT(C14:P14)=0,"",IFERROR(C14/H14,0))</f>
        <v/>
      </c>
      <c r="Z14" s="14">
        <f>IF(COUNT(C14:P14)=0,"",IFERROR(C14/I14,0))</f>
        <v/>
      </c>
      <c r="AA14" s="17">
        <f>IF(COUNT(C14:P14)=0,"",IFERROR(Y14/Q14,0))</f>
        <v/>
      </c>
      <c r="AB14" s="18">
        <f>IF(COUNT(C14:P14)=0,"",IFERROR(H14/D14*1000,0))</f>
        <v/>
      </c>
      <c r="AC14" s="17">
        <f>IF(COUNT(C14:P14)=0,"",IFERROR(J14/H14,0))</f>
        <v/>
      </c>
      <c r="AD14" s="14">
        <f>IF(COUNT(C14:P14)=0,"",IFERROR(C14/J14,0))</f>
        <v/>
      </c>
      <c r="AE14" s="17">
        <f>IF(COUNT(C14:P14)=0,"",IFERROR(K14/H14,0))</f>
        <v/>
      </c>
      <c r="AF14" s="17">
        <f>IF(COUNT(C14:P14)=0,"",IFERROR(L14/H14,0))</f>
        <v/>
      </c>
      <c r="AG14" s="14">
        <f>IF(COUNT(C14:P14)=0,"",IFERROR(C14/K14,0))</f>
        <v/>
      </c>
      <c r="AH14" s="17">
        <f>IF(COUNT(C14:P14)=0,"",IFERROR(M14/K14,0))</f>
        <v/>
      </c>
      <c r="AI14" s="14">
        <f>IF(COUNT(C14:P14)=0,"",IFERROR(C14/M14,0))</f>
        <v/>
      </c>
      <c r="AJ14" s="17">
        <f>IF(COUNT(C14:P14)=0,"",IFERROR(N14/M14,0))</f>
        <v/>
      </c>
      <c r="AK14" s="16">
        <f>IF(COUNT(C14:P14)=0,"",IFERROR(N14/H14,0))</f>
        <v/>
      </c>
      <c r="AL14" s="14">
        <f>IF(COUNT(C14:P14)=0,"",IFERROR(C14/N14,0))</f>
        <v/>
      </c>
      <c r="AM14" s="17">
        <f>IF(COUNT(C14:P14)=0,"",IFERROR(O14/N14,0))</f>
        <v/>
      </c>
      <c r="AN14" s="17">
        <f>IF(COUNT(C14:P14)=0,"",IFERROR(P14/N14,0))</f>
        <v/>
      </c>
      <c r="AO14" s="19">
        <f>IF(COUNT(C14:P14)=0,"",IFERROR(N14*Config!$C$7+O14*Config!$C$8+P14*Config!$C$9,0))</f>
        <v/>
      </c>
      <c r="AP14" s="14">
        <f>IF(COUNT(C14:P14)=0,"",IFERROR(AO14/N14,0))</f>
        <v/>
      </c>
      <c r="AQ14" s="19">
        <f>IF(COUNT(C14:P14)=0,"",IFERROR(AO14*(1-Config!$C$10-Config!$C$11-Config!$C$12),0))</f>
        <v/>
      </c>
      <c r="AR14" s="19">
        <f>IF(COUNT(C14:P14)=0,"",IFERROR(AQ14-C14-Config!$C$13,0))</f>
        <v/>
      </c>
      <c r="AS14" s="20">
        <f>IF(COUNT(C14:P14)=0,"",IFERROR(AQ14/C14,0))</f>
        <v/>
      </c>
      <c r="AT14" s="14">
        <f>IF(COUNT(C14:P14)=0,"",IFERROR(AR14/G14,0))</f>
        <v/>
      </c>
      <c r="AU14" s="20">
        <f>IF(COUNT(C14:P14)=0,"",IFERROR(AT14/V14,0))</f>
        <v/>
      </c>
      <c r="AV14" s="14">
        <f>IF(COUNT(C14:P14)=0,"",IFERROR(AR14/H14,0))</f>
        <v/>
      </c>
    </row>
    <row r="15">
      <c r="A15" s="11">
        <f>Config!$C$6+9</f>
        <v/>
      </c>
      <c r="B15" s="12">
        <f>INT((A15-Config!$C$6)/7)+1</f>
        <v/>
      </c>
      <c r="C15" s="9" t="n">
        <v>766</v>
      </c>
      <c r="D15" s="13" t="n">
        <v>158995</v>
      </c>
      <c r="E15" s="13" t="n">
        <v>114884</v>
      </c>
      <c r="F15" s="13" t="n">
        <v>3548</v>
      </c>
      <c r="G15" s="13" t="n">
        <v>3153</v>
      </c>
      <c r="H15" s="13" t="n">
        <v>671</v>
      </c>
      <c r="I15" s="13" t="n">
        <v>403</v>
      </c>
      <c r="J15" s="13" t="n">
        <v>450</v>
      </c>
      <c r="K15" s="13" t="n"/>
      <c r="L15" s="13" t="n"/>
      <c r="M15" s="13" t="n"/>
      <c r="N15" s="13" t="n"/>
      <c r="O15" s="13" t="n"/>
      <c r="P15" s="13" t="n"/>
      <c r="Q15" s="14">
        <f>IF(COUNT(C15:P15)=0,"",IFERROR(C15/D15*1000,0))</f>
        <v/>
      </c>
      <c r="R15" s="15">
        <f>IF(COUNT(C15:P15)=0,"",IFERROR(D15/E15,0))</f>
        <v/>
      </c>
      <c r="S15" s="16">
        <f>IF(COUNT(C15:P15)=0,"",IFERROR(F15/D15,0))</f>
        <v/>
      </c>
      <c r="T15" s="14">
        <f>IF(COUNT(C15:P15)=0,"",IFERROR(C15/F15,0))</f>
        <v/>
      </c>
      <c r="U15" s="17">
        <f>IF(COUNT(C15:P15)=0,"",IFERROR(G15/F15,0))</f>
        <v/>
      </c>
      <c r="V15" s="14">
        <f>IF(COUNT(C15:P15)=0,"",IFERROR(C15/G15,0))</f>
        <v/>
      </c>
      <c r="W15" s="18">
        <f>IF(COUNT(C15:P15)=0,"",IFERROR(G15/D15*1000,0))</f>
        <v/>
      </c>
      <c r="X15" s="17">
        <f>IF(COUNT(C15:P15)=0,"",IFERROR(H15/G15,0))</f>
        <v/>
      </c>
      <c r="Y15" s="14">
        <f>IF(COUNT(C15:P15)=0,"",IFERROR(C15/H15,0))</f>
        <v/>
      </c>
      <c r="Z15" s="14">
        <f>IF(COUNT(C15:P15)=0,"",IFERROR(C15/I15,0))</f>
        <v/>
      </c>
      <c r="AA15" s="17">
        <f>IF(COUNT(C15:P15)=0,"",IFERROR(Y15/Q15,0))</f>
        <v/>
      </c>
      <c r="AB15" s="18">
        <f>IF(COUNT(C15:P15)=0,"",IFERROR(H15/D15*1000,0))</f>
        <v/>
      </c>
      <c r="AC15" s="17">
        <f>IF(COUNT(C15:P15)=0,"",IFERROR(J15/H15,0))</f>
        <v/>
      </c>
      <c r="AD15" s="14">
        <f>IF(COUNT(C15:P15)=0,"",IFERROR(C15/J15,0))</f>
        <v/>
      </c>
      <c r="AE15" s="17">
        <f>IF(COUNT(C15:P15)=0,"",IFERROR(K15/H15,0))</f>
        <v/>
      </c>
      <c r="AF15" s="17">
        <f>IF(COUNT(C15:P15)=0,"",IFERROR(L15/H15,0))</f>
        <v/>
      </c>
      <c r="AG15" s="14">
        <f>IF(COUNT(C15:P15)=0,"",IFERROR(C15/K15,0))</f>
        <v/>
      </c>
      <c r="AH15" s="17">
        <f>IF(COUNT(C15:P15)=0,"",IFERROR(M15/K15,0))</f>
        <v/>
      </c>
      <c r="AI15" s="14">
        <f>IF(COUNT(C15:P15)=0,"",IFERROR(C15/M15,0))</f>
        <v/>
      </c>
      <c r="AJ15" s="17">
        <f>IF(COUNT(C15:P15)=0,"",IFERROR(N15/M15,0))</f>
        <v/>
      </c>
      <c r="AK15" s="16">
        <f>IF(COUNT(C15:P15)=0,"",IFERROR(N15/H15,0))</f>
        <v/>
      </c>
      <c r="AL15" s="14">
        <f>IF(COUNT(C15:P15)=0,"",IFERROR(C15/N15,0))</f>
        <v/>
      </c>
      <c r="AM15" s="17">
        <f>IF(COUNT(C15:P15)=0,"",IFERROR(O15/N15,0))</f>
        <v/>
      </c>
      <c r="AN15" s="17">
        <f>IF(COUNT(C15:P15)=0,"",IFERROR(P15/N15,0))</f>
        <v/>
      </c>
      <c r="AO15" s="19">
        <f>IF(COUNT(C15:P15)=0,"",IFERROR(N15*Config!$C$7+O15*Config!$C$8+P15*Config!$C$9,0))</f>
        <v/>
      </c>
      <c r="AP15" s="14">
        <f>IF(COUNT(C15:P15)=0,"",IFERROR(AO15/N15,0))</f>
        <v/>
      </c>
      <c r="AQ15" s="19">
        <f>IF(COUNT(C15:P15)=0,"",IFERROR(AO15*(1-Config!$C$10-Config!$C$11-Config!$C$12),0))</f>
        <v/>
      </c>
      <c r="AR15" s="19">
        <f>IF(COUNT(C15:P15)=0,"",IFERROR(AQ15-C15-Config!$C$13,0))</f>
        <v/>
      </c>
      <c r="AS15" s="20">
        <f>IF(COUNT(C15:P15)=0,"",IFERROR(AQ15/C15,0))</f>
        <v/>
      </c>
      <c r="AT15" s="14">
        <f>IF(COUNT(C15:P15)=0,"",IFERROR(AR15/G15,0))</f>
        <v/>
      </c>
      <c r="AU15" s="20">
        <f>IF(COUNT(C15:P15)=0,"",IFERROR(AT15/V15,0))</f>
        <v/>
      </c>
      <c r="AV15" s="14">
        <f>IF(COUNT(C15:P15)=0,"",IFERROR(AR15/H15,0))</f>
        <v/>
      </c>
    </row>
    <row r="16">
      <c r="A16" s="11">
        <f>Config!$C$6+10</f>
        <v/>
      </c>
      <c r="B16" s="12">
        <f>INT((A16-Config!$C$6)/7)+1</f>
        <v/>
      </c>
      <c r="C16" s="9" t="n">
        <v>781</v>
      </c>
      <c r="D16" s="13" t="n">
        <v>167790</v>
      </c>
      <c r="E16" s="13" t="n">
        <v>123199</v>
      </c>
      <c r="F16" s="13" t="n">
        <v>3621</v>
      </c>
      <c r="G16" s="13" t="n">
        <v>3034</v>
      </c>
      <c r="H16" s="13" t="n">
        <v>659</v>
      </c>
      <c r="I16" s="13" t="n">
        <v>396</v>
      </c>
      <c r="J16" s="13" t="n">
        <v>442</v>
      </c>
      <c r="K16" s="13" t="n">
        <v>997</v>
      </c>
      <c r="L16" s="13" t="n">
        <v>1268</v>
      </c>
      <c r="M16" s="13" t="n">
        <v>96</v>
      </c>
      <c r="N16" s="13" t="n">
        <v>38</v>
      </c>
      <c r="O16" s="13" t="n">
        <v>8</v>
      </c>
      <c r="P16" s="13" t="n">
        <v>0</v>
      </c>
      <c r="Q16" s="14">
        <f>IF(COUNT(C16:P16)=0,"",IFERROR(C16/D16*1000,0))</f>
        <v/>
      </c>
      <c r="R16" s="15">
        <f>IF(COUNT(C16:P16)=0,"",IFERROR(D16/E16,0))</f>
        <v/>
      </c>
      <c r="S16" s="16">
        <f>IF(COUNT(C16:P16)=0,"",IFERROR(F16/D16,0))</f>
        <v/>
      </c>
      <c r="T16" s="14">
        <f>IF(COUNT(C16:P16)=0,"",IFERROR(C16/F16,0))</f>
        <v/>
      </c>
      <c r="U16" s="17">
        <f>IF(COUNT(C16:P16)=0,"",IFERROR(G16/F16,0))</f>
        <v/>
      </c>
      <c r="V16" s="14">
        <f>IF(COUNT(C16:P16)=0,"",IFERROR(C16/G16,0))</f>
        <v/>
      </c>
      <c r="W16" s="18">
        <f>IF(COUNT(C16:P16)=0,"",IFERROR(G16/D16*1000,0))</f>
        <v/>
      </c>
      <c r="X16" s="17">
        <f>IF(COUNT(C16:P16)=0,"",IFERROR(H16/G16,0))</f>
        <v/>
      </c>
      <c r="Y16" s="14">
        <f>IF(COUNT(C16:P16)=0,"",IFERROR(C16/H16,0))</f>
        <v/>
      </c>
      <c r="Z16" s="14">
        <f>IF(COUNT(C16:P16)=0,"",IFERROR(C16/I16,0))</f>
        <v/>
      </c>
      <c r="AA16" s="17">
        <f>IF(COUNT(C16:P16)=0,"",IFERROR(Y16/Q16,0))</f>
        <v/>
      </c>
      <c r="AB16" s="18">
        <f>IF(COUNT(C16:P16)=0,"",IFERROR(H16/D16*1000,0))</f>
        <v/>
      </c>
      <c r="AC16" s="17">
        <f>IF(COUNT(C16:P16)=0,"",IFERROR(J16/H16,0))</f>
        <v/>
      </c>
      <c r="AD16" s="14">
        <f>IF(COUNT(C16:P16)=0,"",IFERROR(C16/J16,0))</f>
        <v/>
      </c>
      <c r="AE16" s="17">
        <f>IF(COUNT(C16:P16)=0,"",IFERROR(K16/H16,0))</f>
        <v/>
      </c>
      <c r="AF16" s="17">
        <f>IF(COUNT(C16:P16)=0,"",IFERROR(L16/H16,0))</f>
        <v/>
      </c>
      <c r="AG16" s="14">
        <f>IF(COUNT(C16:P16)=0,"",IFERROR(C16/K16,0))</f>
        <v/>
      </c>
      <c r="AH16" s="17">
        <f>IF(COUNT(C16:P16)=0,"",IFERROR(M16/K16,0))</f>
        <v/>
      </c>
      <c r="AI16" s="14">
        <f>IF(COUNT(C16:P16)=0,"",IFERROR(C16/M16,0))</f>
        <v/>
      </c>
      <c r="AJ16" s="17">
        <f>IF(COUNT(C16:P16)=0,"",IFERROR(N16/M16,0))</f>
        <v/>
      </c>
      <c r="AK16" s="16">
        <f>IF(COUNT(C16:P16)=0,"",IFERROR(N16/H16,0))</f>
        <v/>
      </c>
      <c r="AL16" s="14">
        <f>IF(COUNT(C16:P16)=0,"",IFERROR(C16/N16,0))</f>
        <v/>
      </c>
      <c r="AM16" s="17">
        <f>IF(COUNT(C16:P16)=0,"",IFERROR(O16/N16,0))</f>
        <v/>
      </c>
      <c r="AN16" s="17">
        <f>IF(COUNT(C16:P16)=0,"",IFERROR(P16/N16,0))</f>
        <v/>
      </c>
      <c r="AO16" s="19">
        <f>IF(COUNT(C16:P16)=0,"",IFERROR(N16*Config!$C$7+O16*Config!$C$8+P16*Config!$C$9,0))</f>
        <v/>
      </c>
      <c r="AP16" s="14">
        <f>IF(COUNT(C16:P16)=0,"",IFERROR(AO16/N16,0))</f>
        <v/>
      </c>
      <c r="AQ16" s="19">
        <f>IF(COUNT(C16:P16)=0,"",IFERROR(AO16*(1-Config!$C$10-Config!$C$11-Config!$C$12),0))</f>
        <v/>
      </c>
      <c r="AR16" s="19">
        <f>IF(COUNT(C16:P16)=0,"",IFERROR(AQ16-C16-Config!$C$13,0))</f>
        <v/>
      </c>
      <c r="AS16" s="20">
        <f>IF(COUNT(C16:P16)=0,"",IFERROR(AQ16/C16,0))</f>
        <v/>
      </c>
      <c r="AT16" s="14">
        <f>IF(COUNT(C16:P16)=0,"",IFERROR(AR16/G16,0))</f>
        <v/>
      </c>
      <c r="AU16" s="20">
        <f>IF(COUNT(C16:P16)=0,"",IFERROR(AT16/V16,0))</f>
        <v/>
      </c>
      <c r="AV16" s="14">
        <f>IF(COUNT(C16:P16)=0,"",IFERROR(AR16/H16,0))</f>
        <v/>
      </c>
    </row>
    <row r="17">
      <c r="A17" s="11">
        <f>Config!$C$6+11</f>
        <v/>
      </c>
      <c r="B17" s="12">
        <f>INT((A17-Config!$C$6)/7)+1</f>
        <v/>
      </c>
      <c r="C17" s="9" t="n">
        <v>936</v>
      </c>
      <c r="D17" s="13" t="n">
        <v>223557</v>
      </c>
      <c r="E17" s="13" t="n">
        <v>152918</v>
      </c>
      <c r="F17" s="13" t="n">
        <v>5337</v>
      </c>
      <c r="G17" s="13" t="n">
        <v>4966</v>
      </c>
      <c r="H17" s="13" t="n">
        <v>1033</v>
      </c>
      <c r="I17" s="13" t="n">
        <v>620</v>
      </c>
      <c r="J17" s="13" t="n">
        <v>692</v>
      </c>
      <c r="K17" s="13" t="n"/>
      <c r="L17" s="13" t="n">
        <v>1588</v>
      </c>
      <c r="M17" s="13" t="n">
        <v>87</v>
      </c>
      <c r="N17" s="13" t="n">
        <v>35</v>
      </c>
      <c r="O17" s="13" t="n">
        <v>7</v>
      </c>
      <c r="P17" s="13" t="n">
        <v>2</v>
      </c>
      <c r="Q17" s="14">
        <f>IF(COUNT(C17:P17)=0,"",IFERROR(C17/D17*1000,0))</f>
        <v/>
      </c>
      <c r="R17" s="15">
        <f>IF(COUNT(C17:P17)=0,"",IFERROR(D17/E17,0))</f>
        <v/>
      </c>
      <c r="S17" s="16">
        <f>IF(COUNT(C17:P17)=0,"",IFERROR(F17/D17,0))</f>
        <v/>
      </c>
      <c r="T17" s="14">
        <f>IF(COUNT(C17:P17)=0,"",IFERROR(C17/F17,0))</f>
        <v/>
      </c>
      <c r="U17" s="17">
        <f>IF(COUNT(C17:P17)=0,"",IFERROR(G17/F17,0))</f>
        <v/>
      </c>
      <c r="V17" s="14">
        <f>IF(COUNT(C17:P17)=0,"",IFERROR(C17/G17,0))</f>
        <v/>
      </c>
      <c r="W17" s="18">
        <f>IF(COUNT(C17:P17)=0,"",IFERROR(G17/D17*1000,0))</f>
        <v/>
      </c>
      <c r="X17" s="17">
        <f>IF(COUNT(C17:P17)=0,"",IFERROR(H17/G17,0))</f>
        <v/>
      </c>
      <c r="Y17" s="14">
        <f>IF(COUNT(C17:P17)=0,"",IFERROR(C17/H17,0))</f>
        <v/>
      </c>
      <c r="Z17" s="14">
        <f>IF(COUNT(C17:P17)=0,"",IFERROR(C17/I17,0))</f>
        <v/>
      </c>
      <c r="AA17" s="17">
        <f>IF(COUNT(C17:P17)=0,"",IFERROR(Y17/Q17,0))</f>
        <v/>
      </c>
      <c r="AB17" s="18">
        <f>IF(COUNT(C17:P17)=0,"",IFERROR(H17/D17*1000,0))</f>
        <v/>
      </c>
      <c r="AC17" s="17">
        <f>IF(COUNT(C17:P17)=0,"",IFERROR(J17/H17,0))</f>
        <v/>
      </c>
      <c r="AD17" s="14">
        <f>IF(COUNT(C17:P17)=0,"",IFERROR(C17/J17,0))</f>
        <v/>
      </c>
      <c r="AE17" s="17">
        <f>IF(COUNT(C17:P17)=0,"",IFERROR(K17/H17,0))</f>
        <v/>
      </c>
      <c r="AF17" s="17">
        <f>IF(COUNT(C17:P17)=0,"",IFERROR(L17/H17,0))</f>
        <v/>
      </c>
      <c r="AG17" s="14">
        <f>IF(COUNT(C17:P17)=0,"",IFERROR(C17/K17,0))</f>
        <v/>
      </c>
      <c r="AH17" s="17">
        <f>IF(COUNT(C17:P17)=0,"",IFERROR(M17/K17,0))</f>
        <v/>
      </c>
      <c r="AI17" s="14">
        <f>IF(COUNT(C17:P17)=0,"",IFERROR(C17/M17,0))</f>
        <v/>
      </c>
      <c r="AJ17" s="17">
        <f>IF(COUNT(C17:P17)=0,"",IFERROR(N17/M17,0))</f>
        <v/>
      </c>
      <c r="AK17" s="16">
        <f>IF(COUNT(C17:P17)=0,"",IFERROR(N17/H17,0))</f>
        <v/>
      </c>
      <c r="AL17" s="14">
        <f>IF(COUNT(C17:P17)=0,"",IFERROR(C17/N17,0))</f>
        <v/>
      </c>
      <c r="AM17" s="17">
        <f>IF(COUNT(C17:P17)=0,"",IFERROR(O17/N17,0))</f>
        <v/>
      </c>
      <c r="AN17" s="17">
        <f>IF(COUNT(C17:P17)=0,"",IFERROR(P17/N17,0))</f>
        <v/>
      </c>
      <c r="AO17" s="19">
        <f>IF(COUNT(C17:P17)=0,"",IFERROR(N17*Config!$C$7+O17*Config!$C$8+P17*Config!$C$9,0))</f>
        <v/>
      </c>
      <c r="AP17" s="14">
        <f>IF(COUNT(C17:P17)=0,"",IFERROR(AO17/N17,0))</f>
        <v/>
      </c>
      <c r="AQ17" s="19">
        <f>IF(COUNT(C17:P17)=0,"",IFERROR(AO17*(1-Config!$C$10-Config!$C$11-Config!$C$12),0))</f>
        <v/>
      </c>
      <c r="AR17" s="19">
        <f>IF(COUNT(C17:P17)=0,"",IFERROR(AQ17-C17-Config!$C$13,0))</f>
        <v/>
      </c>
      <c r="AS17" s="20">
        <f>IF(COUNT(C17:P17)=0,"",IFERROR(AQ17/C17,0))</f>
        <v/>
      </c>
      <c r="AT17" s="14">
        <f>IF(COUNT(C17:P17)=0,"",IFERROR(AR17/G17,0))</f>
        <v/>
      </c>
      <c r="AU17" s="20">
        <f>IF(COUNT(C17:P17)=0,"",IFERROR(AT17/V17,0))</f>
        <v/>
      </c>
      <c r="AV17" s="14">
        <f>IF(COUNT(C17:P17)=0,"",IFERROR(AR17/H17,0))</f>
        <v/>
      </c>
    </row>
    <row r="18">
      <c r="A18" s="11">
        <f>Config!$C$6+12</f>
        <v/>
      </c>
      <c r="B18" s="12">
        <f>INT((A18-Config!$C$6)/7)+1</f>
        <v/>
      </c>
      <c r="C18" s="9" t="n">
        <v>807</v>
      </c>
      <c r="D18" s="13" t="n">
        <v>168377</v>
      </c>
      <c r="E18" s="13" t="n">
        <v>117056</v>
      </c>
      <c r="F18" s="13" t="n">
        <v>3523</v>
      </c>
      <c r="G18" s="13" t="n">
        <v>2846</v>
      </c>
      <c r="H18" s="13" t="n">
        <v>590</v>
      </c>
      <c r="I18" s="13" t="n">
        <v>354</v>
      </c>
      <c r="J18" s="13" t="n">
        <v>395</v>
      </c>
      <c r="K18" s="13" t="n"/>
      <c r="L18" s="13" t="n">
        <v>606</v>
      </c>
      <c r="M18" s="13" t="n">
        <v>31</v>
      </c>
      <c r="N18" s="13" t="n">
        <v>12</v>
      </c>
      <c r="O18" s="13" t="n">
        <v>2</v>
      </c>
      <c r="P18" s="13" t="n">
        <v>1</v>
      </c>
      <c r="Q18" s="14">
        <f>IF(COUNT(C18:P18)=0,"",IFERROR(C18/D18*1000,0))</f>
        <v/>
      </c>
      <c r="R18" s="15">
        <f>IF(COUNT(C18:P18)=0,"",IFERROR(D18/E18,0))</f>
        <v/>
      </c>
      <c r="S18" s="16">
        <f>IF(COUNT(C18:P18)=0,"",IFERROR(F18/D18,0))</f>
        <v/>
      </c>
      <c r="T18" s="14">
        <f>IF(COUNT(C18:P18)=0,"",IFERROR(C18/F18,0))</f>
        <v/>
      </c>
      <c r="U18" s="17">
        <f>IF(COUNT(C18:P18)=0,"",IFERROR(G18/F18,0))</f>
        <v/>
      </c>
      <c r="V18" s="14">
        <f>IF(COUNT(C18:P18)=0,"",IFERROR(C18/G18,0))</f>
        <v/>
      </c>
      <c r="W18" s="18">
        <f>IF(COUNT(C18:P18)=0,"",IFERROR(G18/D18*1000,0))</f>
        <v/>
      </c>
      <c r="X18" s="17">
        <f>IF(COUNT(C18:P18)=0,"",IFERROR(H18/G18,0))</f>
        <v/>
      </c>
      <c r="Y18" s="14">
        <f>IF(COUNT(C18:P18)=0,"",IFERROR(C18/H18,0))</f>
        <v/>
      </c>
      <c r="Z18" s="14">
        <f>IF(COUNT(C18:P18)=0,"",IFERROR(C18/I18,0))</f>
        <v/>
      </c>
      <c r="AA18" s="17">
        <f>IF(COUNT(C18:P18)=0,"",IFERROR(Y18/Q18,0))</f>
        <v/>
      </c>
      <c r="AB18" s="18">
        <f>IF(COUNT(C18:P18)=0,"",IFERROR(H18/D18*1000,0))</f>
        <v/>
      </c>
      <c r="AC18" s="17">
        <f>IF(COUNT(C18:P18)=0,"",IFERROR(J18/H18,0))</f>
        <v/>
      </c>
      <c r="AD18" s="14">
        <f>IF(COUNT(C18:P18)=0,"",IFERROR(C18/J18,0))</f>
        <v/>
      </c>
      <c r="AE18" s="17">
        <f>IF(COUNT(C18:P18)=0,"",IFERROR(K18/H18,0))</f>
        <v/>
      </c>
      <c r="AF18" s="17">
        <f>IF(COUNT(C18:P18)=0,"",IFERROR(L18/H18,0))</f>
        <v/>
      </c>
      <c r="AG18" s="14">
        <f>IF(COUNT(C18:P18)=0,"",IFERROR(C18/K18,0))</f>
        <v/>
      </c>
      <c r="AH18" s="17">
        <f>IF(COUNT(C18:P18)=0,"",IFERROR(M18/K18,0))</f>
        <v/>
      </c>
      <c r="AI18" s="14">
        <f>IF(COUNT(C18:P18)=0,"",IFERROR(C18/M18,0))</f>
        <v/>
      </c>
      <c r="AJ18" s="17">
        <f>IF(COUNT(C18:P18)=0,"",IFERROR(N18/M18,0))</f>
        <v/>
      </c>
      <c r="AK18" s="16">
        <f>IF(COUNT(C18:P18)=0,"",IFERROR(N18/H18,0))</f>
        <v/>
      </c>
      <c r="AL18" s="14">
        <f>IF(COUNT(C18:P18)=0,"",IFERROR(C18/N18,0))</f>
        <v/>
      </c>
      <c r="AM18" s="17">
        <f>IF(COUNT(C18:P18)=0,"",IFERROR(O18/N18,0))</f>
        <v/>
      </c>
      <c r="AN18" s="17">
        <f>IF(COUNT(C18:P18)=0,"",IFERROR(P18/N18,0))</f>
        <v/>
      </c>
      <c r="AO18" s="19">
        <f>IF(COUNT(C18:P18)=0,"",IFERROR(N18*Config!$C$7+O18*Config!$C$8+P18*Config!$C$9,0))</f>
        <v/>
      </c>
      <c r="AP18" s="14">
        <f>IF(COUNT(C18:P18)=0,"",IFERROR(AO18/N18,0))</f>
        <v/>
      </c>
      <c r="AQ18" s="19">
        <f>IF(COUNT(C18:P18)=0,"",IFERROR(AO18*(1-Config!$C$10-Config!$C$11-Config!$C$12),0))</f>
        <v/>
      </c>
      <c r="AR18" s="19">
        <f>IF(COUNT(C18:P18)=0,"",IFERROR(AQ18-C18-Config!$C$13,0))</f>
        <v/>
      </c>
      <c r="AS18" s="20">
        <f>IF(COUNT(C18:P18)=0,"",IFERROR(AQ18/C18,0))</f>
        <v/>
      </c>
      <c r="AT18" s="14">
        <f>IF(COUNT(C18:P18)=0,"",IFERROR(AR18/G18,0))</f>
        <v/>
      </c>
      <c r="AU18" s="20">
        <f>IF(COUNT(C18:P18)=0,"",IFERROR(AT18/V18,0))</f>
        <v/>
      </c>
      <c r="AV18" s="14">
        <f>IF(COUNT(C18:P18)=0,"",IFERROR(AR18/H18,0))</f>
        <v/>
      </c>
    </row>
    <row r="19">
      <c r="A19" s="11">
        <f>Config!$C$6+13</f>
        <v/>
      </c>
      <c r="B19" s="12">
        <f>INT((A19-Config!$C$6)/7)+1</f>
        <v/>
      </c>
      <c r="C19" s="9" t="n">
        <v>878</v>
      </c>
      <c r="D19" s="13" t="n">
        <v>201271</v>
      </c>
      <c r="E19" s="13" t="n">
        <v>135705</v>
      </c>
      <c r="F19" s="13" t="n">
        <v>4916</v>
      </c>
      <c r="G19" s="13" t="n">
        <v>4407</v>
      </c>
      <c r="H19" s="13" t="n">
        <v>1032</v>
      </c>
      <c r="I19" s="13" t="n">
        <v>619</v>
      </c>
      <c r="J19" s="13" t="n">
        <v>691</v>
      </c>
      <c r="K19" s="13" t="n"/>
      <c r="L19" s="13" t="n"/>
      <c r="M19" s="13" t="n"/>
      <c r="N19" s="13" t="n"/>
      <c r="O19" s="13" t="n"/>
      <c r="P19" s="13" t="n"/>
      <c r="Q19" s="14">
        <f>IF(COUNT(C19:P19)=0,"",IFERROR(C19/D19*1000,0))</f>
        <v/>
      </c>
      <c r="R19" s="15">
        <f>IF(COUNT(C19:P19)=0,"",IFERROR(D19/E19,0))</f>
        <v/>
      </c>
      <c r="S19" s="16">
        <f>IF(COUNT(C19:P19)=0,"",IFERROR(F19/D19,0))</f>
        <v/>
      </c>
      <c r="T19" s="14">
        <f>IF(COUNT(C19:P19)=0,"",IFERROR(C19/F19,0))</f>
        <v/>
      </c>
      <c r="U19" s="17">
        <f>IF(COUNT(C19:P19)=0,"",IFERROR(G19/F19,0))</f>
        <v/>
      </c>
      <c r="V19" s="14">
        <f>IF(COUNT(C19:P19)=0,"",IFERROR(C19/G19,0))</f>
        <v/>
      </c>
      <c r="W19" s="18">
        <f>IF(COUNT(C19:P19)=0,"",IFERROR(G19/D19*1000,0))</f>
        <v/>
      </c>
      <c r="X19" s="17">
        <f>IF(COUNT(C19:P19)=0,"",IFERROR(H19/G19,0))</f>
        <v/>
      </c>
      <c r="Y19" s="14">
        <f>IF(COUNT(C19:P19)=0,"",IFERROR(C19/H19,0))</f>
        <v/>
      </c>
      <c r="Z19" s="14">
        <f>IF(COUNT(C19:P19)=0,"",IFERROR(C19/I19,0))</f>
        <v/>
      </c>
      <c r="AA19" s="17">
        <f>IF(COUNT(C19:P19)=0,"",IFERROR(Y19/Q19,0))</f>
        <v/>
      </c>
      <c r="AB19" s="18">
        <f>IF(COUNT(C19:P19)=0,"",IFERROR(H19/D19*1000,0))</f>
        <v/>
      </c>
      <c r="AC19" s="17">
        <f>IF(COUNT(C19:P19)=0,"",IFERROR(J19/H19,0))</f>
        <v/>
      </c>
      <c r="AD19" s="14">
        <f>IF(COUNT(C19:P19)=0,"",IFERROR(C19/J19,0))</f>
        <v/>
      </c>
      <c r="AE19" s="17">
        <f>IF(COUNT(C19:P19)=0,"",IFERROR(K19/H19,0))</f>
        <v/>
      </c>
      <c r="AF19" s="17">
        <f>IF(COUNT(C19:P19)=0,"",IFERROR(L19/H19,0))</f>
        <v/>
      </c>
      <c r="AG19" s="14">
        <f>IF(COUNT(C19:P19)=0,"",IFERROR(C19/K19,0))</f>
        <v/>
      </c>
      <c r="AH19" s="17">
        <f>IF(COUNT(C19:P19)=0,"",IFERROR(M19/K19,0))</f>
        <v/>
      </c>
      <c r="AI19" s="14">
        <f>IF(COUNT(C19:P19)=0,"",IFERROR(C19/M19,0))</f>
        <v/>
      </c>
      <c r="AJ19" s="17">
        <f>IF(COUNT(C19:P19)=0,"",IFERROR(N19/M19,0))</f>
        <v/>
      </c>
      <c r="AK19" s="16">
        <f>IF(COUNT(C19:P19)=0,"",IFERROR(N19/H19,0))</f>
        <v/>
      </c>
      <c r="AL19" s="14">
        <f>IF(COUNT(C19:P19)=0,"",IFERROR(C19/N19,0))</f>
        <v/>
      </c>
      <c r="AM19" s="17">
        <f>IF(COUNT(C19:P19)=0,"",IFERROR(O19/N19,0))</f>
        <v/>
      </c>
      <c r="AN19" s="17">
        <f>IF(COUNT(C19:P19)=0,"",IFERROR(P19/N19,0))</f>
        <v/>
      </c>
      <c r="AO19" s="19">
        <f>IF(COUNT(C19:P19)=0,"",IFERROR(N19*Config!$C$7+O19*Config!$C$8+P19*Config!$C$9,0))</f>
        <v/>
      </c>
      <c r="AP19" s="14">
        <f>IF(COUNT(C19:P19)=0,"",IFERROR(AO19/N19,0))</f>
        <v/>
      </c>
      <c r="AQ19" s="19">
        <f>IF(COUNT(C19:P19)=0,"",IFERROR(AO19*(1-Config!$C$10-Config!$C$11-Config!$C$12),0))</f>
        <v/>
      </c>
      <c r="AR19" s="19">
        <f>IF(COUNT(C19:P19)=0,"",IFERROR(AQ19-C19-Config!$C$13,0))</f>
        <v/>
      </c>
      <c r="AS19" s="20">
        <f>IF(COUNT(C19:P19)=0,"",IFERROR(AQ19/C19,0))</f>
        <v/>
      </c>
      <c r="AT19" s="14">
        <f>IF(COUNT(C19:P19)=0,"",IFERROR(AR19/G19,0))</f>
        <v/>
      </c>
      <c r="AU19" s="20">
        <f>IF(COUNT(C19:P19)=0,"",IFERROR(AT19/V19,0))</f>
        <v/>
      </c>
      <c r="AV19" s="14">
        <f>IF(COUNT(C19:P19)=0,"",IFERROR(AR19/H19,0))</f>
        <v/>
      </c>
    </row>
    <row r="20">
      <c r="A20" s="11">
        <f>Config!$C$6+14</f>
        <v/>
      </c>
      <c r="B20" s="12">
        <f>INT((A20-Config!$C$6)/7)+1</f>
        <v/>
      </c>
      <c r="C20" s="9" t="n">
        <v>792</v>
      </c>
      <c r="D20" s="13" t="n">
        <v>191875</v>
      </c>
      <c r="E20" s="13" t="n">
        <v>116497</v>
      </c>
      <c r="F20" s="13" t="n">
        <v>4543</v>
      </c>
      <c r="G20" s="13" t="n">
        <v>3843</v>
      </c>
      <c r="H20" s="13" t="n">
        <v>818</v>
      </c>
      <c r="I20" s="13" t="n">
        <v>491</v>
      </c>
      <c r="J20" s="13" t="n">
        <v>548</v>
      </c>
      <c r="K20" s="13" t="n"/>
      <c r="L20" s="13" t="n"/>
      <c r="M20" s="13" t="n"/>
      <c r="N20" s="13" t="n"/>
      <c r="O20" s="13" t="n"/>
      <c r="P20" s="13" t="n"/>
      <c r="Q20" s="14">
        <f>IF(COUNT(C20:P20)=0,"",IFERROR(C20/D20*1000,0))</f>
        <v/>
      </c>
      <c r="R20" s="15">
        <f>IF(COUNT(C20:P20)=0,"",IFERROR(D20/E20,0))</f>
        <v/>
      </c>
      <c r="S20" s="16">
        <f>IF(COUNT(C20:P20)=0,"",IFERROR(F20/D20,0))</f>
        <v/>
      </c>
      <c r="T20" s="14">
        <f>IF(COUNT(C20:P20)=0,"",IFERROR(C20/F20,0))</f>
        <v/>
      </c>
      <c r="U20" s="17">
        <f>IF(COUNT(C20:P20)=0,"",IFERROR(G20/F20,0))</f>
        <v/>
      </c>
      <c r="V20" s="14">
        <f>IF(COUNT(C20:P20)=0,"",IFERROR(C20/G20,0))</f>
        <v/>
      </c>
      <c r="W20" s="18">
        <f>IF(COUNT(C20:P20)=0,"",IFERROR(G20/D20*1000,0))</f>
        <v/>
      </c>
      <c r="X20" s="17">
        <f>IF(COUNT(C20:P20)=0,"",IFERROR(H20/G20,0))</f>
        <v/>
      </c>
      <c r="Y20" s="14">
        <f>IF(COUNT(C20:P20)=0,"",IFERROR(C20/H20,0))</f>
        <v/>
      </c>
      <c r="Z20" s="14">
        <f>IF(COUNT(C20:P20)=0,"",IFERROR(C20/I20,0))</f>
        <v/>
      </c>
      <c r="AA20" s="17">
        <f>IF(COUNT(C20:P20)=0,"",IFERROR(Y20/Q20,0))</f>
        <v/>
      </c>
      <c r="AB20" s="18">
        <f>IF(COUNT(C20:P20)=0,"",IFERROR(H20/D20*1000,0))</f>
        <v/>
      </c>
      <c r="AC20" s="17">
        <f>IF(COUNT(C20:P20)=0,"",IFERROR(J20/H20,0))</f>
        <v/>
      </c>
      <c r="AD20" s="14">
        <f>IF(COUNT(C20:P20)=0,"",IFERROR(C20/J20,0))</f>
        <v/>
      </c>
      <c r="AE20" s="17">
        <f>IF(COUNT(C20:P20)=0,"",IFERROR(K20/H20,0))</f>
        <v/>
      </c>
      <c r="AF20" s="17">
        <f>IF(COUNT(C20:P20)=0,"",IFERROR(L20/H20,0))</f>
        <v/>
      </c>
      <c r="AG20" s="14">
        <f>IF(COUNT(C20:P20)=0,"",IFERROR(C20/K20,0))</f>
        <v/>
      </c>
      <c r="AH20" s="17">
        <f>IF(COUNT(C20:P20)=0,"",IFERROR(M20/K20,0))</f>
        <v/>
      </c>
      <c r="AI20" s="14">
        <f>IF(COUNT(C20:P20)=0,"",IFERROR(C20/M20,0))</f>
        <v/>
      </c>
      <c r="AJ20" s="17">
        <f>IF(COUNT(C20:P20)=0,"",IFERROR(N20/M20,0))</f>
        <v/>
      </c>
      <c r="AK20" s="16">
        <f>IF(COUNT(C20:P20)=0,"",IFERROR(N20/H20,0))</f>
        <v/>
      </c>
      <c r="AL20" s="14">
        <f>IF(COUNT(C20:P20)=0,"",IFERROR(C20/N20,0))</f>
        <v/>
      </c>
      <c r="AM20" s="17">
        <f>IF(COUNT(C20:P20)=0,"",IFERROR(O20/N20,0))</f>
        <v/>
      </c>
      <c r="AN20" s="17">
        <f>IF(COUNT(C20:P20)=0,"",IFERROR(P20/N20,0))</f>
        <v/>
      </c>
      <c r="AO20" s="19">
        <f>IF(COUNT(C20:P20)=0,"",IFERROR(N20*Config!$C$7+O20*Config!$C$8+P20*Config!$C$9,0))</f>
        <v/>
      </c>
      <c r="AP20" s="14">
        <f>IF(COUNT(C20:P20)=0,"",IFERROR(AO20/N20,0))</f>
        <v/>
      </c>
      <c r="AQ20" s="19">
        <f>IF(COUNT(C20:P20)=0,"",IFERROR(AO20*(1-Config!$C$10-Config!$C$11-Config!$C$12),0))</f>
        <v/>
      </c>
      <c r="AR20" s="19">
        <f>IF(COUNT(C20:P20)=0,"",IFERROR(AQ20-C20-Config!$C$13,0))</f>
        <v/>
      </c>
      <c r="AS20" s="20">
        <f>IF(COUNT(C20:P20)=0,"",IFERROR(AQ20/C20,0))</f>
        <v/>
      </c>
      <c r="AT20" s="14">
        <f>IF(COUNT(C20:P20)=0,"",IFERROR(AR20/G20,0))</f>
        <v/>
      </c>
      <c r="AU20" s="20">
        <f>IF(COUNT(C20:P20)=0,"",IFERROR(AT20/V20,0))</f>
        <v/>
      </c>
      <c r="AV20" s="14">
        <f>IF(COUNT(C20:P20)=0,"",IFERROR(AR20/H20,0))</f>
        <v/>
      </c>
    </row>
    <row r="21">
      <c r="A21" s="11">
        <f>Config!$C$6+15</f>
        <v/>
      </c>
      <c r="B21" s="12">
        <f>INT((A21-Config!$C$6)/7)+1</f>
        <v/>
      </c>
      <c r="C21" s="9" t="n">
        <v>948</v>
      </c>
      <c r="D21" s="13" t="n">
        <v>227112</v>
      </c>
      <c r="E21" s="13" t="n">
        <v>136646</v>
      </c>
      <c r="F21" s="13" t="n">
        <v>5455</v>
      </c>
      <c r="G21" s="13" t="n">
        <v>5031</v>
      </c>
      <c r="H21" s="13" t="n">
        <v>1135</v>
      </c>
      <c r="I21" s="13" t="n">
        <v>681</v>
      </c>
      <c r="J21" s="13" t="n">
        <v>761</v>
      </c>
      <c r="K21" s="13" t="n"/>
      <c r="L21" s="13" t="n"/>
      <c r="M21" s="13" t="n"/>
      <c r="N21" s="13" t="n"/>
      <c r="O21" s="13" t="n"/>
      <c r="P21" s="13" t="n"/>
      <c r="Q21" s="14">
        <f>IF(COUNT(C21:P21)=0,"",IFERROR(C21/D21*1000,0))</f>
        <v/>
      </c>
      <c r="R21" s="15">
        <f>IF(COUNT(C21:P21)=0,"",IFERROR(D21/E21,0))</f>
        <v/>
      </c>
      <c r="S21" s="16">
        <f>IF(COUNT(C21:P21)=0,"",IFERROR(F21/D21,0))</f>
        <v/>
      </c>
      <c r="T21" s="14">
        <f>IF(COUNT(C21:P21)=0,"",IFERROR(C21/F21,0))</f>
        <v/>
      </c>
      <c r="U21" s="17">
        <f>IF(COUNT(C21:P21)=0,"",IFERROR(G21/F21,0))</f>
        <v/>
      </c>
      <c r="V21" s="14">
        <f>IF(COUNT(C21:P21)=0,"",IFERROR(C21/G21,0))</f>
        <v/>
      </c>
      <c r="W21" s="18">
        <f>IF(COUNT(C21:P21)=0,"",IFERROR(G21/D21*1000,0))</f>
        <v/>
      </c>
      <c r="X21" s="17">
        <f>IF(COUNT(C21:P21)=0,"",IFERROR(H21/G21,0))</f>
        <v/>
      </c>
      <c r="Y21" s="14">
        <f>IF(COUNT(C21:P21)=0,"",IFERROR(C21/H21,0))</f>
        <v/>
      </c>
      <c r="Z21" s="14">
        <f>IF(COUNT(C21:P21)=0,"",IFERROR(C21/I21,0))</f>
        <v/>
      </c>
      <c r="AA21" s="17">
        <f>IF(COUNT(C21:P21)=0,"",IFERROR(Y21/Q21,0))</f>
        <v/>
      </c>
      <c r="AB21" s="18">
        <f>IF(COUNT(C21:P21)=0,"",IFERROR(H21/D21*1000,0))</f>
        <v/>
      </c>
      <c r="AC21" s="17">
        <f>IF(COUNT(C21:P21)=0,"",IFERROR(J21/H21,0))</f>
        <v/>
      </c>
      <c r="AD21" s="14">
        <f>IF(COUNT(C21:P21)=0,"",IFERROR(C21/J21,0))</f>
        <v/>
      </c>
      <c r="AE21" s="17">
        <f>IF(COUNT(C21:P21)=0,"",IFERROR(K21/H21,0))</f>
        <v/>
      </c>
      <c r="AF21" s="17">
        <f>IF(COUNT(C21:P21)=0,"",IFERROR(L21/H21,0))</f>
        <v/>
      </c>
      <c r="AG21" s="14">
        <f>IF(COUNT(C21:P21)=0,"",IFERROR(C21/K21,0))</f>
        <v/>
      </c>
      <c r="AH21" s="17">
        <f>IF(COUNT(C21:P21)=0,"",IFERROR(M21/K21,0))</f>
        <v/>
      </c>
      <c r="AI21" s="14">
        <f>IF(COUNT(C21:P21)=0,"",IFERROR(C21/M21,0))</f>
        <v/>
      </c>
      <c r="AJ21" s="17">
        <f>IF(COUNT(C21:P21)=0,"",IFERROR(N21/M21,0))</f>
        <v/>
      </c>
      <c r="AK21" s="16">
        <f>IF(COUNT(C21:P21)=0,"",IFERROR(N21/H21,0))</f>
        <v/>
      </c>
      <c r="AL21" s="14">
        <f>IF(COUNT(C21:P21)=0,"",IFERROR(C21/N21,0))</f>
        <v/>
      </c>
      <c r="AM21" s="17">
        <f>IF(COUNT(C21:P21)=0,"",IFERROR(O21/N21,0))</f>
        <v/>
      </c>
      <c r="AN21" s="17">
        <f>IF(COUNT(C21:P21)=0,"",IFERROR(P21/N21,0))</f>
        <v/>
      </c>
      <c r="AO21" s="19">
        <f>IF(COUNT(C21:P21)=0,"",IFERROR(N21*Config!$C$7+O21*Config!$C$8+P21*Config!$C$9,0))</f>
        <v/>
      </c>
      <c r="AP21" s="14">
        <f>IF(COUNT(C21:P21)=0,"",IFERROR(AO21/N21,0))</f>
        <v/>
      </c>
      <c r="AQ21" s="19">
        <f>IF(COUNT(C21:P21)=0,"",IFERROR(AO21*(1-Config!$C$10-Config!$C$11-Config!$C$12),0))</f>
        <v/>
      </c>
      <c r="AR21" s="19">
        <f>IF(COUNT(C21:P21)=0,"",IFERROR(AQ21-C21-Config!$C$13,0))</f>
        <v/>
      </c>
      <c r="AS21" s="20">
        <f>IF(COUNT(C21:P21)=0,"",IFERROR(AQ21/C21,0))</f>
        <v/>
      </c>
      <c r="AT21" s="14">
        <f>IF(COUNT(C21:P21)=0,"",IFERROR(AR21/G21,0))</f>
        <v/>
      </c>
      <c r="AU21" s="20">
        <f>IF(COUNT(C21:P21)=0,"",IFERROR(AT21/V21,0))</f>
        <v/>
      </c>
      <c r="AV21" s="14">
        <f>IF(COUNT(C21:P21)=0,"",IFERROR(AR21/H21,0))</f>
        <v/>
      </c>
    </row>
    <row r="22">
      <c r="A22" s="11">
        <f>Config!$C$6+16</f>
        <v/>
      </c>
      <c r="B22" s="12">
        <f>INT((A22-Config!$C$6)/7)+1</f>
        <v/>
      </c>
      <c r="C22" s="9" t="n">
        <v>762</v>
      </c>
      <c r="D22" s="13" t="n">
        <v>152433</v>
      </c>
      <c r="E22" s="13" t="n">
        <v>108430</v>
      </c>
      <c r="F22" s="13" t="n">
        <v>3518</v>
      </c>
      <c r="G22" s="13" t="n">
        <v>2982</v>
      </c>
      <c r="H22" s="13" t="n">
        <v>739</v>
      </c>
      <c r="I22" s="13" t="n">
        <v>443</v>
      </c>
      <c r="J22" s="13" t="n">
        <v>495</v>
      </c>
      <c r="K22" s="13" t="n"/>
      <c r="L22" s="13" t="n"/>
      <c r="M22" s="13" t="n"/>
      <c r="N22" s="13" t="n"/>
      <c r="O22" s="13" t="n"/>
      <c r="P22" s="13" t="n"/>
      <c r="Q22" s="14">
        <f>IF(COUNT(C22:P22)=0,"",IFERROR(C22/D22*1000,0))</f>
        <v/>
      </c>
      <c r="R22" s="15">
        <f>IF(COUNT(C22:P22)=0,"",IFERROR(D22/E22,0))</f>
        <v/>
      </c>
      <c r="S22" s="16">
        <f>IF(COUNT(C22:P22)=0,"",IFERROR(F22/D22,0))</f>
        <v/>
      </c>
      <c r="T22" s="14">
        <f>IF(COUNT(C22:P22)=0,"",IFERROR(C22/F22,0))</f>
        <v/>
      </c>
      <c r="U22" s="17">
        <f>IF(COUNT(C22:P22)=0,"",IFERROR(G22/F22,0))</f>
        <v/>
      </c>
      <c r="V22" s="14">
        <f>IF(COUNT(C22:P22)=0,"",IFERROR(C22/G22,0))</f>
        <v/>
      </c>
      <c r="W22" s="18">
        <f>IF(COUNT(C22:P22)=0,"",IFERROR(G22/D22*1000,0))</f>
        <v/>
      </c>
      <c r="X22" s="17">
        <f>IF(COUNT(C22:P22)=0,"",IFERROR(H22/G22,0))</f>
        <v/>
      </c>
      <c r="Y22" s="14">
        <f>IF(COUNT(C22:P22)=0,"",IFERROR(C22/H22,0))</f>
        <v/>
      </c>
      <c r="Z22" s="14">
        <f>IF(COUNT(C22:P22)=0,"",IFERROR(C22/I22,0))</f>
        <v/>
      </c>
      <c r="AA22" s="17">
        <f>IF(COUNT(C22:P22)=0,"",IFERROR(Y22/Q22,0))</f>
        <v/>
      </c>
      <c r="AB22" s="18">
        <f>IF(COUNT(C22:P22)=0,"",IFERROR(H22/D22*1000,0))</f>
        <v/>
      </c>
      <c r="AC22" s="17">
        <f>IF(COUNT(C22:P22)=0,"",IFERROR(J22/H22,0))</f>
        <v/>
      </c>
      <c r="AD22" s="14">
        <f>IF(COUNT(C22:P22)=0,"",IFERROR(C22/J22,0))</f>
        <v/>
      </c>
      <c r="AE22" s="17">
        <f>IF(COUNT(C22:P22)=0,"",IFERROR(K22/H22,0))</f>
        <v/>
      </c>
      <c r="AF22" s="17">
        <f>IF(COUNT(C22:P22)=0,"",IFERROR(L22/H22,0))</f>
        <v/>
      </c>
      <c r="AG22" s="14">
        <f>IF(COUNT(C22:P22)=0,"",IFERROR(C22/K22,0))</f>
        <v/>
      </c>
      <c r="AH22" s="17">
        <f>IF(COUNT(C22:P22)=0,"",IFERROR(M22/K22,0))</f>
        <v/>
      </c>
      <c r="AI22" s="14">
        <f>IF(COUNT(C22:P22)=0,"",IFERROR(C22/M22,0))</f>
        <v/>
      </c>
      <c r="AJ22" s="17">
        <f>IF(COUNT(C22:P22)=0,"",IFERROR(N22/M22,0))</f>
        <v/>
      </c>
      <c r="AK22" s="16">
        <f>IF(COUNT(C22:P22)=0,"",IFERROR(N22/H22,0))</f>
        <v/>
      </c>
      <c r="AL22" s="14">
        <f>IF(COUNT(C22:P22)=0,"",IFERROR(C22/N22,0))</f>
        <v/>
      </c>
      <c r="AM22" s="17">
        <f>IF(COUNT(C22:P22)=0,"",IFERROR(O22/N22,0))</f>
        <v/>
      </c>
      <c r="AN22" s="17">
        <f>IF(COUNT(C22:P22)=0,"",IFERROR(P22/N22,0))</f>
        <v/>
      </c>
      <c r="AO22" s="19">
        <f>IF(COUNT(C22:P22)=0,"",IFERROR(N22*Config!$C$7+O22*Config!$C$8+P22*Config!$C$9,0))</f>
        <v/>
      </c>
      <c r="AP22" s="14">
        <f>IF(COUNT(C22:P22)=0,"",IFERROR(AO22/N22,0))</f>
        <v/>
      </c>
      <c r="AQ22" s="19">
        <f>IF(COUNT(C22:P22)=0,"",IFERROR(AO22*(1-Config!$C$10-Config!$C$11-Config!$C$12),0))</f>
        <v/>
      </c>
      <c r="AR22" s="19">
        <f>IF(COUNT(C22:P22)=0,"",IFERROR(AQ22-C22-Config!$C$13,0))</f>
        <v/>
      </c>
      <c r="AS22" s="20">
        <f>IF(COUNT(C22:P22)=0,"",IFERROR(AQ22/C22,0))</f>
        <v/>
      </c>
      <c r="AT22" s="14">
        <f>IF(COUNT(C22:P22)=0,"",IFERROR(AR22/G22,0))</f>
        <v/>
      </c>
      <c r="AU22" s="20">
        <f>IF(COUNT(C22:P22)=0,"",IFERROR(AT22/V22,0))</f>
        <v/>
      </c>
      <c r="AV22" s="14">
        <f>IF(COUNT(C22:P22)=0,"",IFERROR(AR22/H22,0))</f>
        <v/>
      </c>
    </row>
    <row r="23">
      <c r="A23" s="11">
        <f>Config!$C$6+17</f>
        <v/>
      </c>
      <c r="B23" s="12">
        <f>INT((A23-Config!$C$6)/7)+1</f>
        <v/>
      </c>
      <c r="C23" s="9" t="n">
        <v>815</v>
      </c>
      <c r="D23" s="13" t="n">
        <v>196294</v>
      </c>
      <c r="E23" s="13" t="n">
        <v>124289</v>
      </c>
      <c r="F23" s="13" t="n">
        <v>3872</v>
      </c>
      <c r="G23" s="13" t="n">
        <v>3257</v>
      </c>
      <c r="H23" s="13" t="n">
        <v>760</v>
      </c>
      <c r="I23" s="13" t="n">
        <v>456</v>
      </c>
      <c r="J23" s="13" t="n">
        <v>509</v>
      </c>
      <c r="K23" s="13" t="n">
        <v>955</v>
      </c>
      <c r="L23" s="13" t="n">
        <v>1251</v>
      </c>
      <c r="M23" s="13" t="n">
        <v>91</v>
      </c>
      <c r="N23" s="13" t="n">
        <v>37</v>
      </c>
      <c r="O23" s="13" t="n">
        <v>7</v>
      </c>
      <c r="P23" s="13" t="n">
        <v>0</v>
      </c>
      <c r="Q23" s="14">
        <f>IF(COUNT(C23:P23)=0,"",IFERROR(C23/D23*1000,0))</f>
        <v/>
      </c>
      <c r="R23" s="15">
        <f>IF(COUNT(C23:P23)=0,"",IFERROR(D23/E23,0))</f>
        <v/>
      </c>
      <c r="S23" s="16">
        <f>IF(COUNT(C23:P23)=0,"",IFERROR(F23/D23,0))</f>
        <v/>
      </c>
      <c r="T23" s="14">
        <f>IF(COUNT(C23:P23)=0,"",IFERROR(C23/F23,0))</f>
        <v/>
      </c>
      <c r="U23" s="17">
        <f>IF(COUNT(C23:P23)=0,"",IFERROR(G23/F23,0))</f>
        <v/>
      </c>
      <c r="V23" s="14">
        <f>IF(COUNT(C23:P23)=0,"",IFERROR(C23/G23,0))</f>
        <v/>
      </c>
      <c r="W23" s="18">
        <f>IF(COUNT(C23:P23)=0,"",IFERROR(G23/D23*1000,0))</f>
        <v/>
      </c>
      <c r="X23" s="17">
        <f>IF(COUNT(C23:P23)=0,"",IFERROR(H23/G23,0))</f>
        <v/>
      </c>
      <c r="Y23" s="14">
        <f>IF(COUNT(C23:P23)=0,"",IFERROR(C23/H23,0))</f>
        <v/>
      </c>
      <c r="Z23" s="14">
        <f>IF(COUNT(C23:P23)=0,"",IFERROR(C23/I23,0))</f>
        <v/>
      </c>
      <c r="AA23" s="17">
        <f>IF(COUNT(C23:P23)=0,"",IFERROR(Y23/Q23,0))</f>
        <v/>
      </c>
      <c r="AB23" s="18">
        <f>IF(COUNT(C23:P23)=0,"",IFERROR(H23/D23*1000,0))</f>
        <v/>
      </c>
      <c r="AC23" s="17">
        <f>IF(COUNT(C23:P23)=0,"",IFERROR(J23/H23,0))</f>
        <v/>
      </c>
      <c r="AD23" s="14">
        <f>IF(COUNT(C23:P23)=0,"",IFERROR(C23/J23,0))</f>
        <v/>
      </c>
      <c r="AE23" s="17">
        <f>IF(COUNT(C23:P23)=0,"",IFERROR(K23/H23,0))</f>
        <v/>
      </c>
      <c r="AF23" s="17">
        <f>IF(COUNT(C23:P23)=0,"",IFERROR(L23/H23,0))</f>
        <v/>
      </c>
      <c r="AG23" s="14">
        <f>IF(COUNT(C23:P23)=0,"",IFERROR(C23/K23,0))</f>
        <v/>
      </c>
      <c r="AH23" s="17">
        <f>IF(COUNT(C23:P23)=0,"",IFERROR(M23/K23,0))</f>
        <v/>
      </c>
      <c r="AI23" s="14">
        <f>IF(COUNT(C23:P23)=0,"",IFERROR(C23/M23,0))</f>
        <v/>
      </c>
      <c r="AJ23" s="17">
        <f>IF(COUNT(C23:P23)=0,"",IFERROR(N23/M23,0))</f>
        <v/>
      </c>
      <c r="AK23" s="16">
        <f>IF(COUNT(C23:P23)=0,"",IFERROR(N23/H23,0))</f>
        <v/>
      </c>
      <c r="AL23" s="14">
        <f>IF(COUNT(C23:P23)=0,"",IFERROR(C23/N23,0))</f>
        <v/>
      </c>
      <c r="AM23" s="17">
        <f>IF(COUNT(C23:P23)=0,"",IFERROR(O23/N23,0))</f>
        <v/>
      </c>
      <c r="AN23" s="17">
        <f>IF(COUNT(C23:P23)=0,"",IFERROR(P23/N23,0))</f>
        <v/>
      </c>
      <c r="AO23" s="19">
        <f>IF(COUNT(C23:P23)=0,"",IFERROR(N23*Config!$C$7+O23*Config!$C$8+P23*Config!$C$9,0))</f>
        <v/>
      </c>
      <c r="AP23" s="14">
        <f>IF(COUNT(C23:P23)=0,"",IFERROR(AO23/N23,0))</f>
        <v/>
      </c>
      <c r="AQ23" s="19">
        <f>IF(COUNT(C23:P23)=0,"",IFERROR(AO23*(1-Config!$C$10-Config!$C$11-Config!$C$12),0))</f>
        <v/>
      </c>
      <c r="AR23" s="19">
        <f>IF(COUNT(C23:P23)=0,"",IFERROR(AQ23-C23-Config!$C$13,0))</f>
        <v/>
      </c>
      <c r="AS23" s="20">
        <f>IF(COUNT(C23:P23)=0,"",IFERROR(AQ23/C23,0))</f>
        <v/>
      </c>
      <c r="AT23" s="14">
        <f>IF(COUNT(C23:P23)=0,"",IFERROR(AR23/G23,0))</f>
        <v/>
      </c>
      <c r="AU23" s="20">
        <f>IF(COUNT(C23:P23)=0,"",IFERROR(AT23/V23,0))</f>
        <v/>
      </c>
      <c r="AV23" s="14">
        <f>IF(COUNT(C23:P23)=0,"",IFERROR(AR23/H23,0))</f>
        <v/>
      </c>
    </row>
    <row r="24">
      <c r="A24" s="11">
        <f>Config!$C$6+18</f>
        <v/>
      </c>
      <c r="B24" s="12">
        <f>INT((A24-Config!$C$6)/7)+1</f>
        <v/>
      </c>
      <c r="C24" s="9" t="n">
        <v>943</v>
      </c>
      <c r="D24" s="13" t="n">
        <v>225544</v>
      </c>
      <c r="E24" s="13" t="n">
        <v>170098</v>
      </c>
      <c r="F24" s="13" t="n">
        <v>4687</v>
      </c>
      <c r="G24" s="13" t="n">
        <v>4163</v>
      </c>
      <c r="H24" s="13" t="n">
        <v>857</v>
      </c>
      <c r="I24" s="13" t="n">
        <v>514</v>
      </c>
      <c r="J24" s="13" t="n">
        <v>574</v>
      </c>
      <c r="K24" s="13" t="n"/>
      <c r="L24" s="13" t="n">
        <v>1442</v>
      </c>
      <c r="M24" s="13" t="n">
        <v>83</v>
      </c>
      <c r="N24" s="13" t="n">
        <v>33</v>
      </c>
      <c r="O24" s="13" t="n">
        <v>7</v>
      </c>
      <c r="P24" s="13" t="n">
        <v>2</v>
      </c>
      <c r="Q24" s="14">
        <f>IF(COUNT(C24:P24)=0,"",IFERROR(C24/D24*1000,0))</f>
        <v/>
      </c>
      <c r="R24" s="15">
        <f>IF(COUNT(C24:P24)=0,"",IFERROR(D24/E24,0))</f>
        <v/>
      </c>
      <c r="S24" s="16">
        <f>IF(COUNT(C24:P24)=0,"",IFERROR(F24/D24,0))</f>
        <v/>
      </c>
      <c r="T24" s="14">
        <f>IF(COUNT(C24:P24)=0,"",IFERROR(C24/F24,0))</f>
        <v/>
      </c>
      <c r="U24" s="17">
        <f>IF(COUNT(C24:P24)=0,"",IFERROR(G24/F24,0))</f>
        <v/>
      </c>
      <c r="V24" s="14">
        <f>IF(COUNT(C24:P24)=0,"",IFERROR(C24/G24,0))</f>
        <v/>
      </c>
      <c r="W24" s="18">
        <f>IF(COUNT(C24:P24)=0,"",IFERROR(G24/D24*1000,0))</f>
        <v/>
      </c>
      <c r="X24" s="17">
        <f>IF(COUNT(C24:P24)=0,"",IFERROR(H24/G24,0))</f>
        <v/>
      </c>
      <c r="Y24" s="14">
        <f>IF(COUNT(C24:P24)=0,"",IFERROR(C24/H24,0))</f>
        <v/>
      </c>
      <c r="Z24" s="14">
        <f>IF(COUNT(C24:P24)=0,"",IFERROR(C24/I24,0))</f>
        <v/>
      </c>
      <c r="AA24" s="17">
        <f>IF(COUNT(C24:P24)=0,"",IFERROR(Y24/Q24,0))</f>
        <v/>
      </c>
      <c r="AB24" s="18">
        <f>IF(COUNT(C24:P24)=0,"",IFERROR(H24/D24*1000,0))</f>
        <v/>
      </c>
      <c r="AC24" s="17">
        <f>IF(COUNT(C24:P24)=0,"",IFERROR(J24/H24,0))</f>
        <v/>
      </c>
      <c r="AD24" s="14">
        <f>IF(COUNT(C24:P24)=0,"",IFERROR(C24/J24,0))</f>
        <v/>
      </c>
      <c r="AE24" s="17">
        <f>IF(COUNT(C24:P24)=0,"",IFERROR(K24/H24,0))</f>
        <v/>
      </c>
      <c r="AF24" s="17">
        <f>IF(COUNT(C24:P24)=0,"",IFERROR(L24/H24,0))</f>
        <v/>
      </c>
      <c r="AG24" s="14">
        <f>IF(COUNT(C24:P24)=0,"",IFERROR(C24/K24,0))</f>
        <v/>
      </c>
      <c r="AH24" s="17">
        <f>IF(COUNT(C24:P24)=0,"",IFERROR(M24/K24,0))</f>
        <v/>
      </c>
      <c r="AI24" s="14">
        <f>IF(COUNT(C24:P24)=0,"",IFERROR(C24/M24,0))</f>
        <v/>
      </c>
      <c r="AJ24" s="17">
        <f>IF(COUNT(C24:P24)=0,"",IFERROR(N24/M24,0))</f>
        <v/>
      </c>
      <c r="AK24" s="16">
        <f>IF(COUNT(C24:P24)=0,"",IFERROR(N24/H24,0))</f>
        <v/>
      </c>
      <c r="AL24" s="14">
        <f>IF(COUNT(C24:P24)=0,"",IFERROR(C24/N24,0))</f>
        <v/>
      </c>
      <c r="AM24" s="17">
        <f>IF(COUNT(C24:P24)=0,"",IFERROR(O24/N24,0))</f>
        <v/>
      </c>
      <c r="AN24" s="17">
        <f>IF(COUNT(C24:P24)=0,"",IFERROR(P24/N24,0))</f>
        <v/>
      </c>
      <c r="AO24" s="19">
        <f>IF(COUNT(C24:P24)=0,"",IFERROR(N24*Config!$C$7+O24*Config!$C$8+P24*Config!$C$9,0))</f>
        <v/>
      </c>
      <c r="AP24" s="14">
        <f>IF(COUNT(C24:P24)=0,"",IFERROR(AO24/N24,0))</f>
        <v/>
      </c>
      <c r="AQ24" s="19">
        <f>IF(COUNT(C24:P24)=0,"",IFERROR(AO24*(1-Config!$C$10-Config!$C$11-Config!$C$12),0))</f>
        <v/>
      </c>
      <c r="AR24" s="19">
        <f>IF(COUNT(C24:P24)=0,"",IFERROR(AQ24-C24-Config!$C$13,0))</f>
        <v/>
      </c>
      <c r="AS24" s="20">
        <f>IF(COUNT(C24:P24)=0,"",IFERROR(AQ24/C24,0))</f>
        <v/>
      </c>
      <c r="AT24" s="14">
        <f>IF(COUNT(C24:P24)=0,"",IFERROR(AR24/G24,0))</f>
        <v/>
      </c>
      <c r="AU24" s="20">
        <f>IF(COUNT(C24:P24)=0,"",IFERROR(AT24/V24,0))</f>
        <v/>
      </c>
      <c r="AV24" s="14">
        <f>IF(COUNT(C24:P24)=0,"",IFERROR(AR24/H24,0))</f>
        <v/>
      </c>
    </row>
    <row r="25">
      <c r="A25" s="11">
        <f>Config!$C$6+19</f>
        <v/>
      </c>
      <c r="B25" s="12">
        <f>INT((A25-Config!$C$6)/7)+1</f>
        <v/>
      </c>
      <c r="C25" s="9" t="n">
        <v>872</v>
      </c>
      <c r="D25" s="13" t="n">
        <v>212536</v>
      </c>
      <c r="E25" s="13" t="n">
        <v>146539</v>
      </c>
      <c r="F25" s="13" t="n">
        <v>5114</v>
      </c>
      <c r="G25" s="13" t="n">
        <v>5134</v>
      </c>
      <c r="H25" s="13" t="n">
        <v>1225</v>
      </c>
      <c r="I25" s="13" t="n">
        <v>735</v>
      </c>
      <c r="J25" s="13" t="n">
        <v>821</v>
      </c>
      <c r="K25" s="13" t="n"/>
      <c r="L25" s="13" t="n">
        <v>614</v>
      </c>
      <c r="M25" s="13" t="n">
        <v>35</v>
      </c>
      <c r="N25" s="13" t="n">
        <v>14</v>
      </c>
      <c r="O25" s="13" t="n">
        <v>3</v>
      </c>
      <c r="P25" s="13" t="n">
        <v>1</v>
      </c>
      <c r="Q25" s="14">
        <f>IF(COUNT(C25:P25)=0,"",IFERROR(C25/D25*1000,0))</f>
        <v/>
      </c>
      <c r="R25" s="15">
        <f>IF(COUNT(C25:P25)=0,"",IFERROR(D25/E25,0))</f>
        <v/>
      </c>
      <c r="S25" s="16">
        <f>IF(COUNT(C25:P25)=0,"",IFERROR(F25/D25,0))</f>
        <v/>
      </c>
      <c r="T25" s="14">
        <f>IF(COUNT(C25:P25)=0,"",IFERROR(C25/F25,0))</f>
        <v/>
      </c>
      <c r="U25" s="17">
        <f>IF(COUNT(C25:P25)=0,"",IFERROR(G25/F25,0))</f>
        <v/>
      </c>
      <c r="V25" s="14">
        <f>IF(COUNT(C25:P25)=0,"",IFERROR(C25/G25,0))</f>
        <v/>
      </c>
      <c r="W25" s="18">
        <f>IF(COUNT(C25:P25)=0,"",IFERROR(G25/D25*1000,0))</f>
        <v/>
      </c>
      <c r="X25" s="17">
        <f>IF(COUNT(C25:P25)=0,"",IFERROR(H25/G25,0))</f>
        <v/>
      </c>
      <c r="Y25" s="14">
        <f>IF(COUNT(C25:P25)=0,"",IFERROR(C25/H25,0))</f>
        <v/>
      </c>
      <c r="Z25" s="14">
        <f>IF(COUNT(C25:P25)=0,"",IFERROR(C25/I25,0))</f>
        <v/>
      </c>
      <c r="AA25" s="17">
        <f>IF(COUNT(C25:P25)=0,"",IFERROR(Y25/Q25,0))</f>
        <v/>
      </c>
      <c r="AB25" s="18">
        <f>IF(COUNT(C25:P25)=0,"",IFERROR(H25/D25*1000,0))</f>
        <v/>
      </c>
      <c r="AC25" s="17">
        <f>IF(COUNT(C25:P25)=0,"",IFERROR(J25/H25,0))</f>
        <v/>
      </c>
      <c r="AD25" s="14">
        <f>IF(COUNT(C25:P25)=0,"",IFERROR(C25/J25,0))</f>
        <v/>
      </c>
      <c r="AE25" s="17">
        <f>IF(COUNT(C25:P25)=0,"",IFERROR(K25/H25,0))</f>
        <v/>
      </c>
      <c r="AF25" s="17">
        <f>IF(COUNT(C25:P25)=0,"",IFERROR(L25/H25,0))</f>
        <v/>
      </c>
      <c r="AG25" s="14">
        <f>IF(COUNT(C25:P25)=0,"",IFERROR(C25/K25,0))</f>
        <v/>
      </c>
      <c r="AH25" s="17">
        <f>IF(COUNT(C25:P25)=0,"",IFERROR(M25/K25,0))</f>
        <v/>
      </c>
      <c r="AI25" s="14">
        <f>IF(COUNT(C25:P25)=0,"",IFERROR(C25/M25,0))</f>
        <v/>
      </c>
      <c r="AJ25" s="17">
        <f>IF(COUNT(C25:P25)=0,"",IFERROR(N25/M25,0))</f>
        <v/>
      </c>
      <c r="AK25" s="16">
        <f>IF(COUNT(C25:P25)=0,"",IFERROR(N25/H25,0))</f>
        <v/>
      </c>
      <c r="AL25" s="14">
        <f>IF(COUNT(C25:P25)=0,"",IFERROR(C25/N25,0))</f>
        <v/>
      </c>
      <c r="AM25" s="17">
        <f>IF(COUNT(C25:P25)=0,"",IFERROR(O25/N25,0))</f>
        <v/>
      </c>
      <c r="AN25" s="17">
        <f>IF(COUNT(C25:P25)=0,"",IFERROR(P25/N25,0))</f>
        <v/>
      </c>
      <c r="AO25" s="19">
        <f>IF(COUNT(C25:P25)=0,"",IFERROR(N25*Config!$C$7+O25*Config!$C$8+P25*Config!$C$9,0))</f>
        <v/>
      </c>
      <c r="AP25" s="14">
        <f>IF(COUNT(C25:P25)=0,"",IFERROR(AO25/N25,0))</f>
        <v/>
      </c>
      <c r="AQ25" s="19">
        <f>IF(COUNT(C25:P25)=0,"",IFERROR(AO25*(1-Config!$C$10-Config!$C$11-Config!$C$12),0))</f>
        <v/>
      </c>
      <c r="AR25" s="19">
        <f>IF(COUNT(C25:P25)=0,"",IFERROR(AQ25-C25-Config!$C$13,0))</f>
        <v/>
      </c>
      <c r="AS25" s="20">
        <f>IF(COUNT(C25:P25)=0,"",IFERROR(AQ25/C25,0))</f>
        <v/>
      </c>
      <c r="AT25" s="14">
        <f>IF(COUNT(C25:P25)=0,"",IFERROR(AR25/G25,0))</f>
        <v/>
      </c>
      <c r="AU25" s="20">
        <f>IF(COUNT(C25:P25)=0,"",IFERROR(AT25/V25,0))</f>
        <v/>
      </c>
      <c r="AV25" s="14">
        <f>IF(COUNT(C25:P25)=0,"",IFERROR(AR25/H25,0))</f>
        <v/>
      </c>
    </row>
    <row r="26">
      <c r="A26" s="11">
        <f>Config!$C$6+20</f>
        <v/>
      </c>
      <c r="B26" s="12">
        <f>INT((A26-Config!$C$6)/7)+1</f>
        <v/>
      </c>
      <c r="C26" s="9" t="n">
        <v>783</v>
      </c>
      <c r="D26" s="13" t="n">
        <v>195860</v>
      </c>
      <c r="E26" s="13" t="n">
        <v>147658</v>
      </c>
      <c r="F26" s="13" t="n">
        <v>4733</v>
      </c>
      <c r="G26" s="13" t="n">
        <v>4465</v>
      </c>
      <c r="H26" s="13" t="n">
        <v>1141</v>
      </c>
      <c r="I26" s="13" t="n">
        <v>685</v>
      </c>
      <c r="J26" s="13" t="n">
        <v>765</v>
      </c>
      <c r="K26" s="13" t="n"/>
      <c r="L26" s="13" t="n"/>
      <c r="M26" s="13" t="n"/>
      <c r="N26" s="13" t="n"/>
      <c r="O26" s="13" t="n"/>
      <c r="P26" s="13" t="n"/>
      <c r="Q26" s="14">
        <f>IF(COUNT(C26:P26)=0,"",IFERROR(C26/D26*1000,0))</f>
        <v/>
      </c>
      <c r="R26" s="15">
        <f>IF(COUNT(C26:P26)=0,"",IFERROR(D26/E26,0))</f>
        <v/>
      </c>
      <c r="S26" s="16">
        <f>IF(COUNT(C26:P26)=0,"",IFERROR(F26/D26,0))</f>
        <v/>
      </c>
      <c r="T26" s="14">
        <f>IF(COUNT(C26:P26)=0,"",IFERROR(C26/F26,0))</f>
        <v/>
      </c>
      <c r="U26" s="17">
        <f>IF(COUNT(C26:P26)=0,"",IFERROR(G26/F26,0))</f>
        <v/>
      </c>
      <c r="V26" s="14">
        <f>IF(COUNT(C26:P26)=0,"",IFERROR(C26/G26,0))</f>
        <v/>
      </c>
      <c r="W26" s="18">
        <f>IF(COUNT(C26:P26)=0,"",IFERROR(G26/D26*1000,0))</f>
        <v/>
      </c>
      <c r="X26" s="17">
        <f>IF(COUNT(C26:P26)=0,"",IFERROR(H26/G26,0))</f>
        <v/>
      </c>
      <c r="Y26" s="14">
        <f>IF(COUNT(C26:P26)=0,"",IFERROR(C26/H26,0))</f>
        <v/>
      </c>
      <c r="Z26" s="14">
        <f>IF(COUNT(C26:P26)=0,"",IFERROR(C26/I26,0))</f>
        <v/>
      </c>
      <c r="AA26" s="17">
        <f>IF(COUNT(C26:P26)=0,"",IFERROR(Y26/Q26,0))</f>
        <v/>
      </c>
      <c r="AB26" s="18">
        <f>IF(COUNT(C26:P26)=0,"",IFERROR(H26/D26*1000,0))</f>
        <v/>
      </c>
      <c r="AC26" s="17">
        <f>IF(COUNT(C26:P26)=0,"",IFERROR(J26/H26,0))</f>
        <v/>
      </c>
      <c r="AD26" s="14">
        <f>IF(COUNT(C26:P26)=0,"",IFERROR(C26/J26,0))</f>
        <v/>
      </c>
      <c r="AE26" s="17">
        <f>IF(COUNT(C26:P26)=0,"",IFERROR(K26/H26,0))</f>
        <v/>
      </c>
      <c r="AF26" s="17">
        <f>IF(COUNT(C26:P26)=0,"",IFERROR(L26/H26,0))</f>
        <v/>
      </c>
      <c r="AG26" s="14">
        <f>IF(COUNT(C26:P26)=0,"",IFERROR(C26/K26,0))</f>
        <v/>
      </c>
      <c r="AH26" s="17">
        <f>IF(COUNT(C26:P26)=0,"",IFERROR(M26/K26,0))</f>
        <v/>
      </c>
      <c r="AI26" s="14">
        <f>IF(COUNT(C26:P26)=0,"",IFERROR(C26/M26,0))</f>
        <v/>
      </c>
      <c r="AJ26" s="17">
        <f>IF(COUNT(C26:P26)=0,"",IFERROR(N26/M26,0))</f>
        <v/>
      </c>
      <c r="AK26" s="16">
        <f>IF(COUNT(C26:P26)=0,"",IFERROR(N26/H26,0))</f>
        <v/>
      </c>
      <c r="AL26" s="14">
        <f>IF(COUNT(C26:P26)=0,"",IFERROR(C26/N26,0))</f>
        <v/>
      </c>
      <c r="AM26" s="17">
        <f>IF(COUNT(C26:P26)=0,"",IFERROR(O26/N26,0))</f>
        <v/>
      </c>
      <c r="AN26" s="17">
        <f>IF(COUNT(C26:P26)=0,"",IFERROR(P26/N26,0))</f>
        <v/>
      </c>
      <c r="AO26" s="19">
        <f>IF(COUNT(C26:P26)=0,"",IFERROR(N26*Config!$C$7+O26*Config!$C$8+P26*Config!$C$9,0))</f>
        <v/>
      </c>
      <c r="AP26" s="14">
        <f>IF(COUNT(C26:P26)=0,"",IFERROR(AO26/N26,0))</f>
        <v/>
      </c>
      <c r="AQ26" s="19">
        <f>IF(COUNT(C26:P26)=0,"",IFERROR(AO26*(1-Config!$C$10-Config!$C$11-Config!$C$12),0))</f>
        <v/>
      </c>
      <c r="AR26" s="19">
        <f>IF(COUNT(C26:P26)=0,"",IFERROR(AQ26-C26-Config!$C$13,0))</f>
        <v/>
      </c>
      <c r="AS26" s="20">
        <f>IF(COUNT(C26:P26)=0,"",IFERROR(AQ26/C26,0))</f>
        <v/>
      </c>
      <c r="AT26" s="14">
        <f>IF(COUNT(C26:P26)=0,"",IFERROR(AR26/G26,0))</f>
        <v/>
      </c>
      <c r="AU26" s="20">
        <f>IF(COUNT(C26:P26)=0,"",IFERROR(AT26/V26,0))</f>
        <v/>
      </c>
      <c r="AV26" s="14">
        <f>IF(COUNT(C26:P26)=0,"",IFERROR(AR26/H26,0))</f>
        <v/>
      </c>
    </row>
    <row r="27">
      <c r="A27" s="11">
        <f>Config!$C$6+21</f>
        <v/>
      </c>
      <c r="B27" s="12">
        <f>INT((A27-Config!$C$6)/7)+1</f>
        <v/>
      </c>
      <c r="C27" s="9" t="n">
        <v>885</v>
      </c>
      <c r="D27" s="13" t="n">
        <v>197511</v>
      </c>
      <c r="E27" s="13" t="n">
        <v>124772</v>
      </c>
      <c r="F27" s="13" t="n">
        <v>4156</v>
      </c>
      <c r="G27" s="13" t="n">
        <v>4189</v>
      </c>
      <c r="H27" s="13" t="n">
        <v>865</v>
      </c>
      <c r="I27" s="13" t="n">
        <v>519</v>
      </c>
      <c r="J27" s="13" t="n">
        <v>580</v>
      </c>
      <c r="K27" s="13" t="n"/>
      <c r="L27" s="13" t="n"/>
      <c r="M27" s="13" t="n"/>
      <c r="N27" s="13" t="n"/>
      <c r="O27" s="13" t="n"/>
      <c r="P27" s="13" t="n"/>
      <c r="Q27" s="14">
        <f>IF(COUNT(C27:P27)=0,"",IFERROR(C27/D27*1000,0))</f>
        <v/>
      </c>
      <c r="R27" s="15">
        <f>IF(COUNT(C27:P27)=0,"",IFERROR(D27/E27,0))</f>
        <v/>
      </c>
      <c r="S27" s="16">
        <f>IF(COUNT(C27:P27)=0,"",IFERROR(F27/D27,0))</f>
        <v/>
      </c>
      <c r="T27" s="14">
        <f>IF(COUNT(C27:P27)=0,"",IFERROR(C27/F27,0))</f>
        <v/>
      </c>
      <c r="U27" s="17">
        <f>IF(COUNT(C27:P27)=0,"",IFERROR(G27/F27,0))</f>
        <v/>
      </c>
      <c r="V27" s="14">
        <f>IF(COUNT(C27:P27)=0,"",IFERROR(C27/G27,0))</f>
        <v/>
      </c>
      <c r="W27" s="18">
        <f>IF(COUNT(C27:P27)=0,"",IFERROR(G27/D27*1000,0))</f>
        <v/>
      </c>
      <c r="X27" s="17">
        <f>IF(COUNT(C27:P27)=0,"",IFERROR(H27/G27,0))</f>
        <v/>
      </c>
      <c r="Y27" s="14">
        <f>IF(COUNT(C27:P27)=0,"",IFERROR(C27/H27,0))</f>
        <v/>
      </c>
      <c r="Z27" s="14">
        <f>IF(COUNT(C27:P27)=0,"",IFERROR(C27/I27,0))</f>
        <v/>
      </c>
      <c r="AA27" s="17">
        <f>IF(COUNT(C27:P27)=0,"",IFERROR(Y27/Q27,0))</f>
        <v/>
      </c>
      <c r="AB27" s="18">
        <f>IF(COUNT(C27:P27)=0,"",IFERROR(H27/D27*1000,0))</f>
        <v/>
      </c>
      <c r="AC27" s="17">
        <f>IF(COUNT(C27:P27)=0,"",IFERROR(J27/H27,0))</f>
        <v/>
      </c>
      <c r="AD27" s="14">
        <f>IF(COUNT(C27:P27)=0,"",IFERROR(C27/J27,0))</f>
        <v/>
      </c>
      <c r="AE27" s="17">
        <f>IF(COUNT(C27:P27)=0,"",IFERROR(K27/H27,0))</f>
        <v/>
      </c>
      <c r="AF27" s="17">
        <f>IF(COUNT(C27:P27)=0,"",IFERROR(L27/H27,0))</f>
        <v/>
      </c>
      <c r="AG27" s="14">
        <f>IF(COUNT(C27:P27)=0,"",IFERROR(C27/K27,0))</f>
        <v/>
      </c>
      <c r="AH27" s="17">
        <f>IF(COUNT(C27:P27)=0,"",IFERROR(M27/K27,0))</f>
        <v/>
      </c>
      <c r="AI27" s="14">
        <f>IF(COUNT(C27:P27)=0,"",IFERROR(C27/M27,0))</f>
        <v/>
      </c>
      <c r="AJ27" s="17">
        <f>IF(COUNT(C27:P27)=0,"",IFERROR(N27/M27,0))</f>
        <v/>
      </c>
      <c r="AK27" s="16">
        <f>IF(COUNT(C27:P27)=0,"",IFERROR(N27/H27,0))</f>
        <v/>
      </c>
      <c r="AL27" s="14">
        <f>IF(COUNT(C27:P27)=0,"",IFERROR(C27/N27,0))</f>
        <v/>
      </c>
      <c r="AM27" s="17">
        <f>IF(COUNT(C27:P27)=0,"",IFERROR(O27/N27,0))</f>
        <v/>
      </c>
      <c r="AN27" s="17">
        <f>IF(COUNT(C27:P27)=0,"",IFERROR(P27/N27,0))</f>
        <v/>
      </c>
      <c r="AO27" s="19">
        <f>IF(COUNT(C27:P27)=0,"",IFERROR(N27*Config!$C$7+O27*Config!$C$8+P27*Config!$C$9,0))</f>
        <v/>
      </c>
      <c r="AP27" s="14">
        <f>IF(COUNT(C27:P27)=0,"",IFERROR(AO27/N27,0))</f>
        <v/>
      </c>
      <c r="AQ27" s="19">
        <f>IF(COUNT(C27:P27)=0,"",IFERROR(AO27*(1-Config!$C$10-Config!$C$11-Config!$C$12),0))</f>
        <v/>
      </c>
      <c r="AR27" s="19">
        <f>IF(COUNT(C27:P27)=0,"",IFERROR(AQ27-C27-Config!$C$13,0))</f>
        <v/>
      </c>
      <c r="AS27" s="20">
        <f>IF(COUNT(C27:P27)=0,"",IFERROR(AQ27/C27,0))</f>
        <v/>
      </c>
      <c r="AT27" s="14">
        <f>IF(COUNT(C27:P27)=0,"",IFERROR(AR27/G27,0))</f>
        <v/>
      </c>
      <c r="AU27" s="20">
        <f>IF(COUNT(C27:P27)=0,"",IFERROR(AT27/V27,0))</f>
        <v/>
      </c>
      <c r="AV27" s="14">
        <f>IF(COUNT(C27:P27)=0,"",IFERROR(AR27/H27,0))</f>
        <v/>
      </c>
    </row>
    <row r="28">
      <c r="A28" s="11">
        <f>Config!$C$6+22</f>
        <v/>
      </c>
      <c r="B28" s="12">
        <f>INT((A28-Config!$C$6)/7)+1</f>
        <v/>
      </c>
      <c r="C28" s="9" t="n">
        <v>906</v>
      </c>
      <c r="D28" s="13" t="n">
        <v>183639</v>
      </c>
      <c r="E28" s="13" t="n">
        <v>115835</v>
      </c>
      <c r="F28" s="13" t="n">
        <v>4238</v>
      </c>
      <c r="G28" s="13" t="n">
        <v>4082</v>
      </c>
      <c r="H28" s="13" t="n">
        <v>1032</v>
      </c>
      <c r="I28" s="13" t="n">
        <v>619</v>
      </c>
      <c r="J28" s="13" t="n">
        <v>692</v>
      </c>
      <c r="K28" s="13" t="n"/>
      <c r="L28" s="13" t="n"/>
      <c r="M28" s="13" t="n"/>
      <c r="N28" s="13" t="n"/>
      <c r="O28" s="13" t="n"/>
      <c r="P28" s="13" t="n"/>
      <c r="Q28" s="14">
        <f>IF(COUNT(C28:P28)=0,"",IFERROR(C28/D28*1000,0))</f>
        <v/>
      </c>
      <c r="R28" s="15">
        <f>IF(COUNT(C28:P28)=0,"",IFERROR(D28/E28,0))</f>
        <v/>
      </c>
      <c r="S28" s="16">
        <f>IF(COUNT(C28:P28)=0,"",IFERROR(F28/D28,0))</f>
        <v/>
      </c>
      <c r="T28" s="14">
        <f>IF(COUNT(C28:P28)=0,"",IFERROR(C28/F28,0))</f>
        <v/>
      </c>
      <c r="U28" s="17">
        <f>IF(COUNT(C28:P28)=0,"",IFERROR(G28/F28,0))</f>
        <v/>
      </c>
      <c r="V28" s="14">
        <f>IF(COUNT(C28:P28)=0,"",IFERROR(C28/G28,0))</f>
        <v/>
      </c>
      <c r="W28" s="18">
        <f>IF(COUNT(C28:P28)=0,"",IFERROR(G28/D28*1000,0))</f>
        <v/>
      </c>
      <c r="X28" s="17">
        <f>IF(COUNT(C28:P28)=0,"",IFERROR(H28/G28,0))</f>
        <v/>
      </c>
      <c r="Y28" s="14">
        <f>IF(COUNT(C28:P28)=0,"",IFERROR(C28/H28,0))</f>
        <v/>
      </c>
      <c r="Z28" s="14">
        <f>IF(COUNT(C28:P28)=0,"",IFERROR(C28/I28,0))</f>
        <v/>
      </c>
      <c r="AA28" s="17">
        <f>IF(COUNT(C28:P28)=0,"",IFERROR(Y28/Q28,0))</f>
        <v/>
      </c>
      <c r="AB28" s="18">
        <f>IF(COUNT(C28:P28)=0,"",IFERROR(H28/D28*1000,0))</f>
        <v/>
      </c>
      <c r="AC28" s="17">
        <f>IF(COUNT(C28:P28)=0,"",IFERROR(J28/H28,0))</f>
        <v/>
      </c>
      <c r="AD28" s="14">
        <f>IF(COUNT(C28:P28)=0,"",IFERROR(C28/J28,0))</f>
        <v/>
      </c>
      <c r="AE28" s="17">
        <f>IF(COUNT(C28:P28)=0,"",IFERROR(K28/H28,0))</f>
        <v/>
      </c>
      <c r="AF28" s="17">
        <f>IF(COUNT(C28:P28)=0,"",IFERROR(L28/H28,0))</f>
        <v/>
      </c>
      <c r="AG28" s="14">
        <f>IF(COUNT(C28:P28)=0,"",IFERROR(C28/K28,0))</f>
        <v/>
      </c>
      <c r="AH28" s="17">
        <f>IF(COUNT(C28:P28)=0,"",IFERROR(M28/K28,0))</f>
        <v/>
      </c>
      <c r="AI28" s="14">
        <f>IF(COUNT(C28:P28)=0,"",IFERROR(C28/M28,0))</f>
        <v/>
      </c>
      <c r="AJ28" s="17">
        <f>IF(COUNT(C28:P28)=0,"",IFERROR(N28/M28,0))</f>
        <v/>
      </c>
      <c r="AK28" s="16">
        <f>IF(COUNT(C28:P28)=0,"",IFERROR(N28/H28,0))</f>
        <v/>
      </c>
      <c r="AL28" s="14">
        <f>IF(COUNT(C28:P28)=0,"",IFERROR(C28/N28,0))</f>
        <v/>
      </c>
      <c r="AM28" s="17">
        <f>IF(COUNT(C28:P28)=0,"",IFERROR(O28/N28,0))</f>
        <v/>
      </c>
      <c r="AN28" s="17">
        <f>IF(COUNT(C28:P28)=0,"",IFERROR(P28/N28,0))</f>
        <v/>
      </c>
      <c r="AO28" s="19">
        <f>IF(COUNT(C28:P28)=0,"",IFERROR(N28*Config!$C$7+O28*Config!$C$8+P28*Config!$C$9,0))</f>
        <v/>
      </c>
      <c r="AP28" s="14">
        <f>IF(COUNT(C28:P28)=0,"",IFERROR(AO28/N28,0))</f>
        <v/>
      </c>
      <c r="AQ28" s="19">
        <f>IF(COUNT(C28:P28)=0,"",IFERROR(AO28*(1-Config!$C$10-Config!$C$11-Config!$C$12),0))</f>
        <v/>
      </c>
      <c r="AR28" s="19">
        <f>IF(COUNT(C28:P28)=0,"",IFERROR(AQ28-C28-Config!$C$13,0))</f>
        <v/>
      </c>
      <c r="AS28" s="20">
        <f>IF(COUNT(C28:P28)=0,"",IFERROR(AQ28/C28,0))</f>
        <v/>
      </c>
      <c r="AT28" s="14">
        <f>IF(COUNT(C28:P28)=0,"",IFERROR(AR28/G28,0))</f>
        <v/>
      </c>
      <c r="AU28" s="20">
        <f>IF(COUNT(C28:P28)=0,"",IFERROR(AT28/V28,0))</f>
        <v/>
      </c>
      <c r="AV28" s="14">
        <f>IF(COUNT(C28:P28)=0,"",IFERROR(AR28/H28,0))</f>
        <v/>
      </c>
    </row>
    <row r="29">
      <c r="A29" s="11">
        <f>Config!$C$6+23</f>
        <v/>
      </c>
      <c r="B29" s="12">
        <f>INT((A29-Config!$C$6)/7)+1</f>
        <v/>
      </c>
      <c r="C29" s="9" t="n">
        <v>895</v>
      </c>
      <c r="D29" s="13" t="n">
        <v>181451</v>
      </c>
      <c r="E29" s="13" t="n">
        <v>111075</v>
      </c>
      <c r="F29" s="13" t="n">
        <v>3913</v>
      </c>
      <c r="G29" s="13" t="n">
        <v>3767</v>
      </c>
      <c r="H29" s="13" t="n">
        <v>942</v>
      </c>
      <c r="I29" s="13" t="n">
        <v>565</v>
      </c>
      <c r="J29" s="13" t="n">
        <v>631</v>
      </c>
      <c r="K29" s="13" t="n"/>
      <c r="L29" s="13" t="n"/>
      <c r="M29" s="13" t="n"/>
      <c r="N29" s="13" t="n"/>
      <c r="O29" s="13" t="n"/>
      <c r="P29" s="13" t="n"/>
      <c r="Q29" s="14">
        <f>IF(COUNT(C29:P29)=0,"",IFERROR(C29/D29*1000,0))</f>
        <v/>
      </c>
      <c r="R29" s="15">
        <f>IF(COUNT(C29:P29)=0,"",IFERROR(D29/E29,0))</f>
        <v/>
      </c>
      <c r="S29" s="16">
        <f>IF(COUNT(C29:P29)=0,"",IFERROR(F29/D29,0))</f>
        <v/>
      </c>
      <c r="T29" s="14">
        <f>IF(COUNT(C29:P29)=0,"",IFERROR(C29/F29,0))</f>
        <v/>
      </c>
      <c r="U29" s="17">
        <f>IF(COUNT(C29:P29)=0,"",IFERROR(G29/F29,0))</f>
        <v/>
      </c>
      <c r="V29" s="14">
        <f>IF(COUNT(C29:P29)=0,"",IFERROR(C29/G29,0))</f>
        <v/>
      </c>
      <c r="W29" s="18">
        <f>IF(COUNT(C29:P29)=0,"",IFERROR(G29/D29*1000,0))</f>
        <v/>
      </c>
      <c r="X29" s="17">
        <f>IF(COUNT(C29:P29)=0,"",IFERROR(H29/G29,0))</f>
        <v/>
      </c>
      <c r="Y29" s="14">
        <f>IF(COUNT(C29:P29)=0,"",IFERROR(C29/H29,0))</f>
        <v/>
      </c>
      <c r="Z29" s="14">
        <f>IF(COUNT(C29:P29)=0,"",IFERROR(C29/I29,0))</f>
        <v/>
      </c>
      <c r="AA29" s="17">
        <f>IF(COUNT(C29:P29)=0,"",IFERROR(Y29/Q29,0))</f>
        <v/>
      </c>
      <c r="AB29" s="18">
        <f>IF(COUNT(C29:P29)=0,"",IFERROR(H29/D29*1000,0))</f>
        <v/>
      </c>
      <c r="AC29" s="17">
        <f>IF(COUNT(C29:P29)=0,"",IFERROR(J29/H29,0))</f>
        <v/>
      </c>
      <c r="AD29" s="14">
        <f>IF(COUNT(C29:P29)=0,"",IFERROR(C29/J29,0))</f>
        <v/>
      </c>
      <c r="AE29" s="17">
        <f>IF(COUNT(C29:P29)=0,"",IFERROR(K29/H29,0))</f>
        <v/>
      </c>
      <c r="AF29" s="17">
        <f>IF(COUNT(C29:P29)=0,"",IFERROR(L29/H29,0))</f>
        <v/>
      </c>
      <c r="AG29" s="14">
        <f>IF(COUNT(C29:P29)=0,"",IFERROR(C29/K29,0))</f>
        <v/>
      </c>
      <c r="AH29" s="17">
        <f>IF(COUNT(C29:P29)=0,"",IFERROR(M29/K29,0))</f>
        <v/>
      </c>
      <c r="AI29" s="14">
        <f>IF(COUNT(C29:P29)=0,"",IFERROR(C29/M29,0))</f>
        <v/>
      </c>
      <c r="AJ29" s="17">
        <f>IF(COUNT(C29:P29)=0,"",IFERROR(N29/M29,0))</f>
        <v/>
      </c>
      <c r="AK29" s="16">
        <f>IF(COUNT(C29:P29)=0,"",IFERROR(N29/H29,0))</f>
        <v/>
      </c>
      <c r="AL29" s="14">
        <f>IF(COUNT(C29:P29)=0,"",IFERROR(C29/N29,0))</f>
        <v/>
      </c>
      <c r="AM29" s="17">
        <f>IF(COUNT(C29:P29)=0,"",IFERROR(O29/N29,0))</f>
        <v/>
      </c>
      <c r="AN29" s="17">
        <f>IF(COUNT(C29:P29)=0,"",IFERROR(P29/N29,0))</f>
        <v/>
      </c>
      <c r="AO29" s="19">
        <f>IF(COUNT(C29:P29)=0,"",IFERROR(N29*Config!$C$7+O29*Config!$C$8+P29*Config!$C$9,0))</f>
        <v/>
      </c>
      <c r="AP29" s="14">
        <f>IF(COUNT(C29:P29)=0,"",IFERROR(AO29/N29,0))</f>
        <v/>
      </c>
      <c r="AQ29" s="19">
        <f>IF(COUNT(C29:P29)=0,"",IFERROR(AO29*(1-Config!$C$10-Config!$C$11-Config!$C$12),0))</f>
        <v/>
      </c>
      <c r="AR29" s="19">
        <f>IF(COUNT(C29:P29)=0,"",IFERROR(AQ29-C29-Config!$C$13,0))</f>
        <v/>
      </c>
      <c r="AS29" s="20">
        <f>IF(COUNT(C29:P29)=0,"",IFERROR(AQ29/C29,0))</f>
        <v/>
      </c>
      <c r="AT29" s="14">
        <f>IF(COUNT(C29:P29)=0,"",IFERROR(AR29/G29,0))</f>
        <v/>
      </c>
      <c r="AU29" s="20">
        <f>IF(COUNT(C29:P29)=0,"",IFERROR(AT29/V29,0))</f>
        <v/>
      </c>
      <c r="AV29" s="14">
        <f>IF(COUNT(C29:P29)=0,"",IFERROR(AR29/H29,0))</f>
        <v/>
      </c>
    </row>
    <row r="30">
      <c r="A30" s="11">
        <f>Config!$C$6+24</f>
        <v/>
      </c>
      <c r="B30" s="12">
        <f>INT((A30-Config!$C$6)/7)+1</f>
        <v/>
      </c>
      <c r="C30" s="9" t="n">
        <v>883</v>
      </c>
      <c r="D30" s="13" t="n">
        <v>201856</v>
      </c>
      <c r="E30" s="13" t="n">
        <v>131953</v>
      </c>
      <c r="F30" s="13" t="n">
        <v>4557</v>
      </c>
      <c r="G30" s="13" t="n">
        <v>3688</v>
      </c>
      <c r="H30" s="13" t="n">
        <v>877</v>
      </c>
      <c r="I30" s="13" t="n">
        <v>526</v>
      </c>
      <c r="J30" s="13" t="n">
        <v>587</v>
      </c>
      <c r="K30" s="13" t="n">
        <v>1011</v>
      </c>
      <c r="L30" s="13" t="n">
        <v>1271</v>
      </c>
      <c r="M30" s="13" t="n">
        <v>106</v>
      </c>
      <c r="N30" s="13" t="n">
        <v>42</v>
      </c>
      <c r="O30" s="13" t="n">
        <v>8</v>
      </c>
      <c r="P30" s="13" t="n">
        <v>0</v>
      </c>
      <c r="Q30" s="14">
        <f>IF(COUNT(C30:P30)=0,"",IFERROR(C30/D30*1000,0))</f>
        <v/>
      </c>
      <c r="R30" s="15">
        <f>IF(COUNT(C30:P30)=0,"",IFERROR(D30/E30,0))</f>
        <v/>
      </c>
      <c r="S30" s="16">
        <f>IF(COUNT(C30:P30)=0,"",IFERROR(F30/D30,0))</f>
        <v/>
      </c>
      <c r="T30" s="14">
        <f>IF(COUNT(C30:P30)=0,"",IFERROR(C30/F30,0))</f>
        <v/>
      </c>
      <c r="U30" s="17">
        <f>IF(COUNT(C30:P30)=0,"",IFERROR(G30/F30,0))</f>
        <v/>
      </c>
      <c r="V30" s="14">
        <f>IF(COUNT(C30:P30)=0,"",IFERROR(C30/G30,0))</f>
        <v/>
      </c>
      <c r="W30" s="18">
        <f>IF(COUNT(C30:P30)=0,"",IFERROR(G30/D30*1000,0))</f>
        <v/>
      </c>
      <c r="X30" s="17">
        <f>IF(COUNT(C30:P30)=0,"",IFERROR(H30/G30,0))</f>
        <v/>
      </c>
      <c r="Y30" s="14">
        <f>IF(COUNT(C30:P30)=0,"",IFERROR(C30/H30,0))</f>
        <v/>
      </c>
      <c r="Z30" s="14">
        <f>IF(COUNT(C30:P30)=0,"",IFERROR(C30/I30,0))</f>
        <v/>
      </c>
      <c r="AA30" s="17">
        <f>IF(COUNT(C30:P30)=0,"",IFERROR(Y30/Q30,0))</f>
        <v/>
      </c>
      <c r="AB30" s="18">
        <f>IF(COUNT(C30:P30)=0,"",IFERROR(H30/D30*1000,0))</f>
        <v/>
      </c>
      <c r="AC30" s="17">
        <f>IF(COUNT(C30:P30)=0,"",IFERROR(J30/H30,0))</f>
        <v/>
      </c>
      <c r="AD30" s="14">
        <f>IF(COUNT(C30:P30)=0,"",IFERROR(C30/J30,0))</f>
        <v/>
      </c>
      <c r="AE30" s="17">
        <f>IF(COUNT(C30:P30)=0,"",IFERROR(K30/H30,0))</f>
        <v/>
      </c>
      <c r="AF30" s="17">
        <f>IF(COUNT(C30:P30)=0,"",IFERROR(L30/H30,0))</f>
        <v/>
      </c>
      <c r="AG30" s="14">
        <f>IF(COUNT(C30:P30)=0,"",IFERROR(C30/K30,0))</f>
        <v/>
      </c>
      <c r="AH30" s="17">
        <f>IF(COUNT(C30:P30)=0,"",IFERROR(M30/K30,0))</f>
        <v/>
      </c>
      <c r="AI30" s="14">
        <f>IF(COUNT(C30:P30)=0,"",IFERROR(C30/M30,0))</f>
        <v/>
      </c>
      <c r="AJ30" s="17">
        <f>IF(COUNT(C30:P30)=0,"",IFERROR(N30/M30,0))</f>
        <v/>
      </c>
      <c r="AK30" s="16">
        <f>IF(COUNT(C30:P30)=0,"",IFERROR(N30/H30,0))</f>
        <v/>
      </c>
      <c r="AL30" s="14">
        <f>IF(COUNT(C30:P30)=0,"",IFERROR(C30/N30,0))</f>
        <v/>
      </c>
      <c r="AM30" s="17">
        <f>IF(COUNT(C30:P30)=0,"",IFERROR(O30/N30,0))</f>
        <v/>
      </c>
      <c r="AN30" s="17">
        <f>IF(COUNT(C30:P30)=0,"",IFERROR(P30/N30,0))</f>
        <v/>
      </c>
      <c r="AO30" s="19">
        <f>IF(COUNT(C30:P30)=0,"",IFERROR(N30*Config!$C$7+O30*Config!$C$8+P30*Config!$C$9,0))</f>
        <v/>
      </c>
      <c r="AP30" s="14">
        <f>IF(COUNT(C30:P30)=0,"",IFERROR(AO30/N30,0))</f>
        <v/>
      </c>
      <c r="AQ30" s="19">
        <f>IF(COUNT(C30:P30)=0,"",IFERROR(AO30*(1-Config!$C$10-Config!$C$11-Config!$C$12),0))</f>
        <v/>
      </c>
      <c r="AR30" s="19">
        <f>IF(COUNT(C30:P30)=0,"",IFERROR(AQ30-C30-Config!$C$13,0))</f>
        <v/>
      </c>
      <c r="AS30" s="20">
        <f>IF(COUNT(C30:P30)=0,"",IFERROR(AQ30/C30,0))</f>
        <v/>
      </c>
      <c r="AT30" s="14">
        <f>IF(COUNT(C30:P30)=0,"",IFERROR(AR30/G30,0))</f>
        <v/>
      </c>
      <c r="AU30" s="20">
        <f>IF(COUNT(C30:P30)=0,"",IFERROR(AT30/V30,0))</f>
        <v/>
      </c>
      <c r="AV30" s="14">
        <f>IF(COUNT(C30:P30)=0,"",IFERROR(AR30/H30,0))</f>
        <v/>
      </c>
    </row>
    <row r="31">
      <c r="A31" s="11">
        <f>Config!$C$6+25</f>
        <v/>
      </c>
      <c r="B31" s="12">
        <f>INT((A31-Config!$C$6)/7)+1</f>
        <v/>
      </c>
      <c r="C31" s="9" t="n">
        <v>834</v>
      </c>
      <c r="D31" s="13" t="n">
        <v>175448</v>
      </c>
      <c r="E31" s="13" t="n">
        <v>114736</v>
      </c>
      <c r="F31" s="13" t="n">
        <v>3805</v>
      </c>
      <c r="G31" s="13" t="n">
        <v>3702</v>
      </c>
      <c r="H31" s="13" t="n">
        <v>766</v>
      </c>
      <c r="I31" s="13" t="n">
        <v>460</v>
      </c>
      <c r="J31" s="13" t="n">
        <v>514</v>
      </c>
      <c r="K31" s="13" t="n"/>
      <c r="L31" s="13" t="n">
        <v>1545</v>
      </c>
      <c r="M31" s="13" t="n">
        <v>80</v>
      </c>
      <c r="N31" s="13" t="n">
        <v>32</v>
      </c>
      <c r="O31" s="13" t="n">
        <v>6</v>
      </c>
      <c r="P31" s="13" t="n">
        <v>2</v>
      </c>
      <c r="Q31" s="14">
        <f>IF(COUNT(C31:P31)=0,"",IFERROR(C31/D31*1000,0))</f>
        <v/>
      </c>
      <c r="R31" s="15">
        <f>IF(COUNT(C31:P31)=0,"",IFERROR(D31/E31,0))</f>
        <v/>
      </c>
      <c r="S31" s="16">
        <f>IF(COUNT(C31:P31)=0,"",IFERROR(F31/D31,0))</f>
        <v/>
      </c>
      <c r="T31" s="14">
        <f>IF(COUNT(C31:P31)=0,"",IFERROR(C31/F31,0))</f>
        <v/>
      </c>
      <c r="U31" s="17">
        <f>IF(COUNT(C31:P31)=0,"",IFERROR(G31/F31,0))</f>
        <v/>
      </c>
      <c r="V31" s="14">
        <f>IF(COUNT(C31:P31)=0,"",IFERROR(C31/G31,0))</f>
        <v/>
      </c>
      <c r="W31" s="18">
        <f>IF(COUNT(C31:P31)=0,"",IFERROR(G31/D31*1000,0))</f>
        <v/>
      </c>
      <c r="X31" s="17">
        <f>IF(COUNT(C31:P31)=0,"",IFERROR(H31/G31,0))</f>
        <v/>
      </c>
      <c r="Y31" s="14">
        <f>IF(COUNT(C31:P31)=0,"",IFERROR(C31/H31,0))</f>
        <v/>
      </c>
      <c r="Z31" s="14">
        <f>IF(COUNT(C31:P31)=0,"",IFERROR(C31/I31,0))</f>
        <v/>
      </c>
      <c r="AA31" s="17">
        <f>IF(COUNT(C31:P31)=0,"",IFERROR(Y31/Q31,0))</f>
        <v/>
      </c>
      <c r="AB31" s="18">
        <f>IF(COUNT(C31:P31)=0,"",IFERROR(H31/D31*1000,0))</f>
        <v/>
      </c>
      <c r="AC31" s="17">
        <f>IF(COUNT(C31:P31)=0,"",IFERROR(J31/H31,0))</f>
        <v/>
      </c>
      <c r="AD31" s="14">
        <f>IF(COUNT(C31:P31)=0,"",IFERROR(C31/J31,0))</f>
        <v/>
      </c>
      <c r="AE31" s="17">
        <f>IF(COUNT(C31:P31)=0,"",IFERROR(K31/H31,0))</f>
        <v/>
      </c>
      <c r="AF31" s="17">
        <f>IF(COUNT(C31:P31)=0,"",IFERROR(L31/H31,0))</f>
        <v/>
      </c>
      <c r="AG31" s="14">
        <f>IF(COUNT(C31:P31)=0,"",IFERROR(C31/K31,0))</f>
        <v/>
      </c>
      <c r="AH31" s="17">
        <f>IF(COUNT(C31:P31)=0,"",IFERROR(M31/K31,0))</f>
        <v/>
      </c>
      <c r="AI31" s="14">
        <f>IF(COUNT(C31:P31)=0,"",IFERROR(C31/M31,0))</f>
        <v/>
      </c>
      <c r="AJ31" s="17">
        <f>IF(COUNT(C31:P31)=0,"",IFERROR(N31/M31,0))</f>
        <v/>
      </c>
      <c r="AK31" s="16">
        <f>IF(COUNT(C31:P31)=0,"",IFERROR(N31/H31,0))</f>
        <v/>
      </c>
      <c r="AL31" s="14">
        <f>IF(COUNT(C31:P31)=0,"",IFERROR(C31/N31,0))</f>
        <v/>
      </c>
      <c r="AM31" s="17">
        <f>IF(COUNT(C31:P31)=0,"",IFERROR(O31/N31,0))</f>
        <v/>
      </c>
      <c r="AN31" s="17">
        <f>IF(COUNT(C31:P31)=0,"",IFERROR(P31/N31,0))</f>
        <v/>
      </c>
      <c r="AO31" s="19">
        <f>IF(COUNT(C31:P31)=0,"",IFERROR(N31*Config!$C$7+O31*Config!$C$8+P31*Config!$C$9,0))</f>
        <v/>
      </c>
      <c r="AP31" s="14">
        <f>IF(COUNT(C31:P31)=0,"",IFERROR(AO31/N31,0))</f>
        <v/>
      </c>
      <c r="AQ31" s="19">
        <f>IF(COUNT(C31:P31)=0,"",IFERROR(AO31*(1-Config!$C$10-Config!$C$11-Config!$C$12),0))</f>
        <v/>
      </c>
      <c r="AR31" s="19">
        <f>IF(COUNT(C31:P31)=0,"",IFERROR(AQ31-C31-Config!$C$13,0))</f>
        <v/>
      </c>
      <c r="AS31" s="20">
        <f>IF(COUNT(C31:P31)=0,"",IFERROR(AQ31/C31,0))</f>
        <v/>
      </c>
      <c r="AT31" s="14">
        <f>IF(COUNT(C31:P31)=0,"",IFERROR(AR31/G31,0))</f>
        <v/>
      </c>
      <c r="AU31" s="20">
        <f>IF(COUNT(C31:P31)=0,"",IFERROR(AT31/V31,0))</f>
        <v/>
      </c>
      <c r="AV31" s="14">
        <f>IF(COUNT(C31:P31)=0,"",IFERROR(AR31/H31,0))</f>
        <v/>
      </c>
    </row>
    <row r="32">
      <c r="A32" s="11">
        <f>Config!$C$6+26</f>
        <v/>
      </c>
      <c r="B32" s="12">
        <f>INT((A32-Config!$C$6)/7)+1</f>
        <v/>
      </c>
      <c r="C32" s="9" t="n">
        <v>878</v>
      </c>
      <c r="D32" s="13" t="n">
        <v>195970</v>
      </c>
      <c r="E32" s="13" t="n">
        <v>139691</v>
      </c>
      <c r="F32" s="13" t="n">
        <v>4517</v>
      </c>
      <c r="G32" s="13" t="n">
        <v>4062</v>
      </c>
      <c r="H32" s="13" t="n">
        <v>960</v>
      </c>
      <c r="I32" s="13" t="n">
        <v>576</v>
      </c>
      <c r="J32" s="13" t="n">
        <v>643</v>
      </c>
      <c r="K32" s="13" t="n"/>
      <c r="L32" s="13" t="n">
        <v>630</v>
      </c>
      <c r="M32" s="13" t="n">
        <v>32</v>
      </c>
      <c r="N32" s="13" t="n">
        <v>13</v>
      </c>
      <c r="O32" s="13" t="n">
        <v>3</v>
      </c>
      <c r="P32" s="13" t="n">
        <v>1</v>
      </c>
      <c r="Q32" s="14">
        <f>IF(COUNT(C32:P32)=0,"",IFERROR(C32/D32*1000,0))</f>
        <v/>
      </c>
      <c r="R32" s="15">
        <f>IF(COUNT(C32:P32)=0,"",IFERROR(D32/E32,0))</f>
        <v/>
      </c>
      <c r="S32" s="16">
        <f>IF(COUNT(C32:P32)=0,"",IFERROR(F32/D32,0))</f>
        <v/>
      </c>
      <c r="T32" s="14">
        <f>IF(COUNT(C32:P32)=0,"",IFERROR(C32/F32,0))</f>
        <v/>
      </c>
      <c r="U32" s="17">
        <f>IF(COUNT(C32:P32)=0,"",IFERROR(G32/F32,0))</f>
        <v/>
      </c>
      <c r="V32" s="14">
        <f>IF(COUNT(C32:P32)=0,"",IFERROR(C32/G32,0))</f>
        <v/>
      </c>
      <c r="W32" s="18">
        <f>IF(COUNT(C32:P32)=0,"",IFERROR(G32/D32*1000,0))</f>
        <v/>
      </c>
      <c r="X32" s="17">
        <f>IF(COUNT(C32:P32)=0,"",IFERROR(H32/G32,0))</f>
        <v/>
      </c>
      <c r="Y32" s="14">
        <f>IF(COUNT(C32:P32)=0,"",IFERROR(C32/H32,0))</f>
        <v/>
      </c>
      <c r="Z32" s="14">
        <f>IF(COUNT(C32:P32)=0,"",IFERROR(C32/I32,0))</f>
        <v/>
      </c>
      <c r="AA32" s="17">
        <f>IF(COUNT(C32:P32)=0,"",IFERROR(Y32/Q32,0))</f>
        <v/>
      </c>
      <c r="AB32" s="18">
        <f>IF(COUNT(C32:P32)=0,"",IFERROR(H32/D32*1000,0))</f>
        <v/>
      </c>
      <c r="AC32" s="17">
        <f>IF(COUNT(C32:P32)=0,"",IFERROR(J32/H32,0))</f>
        <v/>
      </c>
      <c r="AD32" s="14">
        <f>IF(COUNT(C32:P32)=0,"",IFERROR(C32/J32,0))</f>
        <v/>
      </c>
      <c r="AE32" s="17">
        <f>IF(COUNT(C32:P32)=0,"",IFERROR(K32/H32,0))</f>
        <v/>
      </c>
      <c r="AF32" s="17">
        <f>IF(COUNT(C32:P32)=0,"",IFERROR(L32/H32,0))</f>
        <v/>
      </c>
      <c r="AG32" s="14">
        <f>IF(COUNT(C32:P32)=0,"",IFERROR(C32/K32,0))</f>
        <v/>
      </c>
      <c r="AH32" s="17">
        <f>IF(COUNT(C32:P32)=0,"",IFERROR(M32/K32,0))</f>
        <v/>
      </c>
      <c r="AI32" s="14">
        <f>IF(COUNT(C32:P32)=0,"",IFERROR(C32/M32,0))</f>
        <v/>
      </c>
      <c r="AJ32" s="17">
        <f>IF(COUNT(C32:P32)=0,"",IFERROR(N32/M32,0))</f>
        <v/>
      </c>
      <c r="AK32" s="16">
        <f>IF(COUNT(C32:P32)=0,"",IFERROR(N32/H32,0))</f>
        <v/>
      </c>
      <c r="AL32" s="14">
        <f>IF(COUNT(C32:P32)=0,"",IFERROR(C32/N32,0))</f>
        <v/>
      </c>
      <c r="AM32" s="17">
        <f>IF(COUNT(C32:P32)=0,"",IFERROR(O32/N32,0))</f>
        <v/>
      </c>
      <c r="AN32" s="17">
        <f>IF(COUNT(C32:P32)=0,"",IFERROR(P32/N32,0))</f>
        <v/>
      </c>
      <c r="AO32" s="19">
        <f>IF(COUNT(C32:P32)=0,"",IFERROR(N32*Config!$C$7+O32*Config!$C$8+P32*Config!$C$9,0))</f>
        <v/>
      </c>
      <c r="AP32" s="14">
        <f>IF(COUNT(C32:P32)=0,"",IFERROR(AO32/N32,0))</f>
        <v/>
      </c>
      <c r="AQ32" s="19">
        <f>IF(COUNT(C32:P32)=0,"",IFERROR(AO32*(1-Config!$C$10-Config!$C$11-Config!$C$12),0))</f>
        <v/>
      </c>
      <c r="AR32" s="19">
        <f>IF(COUNT(C32:P32)=0,"",IFERROR(AQ32-C32-Config!$C$13,0))</f>
        <v/>
      </c>
      <c r="AS32" s="20">
        <f>IF(COUNT(C32:P32)=0,"",IFERROR(AQ32/C32,0))</f>
        <v/>
      </c>
      <c r="AT32" s="14">
        <f>IF(COUNT(C32:P32)=0,"",IFERROR(AR32/G32,0))</f>
        <v/>
      </c>
      <c r="AU32" s="20">
        <f>IF(COUNT(C32:P32)=0,"",IFERROR(AT32/V32,0))</f>
        <v/>
      </c>
      <c r="AV32" s="14">
        <f>IF(COUNT(C32:P32)=0,"",IFERROR(AR32/H32,0))</f>
        <v/>
      </c>
    </row>
    <row r="33">
      <c r="A33" s="11">
        <f>Config!$C$6+27</f>
        <v/>
      </c>
      <c r="B33" s="12">
        <f>INT((A33-Config!$C$6)/7)+1</f>
        <v/>
      </c>
      <c r="C33" s="9" t="n">
        <v>756</v>
      </c>
      <c r="D33" s="13" t="n">
        <v>176538</v>
      </c>
      <c r="E33" s="13" t="n">
        <v>112867</v>
      </c>
      <c r="F33" s="13" t="n">
        <v>3607</v>
      </c>
      <c r="G33" s="13" t="n">
        <v>2989</v>
      </c>
      <c r="H33" s="13" t="n">
        <v>754</v>
      </c>
      <c r="I33" s="13" t="n">
        <v>453</v>
      </c>
      <c r="J33" s="13" t="n">
        <v>505</v>
      </c>
      <c r="K33" s="13" t="n"/>
      <c r="L33" s="13" t="n"/>
      <c r="M33" s="13" t="n"/>
      <c r="N33" s="13" t="n"/>
      <c r="O33" s="13" t="n"/>
      <c r="P33" s="13" t="n"/>
      <c r="Q33" s="14">
        <f>IF(COUNT(C33:P33)=0,"",IFERROR(C33/D33*1000,0))</f>
        <v/>
      </c>
      <c r="R33" s="15">
        <f>IF(COUNT(C33:P33)=0,"",IFERROR(D33/E33,0))</f>
        <v/>
      </c>
      <c r="S33" s="16">
        <f>IF(COUNT(C33:P33)=0,"",IFERROR(F33/D33,0))</f>
        <v/>
      </c>
      <c r="T33" s="14">
        <f>IF(COUNT(C33:P33)=0,"",IFERROR(C33/F33,0))</f>
        <v/>
      </c>
      <c r="U33" s="17">
        <f>IF(COUNT(C33:P33)=0,"",IFERROR(G33/F33,0))</f>
        <v/>
      </c>
      <c r="V33" s="14">
        <f>IF(COUNT(C33:P33)=0,"",IFERROR(C33/G33,0))</f>
        <v/>
      </c>
      <c r="W33" s="18">
        <f>IF(COUNT(C33:P33)=0,"",IFERROR(G33/D33*1000,0))</f>
        <v/>
      </c>
      <c r="X33" s="17">
        <f>IF(COUNT(C33:P33)=0,"",IFERROR(H33/G33,0))</f>
        <v/>
      </c>
      <c r="Y33" s="14">
        <f>IF(COUNT(C33:P33)=0,"",IFERROR(C33/H33,0))</f>
        <v/>
      </c>
      <c r="Z33" s="14">
        <f>IF(COUNT(C33:P33)=0,"",IFERROR(C33/I33,0))</f>
        <v/>
      </c>
      <c r="AA33" s="17">
        <f>IF(COUNT(C33:P33)=0,"",IFERROR(Y33/Q33,0))</f>
        <v/>
      </c>
      <c r="AB33" s="18">
        <f>IF(COUNT(C33:P33)=0,"",IFERROR(H33/D33*1000,0))</f>
        <v/>
      </c>
      <c r="AC33" s="17">
        <f>IF(COUNT(C33:P33)=0,"",IFERROR(J33/H33,0))</f>
        <v/>
      </c>
      <c r="AD33" s="14">
        <f>IF(COUNT(C33:P33)=0,"",IFERROR(C33/J33,0))</f>
        <v/>
      </c>
      <c r="AE33" s="17">
        <f>IF(COUNT(C33:P33)=0,"",IFERROR(K33/H33,0))</f>
        <v/>
      </c>
      <c r="AF33" s="17">
        <f>IF(COUNT(C33:P33)=0,"",IFERROR(L33/H33,0))</f>
        <v/>
      </c>
      <c r="AG33" s="14">
        <f>IF(COUNT(C33:P33)=0,"",IFERROR(C33/K33,0))</f>
        <v/>
      </c>
      <c r="AH33" s="17">
        <f>IF(COUNT(C33:P33)=0,"",IFERROR(M33/K33,0))</f>
        <v/>
      </c>
      <c r="AI33" s="14">
        <f>IF(COUNT(C33:P33)=0,"",IFERROR(C33/M33,0))</f>
        <v/>
      </c>
      <c r="AJ33" s="17">
        <f>IF(COUNT(C33:P33)=0,"",IFERROR(N33/M33,0))</f>
        <v/>
      </c>
      <c r="AK33" s="16">
        <f>IF(COUNT(C33:P33)=0,"",IFERROR(N33/H33,0))</f>
        <v/>
      </c>
      <c r="AL33" s="14">
        <f>IF(COUNT(C33:P33)=0,"",IFERROR(C33/N33,0))</f>
        <v/>
      </c>
      <c r="AM33" s="17">
        <f>IF(COUNT(C33:P33)=0,"",IFERROR(O33/N33,0))</f>
        <v/>
      </c>
      <c r="AN33" s="17">
        <f>IF(COUNT(C33:P33)=0,"",IFERROR(P33/N33,0))</f>
        <v/>
      </c>
      <c r="AO33" s="19">
        <f>IF(COUNT(C33:P33)=0,"",IFERROR(N33*Config!$C$7+O33*Config!$C$8+P33*Config!$C$9,0))</f>
        <v/>
      </c>
      <c r="AP33" s="14">
        <f>IF(COUNT(C33:P33)=0,"",IFERROR(AO33/N33,0))</f>
        <v/>
      </c>
      <c r="AQ33" s="19">
        <f>IF(COUNT(C33:P33)=0,"",IFERROR(AO33*(1-Config!$C$10-Config!$C$11-Config!$C$12),0))</f>
        <v/>
      </c>
      <c r="AR33" s="19">
        <f>IF(COUNT(C33:P33)=0,"",IFERROR(AQ33-C33-Config!$C$13,0))</f>
        <v/>
      </c>
      <c r="AS33" s="20">
        <f>IF(COUNT(C33:P33)=0,"",IFERROR(AQ33/C33,0))</f>
        <v/>
      </c>
      <c r="AT33" s="14">
        <f>IF(COUNT(C33:P33)=0,"",IFERROR(AR33/G33,0))</f>
        <v/>
      </c>
      <c r="AU33" s="20">
        <f>IF(COUNT(C33:P33)=0,"",IFERROR(AT33/V33,0))</f>
        <v/>
      </c>
      <c r="AV33" s="14">
        <f>IF(COUNT(C33:P33)=0,"",IFERROR(AR33/H33,0))</f>
        <v/>
      </c>
    </row>
    <row r="34">
      <c r="A34" s="11">
        <f>Config!$C$6+28</f>
        <v/>
      </c>
      <c r="B34" s="12">
        <f>INT((A34-Config!$C$6)/7)+1</f>
        <v/>
      </c>
      <c r="C34" s="9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4">
        <f>IF(COUNT(C34:P34)=0,"",IFERROR(C34/D34*1000,0))</f>
        <v/>
      </c>
      <c r="R34" s="15">
        <f>IF(COUNT(C34:P34)=0,"",IFERROR(D34/E34,0))</f>
        <v/>
      </c>
      <c r="S34" s="16">
        <f>IF(COUNT(C34:P34)=0,"",IFERROR(F34/D34,0))</f>
        <v/>
      </c>
      <c r="T34" s="14">
        <f>IF(COUNT(C34:P34)=0,"",IFERROR(C34/F34,0))</f>
        <v/>
      </c>
      <c r="U34" s="17">
        <f>IF(COUNT(C34:P34)=0,"",IFERROR(G34/F34,0))</f>
        <v/>
      </c>
      <c r="V34" s="14">
        <f>IF(COUNT(C34:P34)=0,"",IFERROR(C34/G34,0))</f>
        <v/>
      </c>
      <c r="W34" s="18">
        <f>IF(COUNT(C34:P34)=0,"",IFERROR(G34/D34*1000,0))</f>
        <v/>
      </c>
      <c r="X34" s="17">
        <f>IF(COUNT(C34:P34)=0,"",IFERROR(H34/G34,0))</f>
        <v/>
      </c>
      <c r="Y34" s="14">
        <f>IF(COUNT(C34:P34)=0,"",IFERROR(C34/H34,0))</f>
        <v/>
      </c>
      <c r="Z34" s="14">
        <f>IF(COUNT(C34:P34)=0,"",IFERROR(C34/I34,0))</f>
        <v/>
      </c>
      <c r="AA34" s="17">
        <f>IF(COUNT(C34:P34)=0,"",IFERROR(Y34/Q34,0))</f>
        <v/>
      </c>
      <c r="AB34" s="18">
        <f>IF(COUNT(C34:P34)=0,"",IFERROR(H34/D34*1000,0))</f>
        <v/>
      </c>
      <c r="AC34" s="17">
        <f>IF(COUNT(C34:P34)=0,"",IFERROR(J34/H34,0))</f>
        <v/>
      </c>
      <c r="AD34" s="14">
        <f>IF(COUNT(C34:P34)=0,"",IFERROR(C34/J34,0))</f>
        <v/>
      </c>
      <c r="AE34" s="17">
        <f>IF(COUNT(C34:P34)=0,"",IFERROR(K34/H34,0))</f>
        <v/>
      </c>
      <c r="AF34" s="17">
        <f>IF(COUNT(C34:P34)=0,"",IFERROR(L34/H34,0))</f>
        <v/>
      </c>
      <c r="AG34" s="14">
        <f>IF(COUNT(C34:P34)=0,"",IFERROR(C34/K34,0))</f>
        <v/>
      </c>
      <c r="AH34" s="17">
        <f>IF(COUNT(C34:P34)=0,"",IFERROR(M34/K34,0))</f>
        <v/>
      </c>
      <c r="AI34" s="14">
        <f>IF(COUNT(C34:P34)=0,"",IFERROR(C34/M34,0))</f>
        <v/>
      </c>
      <c r="AJ34" s="17">
        <f>IF(COUNT(C34:P34)=0,"",IFERROR(N34/M34,0))</f>
        <v/>
      </c>
      <c r="AK34" s="16">
        <f>IF(COUNT(C34:P34)=0,"",IFERROR(N34/H34,0))</f>
        <v/>
      </c>
      <c r="AL34" s="14">
        <f>IF(COUNT(C34:P34)=0,"",IFERROR(C34/N34,0))</f>
        <v/>
      </c>
      <c r="AM34" s="17">
        <f>IF(COUNT(C34:P34)=0,"",IFERROR(O34/N34,0))</f>
        <v/>
      </c>
      <c r="AN34" s="17">
        <f>IF(COUNT(C34:P34)=0,"",IFERROR(P34/N34,0))</f>
        <v/>
      </c>
      <c r="AO34" s="19">
        <f>IF(COUNT(C34:P34)=0,"",IFERROR(N34*Config!$C$7+O34*Config!$C$8+P34*Config!$C$9,0))</f>
        <v/>
      </c>
      <c r="AP34" s="14">
        <f>IF(COUNT(C34:P34)=0,"",IFERROR(AO34/N34,0))</f>
        <v/>
      </c>
      <c r="AQ34" s="19">
        <f>IF(COUNT(C34:P34)=0,"",IFERROR(AO34*(1-Config!$C$10-Config!$C$11-Config!$C$12),0))</f>
        <v/>
      </c>
      <c r="AR34" s="19">
        <f>IF(COUNT(C34:P34)=0,"",IFERROR(AQ34-C34-Config!$C$13,0))</f>
        <v/>
      </c>
      <c r="AS34" s="20">
        <f>IF(COUNT(C34:P34)=0,"",IFERROR(AQ34/C34,0))</f>
        <v/>
      </c>
      <c r="AT34" s="14">
        <f>IF(COUNT(C34:P34)=0,"",IFERROR(AR34/G34,0))</f>
        <v/>
      </c>
      <c r="AU34" s="20">
        <f>IF(COUNT(C34:P34)=0,"",IFERROR(AT34/V34,0))</f>
        <v/>
      </c>
      <c r="AV34" s="14">
        <f>IF(COUNT(C34:P34)=0,"",IFERROR(AR34/H34,0))</f>
        <v/>
      </c>
    </row>
    <row r="35">
      <c r="A35" s="11">
        <f>Config!$C$6+29</f>
        <v/>
      </c>
      <c r="B35" s="12">
        <f>INT((A35-Config!$C$6)/7)+1</f>
        <v/>
      </c>
      <c r="C35" s="9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4">
        <f>IF(COUNT(C35:P35)=0,"",IFERROR(C35/D35*1000,0))</f>
        <v/>
      </c>
      <c r="R35" s="15">
        <f>IF(COUNT(C35:P35)=0,"",IFERROR(D35/E35,0))</f>
        <v/>
      </c>
      <c r="S35" s="16">
        <f>IF(COUNT(C35:P35)=0,"",IFERROR(F35/D35,0))</f>
        <v/>
      </c>
      <c r="T35" s="14">
        <f>IF(COUNT(C35:P35)=0,"",IFERROR(C35/F35,0))</f>
        <v/>
      </c>
      <c r="U35" s="17">
        <f>IF(COUNT(C35:P35)=0,"",IFERROR(G35/F35,0))</f>
        <v/>
      </c>
      <c r="V35" s="14">
        <f>IF(COUNT(C35:P35)=0,"",IFERROR(C35/G35,0))</f>
        <v/>
      </c>
      <c r="W35" s="18">
        <f>IF(COUNT(C35:P35)=0,"",IFERROR(G35/D35*1000,0))</f>
        <v/>
      </c>
      <c r="X35" s="17">
        <f>IF(COUNT(C35:P35)=0,"",IFERROR(H35/G35,0))</f>
        <v/>
      </c>
      <c r="Y35" s="14">
        <f>IF(COUNT(C35:P35)=0,"",IFERROR(C35/H35,0))</f>
        <v/>
      </c>
      <c r="Z35" s="14">
        <f>IF(COUNT(C35:P35)=0,"",IFERROR(C35/I35,0))</f>
        <v/>
      </c>
      <c r="AA35" s="17">
        <f>IF(COUNT(C35:P35)=0,"",IFERROR(Y35/Q35,0))</f>
        <v/>
      </c>
      <c r="AB35" s="18">
        <f>IF(COUNT(C35:P35)=0,"",IFERROR(H35/D35*1000,0))</f>
        <v/>
      </c>
      <c r="AC35" s="17">
        <f>IF(COUNT(C35:P35)=0,"",IFERROR(J35/H35,0))</f>
        <v/>
      </c>
      <c r="AD35" s="14">
        <f>IF(COUNT(C35:P35)=0,"",IFERROR(C35/J35,0))</f>
        <v/>
      </c>
      <c r="AE35" s="17">
        <f>IF(COUNT(C35:P35)=0,"",IFERROR(K35/H35,0))</f>
        <v/>
      </c>
      <c r="AF35" s="17">
        <f>IF(COUNT(C35:P35)=0,"",IFERROR(L35/H35,0))</f>
        <v/>
      </c>
      <c r="AG35" s="14">
        <f>IF(COUNT(C35:P35)=0,"",IFERROR(C35/K35,0))</f>
        <v/>
      </c>
      <c r="AH35" s="17">
        <f>IF(COUNT(C35:P35)=0,"",IFERROR(M35/K35,0))</f>
        <v/>
      </c>
      <c r="AI35" s="14">
        <f>IF(COUNT(C35:P35)=0,"",IFERROR(C35/M35,0))</f>
        <v/>
      </c>
      <c r="AJ35" s="17">
        <f>IF(COUNT(C35:P35)=0,"",IFERROR(N35/M35,0))</f>
        <v/>
      </c>
      <c r="AK35" s="16">
        <f>IF(COUNT(C35:P35)=0,"",IFERROR(N35/H35,0))</f>
        <v/>
      </c>
      <c r="AL35" s="14">
        <f>IF(COUNT(C35:P35)=0,"",IFERROR(C35/N35,0))</f>
        <v/>
      </c>
      <c r="AM35" s="17">
        <f>IF(COUNT(C35:P35)=0,"",IFERROR(O35/N35,0))</f>
        <v/>
      </c>
      <c r="AN35" s="17">
        <f>IF(COUNT(C35:P35)=0,"",IFERROR(P35/N35,0))</f>
        <v/>
      </c>
      <c r="AO35" s="19">
        <f>IF(COUNT(C35:P35)=0,"",IFERROR(N35*Config!$C$7+O35*Config!$C$8+P35*Config!$C$9,0))</f>
        <v/>
      </c>
      <c r="AP35" s="14">
        <f>IF(COUNT(C35:P35)=0,"",IFERROR(AO35/N35,0))</f>
        <v/>
      </c>
      <c r="AQ35" s="19">
        <f>IF(COUNT(C35:P35)=0,"",IFERROR(AO35*(1-Config!$C$10-Config!$C$11-Config!$C$12),0))</f>
        <v/>
      </c>
      <c r="AR35" s="19">
        <f>IF(COUNT(C35:P35)=0,"",IFERROR(AQ35-C35-Config!$C$13,0))</f>
        <v/>
      </c>
      <c r="AS35" s="20">
        <f>IF(COUNT(C35:P35)=0,"",IFERROR(AQ35/C35,0))</f>
        <v/>
      </c>
      <c r="AT35" s="14">
        <f>IF(COUNT(C35:P35)=0,"",IFERROR(AR35/G35,0))</f>
        <v/>
      </c>
      <c r="AU35" s="20">
        <f>IF(COUNT(C35:P35)=0,"",IFERROR(AT35/V35,0))</f>
        <v/>
      </c>
      <c r="AV35" s="14">
        <f>IF(COUNT(C35:P35)=0,"",IFERROR(AR35/H35,0))</f>
        <v/>
      </c>
    </row>
    <row r="36">
      <c r="A36" s="11">
        <f>Config!$C$6+30</f>
        <v/>
      </c>
      <c r="B36" s="12">
        <f>INT((A36-Config!$C$6)/7)+1</f>
        <v/>
      </c>
      <c r="C36" s="9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4">
        <f>IF(COUNT(C36:P36)=0,"",IFERROR(C36/D36*1000,0))</f>
        <v/>
      </c>
      <c r="R36" s="15">
        <f>IF(COUNT(C36:P36)=0,"",IFERROR(D36/E36,0))</f>
        <v/>
      </c>
      <c r="S36" s="16">
        <f>IF(COUNT(C36:P36)=0,"",IFERROR(F36/D36,0))</f>
        <v/>
      </c>
      <c r="T36" s="14">
        <f>IF(COUNT(C36:P36)=0,"",IFERROR(C36/F36,0))</f>
        <v/>
      </c>
      <c r="U36" s="17">
        <f>IF(COUNT(C36:P36)=0,"",IFERROR(G36/F36,0))</f>
        <v/>
      </c>
      <c r="V36" s="14">
        <f>IF(COUNT(C36:P36)=0,"",IFERROR(C36/G36,0))</f>
        <v/>
      </c>
      <c r="W36" s="18">
        <f>IF(COUNT(C36:P36)=0,"",IFERROR(G36/D36*1000,0))</f>
        <v/>
      </c>
      <c r="X36" s="17">
        <f>IF(COUNT(C36:P36)=0,"",IFERROR(H36/G36,0))</f>
        <v/>
      </c>
      <c r="Y36" s="14">
        <f>IF(COUNT(C36:P36)=0,"",IFERROR(C36/H36,0))</f>
        <v/>
      </c>
      <c r="Z36" s="14">
        <f>IF(COUNT(C36:P36)=0,"",IFERROR(C36/I36,0))</f>
        <v/>
      </c>
      <c r="AA36" s="17">
        <f>IF(COUNT(C36:P36)=0,"",IFERROR(Y36/Q36,0))</f>
        <v/>
      </c>
      <c r="AB36" s="18">
        <f>IF(COUNT(C36:P36)=0,"",IFERROR(H36/D36*1000,0))</f>
        <v/>
      </c>
      <c r="AC36" s="17">
        <f>IF(COUNT(C36:P36)=0,"",IFERROR(J36/H36,0))</f>
        <v/>
      </c>
      <c r="AD36" s="14">
        <f>IF(COUNT(C36:P36)=0,"",IFERROR(C36/J36,0))</f>
        <v/>
      </c>
      <c r="AE36" s="17">
        <f>IF(COUNT(C36:P36)=0,"",IFERROR(K36/H36,0))</f>
        <v/>
      </c>
      <c r="AF36" s="17">
        <f>IF(COUNT(C36:P36)=0,"",IFERROR(L36/H36,0))</f>
        <v/>
      </c>
      <c r="AG36" s="14">
        <f>IF(COUNT(C36:P36)=0,"",IFERROR(C36/K36,0))</f>
        <v/>
      </c>
      <c r="AH36" s="17">
        <f>IF(COUNT(C36:P36)=0,"",IFERROR(M36/K36,0))</f>
        <v/>
      </c>
      <c r="AI36" s="14">
        <f>IF(COUNT(C36:P36)=0,"",IFERROR(C36/M36,0))</f>
        <v/>
      </c>
      <c r="AJ36" s="17">
        <f>IF(COUNT(C36:P36)=0,"",IFERROR(N36/M36,0))</f>
        <v/>
      </c>
      <c r="AK36" s="16">
        <f>IF(COUNT(C36:P36)=0,"",IFERROR(N36/H36,0))</f>
        <v/>
      </c>
      <c r="AL36" s="14">
        <f>IF(COUNT(C36:P36)=0,"",IFERROR(C36/N36,0))</f>
        <v/>
      </c>
      <c r="AM36" s="17">
        <f>IF(COUNT(C36:P36)=0,"",IFERROR(O36/N36,0))</f>
        <v/>
      </c>
      <c r="AN36" s="17">
        <f>IF(COUNT(C36:P36)=0,"",IFERROR(P36/N36,0))</f>
        <v/>
      </c>
      <c r="AO36" s="19">
        <f>IF(COUNT(C36:P36)=0,"",IFERROR(N36*Config!$C$7+O36*Config!$C$8+P36*Config!$C$9,0))</f>
        <v/>
      </c>
      <c r="AP36" s="14">
        <f>IF(COUNT(C36:P36)=0,"",IFERROR(AO36/N36,0))</f>
        <v/>
      </c>
      <c r="AQ36" s="19">
        <f>IF(COUNT(C36:P36)=0,"",IFERROR(AO36*(1-Config!$C$10-Config!$C$11-Config!$C$12),0))</f>
        <v/>
      </c>
      <c r="AR36" s="19">
        <f>IF(COUNT(C36:P36)=0,"",IFERROR(AQ36-C36-Config!$C$13,0))</f>
        <v/>
      </c>
      <c r="AS36" s="20">
        <f>IF(COUNT(C36:P36)=0,"",IFERROR(AQ36/C36,0))</f>
        <v/>
      </c>
      <c r="AT36" s="14">
        <f>IF(COUNT(C36:P36)=0,"",IFERROR(AR36/G36,0))</f>
        <v/>
      </c>
      <c r="AU36" s="20">
        <f>IF(COUNT(C36:P36)=0,"",IFERROR(AT36/V36,0))</f>
        <v/>
      </c>
      <c r="AV36" s="14">
        <f>IF(COUNT(C36:P36)=0,"",IFERROR(AR36/H36,0))</f>
        <v/>
      </c>
    </row>
    <row r="37">
      <c r="A37" s="11">
        <f>Config!$C$6+31</f>
        <v/>
      </c>
      <c r="B37" s="12">
        <f>INT((A37-Config!$C$6)/7)+1</f>
        <v/>
      </c>
      <c r="C37" s="9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4">
        <f>IF(COUNT(C37:P37)=0,"",IFERROR(C37/D37*1000,0))</f>
        <v/>
      </c>
      <c r="R37" s="15">
        <f>IF(COUNT(C37:P37)=0,"",IFERROR(D37/E37,0))</f>
        <v/>
      </c>
      <c r="S37" s="16">
        <f>IF(COUNT(C37:P37)=0,"",IFERROR(F37/D37,0))</f>
        <v/>
      </c>
      <c r="T37" s="14">
        <f>IF(COUNT(C37:P37)=0,"",IFERROR(C37/F37,0))</f>
        <v/>
      </c>
      <c r="U37" s="17">
        <f>IF(COUNT(C37:P37)=0,"",IFERROR(G37/F37,0))</f>
        <v/>
      </c>
      <c r="V37" s="14">
        <f>IF(COUNT(C37:P37)=0,"",IFERROR(C37/G37,0))</f>
        <v/>
      </c>
      <c r="W37" s="18">
        <f>IF(COUNT(C37:P37)=0,"",IFERROR(G37/D37*1000,0))</f>
        <v/>
      </c>
      <c r="X37" s="17">
        <f>IF(COUNT(C37:P37)=0,"",IFERROR(H37/G37,0))</f>
        <v/>
      </c>
      <c r="Y37" s="14">
        <f>IF(COUNT(C37:P37)=0,"",IFERROR(C37/H37,0))</f>
        <v/>
      </c>
      <c r="Z37" s="14">
        <f>IF(COUNT(C37:P37)=0,"",IFERROR(C37/I37,0))</f>
        <v/>
      </c>
      <c r="AA37" s="17">
        <f>IF(COUNT(C37:P37)=0,"",IFERROR(Y37/Q37,0))</f>
        <v/>
      </c>
      <c r="AB37" s="18">
        <f>IF(COUNT(C37:P37)=0,"",IFERROR(H37/D37*1000,0))</f>
        <v/>
      </c>
      <c r="AC37" s="17">
        <f>IF(COUNT(C37:P37)=0,"",IFERROR(J37/H37,0))</f>
        <v/>
      </c>
      <c r="AD37" s="14">
        <f>IF(COUNT(C37:P37)=0,"",IFERROR(C37/J37,0))</f>
        <v/>
      </c>
      <c r="AE37" s="17">
        <f>IF(COUNT(C37:P37)=0,"",IFERROR(K37/H37,0))</f>
        <v/>
      </c>
      <c r="AF37" s="17">
        <f>IF(COUNT(C37:P37)=0,"",IFERROR(L37/H37,0))</f>
        <v/>
      </c>
      <c r="AG37" s="14">
        <f>IF(COUNT(C37:P37)=0,"",IFERROR(C37/K37,0))</f>
        <v/>
      </c>
      <c r="AH37" s="17">
        <f>IF(COUNT(C37:P37)=0,"",IFERROR(M37/K37,0))</f>
        <v/>
      </c>
      <c r="AI37" s="14">
        <f>IF(COUNT(C37:P37)=0,"",IFERROR(C37/M37,0))</f>
        <v/>
      </c>
      <c r="AJ37" s="17">
        <f>IF(COUNT(C37:P37)=0,"",IFERROR(N37/M37,0))</f>
        <v/>
      </c>
      <c r="AK37" s="16">
        <f>IF(COUNT(C37:P37)=0,"",IFERROR(N37/H37,0))</f>
        <v/>
      </c>
      <c r="AL37" s="14">
        <f>IF(COUNT(C37:P37)=0,"",IFERROR(C37/N37,0))</f>
        <v/>
      </c>
      <c r="AM37" s="17">
        <f>IF(COUNT(C37:P37)=0,"",IFERROR(O37/N37,0))</f>
        <v/>
      </c>
      <c r="AN37" s="17">
        <f>IF(COUNT(C37:P37)=0,"",IFERROR(P37/N37,0))</f>
        <v/>
      </c>
      <c r="AO37" s="19">
        <f>IF(COUNT(C37:P37)=0,"",IFERROR(N37*Config!$C$7+O37*Config!$C$8+P37*Config!$C$9,0))</f>
        <v/>
      </c>
      <c r="AP37" s="14">
        <f>IF(COUNT(C37:P37)=0,"",IFERROR(AO37/N37,0))</f>
        <v/>
      </c>
      <c r="AQ37" s="19">
        <f>IF(COUNT(C37:P37)=0,"",IFERROR(AO37*(1-Config!$C$10-Config!$C$11-Config!$C$12),0))</f>
        <v/>
      </c>
      <c r="AR37" s="19">
        <f>IF(COUNT(C37:P37)=0,"",IFERROR(AQ37-C37-Config!$C$13,0))</f>
        <v/>
      </c>
      <c r="AS37" s="20">
        <f>IF(COUNT(C37:P37)=0,"",IFERROR(AQ37/C37,0))</f>
        <v/>
      </c>
      <c r="AT37" s="14">
        <f>IF(COUNT(C37:P37)=0,"",IFERROR(AR37/G37,0))</f>
        <v/>
      </c>
      <c r="AU37" s="20">
        <f>IF(COUNT(C37:P37)=0,"",IFERROR(AT37/V37,0))</f>
        <v/>
      </c>
      <c r="AV37" s="14">
        <f>IF(COUNT(C37:P37)=0,"",IFERROR(AR37/H37,0))</f>
        <v/>
      </c>
    </row>
    <row r="38">
      <c r="A38" s="11">
        <f>Config!$C$6+32</f>
        <v/>
      </c>
      <c r="B38" s="12">
        <f>INT((A38-Config!$C$6)/7)+1</f>
        <v/>
      </c>
      <c r="C38" s="9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4">
        <f>IF(COUNT(C38:P38)=0,"",IFERROR(C38/D38*1000,0))</f>
        <v/>
      </c>
      <c r="R38" s="15">
        <f>IF(COUNT(C38:P38)=0,"",IFERROR(D38/E38,0))</f>
        <v/>
      </c>
      <c r="S38" s="16">
        <f>IF(COUNT(C38:P38)=0,"",IFERROR(F38/D38,0))</f>
        <v/>
      </c>
      <c r="T38" s="14">
        <f>IF(COUNT(C38:P38)=0,"",IFERROR(C38/F38,0))</f>
        <v/>
      </c>
      <c r="U38" s="17">
        <f>IF(COUNT(C38:P38)=0,"",IFERROR(G38/F38,0))</f>
        <v/>
      </c>
      <c r="V38" s="14">
        <f>IF(COUNT(C38:P38)=0,"",IFERROR(C38/G38,0))</f>
        <v/>
      </c>
      <c r="W38" s="18">
        <f>IF(COUNT(C38:P38)=0,"",IFERROR(G38/D38*1000,0))</f>
        <v/>
      </c>
      <c r="X38" s="17">
        <f>IF(COUNT(C38:P38)=0,"",IFERROR(H38/G38,0))</f>
        <v/>
      </c>
      <c r="Y38" s="14">
        <f>IF(COUNT(C38:P38)=0,"",IFERROR(C38/H38,0))</f>
        <v/>
      </c>
      <c r="Z38" s="14">
        <f>IF(COUNT(C38:P38)=0,"",IFERROR(C38/I38,0))</f>
        <v/>
      </c>
      <c r="AA38" s="17">
        <f>IF(COUNT(C38:P38)=0,"",IFERROR(Y38/Q38,0))</f>
        <v/>
      </c>
      <c r="AB38" s="18">
        <f>IF(COUNT(C38:P38)=0,"",IFERROR(H38/D38*1000,0))</f>
        <v/>
      </c>
      <c r="AC38" s="17">
        <f>IF(COUNT(C38:P38)=0,"",IFERROR(J38/H38,0))</f>
        <v/>
      </c>
      <c r="AD38" s="14">
        <f>IF(COUNT(C38:P38)=0,"",IFERROR(C38/J38,0))</f>
        <v/>
      </c>
      <c r="AE38" s="17">
        <f>IF(COUNT(C38:P38)=0,"",IFERROR(K38/H38,0))</f>
        <v/>
      </c>
      <c r="AF38" s="17">
        <f>IF(COUNT(C38:P38)=0,"",IFERROR(L38/H38,0))</f>
        <v/>
      </c>
      <c r="AG38" s="14">
        <f>IF(COUNT(C38:P38)=0,"",IFERROR(C38/K38,0))</f>
        <v/>
      </c>
      <c r="AH38" s="17">
        <f>IF(COUNT(C38:P38)=0,"",IFERROR(M38/K38,0))</f>
        <v/>
      </c>
      <c r="AI38" s="14">
        <f>IF(COUNT(C38:P38)=0,"",IFERROR(C38/M38,0))</f>
        <v/>
      </c>
      <c r="AJ38" s="17">
        <f>IF(COUNT(C38:P38)=0,"",IFERROR(N38/M38,0))</f>
        <v/>
      </c>
      <c r="AK38" s="16">
        <f>IF(COUNT(C38:P38)=0,"",IFERROR(N38/H38,0))</f>
        <v/>
      </c>
      <c r="AL38" s="14">
        <f>IF(COUNT(C38:P38)=0,"",IFERROR(C38/N38,0))</f>
        <v/>
      </c>
      <c r="AM38" s="17">
        <f>IF(COUNT(C38:P38)=0,"",IFERROR(O38/N38,0))</f>
        <v/>
      </c>
      <c r="AN38" s="17">
        <f>IF(COUNT(C38:P38)=0,"",IFERROR(P38/N38,0))</f>
        <v/>
      </c>
      <c r="AO38" s="19">
        <f>IF(COUNT(C38:P38)=0,"",IFERROR(N38*Config!$C$7+O38*Config!$C$8+P38*Config!$C$9,0))</f>
        <v/>
      </c>
      <c r="AP38" s="14">
        <f>IF(COUNT(C38:P38)=0,"",IFERROR(AO38/N38,0))</f>
        <v/>
      </c>
      <c r="AQ38" s="19">
        <f>IF(COUNT(C38:P38)=0,"",IFERROR(AO38*(1-Config!$C$10-Config!$C$11-Config!$C$12),0))</f>
        <v/>
      </c>
      <c r="AR38" s="19">
        <f>IF(COUNT(C38:P38)=0,"",IFERROR(AQ38-C38-Config!$C$13,0))</f>
        <v/>
      </c>
      <c r="AS38" s="20">
        <f>IF(COUNT(C38:P38)=0,"",IFERROR(AQ38/C38,0))</f>
        <v/>
      </c>
      <c r="AT38" s="14">
        <f>IF(COUNT(C38:P38)=0,"",IFERROR(AR38/G38,0))</f>
        <v/>
      </c>
      <c r="AU38" s="20">
        <f>IF(COUNT(C38:P38)=0,"",IFERROR(AT38/V38,0))</f>
        <v/>
      </c>
      <c r="AV38" s="14">
        <f>IF(COUNT(C38:P38)=0,"",IFERROR(AR38/H38,0))</f>
        <v/>
      </c>
    </row>
    <row r="39">
      <c r="A39" s="11">
        <f>Config!$C$6+33</f>
        <v/>
      </c>
      <c r="B39" s="12">
        <f>INT((A39-Config!$C$6)/7)+1</f>
        <v/>
      </c>
      <c r="C39" s="9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4">
        <f>IF(COUNT(C39:P39)=0,"",IFERROR(C39/D39*1000,0))</f>
        <v/>
      </c>
      <c r="R39" s="15">
        <f>IF(COUNT(C39:P39)=0,"",IFERROR(D39/E39,0))</f>
        <v/>
      </c>
      <c r="S39" s="16">
        <f>IF(COUNT(C39:P39)=0,"",IFERROR(F39/D39,0))</f>
        <v/>
      </c>
      <c r="T39" s="14">
        <f>IF(COUNT(C39:P39)=0,"",IFERROR(C39/F39,0))</f>
        <v/>
      </c>
      <c r="U39" s="17">
        <f>IF(COUNT(C39:P39)=0,"",IFERROR(G39/F39,0))</f>
        <v/>
      </c>
      <c r="V39" s="14">
        <f>IF(COUNT(C39:P39)=0,"",IFERROR(C39/G39,0))</f>
        <v/>
      </c>
      <c r="W39" s="18">
        <f>IF(COUNT(C39:P39)=0,"",IFERROR(G39/D39*1000,0))</f>
        <v/>
      </c>
      <c r="X39" s="17">
        <f>IF(COUNT(C39:P39)=0,"",IFERROR(H39/G39,0))</f>
        <v/>
      </c>
      <c r="Y39" s="14">
        <f>IF(COUNT(C39:P39)=0,"",IFERROR(C39/H39,0))</f>
        <v/>
      </c>
      <c r="Z39" s="14">
        <f>IF(COUNT(C39:P39)=0,"",IFERROR(C39/I39,0))</f>
        <v/>
      </c>
      <c r="AA39" s="17">
        <f>IF(COUNT(C39:P39)=0,"",IFERROR(Y39/Q39,0))</f>
        <v/>
      </c>
      <c r="AB39" s="18">
        <f>IF(COUNT(C39:P39)=0,"",IFERROR(H39/D39*1000,0))</f>
        <v/>
      </c>
      <c r="AC39" s="17">
        <f>IF(COUNT(C39:P39)=0,"",IFERROR(J39/H39,0))</f>
        <v/>
      </c>
      <c r="AD39" s="14">
        <f>IF(COUNT(C39:P39)=0,"",IFERROR(C39/J39,0))</f>
        <v/>
      </c>
      <c r="AE39" s="17">
        <f>IF(COUNT(C39:P39)=0,"",IFERROR(K39/H39,0))</f>
        <v/>
      </c>
      <c r="AF39" s="17">
        <f>IF(COUNT(C39:P39)=0,"",IFERROR(L39/H39,0))</f>
        <v/>
      </c>
      <c r="AG39" s="14">
        <f>IF(COUNT(C39:P39)=0,"",IFERROR(C39/K39,0))</f>
        <v/>
      </c>
      <c r="AH39" s="17">
        <f>IF(COUNT(C39:P39)=0,"",IFERROR(M39/K39,0))</f>
        <v/>
      </c>
      <c r="AI39" s="14">
        <f>IF(COUNT(C39:P39)=0,"",IFERROR(C39/M39,0))</f>
        <v/>
      </c>
      <c r="AJ39" s="17">
        <f>IF(COUNT(C39:P39)=0,"",IFERROR(N39/M39,0))</f>
        <v/>
      </c>
      <c r="AK39" s="16">
        <f>IF(COUNT(C39:P39)=0,"",IFERROR(N39/H39,0))</f>
        <v/>
      </c>
      <c r="AL39" s="14">
        <f>IF(COUNT(C39:P39)=0,"",IFERROR(C39/N39,0))</f>
        <v/>
      </c>
      <c r="AM39" s="17">
        <f>IF(COUNT(C39:P39)=0,"",IFERROR(O39/N39,0))</f>
        <v/>
      </c>
      <c r="AN39" s="17">
        <f>IF(COUNT(C39:P39)=0,"",IFERROR(P39/N39,0))</f>
        <v/>
      </c>
      <c r="AO39" s="19">
        <f>IF(COUNT(C39:P39)=0,"",IFERROR(N39*Config!$C$7+O39*Config!$C$8+P39*Config!$C$9,0))</f>
        <v/>
      </c>
      <c r="AP39" s="14">
        <f>IF(COUNT(C39:P39)=0,"",IFERROR(AO39/N39,0))</f>
        <v/>
      </c>
      <c r="AQ39" s="19">
        <f>IF(COUNT(C39:P39)=0,"",IFERROR(AO39*(1-Config!$C$10-Config!$C$11-Config!$C$12),0))</f>
        <v/>
      </c>
      <c r="AR39" s="19">
        <f>IF(COUNT(C39:P39)=0,"",IFERROR(AQ39-C39-Config!$C$13,0))</f>
        <v/>
      </c>
      <c r="AS39" s="20">
        <f>IF(COUNT(C39:P39)=0,"",IFERROR(AQ39/C39,0))</f>
        <v/>
      </c>
      <c r="AT39" s="14">
        <f>IF(COUNT(C39:P39)=0,"",IFERROR(AR39/G39,0))</f>
        <v/>
      </c>
      <c r="AU39" s="20">
        <f>IF(COUNT(C39:P39)=0,"",IFERROR(AT39/V39,0))</f>
        <v/>
      </c>
      <c r="AV39" s="14">
        <f>IF(COUNT(C39:P39)=0,"",IFERROR(AR39/H39,0))</f>
        <v/>
      </c>
    </row>
    <row r="40">
      <c r="A40" s="11">
        <f>Config!$C$6+34</f>
        <v/>
      </c>
      <c r="B40" s="12">
        <f>INT((A40-Config!$C$6)/7)+1</f>
        <v/>
      </c>
      <c r="C40" s="9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4">
        <f>IF(COUNT(C40:P40)=0,"",IFERROR(C40/D40*1000,0))</f>
        <v/>
      </c>
      <c r="R40" s="15">
        <f>IF(COUNT(C40:P40)=0,"",IFERROR(D40/E40,0))</f>
        <v/>
      </c>
      <c r="S40" s="16">
        <f>IF(COUNT(C40:P40)=0,"",IFERROR(F40/D40,0))</f>
        <v/>
      </c>
      <c r="T40" s="14">
        <f>IF(COUNT(C40:P40)=0,"",IFERROR(C40/F40,0))</f>
        <v/>
      </c>
      <c r="U40" s="17">
        <f>IF(COUNT(C40:P40)=0,"",IFERROR(G40/F40,0))</f>
        <v/>
      </c>
      <c r="V40" s="14">
        <f>IF(COUNT(C40:P40)=0,"",IFERROR(C40/G40,0))</f>
        <v/>
      </c>
      <c r="W40" s="18">
        <f>IF(COUNT(C40:P40)=0,"",IFERROR(G40/D40*1000,0))</f>
        <v/>
      </c>
      <c r="X40" s="17">
        <f>IF(COUNT(C40:P40)=0,"",IFERROR(H40/G40,0))</f>
        <v/>
      </c>
      <c r="Y40" s="14">
        <f>IF(COUNT(C40:P40)=0,"",IFERROR(C40/H40,0))</f>
        <v/>
      </c>
      <c r="Z40" s="14">
        <f>IF(COUNT(C40:P40)=0,"",IFERROR(C40/I40,0))</f>
        <v/>
      </c>
      <c r="AA40" s="17">
        <f>IF(COUNT(C40:P40)=0,"",IFERROR(Y40/Q40,0))</f>
        <v/>
      </c>
      <c r="AB40" s="18">
        <f>IF(COUNT(C40:P40)=0,"",IFERROR(H40/D40*1000,0))</f>
        <v/>
      </c>
      <c r="AC40" s="17">
        <f>IF(COUNT(C40:P40)=0,"",IFERROR(J40/H40,0))</f>
        <v/>
      </c>
      <c r="AD40" s="14">
        <f>IF(COUNT(C40:P40)=0,"",IFERROR(C40/J40,0))</f>
        <v/>
      </c>
      <c r="AE40" s="17">
        <f>IF(COUNT(C40:P40)=0,"",IFERROR(K40/H40,0))</f>
        <v/>
      </c>
      <c r="AF40" s="17">
        <f>IF(COUNT(C40:P40)=0,"",IFERROR(L40/H40,0))</f>
        <v/>
      </c>
      <c r="AG40" s="14">
        <f>IF(COUNT(C40:P40)=0,"",IFERROR(C40/K40,0))</f>
        <v/>
      </c>
      <c r="AH40" s="17">
        <f>IF(COUNT(C40:P40)=0,"",IFERROR(M40/K40,0))</f>
        <v/>
      </c>
      <c r="AI40" s="14">
        <f>IF(COUNT(C40:P40)=0,"",IFERROR(C40/M40,0))</f>
        <v/>
      </c>
      <c r="AJ40" s="17">
        <f>IF(COUNT(C40:P40)=0,"",IFERROR(N40/M40,0))</f>
        <v/>
      </c>
      <c r="AK40" s="16">
        <f>IF(COUNT(C40:P40)=0,"",IFERROR(N40/H40,0))</f>
        <v/>
      </c>
      <c r="AL40" s="14">
        <f>IF(COUNT(C40:P40)=0,"",IFERROR(C40/N40,0))</f>
        <v/>
      </c>
      <c r="AM40" s="17">
        <f>IF(COUNT(C40:P40)=0,"",IFERROR(O40/N40,0))</f>
        <v/>
      </c>
      <c r="AN40" s="17">
        <f>IF(COUNT(C40:P40)=0,"",IFERROR(P40/N40,0))</f>
        <v/>
      </c>
      <c r="AO40" s="19">
        <f>IF(COUNT(C40:P40)=0,"",IFERROR(N40*Config!$C$7+O40*Config!$C$8+P40*Config!$C$9,0))</f>
        <v/>
      </c>
      <c r="AP40" s="14">
        <f>IF(COUNT(C40:P40)=0,"",IFERROR(AO40/N40,0))</f>
        <v/>
      </c>
      <c r="AQ40" s="19">
        <f>IF(COUNT(C40:P40)=0,"",IFERROR(AO40*(1-Config!$C$10-Config!$C$11-Config!$C$12),0))</f>
        <v/>
      </c>
      <c r="AR40" s="19">
        <f>IF(COUNT(C40:P40)=0,"",IFERROR(AQ40-C40-Config!$C$13,0))</f>
        <v/>
      </c>
      <c r="AS40" s="20">
        <f>IF(COUNT(C40:P40)=0,"",IFERROR(AQ40/C40,0))</f>
        <v/>
      </c>
      <c r="AT40" s="14">
        <f>IF(COUNT(C40:P40)=0,"",IFERROR(AR40/G40,0))</f>
        <v/>
      </c>
      <c r="AU40" s="20">
        <f>IF(COUNT(C40:P40)=0,"",IFERROR(AT40/V40,0))</f>
        <v/>
      </c>
      <c r="AV40" s="14">
        <f>IF(COUNT(C40:P40)=0,"",IFERROR(AR40/H40,0))</f>
        <v/>
      </c>
    </row>
    <row r="41">
      <c r="A41" s="11">
        <f>Config!$C$6+35</f>
        <v/>
      </c>
      <c r="B41" s="12">
        <f>INT((A41-Config!$C$6)/7)+1</f>
        <v/>
      </c>
      <c r="C41" s="9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4">
        <f>IF(COUNT(C41:P41)=0,"",IFERROR(C41/D41*1000,0))</f>
        <v/>
      </c>
      <c r="R41" s="15">
        <f>IF(COUNT(C41:P41)=0,"",IFERROR(D41/E41,0))</f>
        <v/>
      </c>
      <c r="S41" s="16">
        <f>IF(COUNT(C41:P41)=0,"",IFERROR(F41/D41,0))</f>
        <v/>
      </c>
      <c r="T41" s="14">
        <f>IF(COUNT(C41:P41)=0,"",IFERROR(C41/F41,0))</f>
        <v/>
      </c>
      <c r="U41" s="17">
        <f>IF(COUNT(C41:P41)=0,"",IFERROR(G41/F41,0))</f>
        <v/>
      </c>
      <c r="V41" s="14">
        <f>IF(COUNT(C41:P41)=0,"",IFERROR(C41/G41,0))</f>
        <v/>
      </c>
      <c r="W41" s="18">
        <f>IF(COUNT(C41:P41)=0,"",IFERROR(G41/D41*1000,0))</f>
        <v/>
      </c>
      <c r="X41" s="17">
        <f>IF(COUNT(C41:P41)=0,"",IFERROR(H41/G41,0))</f>
        <v/>
      </c>
      <c r="Y41" s="14">
        <f>IF(COUNT(C41:P41)=0,"",IFERROR(C41/H41,0))</f>
        <v/>
      </c>
      <c r="Z41" s="14">
        <f>IF(COUNT(C41:P41)=0,"",IFERROR(C41/I41,0))</f>
        <v/>
      </c>
      <c r="AA41" s="17">
        <f>IF(COUNT(C41:P41)=0,"",IFERROR(Y41/Q41,0))</f>
        <v/>
      </c>
      <c r="AB41" s="18">
        <f>IF(COUNT(C41:P41)=0,"",IFERROR(H41/D41*1000,0))</f>
        <v/>
      </c>
      <c r="AC41" s="17">
        <f>IF(COUNT(C41:P41)=0,"",IFERROR(J41/H41,0))</f>
        <v/>
      </c>
      <c r="AD41" s="14">
        <f>IF(COUNT(C41:P41)=0,"",IFERROR(C41/J41,0))</f>
        <v/>
      </c>
      <c r="AE41" s="17">
        <f>IF(COUNT(C41:P41)=0,"",IFERROR(K41/H41,0))</f>
        <v/>
      </c>
      <c r="AF41" s="17">
        <f>IF(COUNT(C41:P41)=0,"",IFERROR(L41/H41,0))</f>
        <v/>
      </c>
      <c r="AG41" s="14">
        <f>IF(COUNT(C41:P41)=0,"",IFERROR(C41/K41,0))</f>
        <v/>
      </c>
      <c r="AH41" s="17">
        <f>IF(COUNT(C41:P41)=0,"",IFERROR(M41/K41,0))</f>
        <v/>
      </c>
      <c r="AI41" s="14">
        <f>IF(COUNT(C41:P41)=0,"",IFERROR(C41/M41,0))</f>
        <v/>
      </c>
      <c r="AJ41" s="17">
        <f>IF(COUNT(C41:P41)=0,"",IFERROR(N41/M41,0))</f>
        <v/>
      </c>
      <c r="AK41" s="16">
        <f>IF(COUNT(C41:P41)=0,"",IFERROR(N41/H41,0))</f>
        <v/>
      </c>
      <c r="AL41" s="14">
        <f>IF(COUNT(C41:P41)=0,"",IFERROR(C41/N41,0))</f>
        <v/>
      </c>
      <c r="AM41" s="17">
        <f>IF(COUNT(C41:P41)=0,"",IFERROR(O41/N41,0))</f>
        <v/>
      </c>
      <c r="AN41" s="17">
        <f>IF(COUNT(C41:P41)=0,"",IFERROR(P41/N41,0))</f>
        <v/>
      </c>
      <c r="AO41" s="19">
        <f>IF(COUNT(C41:P41)=0,"",IFERROR(N41*Config!$C$7+O41*Config!$C$8+P41*Config!$C$9,0))</f>
        <v/>
      </c>
      <c r="AP41" s="14">
        <f>IF(COUNT(C41:P41)=0,"",IFERROR(AO41/N41,0))</f>
        <v/>
      </c>
      <c r="AQ41" s="19">
        <f>IF(COUNT(C41:P41)=0,"",IFERROR(AO41*(1-Config!$C$10-Config!$C$11-Config!$C$12),0))</f>
        <v/>
      </c>
      <c r="AR41" s="19">
        <f>IF(COUNT(C41:P41)=0,"",IFERROR(AQ41-C41-Config!$C$13,0))</f>
        <v/>
      </c>
      <c r="AS41" s="20">
        <f>IF(COUNT(C41:P41)=0,"",IFERROR(AQ41/C41,0))</f>
        <v/>
      </c>
      <c r="AT41" s="14">
        <f>IF(COUNT(C41:P41)=0,"",IFERROR(AR41/G41,0))</f>
        <v/>
      </c>
      <c r="AU41" s="20">
        <f>IF(COUNT(C41:P41)=0,"",IFERROR(AT41/V41,0))</f>
        <v/>
      </c>
      <c r="AV41" s="14">
        <f>IF(COUNT(C41:P41)=0,"",IFERROR(AR41/H41,0))</f>
        <v/>
      </c>
    </row>
    <row r="42">
      <c r="A42" s="11">
        <f>Config!$C$6+36</f>
        <v/>
      </c>
      <c r="B42" s="12">
        <f>INT((A42-Config!$C$6)/7)+1</f>
        <v/>
      </c>
      <c r="C42" s="9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4">
        <f>IF(COUNT(C42:P42)=0,"",IFERROR(C42/D42*1000,0))</f>
        <v/>
      </c>
      <c r="R42" s="15">
        <f>IF(COUNT(C42:P42)=0,"",IFERROR(D42/E42,0))</f>
        <v/>
      </c>
      <c r="S42" s="16">
        <f>IF(COUNT(C42:P42)=0,"",IFERROR(F42/D42,0))</f>
        <v/>
      </c>
      <c r="T42" s="14">
        <f>IF(COUNT(C42:P42)=0,"",IFERROR(C42/F42,0))</f>
        <v/>
      </c>
      <c r="U42" s="17">
        <f>IF(COUNT(C42:P42)=0,"",IFERROR(G42/F42,0))</f>
        <v/>
      </c>
      <c r="V42" s="14">
        <f>IF(COUNT(C42:P42)=0,"",IFERROR(C42/G42,0))</f>
        <v/>
      </c>
      <c r="W42" s="18">
        <f>IF(COUNT(C42:P42)=0,"",IFERROR(G42/D42*1000,0))</f>
        <v/>
      </c>
      <c r="X42" s="17">
        <f>IF(COUNT(C42:P42)=0,"",IFERROR(H42/G42,0))</f>
        <v/>
      </c>
      <c r="Y42" s="14">
        <f>IF(COUNT(C42:P42)=0,"",IFERROR(C42/H42,0))</f>
        <v/>
      </c>
      <c r="Z42" s="14">
        <f>IF(COUNT(C42:P42)=0,"",IFERROR(C42/I42,0))</f>
        <v/>
      </c>
      <c r="AA42" s="17">
        <f>IF(COUNT(C42:P42)=0,"",IFERROR(Y42/Q42,0))</f>
        <v/>
      </c>
      <c r="AB42" s="18">
        <f>IF(COUNT(C42:P42)=0,"",IFERROR(H42/D42*1000,0))</f>
        <v/>
      </c>
      <c r="AC42" s="17">
        <f>IF(COUNT(C42:P42)=0,"",IFERROR(J42/H42,0))</f>
        <v/>
      </c>
      <c r="AD42" s="14">
        <f>IF(COUNT(C42:P42)=0,"",IFERROR(C42/J42,0))</f>
        <v/>
      </c>
      <c r="AE42" s="17">
        <f>IF(COUNT(C42:P42)=0,"",IFERROR(K42/H42,0))</f>
        <v/>
      </c>
      <c r="AF42" s="17">
        <f>IF(COUNT(C42:P42)=0,"",IFERROR(L42/H42,0))</f>
        <v/>
      </c>
      <c r="AG42" s="14">
        <f>IF(COUNT(C42:P42)=0,"",IFERROR(C42/K42,0))</f>
        <v/>
      </c>
      <c r="AH42" s="17">
        <f>IF(COUNT(C42:P42)=0,"",IFERROR(M42/K42,0))</f>
        <v/>
      </c>
      <c r="AI42" s="14">
        <f>IF(COUNT(C42:P42)=0,"",IFERROR(C42/M42,0))</f>
        <v/>
      </c>
      <c r="AJ42" s="17">
        <f>IF(COUNT(C42:P42)=0,"",IFERROR(N42/M42,0))</f>
        <v/>
      </c>
      <c r="AK42" s="16">
        <f>IF(COUNT(C42:P42)=0,"",IFERROR(N42/H42,0))</f>
        <v/>
      </c>
      <c r="AL42" s="14">
        <f>IF(COUNT(C42:P42)=0,"",IFERROR(C42/N42,0))</f>
        <v/>
      </c>
      <c r="AM42" s="17">
        <f>IF(COUNT(C42:P42)=0,"",IFERROR(O42/N42,0))</f>
        <v/>
      </c>
      <c r="AN42" s="17">
        <f>IF(COUNT(C42:P42)=0,"",IFERROR(P42/N42,0))</f>
        <v/>
      </c>
      <c r="AO42" s="19">
        <f>IF(COUNT(C42:P42)=0,"",IFERROR(N42*Config!$C$7+O42*Config!$C$8+P42*Config!$C$9,0))</f>
        <v/>
      </c>
      <c r="AP42" s="14">
        <f>IF(COUNT(C42:P42)=0,"",IFERROR(AO42/N42,0))</f>
        <v/>
      </c>
      <c r="AQ42" s="19">
        <f>IF(COUNT(C42:P42)=0,"",IFERROR(AO42*(1-Config!$C$10-Config!$C$11-Config!$C$12),0))</f>
        <v/>
      </c>
      <c r="AR42" s="19">
        <f>IF(COUNT(C42:P42)=0,"",IFERROR(AQ42-C42-Config!$C$13,0))</f>
        <v/>
      </c>
      <c r="AS42" s="20">
        <f>IF(COUNT(C42:P42)=0,"",IFERROR(AQ42/C42,0))</f>
        <v/>
      </c>
      <c r="AT42" s="14">
        <f>IF(COUNT(C42:P42)=0,"",IFERROR(AR42/G42,0))</f>
        <v/>
      </c>
      <c r="AU42" s="20">
        <f>IF(COUNT(C42:P42)=0,"",IFERROR(AT42/V42,0))</f>
        <v/>
      </c>
      <c r="AV42" s="14">
        <f>IF(COUNT(C42:P42)=0,"",IFERROR(AR42/H42,0))</f>
        <v/>
      </c>
    </row>
    <row r="43">
      <c r="A43" s="11">
        <f>Config!$C$6+37</f>
        <v/>
      </c>
      <c r="B43" s="12">
        <f>INT((A43-Config!$C$6)/7)+1</f>
        <v/>
      </c>
      <c r="C43" s="9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4">
        <f>IF(COUNT(C43:P43)=0,"",IFERROR(C43/D43*1000,0))</f>
        <v/>
      </c>
      <c r="R43" s="15">
        <f>IF(COUNT(C43:P43)=0,"",IFERROR(D43/E43,0))</f>
        <v/>
      </c>
      <c r="S43" s="16">
        <f>IF(COUNT(C43:P43)=0,"",IFERROR(F43/D43,0))</f>
        <v/>
      </c>
      <c r="T43" s="14">
        <f>IF(COUNT(C43:P43)=0,"",IFERROR(C43/F43,0))</f>
        <v/>
      </c>
      <c r="U43" s="17">
        <f>IF(COUNT(C43:P43)=0,"",IFERROR(G43/F43,0))</f>
        <v/>
      </c>
      <c r="V43" s="14">
        <f>IF(COUNT(C43:P43)=0,"",IFERROR(C43/G43,0))</f>
        <v/>
      </c>
      <c r="W43" s="18">
        <f>IF(COUNT(C43:P43)=0,"",IFERROR(G43/D43*1000,0))</f>
        <v/>
      </c>
      <c r="X43" s="17">
        <f>IF(COUNT(C43:P43)=0,"",IFERROR(H43/G43,0))</f>
        <v/>
      </c>
      <c r="Y43" s="14">
        <f>IF(COUNT(C43:P43)=0,"",IFERROR(C43/H43,0))</f>
        <v/>
      </c>
      <c r="Z43" s="14">
        <f>IF(COUNT(C43:P43)=0,"",IFERROR(C43/I43,0))</f>
        <v/>
      </c>
      <c r="AA43" s="17">
        <f>IF(COUNT(C43:P43)=0,"",IFERROR(Y43/Q43,0))</f>
        <v/>
      </c>
      <c r="AB43" s="18">
        <f>IF(COUNT(C43:P43)=0,"",IFERROR(H43/D43*1000,0))</f>
        <v/>
      </c>
      <c r="AC43" s="17">
        <f>IF(COUNT(C43:P43)=0,"",IFERROR(J43/H43,0))</f>
        <v/>
      </c>
      <c r="AD43" s="14">
        <f>IF(COUNT(C43:P43)=0,"",IFERROR(C43/J43,0))</f>
        <v/>
      </c>
      <c r="AE43" s="17">
        <f>IF(COUNT(C43:P43)=0,"",IFERROR(K43/H43,0))</f>
        <v/>
      </c>
      <c r="AF43" s="17">
        <f>IF(COUNT(C43:P43)=0,"",IFERROR(L43/H43,0))</f>
        <v/>
      </c>
      <c r="AG43" s="14">
        <f>IF(COUNT(C43:P43)=0,"",IFERROR(C43/K43,0))</f>
        <v/>
      </c>
      <c r="AH43" s="17">
        <f>IF(COUNT(C43:P43)=0,"",IFERROR(M43/K43,0))</f>
        <v/>
      </c>
      <c r="AI43" s="14">
        <f>IF(COUNT(C43:P43)=0,"",IFERROR(C43/M43,0))</f>
        <v/>
      </c>
      <c r="AJ43" s="17">
        <f>IF(COUNT(C43:P43)=0,"",IFERROR(N43/M43,0))</f>
        <v/>
      </c>
      <c r="AK43" s="16">
        <f>IF(COUNT(C43:P43)=0,"",IFERROR(N43/H43,0))</f>
        <v/>
      </c>
      <c r="AL43" s="14">
        <f>IF(COUNT(C43:P43)=0,"",IFERROR(C43/N43,0))</f>
        <v/>
      </c>
      <c r="AM43" s="17">
        <f>IF(COUNT(C43:P43)=0,"",IFERROR(O43/N43,0))</f>
        <v/>
      </c>
      <c r="AN43" s="17">
        <f>IF(COUNT(C43:P43)=0,"",IFERROR(P43/N43,0))</f>
        <v/>
      </c>
      <c r="AO43" s="19">
        <f>IF(COUNT(C43:P43)=0,"",IFERROR(N43*Config!$C$7+O43*Config!$C$8+P43*Config!$C$9,0))</f>
        <v/>
      </c>
      <c r="AP43" s="14">
        <f>IF(COUNT(C43:P43)=0,"",IFERROR(AO43/N43,0))</f>
        <v/>
      </c>
      <c r="AQ43" s="19">
        <f>IF(COUNT(C43:P43)=0,"",IFERROR(AO43*(1-Config!$C$10-Config!$C$11-Config!$C$12),0))</f>
        <v/>
      </c>
      <c r="AR43" s="19">
        <f>IF(COUNT(C43:P43)=0,"",IFERROR(AQ43-C43-Config!$C$13,0))</f>
        <v/>
      </c>
      <c r="AS43" s="20">
        <f>IF(COUNT(C43:P43)=0,"",IFERROR(AQ43/C43,0))</f>
        <v/>
      </c>
      <c r="AT43" s="14">
        <f>IF(COUNT(C43:P43)=0,"",IFERROR(AR43/G43,0))</f>
        <v/>
      </c>
      <c r="AU43" s="20">
        <f>IF(COUNT(C43:P43)=0,"",IFERROR(AT43/V43,0))</f>
        <v/>
      </c>
      <c r="AV43" s="14">
        <f>IF(COUNT(C43:P43)=0,"",IFERROR(AR43/H43,0))</f>
        <v/>
      </c>
    </row>
    <row r="44">
      <c r="A44" s="11">
        <f>Config!$C$6+38</f>
        <v/>
      </c>
      <c r="B44" s="12">
        <f>INT((A44-Config!$C$6)/7)+1</f>
        <v/>
      </c>
      <c r="C44" s="9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4">
        <f>IF(COUNT(C44:P44)=0,"",IFERROR(C44/D44*1000,0))</f>
        <v/>
      </c>
      <c r="R44" s="15">
        <f>IF(COUNT(C44:P44)=0,"",IFERROR(D44/E44,0))</f>
        <v/>
      </c>
      <c r="S44" s="16">
        <f>IF(COUNT(C44:P44)=0,"",IFERROR(F44/D44,0))</f>
        <v/>
      </c>
      <c r="T44" s="14">
        <f>IF(COUNT(C44:P44)=0,"",IFERROR(C44/F44,0))</f>
        <v/>
      </c>
      <c r="U44" s="17">
        <f>IF(COUNT(C44:P44)=0,"",IFERROR(G44/F44,0))</f>
        <v/>
      </c>
      <c r="V44" s="14">
        <f>IF(COUNT(C44:P44)=0,"",IFERROR(C44/G44,0))</f>
        <v/>
      </c>
      <c r="W44" s="18">
        <f>IF(COUNT(C44:P44)=0,"",IFERROR(G44/D44*1000,0))</f>
        <v/>
      </c>
      <c r="X44" s="17">
        <f>IF(COUNT(C44:P44)=0,"",IFERROR(H44/G44,0))</f>
        <v/>
      </c>
      <c r="Y44" s="14">
        <f>IF(COUNT(C44:P44)=0,"",IFERROR(C44/H44,0))</f>
        <v/>
      </c>
      <c r="Z44" s="14">
        <f>IF(COUNT(C44:P44)=0,"",IFERROR(C44/I44,0))</f>
        <v/>
      </c>
      <c r="AA44" s="17">
        <f>IF(COUNT(C44:P44)=0,"",IFERROR(Y44/Q44,0))</f>
        <v/>
      </c>
      <c r="AB44" s="18">
        <f>IF(COUNT(C44:P44)=0,"",IFERROR(H44/D44*1000,0))</f>
        <v/>
      </c>
      <c r="AC44" s="17">
        <f>IF(COUNT(C44:P44)=0,"",IFERROR(J44/H44,0))</f>
        <v/>
      </c>
      <c r="AD44" s="14">
        <f>IF(COUNT(C44:P44)=0,"",IFERROR(C44/J44,0))</f>
        <v/>
      </c>
      <c r="AE44" s="17">
        <f>IF(COUNT(C44:P44)=0,"",IFERROR(K44/H44,0))</f>
        <v/>
      </c>
      <c r="AF44" s="17">
        <f>IF(COUNT(C44:P44)=0,"",IFERROR(L44/H44,0))</f>
        <v/>
      </c>
      <c r="AG44" s="14">
        <f>IF(COUNT(C44:P44)=0,"",IFERROR(C44/K44,0))</f>
        <v/>
      </c>
      <c r="AH44" s="17">
        <f>IF(COUNT(C44:P44)=0,"",IFERROR(M44/K44,0))</f>
        <v/>
      </c>
      <c r="AI44" s="14">
        <f>IF(COUNT(C44:P44)=0,"",IFERROR(C44/M44,0))</f>
        <v/>
      </c>
      <c r="AJ44" s="17">
        <f>IF(COUNT(C44:P44)=0,"",IFERROR(N44/M44,0))</f>
        <v/>
      </c>
      <c r="AK44" s="16">
        <f>IF(COUNT(C44:P44)=0,"",IFERROR(N44/H44,0))</f>
        <v/>
      </c>
      <c r="AL44" s="14">
        <f>IF(COUNT(C44:P44)=0,"",IFERROR(C44/N44,0))</f>
        <v/>
      </c>
      <c r="AM44" s="17">
        <f>IF(COUNT(C44:P44)=0,"",IFERROR(O44/N44,0))</f>
        <v/>
      </c>
      <c r="AN44" s="17">
        <f>IF(COUNT(C44:P44)=0,"",IFERROR(P44/N44,0))</f>
        <v/>
      </c>
      <c r="AO44" s="19">
        <f>IF(COUNT(C44:P44)=0,"",IFERROR(N44*Config!$C$7+O44*Config!$C$8+P44*Config!$C$9,0))</f>
        <v/>
      </c>
      <c r="AP44" s="14">
        <f>IF(COUNT(C44:P44)=0,"",IFERROR(AO44/N44,0))</f>
        <v/>
      </c>
      <c r="AQ44" s="19">
        <f>IF(COUNT(C44:P44)=0,"",IFERROR(AO44*(1-Config!$C$10-Config!$C$11-Config!$C$12),0))</f>
        <v/>
      </c>
      <c r="AR44" s="19">
        <f>IF(COUNT(C44:P44)=0,"",IFERROR(AQ44-C44-Config!$C$13,0))</f>
        <v/>
      </c>
      <c r="AS44" s="20">
        <f>IF(COUNT(C44:P44)=0,"",IFERROR(AQ44/C44,0))</f>
        <v/>
      </c>
      <c r="AT44" s="14">
        <f>IF(COUNT(C44:P44)=0,"",IFERROR(AR44/G44,0))</f>
        <v/>
      </c>
      <c r="AU44" s="20">
        <f>IF(COUNT(C44:P44)=0,"",IFERROR(AT44/V44,0))</f>
        <v/>
      </c>
      <c r="AV44" s="14">
        <f>IF(COUNT(C44:P44)=0,"",IFERROR(AR44/H44,0))</f>
        <v/>
      </c>
    </row>
    <row r="45">
      <c r="A45" s="11">
        <f>Config!$C$6+39</f>
        <v/>
      </c>
      <c r="B45" s="12">
        <f>INT((A45-Config!$C$6)/7)+1</f>
        <v/>
      </c>
      <c r="C45" s="9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4">
        <f>IF(COUNT(C45:P45)=0,"",IFERROR(C45/D45*1000,0))</f>
        <v/>
      </c>
      <c r="R45" s="15">
        <f>IF(COUNT(C45:P45)=0,"",IFERROR(D45/E45,0))</f>
        <v/>
      </c>
      <c r="S45" s="16">
        <f>IF(COUNT(C45:P45)=0,"",IFERROR(F45/D45,0))</f>
        <v/>
      </c>
      <c r="T45" s="14">
        <f>IF(COUNT(C45:P45)=0,"",IFERROR(C45/F45,0))</f>
        <v/>
      </c>
      <c r="U45" s="17">
        <f>IF(COUNT(C45:P45)=0,"",IFERROR(G45/F45,0))</f>
        <v/>
      </c>
      <c r="V45" s="14">
        <f>IF(COUNT(C45:P45)=0,"",IFERROR(C45/G45,0))</f>
        <v/>
      </c>
      <c r="W45" s="18">
        <f>IF(COUNT(C45:P45)=0,"",IFERROR(G45/D45*1000,0))</f>
        <v/>
      </c>
      <c r="X45" s="17">
        <f>IF(COUNT(C45:P45)=0,"",IFERROR(H45/G45,0))</f>
        <v/>
      </c>
      <c r="Y45" s="14">
        <f>IF(COUNT(C45:P45)=0,"",IFERROR(C45/H45,0))</f>
        <v/>
      </c>
      <c r="Z45" s="14">
        <f>IF(COUNT(C45:P45)=0,"",IFERROR(C45/I45,0))</f>
        <v/>
      </c>
      <c r="AA45" s="17">
        <f>IF(COUNT(C45:P45)=0,"",IFERROR(Y45/Q45,0))</f>
        <v/>
      </c>
      <c r="AB45" s="18">
        <f>IF(COUNT(C45:P45)=0,"",IFERROR(H45/D45*1000,0))</f>
        <v/>
      </c>
      <c r="AC45" s="17">
        <f>IF(COUNT(C45:P45)=0,"",IFERROR(J45/H45,0))</f>
        <v/>
      </c>
      <c r="AD45" s="14">
        <f>IF(COUNT(C45:P45)=0,"",IFERROR(C45/J45,0))</f>
        <v/>
      </c>
      <c r="AE45" s="17">
        <f>IF(COUNT(C45:P45)=0,"",IFERROR(K45/H45,0))</f>
        <v/>
      </c>
      <c r="AF45" s="17">
        <f>IF(COUNT(C45:P45)=0,"",IFERROR(L45/H45,0))</f>
        <v/>
      </c>
      <c r="AG45" s="14">
        <f>IF(COUNT(C45:P45)=0,"",IFERROR(C45/K45,0))</f>
        <v/>
      </c>
      <c r="AH45" s="17">
        <f>IF(COUNT(C45:P45)=0,"",IFERROR(M45/K45,0))</f>
        <v/>
      </c>
      <c r="AI45" s="14">
        <f>IF(COUNT(C45:P45)=0,"",IFERROR(C45/M45,0))</f>
        <v/>
      </c>
      <c r="AJ45" s="17">
        <f>IF(COUNT(C45:P45)=0,"",IFERROR(N45/M45,0))</f>
        <v/>
      </c>
      <c r="AK45" s="16">
        <f>IF(COUNT(C45:P45)=0,"",IFERROR(N45/H45,0))</f>
        <v/>
      </c>
      <c r="AL45" s="14">
        <f>IF(COUNT(C45:P45)=0,"",IFERROR(C45/N45,0))</f>
        <v/>
      </c>
      <c r="AM45" s="17">
        <f>IF(COUNT(C45:P45)=0,"",IFERROR(O45/N45,0))</f>
        <v/>
      </c>
      <c r="AN45" s="17">
        <f>IF(COUNT(C45:P45)=0,"",IFERROR(P45/N45,0))</f>
        <v/>
      </c>
      <c r="AO45" s="19">
        <f>IF(COUNT(C45:P45)=0,"",IFERROR(N45*Config!$C$7+O45*Config!$C$8+P45*Config!$C$9,0))</f>
        <v/>
      </c>
      <c r="AP45" s="14">
        <f>IF(COUNT(C45:P45)=0,"",IFERROR(AO45/N45,0))</f>
        <v/>
      </c>
      <c r="AQ45" s="19">
        <f>IF(COUNT(C45:P45)=0,"",IFERROR(AO45*(1-Config!$C$10-Config!$C$11-Config!$C$12),0))</f>
        <v/>
      </c>
      <c r="AR45" s="19">
        <f>IF(COUNT(C45:P45)=0,"",IFERROR(AQ45-C45-Config!$C$13,0))</f>
        <v/>
      </c>
      <c r="AS45" s="20">
        <f>IF(COUNT(C45:P45)=0,"",IFERROR(AQ45/C45,0))</f>
        <v/>
      </c>
      <c r="AT45" s="14">
        <f>IF(COUNT(C45:P45)=0,"",IFERROR(AR45/G45,0))</f>
        <v/>
      </c>
      <c r="AU45" s="20">
        <f>IF(COUNT(C45:P45)=0,"",IFERROR(AT45/V45,0))</f>
        <v/>
      </c>
      <c r="AV45" s="14">
        <f>IF(COUNT(C45:P45)=0,"",IFERROR(AR45/H45,0))</f>
        <v/>
      </c>
    </row>
    <row r="46">
      <c r="A46" s="11">
        <f>Config!$C$6+40</f>
        <v/>
      </c>
      <c r="B46" s="12">
        <f>INT((A46-Config!$C$6)/7)+1</f>
        <v/>
      </c>
      <c r="C46" s="9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4">
        <f>IF(COUNT(C46:P46)=0,"",IFERROR(C46/D46*1000,0))</f>
        <v/>
      </c>
      <c r="R46" s="15">
        <f>IF(COUNT(C46:P46)=0,"",IFERROR(D46/E46,0))</f>
        <v/>
      </c>
      <c r="S46" s="16">
        <f>IF(COUNT(C46:P46)=0,"",IFERROR(F46/D46,0))</f>
        <v/>
      </c>
      <c r="T46" s="14">
        <f>IF(COUNT(C46:P46)=0,"",IFERROR(C46/F46,0))</f>
        <v/>
      </c>
      <c r="U46" s="17">
        <f>IF(COUNT(C46:P46)=0,"",IFERROR(G46/F46,0))</f>
        <v/>
      </c>
      <c r="V46" s="14">
        <f>IF(COUNT(C46:P46)=0,"",IFERROR(C46/G46,0))</f>
        <v/>
      </c>
      <c r="W46" s="18">
        <f>IF(COUNT(C46:P46)=0,"",IFERROR(G46/D46*1000,0))</f>
        <v/>
      </c>
      <c r="X46" s="17">
        <f>IF(COUNT(C46:P46)=0,"",IFERROR(H46/G46,0))</f>
        <v/>
      </c>
      <c r="Y46" s="14">
        <f>IF(COUNT(C46:P46)=0,"",IFERROR(C46/H46,0))</f>
        <v/>
      </c>
      <c r="Z46" s="14">
        <f>IF(COUNT(C46:P46)=0,"",IFERROR(C46/I46,0))</f>
        <v/>
      </c>
      <c r="AA46" s="17">
        <f>IF(COUNT(C46:P46)=0,"",IFERROR(Y46/Q46,0))</f>
        <v/>
      </c>
      <c r="AB46" s="18">
        <f>IF(COUNT(C46:P46)=0,"",IFERROR(H46/D46*1000,0))</f>
        <v/>
      </c>
      <c r="AC46" s="17">
        <f>IF(COUNT(C46:P46)=0,"",IFERROR(J46/H46,0))</f>
        <v/>
      </c>
      <c r="AD46" s="14">
        <f>IF(COUNT(C46:P46)=0,"",IFERROR(C46/J46,0))</f>
        <v/>
      </c>
      <c r="AE46" s="17">
        <f>IF(COUNT(C46:P46)=0,"",IFERROR(K46/H46,0))</f>
        <v/>
      </c>
      <c r="AF46" s="17">
        <f>IF(COUNT(C46:P46)=0,"",IFERROR(L46/H46,0))</f>
        <v/>
      </c>
      <c r="AG46" s="14">
        <f>IF(COUNT(C46:P46)=0,"",IFERROR(C46/K46,0))</f>
        <v/>
      </c>
      <c r="AH46" s="17">
        <f>IF(COUNT(C46:P46)=0,"",IFERROR(M46/K46,0))</f>
        <v/>
      </c>
      <c r="AI46" s="14">
        <f>IF(COUNT(C46:P46)=0,"",IFERROR(C46/M46,0))</f>
        <v/>
      </c>
      <c r="AJ46" s="17">
        <f>IF(COUNT(C46:P46)=0,"",IFERROR(N46/M46,0))</f>
        <v/>
      </c>
      <c r="AK46" s="16">
        <f>IF(COUNT(C46:P46)=0,"",IFERROR(N46/H46,0))</f>
        <v/>
      </c>
      <c r="AL46" s="14">
        <f>IF(COUNT(C46:P46)=0,"",IFERROR(C46/N46,0))</f>
        <v/>
      </c>
      <c r="AM46" s="17">
        <f>IF(COUNT(C46:P46)=0,"",IFERROR(O46/N46,0))</f>
        <v/>
      </c>
      <c r="AN46" s="17">
        <f>IF(COUNT(C46:P46)=0,"",IFERROR(P46/N46,0))</f>
        <v/>
      </c>
      <c r="AO46" s="19">
        <f>IF(COUNT(C46:P46)=0,"",IFERROR(N46*Config!$C$7+O46*Config!$C$8+P46*Config!$C$9,0))</f>
        <v/>
      </c>
      <c r="AP46" s="14">
        <f>IF(COUNT(C46:P46)=0,"",IFERROR(AO46/N46,0))</f>
        <v/>
      </c>
      <c r="AQ46" s="19">
        <f>IF(COUNT(C46:P46)=0,"",IFERROR(AO46*(1-Config!$C$10-Config!$C$11-Config!$C$12),0))</f>
        <v/>
      </c>
      <c r="AR46" s="19">
        <f>IF(COUNT(C46:P46)=0,"",IFERROR(AQ46-C46-Config!$C$13,0))</f>
        <v/>
      </c>
      <c r="AS46" s="20">
        <f>IF(COUNT(C46:P46)=0,"",IFERROR(AQ46/C46,0))</f>
        <v/>
      </c>
      <c r="AT46" s="14">
        <f>IF(COUNT(C46:P46)=0,"",IFERROR(AR46/G46,0))</f>
        <v/>
      </c>
      <c r="AU46" s="20">
        <f>IF(COUNT(C46:P46)=0,"",IFERROR(AT46/V46,0))</f>
        <v/>
      </c>
      <c r="AV46" s="14">
        <f>IF(COUNT(C46:P46)=0,"",IFERROR(AR46/H46,0))</f>
        <v/>
      </c>
    </row>
    <row r="47">
      <c r="A47" s="11">
        <f>Config!$C$6+41</f>
        <v/>
      </c>
      <c r="B47" s="12">
        <f>INT((A47-Config!$C$6)/7)+1</f>
        <v/>
      </c>
      <c r="C47" s="9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4">
        <f>IF(COUNT(C47:P47)=0,"",IFERROR(C47/D47*1000,0))</f>
        <v/>
      </c>
      <c r="R47" s="15">
        <f>IF(COUNT(C47:P47)=0,"",IFERROR(D47/E47,0))</f>
        <v/>
      </c>
      <c r="S47" s="16">
        <f>IF(COUNT(C47:P47)=0,"",IFERROR(F47/D47,0))</f>
        <v/>
      </c>
      <c r="T47" s="14">
        <f>IF(COUNT(C47:P47)=0,"",IFERROR(C47/F47,0))</f>
        <v/>
      </c>
      <c r="U47" s="17">
        <f>IF(COUNT(C47:P47)=0,"",IFERROR(G47/F47,0))</f>
        <v/>
      </c>
      <c r="V47" s="14">
        <f>IF(COUNT(C47:P47)=0,"",IFERROR(C47/G47,0))</f>
        <v/>
      </c>
      <c r="W47" s="18">
        <f>IF(COUNT(C47:P47)=0,"",IFERROR(G47/D47*1000,0))</f>
        <v/>
      </c>
      <c r="X47" s="17">
        <f>IF(COUNT(C47:P47)=0,"",IFERROR(H47/G47,0))</f>
        <v/>
      </c>
      <c r="Y47" s="14">
        <f>IF(COUNT(C47:P47)=0,"",IFERROR(C47/H47,0))</f>
        <v/>
      </c>
      <c r="Z47" s="14">
        <f>IF(COUNT(C47:P47)=0,"",IFERROR(C47/I47,0))</f>
        <v/>
      </c>
      <c r="AA47" s="17">
        <f>IF(COUNT(C47:P47)=0,"",IFERROR(Y47/Q47,0))</f>
        <v/>
      </c>
      <c r="AB47" s="18">
        <f>IF(COUNT(C47:P47)=0,"",IFERROR(H47/D47*1000,0))</f>
        <v/>
      </c>
      <c r="AC47" s="17">
        <f>IF(COUNT(C47:P47)=0,"",IFERROR(J47/H47,0))</f>
        <v/>
      </c>
      <c r="AD47" s="14">
        <f>IF(COUNT(C47:P47)=0,"",IFERROR(C47/J47,0))</f>
        <v/>
      </c>
      <c r="AE47" s="17">
        <f>IF(COUNT(C47:P47)=0,"",IFERROR(K47/H47,0))</f>
        <v/>
      </c>
      <c r="AF47" s="17">
        <f>IF(COUNT(C47:P47)=0,"",IFERROR(L47/H47,0))</f>
        <v/>
      </c>
      <c r="AG47" s="14">
        <f>IF(COUNT(C47:P47)=0,"",IFERROR(C47/K47,0))</f>
        <v/>
      </c>
      <c r="AH47" s="17">
        <f>IF(COUNT(C47:P47)=0,"",IFERROR(M47/K47,0))</f>
        <v/>
      </c>
      <c r="AI47" s="14">
        <f>IF(COUNT(C47:P47)=0,"",IFERROR(C47/M47,0))</f>
        <v/>
      </c>
      <c r="AJ47" s="17">
        <f>IF(COUNT(C47:P47)=0,"",IFERROR(N47/M47,0))</f>
        <v/>
      </c>
      <c r="AK47" s="16">
        <f>IF(COUNT(C47:P47)=0,"",IFERROR(N47/H47,0))</f>
        <v/>
      </c>
      <c r="AL47" s="14">
        <f>IF(COUNT(C47:P47)=0,"",IFERROR(C47/N47,0))</f>
        <v/>
      </c>
      <c r="AM47" s="17">
        <f>IF(COUNT(C47:P47)=0,"",IFERROR(O47/N47,0))</f>
        <v/>
      </c>
      <c r="AN47" s="17">
        <f>IF(COUNT(C47:P47)=0,"",IFERROR(P47/N47,0))</f>
        <v/>
      </c>
      <c r="AO47" s="19">
        <f>IF(COUNT(C47:P47)=0,"",IFERROR(N47*Config!$C$7+O47*Config!$C$8+P47*Config!$C$9,0))</f>
        <v/>
      </c>
      <c r="AP47" s="14">
        <f>IF(COUNT(C47:P47)=0,"",IFERROR(AO47/N47,0))</f>
        <v/>
      </c>
      <c r="AQ47" s="19">
        <f>IF(COUNT(C47:P47)=0,"",IFERROR(AO47*(1-Config!$C$10-Config!$C$11-Config!$C$12),0))</f>
        <v/>
      </c>
      <c r="AR47" s="19">
        <f>IF(COUNT(C47:P47)=0,"",IFERROR(AQ47-C47-Config!$C$13,0))</f>
        <v/>
      </c>
      <c r="AS47" s="20">
        <f>IF(COUNT(C47:P47)=0,"",IFERROR(AQ47/C47,0))</f>
        <v/>
      </c>
      <c r="AT47" s="14">
        <f>IF(COUNT(C47:P47)=0,"",IFERROR(AR47/G47,0))</f>
        <v/>
      </c>
      <c r="AU47" s="20">
        <f>IF(COUNT(C47:P47)=0,"",IFERROR(AT47/V47,0))</f>
        <v/>
      </c>
      <c r="AV47" s="14">
        <f>IF(COUNT(C47:P47)=0,"",IFERROR(AR47/H47,0))</f>
        <v/>
      </c>
    </row>
    <row r="48">
      <c r="A48" s="11">
        <f>Config!$C$6+42</f>
        <v/>
      </c>
      <c r="B48" s="12">
        <f>INT((A48-Config!$C$6)/7)+1</f>
        <v/>
      </c>
      <c r="C48" s="9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4">
        <f>IF(COUNT(C48:P48)=0,"",IFERROR(C48/D48*1000,0))</f>
        <v/>
      </c>
      <c r="R48" s="15">
        <f>IF(COUNT(C48:P48)=0,"",IFERROR(D48/E48,0))</f>
        <v/>
      </c>
      <c r="S48" s="16">
        <f>IF(COUNT(C48:P48)=0,"",IFERROR(F48/D48,0))</f>
        <v/>
      </c>
      <c r="T48" s="14">
        <f>IF(COUNT(C48:P48)=0,"",IFERROR(C48/F48,0))</f>
        <v/>
      </c>
      <c r="U48" s="17">
        <f>IF(COUNT(C48:P48)=0,"",IFERROR(G48/F48,0))</f>
        <v/>
      </c>
      <c r="V48" s="14">
        <f>IF(COUNT(C48:P48)=0,"",IFERROR(C48/G48,0))</f>
        <v/>
      </c>
      <c r="W48" s="18">
        <f>IF(COUNT(C48:P48)=0,"",IFERROR(G48/D48*1000,0))</f>
        <v/>
      </c>
      <c r="X48" s="17">
        <f>IF(COUNT(C48:P48)=0,"",IFERROR(H48/G48,0))</f>
        <v/>
      </c>
      <c r="Y48" s="14">
        <f>IF(COUNT(C48:P48)=0,"",IFERROR(C48/H48,0))</f>
        <v/>
      </c>
      <c r="Z48" s="14">
        <f>IF(COUNT(C48:P48)=0,"",IFERROR(C48/I48,0))</f>
        <v/>
      </c>
      <c r="AA48" s="17">
        <f>IF(COUNT(C48:P48)=0,"",IFERROR(Y48/Q48,0))</f>
        <v/>
      </c>
      <c r="AB48" s="18">
        <f>IF(COUNT(C48:P48)=0,"",IFERROR(H48/D48*1000,0))</f>
        <v/>
      </c>
      <c r="AC48" s="17">
        <f>IF(COUNT(C48:P48)=0,"",IFERROR(J48/H48,0))</f>
        <v/>
      </c>
      <c r="AD48" s="14">
        <f>IF(COUNT(C48:P48)=0,"",IFERROR(C48/J48,0))</f>
        <v/>
      </c>
      <c r="AE48" s="17">
        <f>IF(COUNT(C48:P48)=0,"",IFERROR(K48/H48,0))</f>
        <v/>
      </c>
      <c r="AF48" s="17">
        <f>IF(COUNT(C48:P48)=0,"",IFERROR(L48/H48,0))</f>
        <v/>
      </c>
      <c r="AG48" s="14">
        <f>IF(COUNT(C48:P48)=0,"",IFERROR(C48/K48,0))</f>
        <v/>
      </c>
      <c r="AH48" s="17">
        <f>IF(COUNT(C48:P48)=0,"",IFERROR(M48/K48,0))</f>
        <v/>
      </c>
      <c r="AI48" s="14">
        <f>IF(COUNT(C48:P48)=0,"",IFERROR(C48/M48,0))</f>
        <v/>
      </c>
      <c r="AJ48" s="17">
        <f>IF(COUNT(C48:P48)=0,"",IFERROR(N48/M48,0))</f>
        <v/>
      </c>
      <c r="AK48" s="16">
        <f>IF(COUNT(C48:P48)=0,"",IFERROR(N48/H48,0))</f>
        <v/>
      </c>
      <c r="AL48" s="14">
        <f>IF(COUNT(C48:P48)=0,"",IFERROR(C48/N48,0))</f>
        <v/>
      </c>
      <c r="AM48" s="17">
        <f>IF(COUNT(C48:P48)=0,"",IFERROR(O48/N48,0))</f>
        <v/>
      </c>
      <c r="AN48" s="17">
        <f>IF(COUNT(C48:P48)=0,"",IFERROR(P48/N48,0))</f>
        <v/>
      </c>
      <c r="AO48" s="19">
        <f>IF(COUNT(C48:P48)=0,"",IFERROR(N48*Config!$C$7+O48*Config!$C$8+P48*Config!$C$9,0))</f>
        <v/>
      </c>
      <c r="AP48" s="14">
        <f>IF(COUNT(C48:P48)=0,"",IFERROR(AO48/N48,0))</f>
        <v/>
      </c>
      <c r="AQ48" s="19">
        <f>IF(COUNT(C48:P48)=0,"",IFERROR(AO48*(1-Config!$C$10-Config!$C$11-Config!$C$12),0))</f>
        <v/>
      </c>
      <c r="AR48" s="19">
        <f>IF(COUNT(C48:P48)=0,"",IFERROR(AQ48-C48-Config!$C$13,0))</f>
        <v/>
      </c>
      <c r="AS48" s="20">
        <f>IF(COUNT(C48:P48)=0,"",IFERROR(AQ48/C48,0))</f>
        <v/>
      </c>
      <c r="AT48" s="14">
        <f>IF(COUNT(C48:P48)=0,"",IFERROR(AR48/G48,0))</f>
        <v/>
      </c>
      <c r="AU48" s="20">
        <f>IF(COUNT(C48:P48)=0,"",IFERROR(AT48/V48,0))</f>
        <v/>
      </c>
      <c r="AV48" s="14">
        <f>IF(COUNT(C48:P48)=0,"",IFERROR(AR48/H48,0))</f>
        <v/>
      </c>
    </row>
    <row r="49">
      <c r="A49" s="11">
        <f>Config!$C$6+43</f>
        <v/>
      </c>
      <c r="B49" s="12">
        <f>INT((A49-Config!$C$6)/7)+1</f>
        <v/>
      </c>
      <c r="C49" s="9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4">
        <f>IF(COUNT(C49:P49)=0,"",IFERROR(C49/D49*1000,0))</f>
        <v/>
      </c>
      <c r="R49" s="15">
        <f>IF(COUNT(C49:P49)=0,"",IFERROR(D49/E49,0))</f>
        <v/>
      </c>
      <c r="S49" s="16">
        <f>IF(COUNT(C49:P49)=0,"",IFERROR(F49/D49,0))</f>
        <v/>
      </c>
      <c r="T49" s="14">
        <f>IF(COUNT(C49:P49)=0,"",IFERROR(C49/F49,0))</f>
        <v/>
      </c>
      <c r="U49" s="17">
        <f>IF(COUNT(C49:P49)=0,"",IFERROR(G49/F49,0))</f>
        <v/>
      </c>
      <c r="V49" s="14">
        <f>IF(COUNT(C49:P49)=0,"",IFERROR(C49/G49,0))</f>
        <v/>
      </c>
      <c r="W49" s="18">
        <f>IF(COUNT(C49:P49)=0,"",IFERROR(G49/D49*1000,0))</f>
        <v/>
      </c>
      <c r="X49" s="17">
        <f>IF(COUNT(C49:P49)=0,"",IFERROR(H49/G49,0))</f>
        <v/>
      </c>
      <c r="Y49" s="14">
        <f>IF(COUNT(C49:P49)=0,"",IFERROR(C49/H49,0))</f>
        <v/>
      </c>
      <c r="Z49" s="14">
        <f>IF(COUNT(C49:P49)=0,"",IFERROR(C49/I49,0))</f>
        <v/>
      </c>
      <c r="AA49" s="17">
        <f>IF(COUNT(C49:P49)=0,"",IFERROR(Y49/Q49,0))</f>
        <v/>
      </c>
      <c r="AB49" s="18">
        <f>IF(COUNT(C49:P49)=0,"",IFERROR(H49/D49*1000,0))</f>
        <v/>
      </c>
      <c r="AC49" s="17">
        <f>IF(COUNT(C49:P49)=0,"",IFERROR(J49/H49,0))</f>
        <v/>
      </c>
      <c r="AD49" s="14">
        <f>IF(COUNT(C49:P49)=0,"",IFERROR(C49/J49,0))</f>
        <v/>
      </c>
      <c r="AE49" s="17">
        <f>IF(COUNT(C49:P49)=0,"",IFERROR(K49/H49,0))</f>
        <v/>
      </c>
      <c r="AF49" s="17">
        <f>IF(COUNT(C49:P49)=0,"",IFERROR(L49/H49,0))</f>
        <v/>
      </c>
      <c r="AG49" s="14">
        <f>IF(COUNT(C49:P49)=0,"",IFERROR(C49/K49,0))</f>
        <v/>
      </c>
      <c r="AH49" s="17">
        <f>IF(COUNT(C49:P49)=0,"",IFERROR(M49/K49,0))</f>
        <v/>
      </c>
      <c r="AI49" s="14">
        <f>IF(COUNT(C49:P49)=0,"",IFERROR(C49/M49,0))</f>
        <v/>
      </c>
      <c r="AJ49" s="17">
        <f>IF(COUNT(C49:P49)=0,"",IFERROR(N49/M49,0))</f>
        <v/>
      </c>
      <c r="AK49" s="16">
        <f>IF(COUNT(C49:P49)=0,"",IFERROR(N49/H49,0))</f>
        <v/>
      </c>
      <c r="AL49" s="14">
        <f>IF(COUNT(C49:P49)=0,"",IFERROR(C49/N49,0))</f>
        <v/>
      </c>
      <c r="AM49" s="17">
        <f>IF(COUNT(C49:P49)=0,"",IFERROR(O49/N49,0))</f>
        <v/>
      </c>
      <c r="AN49" s="17">
        <f>IF(COUNT(C49:P49)=0,"",IFERROR(P49/N49,0))</f>
        <v/>
      </c>
      <c r="AO49" s="19">
        <f>IF(COUNT(C49:P49)=0,"",IFERROR(N49*Config!$C$7+O49*Config!$C$8+P49*Config!$C$9,0))</f>
        <v/>
      </c>
      <c r="AP49" s="14">
        <f>IF(COUNT(C49:P49)=0,"",IFERROR(AO49/N49,0))</f>
        <v/>
      </c>
      <c r="AQ49" s="19">
        <f>IF(COUNT(C49:P49)=0,"",IFERROR(AO49*(1-Config!$C$10-Config!$C$11-Config!$C$12),0))</f>
        <v/>
      </c>
      <c r="AR49" s="19">
        <f>IF(COUNT(C49:P49)=0,"",IFERROR(AQ49-C49-Config!$C$13,0))</f>
        <v/>
      </c>
      <c r="AS49" s="20">
        <f>IF(COUNT(C49:P49)=0,"",IFERROR(AQ49/C49,0))</f>
        <v/>
      </c>
      <c r="AT49" s="14">
        <f>IF(COUNT(C49:P49)=0,"",IFERROR(AR49/G49,0))</f>
        <v/>
      </c>
      <c r="AU49" s="20">
        <f>IF(COUNT(C49:P49)=0,"",IFERROR(AT49/V49,0))</f>
        <v/>
      </c>
      <c r="AV49" s="14">
        <f>IF(COUNT(C49:P49)=0,"",IFERROR(AR49/H49,0))</f>
        <v/>
      </c>
    </row>
    <row r="50">
      <c r="A50" s="11">
        <f>Config!$C$6+44</f>
        <v/>
      </c>
      <c r="B50" s="12">
        <f>INT((A50-Config!$C$6)/7)+1</f>
        <v/>
      </c>
      <c r="C50" s="9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4">
        <f>IF(COUNT(C50:P50)=0,"",IFERROR(C50/D50*1000,0))</f>
        <v/>
      </c>
      <c r="R50" s="15">
        <f>IF(COUNT(C50:P50)=0,"",IFERROR(D50/E50,0))</f>
        <v/>
      </c>
      <c r="S50" s="16">
        <f>IF(COUNT(C50:P50)=0,"",IFERROR(F50/D50,0))</f>
        <v/>
      </c>
      <c r="T50" s="14">
        <f>IF(COUNT(C50:P50)=0,"",IFERROR(C50/F50,0))</f>
        <v/>
      </c>
      <c r="U50" s="17">
        <f>IF(COUNT(C50:P50)=0,"",IFERROR(G50/F50,0))</f>
        <v/>
      </c>
      <c r="V50" s="14">
        <f>IF(COUNT(C50:P50)=0,"",IFERROR(C50/G50,0))</f>
        <v/>
      </c>
      <c r="W50" s="18">
        <f>IF(COUNT(C50:P50)=0,"",IFERROR(G50/D50*1000,0))</f>
        <v/>
      </c>
      <c r="X50" s="17">
        <f>IF(COUNT(C50:P50)=0,"",IFERROR(H50/G50,0))</f>
        <v/>
      </c>
      <c r="Y50" s="14">
        <f>IF(COUNT(C50:P50)=0,"",IFERROR(C50/H50,0))</f>
        <v/>
      </c>
      <c r="Z50" s="14">
        <f>IF(COUNT(C50:P50)=0,"",IFERROR(C50/I50,0))</f>
        <v/>
      </c>
      <c r="AA50" s="17">
        <f>IF(COUNT(C50:P50)=0,"",IFERROR(Y50/Q50,0))</f>
        <v/>
      </c>
      <c r="AB50" s="18">
        <f>IF(COUNT(C50:P50)=0,"",IFERROR(H50/D50*1000,0))</f>
        <v/>
      </c>
      <c r="AC50" s="17">
        <f>IF(COUNT(C50:P50)=0,"",IFERROR(J50/H50,0))</f>
        <v/>
      </c>
      <c r="AD50" s="14">
        <f>IF(COUNT(C50:P50)=0,"",IFERROR(C50/J50,0))</f>
        <v/>
      </c>
      <c r="AE50" s="17">
        <f>IF(COUNT(C50:P50)=0,"",IFERROR(K50/H50,0))</f>
        <v/>
      </c>
      <c r="AF50" s="17">
        <f>IF(COUNT(C50:P50)=0,"",IFERROR(L50/H50,0))</f>
        <v/>
      </c>
      <c r="AG50" s="14">
        <f>IF(COUNT(C50:P50)=0,"",IFERROR(C50/K50,0))</f>
        <v/>
      </c>
      <c r="AH50" s="17">
        <f>IF(COUNT(C50:P50)=0,"",IFERROR(M50/K50,0))</f>
        <v/>
      </c>
      <c r="AI50" s="14">
        <f>IF(COUNT(C50:P50)=0,"",IFERROR(C50/M50,0))</f>
        <v/>
      </c>
      <c r="AJ50" s="17">
        <f>IF(COUNT(C50:P50)=0,"",IFERROR(N50/M50,0))</f>
        <v/>
      </c>
      <c r="AK50" s="16">
        <f>IF(COUNT(C50:P50)=0,"",IFERROR(N50/H50,0))</f>
        <v/>
      </c>
      <c r="AL50" s="14">
        <f>IF(COUNT(C50:P50)=0,"",IFERROR(C50/N50,0))</f>
        <v/>
      </c>
      <c r="AM50" s="17">
        <f>IF(COUNT(C50:P50)=0,"",IFERROR(O50/N50,0))</f>
        <v/>
      </c>
      <c r="AN50" s="17">
        <f>IF(COUNT(C50:P50)=0,"",IFERROR(P50/N50,0))</f>
        <v/>
      </c>
      <c r="AO50" s="19">
        <f>IF(COUNT(C50:P50)=0,"",IFERROR(N50*Config!$C$7+O50*Config!$C$8+P50*Config!$C$9,0))</f>
        <v/>
      </c>
      <c r="AP50" s="14">
        <f>IF(COUNT(C50:P50)=0,"",IFERROR(AO50/N50,0))</f>
        <v/>
      </c>
      <c r="AQ50" s="19">
        <f>IF(COUNT(C50:P50)=0,"",IFERROR(AO50*(1-Config!$C$10-Config!$C$11-Config!$C$12),0))</f>
        <v/>
      </c>
      <c r="AR50" s="19">
        <f>IF(COUNT(C50:P50)=0,"",IFERROR(AQ50-C50-Config!$C$13,0))</f>
        <v/>
      </c>
      <c r="AS50" s="20">
        <f>IF(COUNT(C50:P50)=0,"",IFERROR(AQ50/C50,0))</f>
        <v/>
      </c>
      <c r="AT50" s="14">
        <f>IF(COUNT(C50:P50)=0,"",IFERROR(AR50/G50,0))</f>
        <v/>
      </c>
      <c r="AU50" s="20">
        <f>IF(COUNT(C50:P50)=0,"",IFERROR(AT50/V50,0))</f>
        <v/>
      </c>
      <c r="AV50" s="14">
        <f>IF(COUNT(C50:P50)=0,"",IFERROR(AR50/H50,0))</f>
        <v/>
      </c>
    </row>
    <row r="51">
      <c r="A51" s="11">
        <f>Config!$C$6+45</f>
        <v/>
      </c>
      <c r="B51" s="12">
        <f>INT((A51-Config!$C$6)/7)+1</f>
        <v/>
      </c>
      <c r="C51" s="9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4">
        <f>IF(COUNT(C51:P51)=0,"",IFERROR(C51/D51*1000,0))</f>
        <v/>
      </c>
      <c r="R51" s="15">
        <f>IF(COUNT(C51:P51)=0,"",IFERROR(D51/E51,0))</f>
        <v/>
      </c>
      <c r="S51" s="16">
        <f>IF(COUNT(C51:P51)=0,"",IFERROR(F51/D51,0))</f>
        <v/>
      </c>
      <c r="T51" s="14">
        <f>IF(COUNT(C51:P51)=0,"",IFERROR(C51/F51,0))</f>
        <v/>
      </c>
      <c r="U51" s="17">
        <f>IF(COUNT(C51:P51)=0,"",IFERROR(G51/F51,0))</f>
        <v/>
      </c>
      <c r="V51" s="14">
        <f>IF(COUNT(C51:P51)=0,"",IFERROR(C51/G51,0))</f>
        <v/>
      </c>
      <c r="W51" s="18">
        <f>IF(COUNT(C51:P51)=0,"",IFERROR(G51/D51*1000,0))</f>
        <v/>
      </c>
      <c r="X51" s="17">
        <f>IF(COUNT(C51:P51)=0,"",IFERROR(H51/G51,0))</f>
        <v/>
      </c>
      <c r="Y51" s="14">
        <f>IF(COUNT(C51:P51)=0,"",IFERROR(C51/H51,0))</f>
        <v/>
      </c>
      <c r="Z51" s="14">
        <f>IF(COUNT(C51:P51)=0,"",IFERROR(C51/I51,0))</f>
        <v/>
      </c>
      <c r="AA51" s="17">
        <f>IF(COUNT(C51:P51)=0,"",IFERROR(Y51/Q51,0))</f>
        <v/>
      </c>
      <c r="AB51" s="18">
        <f>IF(COUNT(C51:P51)=0,"",IFERROR(H51/D51*1000,0))</f>
        <v/>
      </c>
      <c r="AC51" s="17">
        <f>IF(COUNT(C51:P51)=0,"",IFERROR(J51/H51,0))</f>
        <v/>
      </c>
      <c r="AD51" s="14">
        <f>IF(COUNT(C51:P51)=0,"",IFERROR(C51/J51,0))</f>
        <v/>
      </c>
      <c r="AE51" s="17">
        <f>IF(COUNT(C51:P51)=0,"",IFERROR(K51/H51,0))</f>
        <v/>
      </c>
      <c r="AF51" s="17">
        <f>IF(COUNT(C51:P51)=0,"",IFERROR(L51/H51,0))</f>
        <v/>
      </c>
      <c r="AG51" s="14">
        <f>IF(COUNT(C51:P51)=0,"",IFERROR(C51/K51,0))</f>
        <v/>
      </c>
      <c r="AH51" s="17">
        <f>IF(COUNT(C51:P51)=0,"",IFERROR(M51/K51,0))</f>
        <v/>
      </c>
      <c r="AI51" s="14">
        <f>IF(COUNT(C51:P51)=0,"",IFERROR(C51/M51,0))</f>
        <v/>
      </c>
      <c r="AJ51" s="17">
        <f>IF(COUNT(C51:P51)=0,"",IFERROR(N51/M51,0))</f>
        <v/>
      </c>
      <c r="AK51" s="16">
        <f>IF(COUNT(C51:P51)=0,"",IFERROR(N51/H51,0))</f>
        <v/>
      </c>
      <c r="AL51" s="14">
        <f>IF(COUNT(C51:P51)=0,"",IFERROR(C51/N51,0))</f>
        <v/>
      </c>
      <c r="AM51" s="17">
        <f>IF(COUNT(C51:P51)=0,"",IFERROR(O51/N51,0))</f>
        <v/>
      </c>
      <c r="AN51" s="17">
        <f>IF(COUNT(C51:P51)=0,"",IFERROR(P51/N51,0))</f>
        <v/>
      </c>
      <c r="AO51" s="19">
        <f>IF(COUNT(C51:P51)=0,"",IFERROR(N51*Config!$C$7+O51*Config!$C$8+P51*Config!$C$9,0))</f>
        <v/>
      </c>
      <c r="AP51" s="14">
        <f>IF(COUNT(C51:P51)=0,"",IFERROR(AO51/N51,0))</f>
        <v/>
      </c>
      <c r="AQ51" s="19">
        <f>IF(COUNT(C51:P51)=0,"",IFERROR(AO51*(1-Config!$C$10-Config!$C$11-Config!$C$12),0))</f>
        <v/>
      </c>
      <c r="AR51" s="19">
        <f>IF(COUNT(C51:P51)=0,"",IFERROR(AQ51-C51-Config!$C$13,0))</f>
        <v/>
      </c>
      <c r="AS51" s="20">
        <f>IF(COUNT(C51:P51)=0,"",IFERROR(AQ51/C51,0))</f>
        <v/>
      </c>
      <c r="AT51" s="14">
        <f>IF(COUNT(C51:P51)=0,"",IFERROR(AR51/G51,0))</f>
        <v/>
      </c>
      <c r="AU51" s="20">
        <f>IF(COUNT(C51:P51)=0,"",IFERROR(AT51/V51,0))</f>
        <v/>
      </c>
      <c r="AV51" s="14">
        <f>IF(COUNT(C51:P51)=0,"",IFERROR(AR51/H51,0))</f>
        <v/>
      </c>
    </row>
    <row r="52">
      <c r="A52" s="11">
        <f>Config!$C$6+46</f>
        <v/>
      </c>
      <c r="B52" s="12">
        <f>INT((A52-Config!$C$6)/7)+1</f>
        <v/>
      </c>
      <c r="C52" s="9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4">
        <f>IF(COUNT(C52:P52)=0,"",IFERROR(C52/D52*1000,0))</f>
        <v/>
      </c>
      <c r="R52" s="15">
        <f>IF(COUNT(C52:P52)=0,"",IFERROR(D52/E52,0))</f>
        <v/>
      </c>
      <c r="S52" s="16">
        <f>IF(COUNT(C52:P52)=0,"",IFERROR(F52/D52,0))</f>
        <v/>
      </c>
      <c r="T52" s="14">
        <f>IF(COUNT(C52:P52)=0,"",IFERROR(C52/F52,0))</f>
        <v/>
      </c>
      <c r="U52" s="17">
        <f>IF(COUNT(C52:P52)=0,"",IFERROR(G52/F52,0))</f>
        <v/>
      </c>
      <c r="V52" s="14">
        <f>IF(COUNT(C52:P52)=0,"",IFERROR(C52/G52,0))</f>
        <v/>
      </c>
      <c r="W52" s="18">
        <f>IF(COUNT(C52:P52)=0,"",IFERROR(G52/D52*1000,0))</f>
        <v/>
      </c>
      <c r="X52" s="17">
        <f>IF(COUNT(C52:P52)=0,"",IFERROR(H52/G52,0))</f>
        <v/>
      </c>
      <c r="Y52" s="14">
        <f>IF(COUNT(C52:P52)=0,"",IFERROR(C52/H52,0))</f>
        <v/>
      </c>
      <c r="Z52" s="14">
        <f>IF(COUNT(C52:P52)=0,"",IFERROR(C52/I52,0))</f>
        <v/>
      </c>
      <c r="AA52" s="17">
        <f>IF(COUNT(C52:P52)=0,"",IFERROR(Y52/Q52,0))</f>
        <v/>
      </c>
      <c r="AB52" s="18">
        <f>IF(COUNT(C52:P52)=0,"",IFERROR(H52/D52*1000,0))</f>
        <v/>
      </c>
      <c r="AC52" s="17">
        <f>IF(COUNT(C52:P52)=0,"",IFERROR(J52/H52,0))</f>
        <v/>
      </c>
      <c r="AD52" s="14">
        <f>IF(COUNT(C52:P52)=0,"",IFERROR(C52/J52,0))</f>
        <v/>
      </c>
      <c r="AE52" s="17">
        <f>IF(COUNT(C52:P52)=0,"",IFERROR(K52/H52,0))</f>
        <v/>
      </c>
      <c r="AF52" s="17">
        <f>IF(COUNT(C52:P52)=0,"",IFERROR(L52/H52,0))</f>
        <v/>
      </c>
      <c r="AG52" s="14">
        <f>IF(COUNT(C52:P52)=0,"",IFERROR(C52/K52,0))</f>
        <v/>
      </c>
      <c r="AH52" s="17">
        <f>IF(COUNT(C52:P52)=0,"",IFERROR(M52/K52,0))</f>
        <v/>
      </c>
      <c r="AI52" s="14">
        <f>IF(COUNT(C52:P52)=0,"",IFERROR(C52/M52,0))</f>
        <v/>
      </c>
      <c r="AJ52" s="17">
        <f>IF(COUNT(C52:P52)=0,"",IFERROR(N52/M52,0))</f>
        <v/>
      </c>
      <c r="AK52" s="16">
        <f>IF(COUNT(C52:P52)=0,"",IFERROR(N52/H52,0))</f>
        <v/>
      </c>
      <c r="AL52" s="14">
        <f>IF(COUNT(C52:P52)=0,"",IFERROR(C52/N52,0))</f>
        <v/>
      </c>
      <c r="AM52" s="17">
        <f>IF(COUNT(C52:P52)=0,"",IFERROR(O52/N52,0))</f>
        <v/>
      </c>
      <c r="AN52" s="17">
        <f>IF(COUNT(C52:P52)=0,"",IFERROR(P52/N52,0))</f>
        <v/>
      </c>
      <c r="AO52" s="19">
        <f>IF(COUNT(C52:P52)=0,"",IFERROR(N52*Config!$C$7+O52*Config!$C$8+P52*Config!$C$9,0))</f>
        <v/>
      </c>
      <c r="AP52" s="14">
        <f>IF(COUNT(C52:P52)=0,"",IFERROR(AO52/N52,0))</f>
        <v/>
      </c>
      <c r="AQ52" s="19">
        <f>IF(COUNT(C52:P52)=0,"",IFERROR(AO52*(1-Config!$C$10-Config!$C$11-Config!$C$12),0))</f>
        <v/>
      </c>
      <c r="AR52" s="19">
        <f>IF(COUNT(C52:P52)=0,"",IFERROR(AQ52-C52-Config!$C$13,0))</f>
        <v/>
      </c>
      <c r="AS52" s="20">
        <f>IF(COUNT(C52:P52)=0,"",IFERROR(AQ52/C52,0))</f>
        <v/>
      </c>
      <c r="AT52" s="14">
        <f>IF(COUNT(C52:P52)=0,"",IFERROR(AR52/G52,0))</f>
        <v/>
      </c>
      <c r="AU52" s="20">
        <f>IF(COUNT(C52:P52)=0,"",IFERROR(AT52/V52,0))</f>
        <v/>
      </c>
      <c r="AV52" s="14">
        <f>IF(COUNT(C52:P52)=0,"",IFERROR(AR52/H52,0))</f>
        <v/>
      </c>
    </row>
    <row r="53">
      <c r="A53" s="11">
        <f>Config!$C$6+47</f>
        <v/>
      </c>
      <c r="B53" s="12">
        <f>INT((A53-Config!$C$6)/7)+1</f>
        <v/>
      </c>
      <c r="C53" s="9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4">
        <f>IF(COUNT(C53:P53)=0,"",IFERROR(C53/D53*1000,0))</f>
        <v/>
      </c>
      <c r="R53" s="15">
        <f>IF(COUNT(C53:P53)=0,"",IFERROR(D53/E53,0))</f>
        <v/>
      </c>
      <c r="S53" s="16">
        <f>IF(COUNT(C53:P53)=0,"",IFERROR(F53/D53,0))</f>
        <v/>
      </c>
      <c r="T53" s="14">
        <f>IF(COUNT(C53:P53)=0,"",IFERROR(C53/F53,0))</f>
        <v/>
      </c>
      <c r="U53" s="17">
        <f>IF(COUNT(C53:P53)=0,"",IFERROR(G53/F53,0))</f>
        <v/>
      </c>
      <c r="V53" s="14">
        <f>IF(COUNT(C53:P53)=0,"",IFERROR(C53/G53,0))</f>
        <v/>
      </c>
      <c r="W53" s="18">
        <f>IF(COUNT(C53:P53)=0,"",IFERROR(G53/D53*1000,0))</f>
        <v/>
      </c>
      <c r="X53" s="17">
        <f>IF(COUNT(C53:P53)=0,"",IFERROR(H53/G53,0))</f>
        <v/>
      </c>
      <c r="Y53" s="14">
        <f>IF(COUNT(C53:P53)=0,"",IFERROR(C53/H53,0))</f>
        <v/>
      </c>
      <c r="Z53" s="14">
        <f>IF(COUNT(C53:P53)=0,"",IFERROR(C53/I53,0))</f>
        <v/>
      </c>
      <c r="AA53" s="17">
        <f>IF(COUNT(C53:P53)=0,"",IFERROR(Y53/Q53,0))</f>
        <v/>
      </c>
      <c r="AB53" s="18">
        <f>IF(COUNT(C53:P53)=0,"",IFERROR(H53/D53*1000,0))</f>
        <v/>
      </c>
      <c r="AC53" s="17">
        <f>IF(COUNT(C53:P53)=0,"",IFERROR(J53/H53,0))</f>
        <v/>
      </c>
      <c r="AD53" s="14">
        <f>IF(COUNT(C53:P53)=0,"",IFERROR(C53/J53,0))</f>
        <v/>
      </c>
      <c r="AE53" s="17">
        <f>IF(COUNT(C53:P53)=0,"",IFERROR(K53/H53,0))</f>
        <v/>
      </c>
      <c r="AF53" s="17">
        <f>IF(COUNT(C53:P53)=0,"",IFERROR(L53/H53,0))</f>
        <v/>
      </c>
      <c r="AG53" s="14">
        <f>IF(COUNT(C53:P53)=0,"",IFERROR(C53/K53,0))</f>
        <v/>
      </c>
      <c r="AH53" s="17">
        <f>IF(COUNT(C53:P53)=0,"",IFERROR(M53/K53,0))</f>
        <v/>
      </c>
      <c r="AI53" s="14">
        <f>IF(COUNT(C53:P53)=0,"",IFERROR(C53/M53,0))</f>
        <v/>
      </c>
      <c r="AJ53" s="17">
        <f>IF(COUNT(C53:P53)=0,"",IFERROR(N53/M53,0))</f>
        <v/>
      </c>
      <c r="AK53" s="16">
        <f>IF(COUNT(C53:P53)=0,"",IFERROR(N53/H53,0))</f>
        <v/>
      </c>
      <c r="AL53" s="14">
        <f>IF(COUNT(C53:P53)=0,"",IFERROR(C53/N53,0))</f>
        <v/>
      </c>
      <c r="AM53" s="17">
        <f>IF(COUNT(C53:P53)=0,"",IFERROR(O53/N53,0))</f>
        <v/>
      </c>
      <c r="AN53" s="17">
        <f>IF(COUNT(C53:P53)=0,"",IFERROR(P53/N53,0))</f>
        <v/>
      </c>
      <c r="AO53" s="19">
        <f>IF(COUNT(C53:P53)=0,"",IFERROR(N53*Config!$C$7+O53*Config!$C$8+P53*Config!$C$9,0))</f>
        <v/>
      </c>
      <c r="AP53" s="14">
        <f>IF(COUNT(C53:P53)=0,"",IFERROR(AO53/N53,0))</f>
        <v/>
      </c>
      <c r="AQ53" s="19">
        <f>IF(COUNT(C53:P53)=0,"",IFERROR(AO53*(1-Config!$C$10-Config!$C$11-Config!$C$12),0))</f>
        <v/>
      </c>
      <c r="AR53" s="19">
        <f>IF(COUNT(C53:P53)=0,"",IFERROR(AQ53-C53-Config!$C$13,0))</f>
        <v/>
      </c>
      <c r="AS53" s="20">
        <f>IF(COUNT(C53:P53)=0,"",IFERROR(AQ53/C53,0))</f>
        <v/>
      </c>
      <c r="AT53" s="14">
        <f>IF(COUNT(C53:P53)=0,"",IFERROR(AR53/G53,0))</f>
        <v/>
      </c>
      <c r="AU53" s="20">
        <f>IF(COUNT(C53:P53)=0,"",IFERROR(AT53/V53,0))</f>
        <v/>
      </c>
      <c r="AV53" s="14">
        <f>IF(COUNT(C53:P53)=0,"",IFERROR(AR53/H53,0))</f>
        <v/>
      </c>
    </row>
    <row r="54">
      <c r="A54" s="11">
        <f>Config!$C$6+48</f>
        <v/>
      </c>
      <c r="B54" s="12">
        <f>INT((A54-Config!$C$6)/7)+1</f>
        <v/>
      </c>
      <c r="C54" s="9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4">
        <f>IF(COUNT(C54:P54)=0,"",IFERROR(C54/D54*1000,0))</f>
        <v/>
      </c>
      <c r="R54" s="15">
        <f>IF(COUNT(C54:P54)=0,"",IFERROR(D54/E54,0))</f>
        <v/>
      </c>
      <c r="S54" s="16">
        <f>IF(COUNT(C54:P54)=0,"",IFERROR(F54/D54,0))</f>
        <v/>
      </c>
      <c r="T54" s="14">
        <f>IF(COUNT(C54:P54)=0,"",IFERROR(C54/F54,0))</f>
        <v/>
      </c>
      <c r="U54" s="17">
        <f>IF(COUNT(C54:P54)=0,"",IFERROR(G54/F54,0))</f>
        <v/>
      </c>
      <c r="V54" s="14">
        <f>IF(COUNT(C54:P54)=0,"",IFERROR(C54/G54,0))</f>
        <v/>
      </c>
      <c r="W54" s="18">
        <f>IF(COUNT(C54:P54)=0,"",IFERROR(G54/D54*1000,0))</f>
        <v/>
      </c>
      <c r="X54" s="17">
        <f>IF(COUNT(C54:P54)=0,"",IFERROR(H54/G54,0))</f>
        <v/>
      </c>
      <c r="Y54" s="14">
        <f>IF(COUNT(C54:P54)=0,"",IFERROR(C54/H54,0))</f>
        <v/>
      </c>
      <c r="Z54" s="14">
        <f>IF(COUNT(C54:P54)=0,"",IFERROR(C54/I54,0))</f>
        <v/>
      </c>
      <c r="AA54" s="17">
        <f>IF(COUNT(C54:P54)=0,"",IFERROR(Y54/Q54,0))</f>
        <v/>
      </c>
      <c r="AB54" s="18">
        <f>IF(COUNT(C54:P54)=0,"",IFERROR(H54/D54*1000,0))</f>
        <v/>
      </c>
      <c r="AC54" s="17">
        <f>IF(COUNT(C54:P54)=0,"",IFERROR(J54/H54,0))</f>
        <v/>
      </c>
      <c r="AD54" s="14">
        <f>IF(COUNT(C54:P54)=0,"",IFERROR(C54/J54,0))</f>
        <v/>
      </c>
      <c r="AE54" s="17">
        <f>IF(COUNT(C54:P54)=0,"",IFERROR(K54/H54,0))</f>
        <v/>
      </c>
      <c r="AF54" s="17">
        <f>IF(COUNT(C54:P54)=0,"",IFERROR(L54/H54,0))</f>
        <v/>
      </c>
      <c r="AG54" s="14">
        <f>IF(COUNT(C54:P54)=0,"",IFERROR(C54/K54,0))</f>
        <v/>
      </c>
      <c r="AH54" s="17">
        <f>IF(COUNT(C54:P54)=0,"",IFERROR(M54/K54,0))</f>
        <v/>
      </c>
      <c r="AI54" s="14">
        <f>IF(COUNT(C54:P54)=0,"",IFERROR(C54/M54,0))</f>
        <v/>
      </c>
      <c r="AJ54" s="17">
        <f>IF(COUNT(C54:P54)=0,"",IFERROR(N54/M54,0))</f>
        <v/>
      </c>
      <c r="AK54" s="16">
        <f>IF(COUNT(C54:P54)=0,"",IFERROR(N54/H54,0))</f>
        <v/>
      </c>
      <c r="AL54" s="14">
        <f>IF(COUNT(C54:P54)=0,"",IFERROR(C54/N54,0))</f>
        <v/>
      </c>
      <c r="AM54" s="17">
        <f>IF(COUNT(C54:P54)=0,"",IFERROR(O54/N54,0))</f>
        <v/>
      </c>
      <c r="AN54" s="17">
        <f>IF(COUNT(C54:P54)=0,"",IFERROR(P54/N54,0))</f>
        <v/>
      </c>
      <c r="AO54" s="19">
        <f>IF(COUNT(C54:P54)=0,"",IFERROR(N54*Config!$C$7+O54*Config!$C$8+P54*Config!$C$9,0))</f>
        <v/>
      </c>
      <c r="AP54" s="14">
        <f>IF(COUNT(C54:P54)=0,"",IFERROR(AO54/N54,0))</f>
        <v/>
      </c>
      <c r="AQ54" s="19">
        <f>IF(COUNT(C54:P54)=0,"",IFERROR(AO54*(1-Config!$C$10-Config!$C$11-Config!$C$12),0))</f>
        <v/>
      </c>
      <c r="AR54" s="19">
        <f>IF(COUNT(C54:P54)=0,"",IFERROR(AQ54-C54-Config!$C$13,0))</f>
        <v/>
      </c>
      <c r="AS54" s="20">
        <f>IF(COUNT(C54:P54)=0,"",IFERROR(AQ54/C54,0))</f>
        <v/>
      </c>
      <c r="AT54" s="14">
        <f>IF(COUNT(C54:P54)=0,"",IFERROR(AR54/G54,0))</f>
        <v/>
      </c>
      <c r="AU54" s="20">
        <f>IF(COUNT(C54:P54)=0,"",IFERROR(AT54/V54,0))</f>
        <v/>
      </c>
      <c r="AV54" s="14">
        <f>IF(COUNT(C54:P54)=0,"",IFERROR(AR54/H54,0))</f>
        <v/>
      </c>
    </row>
    <row r="55">
      <c r="A55" s="11">
        <f>Config!$C$6+49</f>
        <v/>
      </c>
      <c r="B55" s="12">
        <f>INT((A55-Config!$C$6)/7)+1</f>
        <v/>
      </c>
      <c r="C55" s="9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4">
        <f>IF(COUNT(C55:P55)=0,"",IFERROR(C55/D55*1000,0))</f>
        <v/>
      </c>
      <c r="R55" s="15">
        <f>IF(COUNT(C55:P55)=0,"",IFERROR(D55/E55,0))</f>
        <v/>
      </c>
      <c r="S55" s="16">
        <f>IF(COUNT(C55:P55)=0,"",IFERROR(F55/D55,0))</f>
        <v/>
      </c>
      <c r="T55" s="14">
        <f>IF(COUNT(C55:P55)=0,"",IFERROR(C55/F55,0))</f>
        <v/>
      </c>
      <c r="U55" s="17">
        <f>IF(COUNT(C55:P55)=0,"",IFERROR(G55/F55,0))</f>
        <v/>
      </c>
      <c r="V55" s="14">
        <f>IF(COUNT(C55:P55)=0,"",IFERROR(C55/G55,0))</f>
        <v/>
      </c>
      <c r="W55" s="18">
        <f>IF(COUNT(C55:P55)=0,"",IFERROR(G55/D55*1000,0))</f>
        <v/>
      </c>
      <c r="X55" s="17">
        <f>IF(COUNT(C55:P55)=0,"",IFERROR(H55/G55,0))</f>
        <v/>
      </c>
      <c r="Y55" s="14">
        <f>IF(COUNT(C55:P55)=0,"",IFERROR(C55/H55,0))</f>
        <v/>
      </c>
      <c r="Z55" s="14">
        <f>IF(COUNT(C55:P55)=0,"",IFERROR(C55/I55,0))</f>
        <v/>
      </c>
      <c r="AA55" s="17">
        <f>IF(COUNT(C55:P55)=0,"",IFERROR(Y55/Q55,0))</f>
        <v/>
      </c>
      <c r="AB55" s="18">
        <f>IF(COUNT(C55:P55)=0,"",IFERROR(H55/D55*1000,0))</f>
        <v/>
      </c>
      <c r="AC55" s="17">
        <f>IF(COUNT(C55:P55)=0,"",IFERROR(J55/H55,0))</f>
        <v/>
      </c>
      <c r="AD55" s="14">
        <f>IF(COUNT(C55:P55)=0,"",IFERROR(C55/J55,0))</f>
        <v/>
      </c>
      <c r="AE55" s="17">
        <f>IF(COUNT(C55:P55)=0,"",IFERROR(K55/H55,0))</f>
        <v/>
      </c>
      <c r="AF55" s="17">
        <f>IF(COUNT(C55:P55)=0,"",IFERROR(L55/H55,0))</f>
        <v/>
      </c>
      <c r="AG55" s="14">
        <f>IF(COUNT(C55:P55)=0,"",IFERROR(C55/K55,0))</f>
        <v/>
      </c>
      <c r="AH55" s="17">
        <f>IF(COUNT(C55:P55)=0,"",IFERROR(M55/K55,0))</f>
        <v/>
      </c>
      <c r="AI55" s="14">
        <f>IF(COUNT(C55:P55)=0,"",IFERROR(C55/M55,0))</f>
        <v/>
      </c>
      <c r="AJ55" s="17">
        <f>IF(COUNT(C55:P55)=0,"",IFERROR(N55/M55,0))</f>
        <v/>
      </c>
      <c r="AK55" s="16">
        <f>IF(COUNT(C55:P55)=0,"",IFERROR(N55/H55,0))</f>
        <v/>
      </c>
      <c r="AL55" s="14">
        <f>IF(COUNT(C55:P55)=0,"",IFERROR(C55/N55,0))</f>
        <v/>
      </c>
      <c r="AM55" s="17">
        <f>IF(COUNT(C55:P55)=0,"",IFERROR(O55/N55,0))</f>
        <v/>
      </c>
      <c r="AN55" s="17">
        <f>IF(COUNT(C55:P55)=0,"",IFERROR(P55/N55,0))</f>
        <v/>
      </c>
      <c r="AO55" s="19">
        <f>IF(COUNT(C55:P55)=0,"",IFERROR(N55*Config!$C$7+O55*Config!$C$8+P55*Config!$C$9,0))</f>
        <v/>
      </c>
      <c r="AP55" s="14">
        <f>IF(COUNT(C55:P55)=0,"",IFERROR(AO55/N55,0))</f>
        <v/>
      </c>
      <c r="AQ55" s="19">
        <f>IF(COUNT(C55:P55)=0,"",IFERROR(AO55*(1-Config!$C$10-Config!$C$11-Config!$C$12),0))</f>
        <v/>
      </c>
      <c r="AR55" s="19">
        <f>IF(COUNT(C55:P55)=0,"",IFERROR(AQ55-C55-Config!$C$13,0))</f>
        <v/>
      </c>
      <c r="AS55" s="20">
        <f>IF(COUNT(C55:P55)=0,"",IFERROR(AQ55/C55,0))</f>
        <v/>
      </c>
      <c r="AT55" s="14">
        <f>IF(COUNT(C55:P55)=0,"",IFERROR(AR55/G55,0))</f>
        <v/>
      </c>
      <c r="AU55" s="20">
        <f>IF(COUNT(C55:P55)=0,"",IFERROR(AT55/V55,0))</f>
        <v/>
      </c>
      <c r="AV55" s="14">
        <f>IF(COUNT(C55:P55)=0,"",IFERROR(AR55/H55,0))</f>
        <v/>
      </c>
    </row>
    <row r="56">
      <c r="A56" s="11">
        <f>Config!$C$6+50</f>
        <v/>
      </c>
      <c r="B56" s="12">
        <f>INT((A56-Config!$C$6)/7)+1</f>
        <v/>
      </c>
      <c r="C56" s="9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4">
        <f>IF(COUNT(C56:P56)=0,"",IFERROR(C56/D56*1000,0))</f>
        <v/>
      </c>
      <c r="R56" s="15">
        <f>IF(COUNT(C56:P56)=0,"",IFERROR(D56/E56,0))</f>
        <v/>
      </c>
      <c r="S56" s="16">
        <f>IF(COUNT(C56:P56)=0,"",IFERROR(F56/D56,0))</f>
        <v/>
      </c>
      <c r="T56" s="14">
        <f>IF(COUNT(C56:P56)=0,"",IFERROR(C56/F56,0))</f>
        <v/>
      </c>
      <c r="U56" s="17">
        <f>IF(COUNT(C56:P56)=0,"",IFERROR(G56/F56,0))</f>
        <v/>
      </c>
      <c r="V56" s="14">
        <f>IF(COUNT(C56:P56)=0,"",IFERROR(C56/G56,0))</f>
        <v/>
      </c>
      <c r="W56" s="18">
        <f>IF(COUNT(C56:P56)=0,"",IFERROR(G56/D56*1000,0))</f>
        <v/>
      </c>
      <c r="X56" s="17">
        <f>IF(COUNT(C56:P56)=0,"",IFERROR(H56/G56,0))</f>
        <v/>
      </c>
      <c r="Y56" s="14">
        <f>IF(COUNT(C56:P56)=0,"",IFERROR(C56/H56,0))</f>
        <v/>
      </c>
      <c r="Z56" s="14">
        <f>IF(COUNT(C56:P56)=0,"",IFERROR(C56/I56,0))</f>
        <v/>
      </c>
      <c r="AA56" s="17">
        <f>IF(COUNT(C56:P56)=0,"",IFERROR(Y56/Q56,0))</f>
        <v/>
      </c>
      <c r="AB56" s="18">
        <f>IF(COUNT(C56:P56)=0,"",IFERROR(H56/D56*1000,0))</f>
        <v/>
      </c>
      <c r="AC56" s="17">
        <f>IF(COUNT(C56:P56)=0,"",IFERROR(J56/H56,0))</f>
        <v/>
      </c>
      <c r="AD56" s="14">
        <f>IF(COUNT(C56:P56)=0,"",IFERROR(C56/J56,0))</f>
        <v/>
      </c>
      <c r="AE56" s="17">
        <f>IF(COUNT(C56:P56)=0,"",IFERROR(K56/H56,0))</f>
        <v/>
      </c>
      <c r="AF56" s="17">
        <f>IF(COUNT(C56:P56)=0,"",IFERROR(L56/H56,0))</f>
        <v/>
      </c>
      <c r="AG56" s="14">
        <f>IF(COUNT(C56:P56)=0,"",IFERROR(C56/K56,0))</f>
        <v/>
      </c>
      <c r="AH56" s="17">
        <f>IF(COUNT(C56:P56)=0,"",IFERROR(M56/K56,0))</f>
        <v/>
      </c>
      <c r="AI56" s="14">
        <f>IF(COUNT(C56:P56)=0,"",IFERROR(C56/M56,0))</f>
        <v/>
      </c>
      <c r="AJ56" s="17">
        <f>IF(COUNT(C56:P56)=0,"",IFERROR(N56/M56,0))</f>
        <v/>
      </c>
      <c r="AK56" s="16">
        <f>IF(COUNT(C56:P56)=0,"",IFERROR(N56/H56,0))</f>
        <v/>
      </c>
      <c r="AL56" s="14">
        <f>IF(COUNT(C56:P56)=0,"",IFERROR(C56/N56,0))</f>
        <v/>
      </c>
      <c r="AM56" s="17">
        <f>IF(COUNT(C56:P56)=0,"",IFERROR(O56/N56,0))</f>
        <v/>
      </c>
      <c r="AN56" s="17">
        <f>IF(COUNT(C56:P56)=0,"",IFERROR(P56/N56,0))</f>
        <v/>
      </c>
      <c r="AO56" s="19">
        <f>IF(COUNT(C56:P56)=0,"",IFERROR(N56*Config!$C$7+O56*Config!$C$8+P56*Config!$C$9,0))</f>
        <v/>
      </c>
      <c r="AP56" s="14">
        <f>IF(COUNT(C56:P56)=0,"",IFERROR(AO56/N56,0))</f>
        <v/>
      </c>
      <c r="AQ56" s="19">
        <f>IF(COUNT(C56:P56)=0,"",IFERROR(AO56*(1-Config!$C$10-Config!$C$11-Config!$C$12),0))</f>
        <v/>
      </c>
      <c r="AR56" s="19">
        <f>IF(COUNT(C56:P56)=0,"",IFERROR(AQ56-C56-Config!$C$13,0))</f>
        <v/>
      </c>
      <c r="AS56" s="20">
        <f>IF(COUNT(C56:P56)=0,"",IFERROR(AQ56/C56,0))</f>
        <v/>
      </c>
      <c r="AT56" s="14">
        <f>IF(COUNT(C56:P56)=0,"",IFERROR(AR56/G56,0))</f>
        <v/>
      </c>
      <c r="AU56" s="20">
        <f>IF(COUNT(C56:P56)=0,"",IFERROR(AT56/V56,0))</f>
        <v/>
      </c>
      <c r="AV56" s="14">
        <f>IF(COUNT(C56:P56)=0,"",IFERROR(AR56/H56,0))</f>
        <v/>
      </c>
    </row>
    <row r="57">
      <c r="A57" s="11">
        <f>Config!$C$6+51</f>
        <v/>
      </c>
      <c r="B57" s="12">
        <f>INT((A57-Config!$C$6)/7)+1</f>
        <v/>
      </c>
      <c r="C57" s="9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4">
        <f>IF(COUNT(C57:P57)=0,"",IFERROR(C57/D57*1000,0))</f>
        <v/>
      </c>
      <c r="R57" s="15">
        <f>IF(COUNT(C57:P57)=0,"",IFERROR(D57/E57,0))</f>
        <v/>
      </c>
      <c r="S57" s="16">
        <f>IF(COUNT(C57:P57)=0,"",IFERROR(F57/D57,0))</f>
        <v/>
      </c>
      <c r="T57" s="14">
        <f>IF(COUNT(C57:P57)=0,"",IFERROR(C57/F57,0))</f>
        <v/>
      </c>
      <c r="U57" s="17">
        <f>IF(COUNT(C57:P57)=0,"",IFERROR(G57/F57,0))</f>
        <v/>
      </c>
      <c r="V57" s="14">
        <f>IF(COUNT(C57:P57)=0,"",IFERROR(C57/G57,0))</f>
        <v/>
      </c>
      <c r="W57" s="18">
        <f>IF(COUNT(C57:P57)=0,"",IFERROR(G57/D57*1000,0))</f>
        <v/>
      </c>
      <c r="X57" s="17">
        <f>IF(COUNT(C57:P57)=0,"",IFERROR(H57/G57,0))</f>
        <v/>
      </c>
      <c r="Y57" s="14">
        <f>IF(COUNT(C57:P57)=0,"",IFERROR(C57/H57,0))</f>
        <v/>
      </c>
      <c r="Z57" s="14">
        <f>IF(COUNT(C57:P57)=0,"",IFERROR(C57/I57,0))</f>
        <v/>
      </c>
      <c r="AA57" s="17">
        <f>IF(COUNT(C57:P57)=0,"",IFERROR(Y57/Q57,0))</f>
        <v/>
      </c>
      <c r="AB57" s="18">
        <f>IF(COUNT(C57:P57)=0,"",IFERROR(H57/D57*1000,0))</f>
        <v/>
      </c>
      <c r="AC57" s="17">
        <f>IF(COUNT(C57:P57)=0,"",IFERROR(J57/H57,0))</f>
        <v/>
      </c>
      <c r="AD57" s="14">
        <f>IF(COUNT(C57:P57)=0,"",IFERROR(C57/J57,0))</f>
        <v/>
      </c>
      <c r="AE57" s="17">
        <f>IF(COUNT(C57:P57)=0,"",IFERROR(K57/H57,0))</f>
        <v/>
      </c>
      <c r="AF57" s="17">
        <f>IF(COUNT(C57:P57)=0,"",IFERROR(L57/H57,0))</f>
        <v/>
      </c>
      <c r="AG57" s="14">
        <f>IF(COUNT(C57:P57)=0,"",IFERROR(C57/K57,0))</f>
        <v/>
      </c>
      <c r="AH57" s="17">
        <f>IF(COUNT(C57:P57)=0,"",IFERROR(M57/K57,0))</f>
        <v/>
      </c>
      <c r="AI57" s="14">
        <f>IF(COUNT(C57:P57)=0,"",IFERROR(C57/M57,0))</f>
        <v/>
      </c>
      <c r="AJ57" s="17">
        <f>IF(COUNT(C57:P57)=0,"",IFERROR(N57/M57,0))</f>
        <v/>
      </c>
      <c r="AK57" s="16">
        <f>IF(COUNT(C57:P57)=0,"",IFERROR(N57/H57,0))</f>
        <v/>
      </c>
      <c r="AL57" s="14">
        <f>IF(COUNT(C57:P57)=0,"",IFERROR(C57/N57,0))</f>
        <v/>
      </c>
      <c r="AM57" s="17">
        <f>IF(COUNT(C57:P57)=0,"",IFERROR(O57/N57,0))</f>
        <v/>
      </c>
      <c r="AN57" s="17">
        <f>IF(COUNT(C57:P57)=0,"",IFERROR(P57/N57,0))</f>
        <v/>
      </c>
      <c r="AO57" s="19">
        <f>IF(COUNT(C57:P57)=0,"",IFERROR(N57*Config!$C$7+O57*Config!$C$8+P57*Config!$C$9,0))</f>
        <v/>
      </c>
      <c r="AP57" s="14">
        <f>IF(COUNT(C57:P57)=0,"",IFERROR(AO57/N57,0))</f>
        <v/>
      </c>
      <c r="AQ57" s="19">
        <f>IF(COUNT(C57:P57)=0,"",IFERROR(AO57*(1-Config!$C$10-Config!$C$11-Config!$C$12),0))</f>
        <v/>
      </c>
      <c r="AR57" s="19">
        <f>IF(COUNT(C57:P57)=0,"",IFERROR(AQ57-C57-Config!$C$13,0))</f>
        <v/>
      </c>
      <c r="AS57" s="20">
        <f>IF(COUNT(C57:P57)=0,"",IFERROR(AQ57/C57,0))</f>
        <v/>
      </c>
      <c r="AT57" s="14">
        <f>IF(COUNT(C57:P57)=0,"",IFERROR(AR57/G57,0))</f>
        <v/>
      </c>
      <c r="AU57" s="20">
        <f>IF(COUNT(C57:P57)=0,"",IFERROR(AT57/V57,0))</f>
        <v/>
      </c>
      <c r="AV57" s="14">
        <f>IF(COUNT(C57:P57)=0,"",IFERROR(AR57/H57,0))</f>
        <v/>
      </c>
    </row>
    <row r="58">
      <c r="A58" s="11">
        <f>Config!$C$6+52</f>
        <v/>
      </c>
      <c r="B58" s="12">
        <f>INT((A58-Config!$C$6)/7)+1</f>
        <v/>
      </c>
      <c r="C58" s="9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4">
        <f>IF(COUNT(C58:P58)=0,"",IFERROR(C58/D58*1000,0))</f>
        <v/>
      </c>
      <c r="R58" s="15">
        <f>IF(COUNT(C58:P58)=0,"",IFERROR(D58/E58,0))</f>
        <v/>
      </c>
      <c r="S58" s="16">
        <f>IF(COUNT(C58:P58)=0,"",IFERROR(F58/D58,0))</f>
        <v/>
      </c>
      <c r="T58" s="14">
        <f>IF(COUNT(C58:P58)=0,"",IFERROR(C58/F58,0))</f>
        <v/>
      </c>
      <c r="U58" s="17">
        <f>IF(COUNT(C58:P58)=0,"",IFERROR(G58/F58,0))</f>
        <v/>
      </c>
      <c r="V58" s="14">
        <f>IF(COUNT(C58:P58)=0,"",IFERROR(C58/G58,0))</f>
        <v/>
      </c>
      <c r="W58" s="18">
        <f>IF(COUNT(C58:P58)=0,"",IFERROR(G58/D58*1000,0))</f>
        <v/>
      </c>
      <c r="X58" s="17">
        <f>IF(COUNT(C58:P58)=0,"",IFERROR(H58/G58,0))</f>
        <v/>
      </c>
      <c r="Y58" s="14">
        <f>IF(COUNT(C58:P58)=0,"",IFERROR(C58/H58,0))</f>
        <v/>
      </c>
      <c r="Z58" s="14">
        <f>IF(COUNT(C58:P58)=0,"",IFERROR(C58/I58,0))</f>
        <v/>
      </c>
      <c r="AA58" s="17">
        <f>IF(COUNT(C58:P58)=0,"",IFERROR(Y58/Q58,0))</f>
        <v/>
      </c>
      <c r="AB58" s="18">
        <f>IF(COUNT(C58:P58)=0,"",IFERROR(H58/D58*1000,0))</f>
        <v/>
      </c>
      <c r="AC58" s="17">
        <f>IF(COUNT(C58:P58)=0,"",IFERROR(J58/H58,0))</f>
        <v/>
      </c>
      <c r="AD58" s="14">
        <f>IF(COUNT(C58:P58)=0,"",IFERROR(C58/J58,0))</f>
        <v/>
      </c>
      <c r="AE58" s="17">
        <f>IF(COUNT(C58:P58)=0,"",IFERROR(K58/H58,0))</f>
        <v/>
      </c>
      <c r="AF58" s="17">
        <f>IF(COUNT(C58:P58)=0,"",IFERROR(L58/H58,0))</f>
        <v/>
      </c>
      <c r="AG58" s="14">
        <f>IF(COUNT(C58:P58)=0,"",IFERROR(C58/K58,0))</f>
        <v/>
      </c>
      <c r="AH58" s="17">
        <f>IF(COUNT(C58:P58)=0,"",IFERROR(M58/K58,0))</f>
        <v/>
      </c>
      <c r="AI58" s="14">
        <f>IF(COUNT(C58:P58)=0,"",IFERROR(C58/M58,0))</f>
        <v/>
      </c>
      <c r="AJ58" s="17">
        <f>IF(COUNT(C58:P58)=0,"",IFERROR(N58/M58,0))</f>
        <v/>
      </c>
      <c r="AK58" s="16">
        <f>IF(COUNT(C58:P58)=0,"",IFERROR(N58/H58,0))</f>
        <v/>
      </c>
      <c r="AL58" s="14">
        <f>IF(COUNT(C58:P58)=0,"",IFERROR(C58/N58,0))</f>
        <v/>
      </c>
      <c r="AM58" s="17">
        <f>IF(COUNT(C58:P58)=0,"",IFERROR(O58/N58,0))</f>
        <v/>
      </c>
      <c r="AN58" s="17">
        <f>IF(COUNT(C58:P58)=0,"",IFERROR(P58/N58,0))</f>
        <v/>
      </c>
      <c r="AO58" s="19">
        <f>IF(COUNT(C58:P58)=0,"",IFERROR(N58*Config!$C$7+O58*Config!$C$8+P58*Config!$C$9,0))</f>
        <v/>
      </c>
      <c r="AP58" s="14">
        <f>IF(COUNT(C58:P58)=0,"",IFERROR(AO58/N58,0))</f>
        <v/>
      </c>
      <c r="AQ58" s="19">
        <f>IF(COUNT(C58:P58)=0,"",IFERROR(AO58*(1-Config!$C$10-Config!$C$11-Config!$C$12),0))</f>
        <v/>
      </c>
      <c r="AR58" s="19">
        <f>IF(COUNT(C58:P58)=0,"",IFERROR(AQ58-C58-Config!$C$13,0))</f>
        <v/>
      </c>
      <c r="AS58" s="20">
        <f>IF(COUNT(C58:P58)=0,"",IFERROR(AQ58/C58,0))</f>
        <v/>
      </c>
      <c r="AT58" s="14">
        <f>IF(COUNT(C58:P58)=0,"",IFERROR(AR58/G58,0))</f>
        <v/>
      </c>
      <c r="AU58" s="20">
        <f>IF(COUNT(C58:P58)=0,"",IFERROR(AT58/V58,0))</f>
        <v/>
      </c>
      <c r="AV58" s="14">
        <f>IF(COUNT(C58:P58)=0,"",IFERROR(AR58/H58,0))</f>
        <v/>
      </c>
    </row>
    <row r="59">
      <c r="A59" s="11">
        <f>Config!$C$6+53</f>
        <v/>
      </c>
      <c r="B59" s="12">
        <f>INT((A59-Config!$C$6)/7)+1</f>
        <v/>
      </c>
      <c r="C59" s="9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4">
        <f>IF(COUNT(C59:P59)=0,"",IFERROR(C59/D59*1000,0))</f>
        <v/>
      </c>
      <c r="R59" s="15">
        <f>IF(COUNT(C59:P59)=0,"",IFERROR(D59/E59,0))</f>
        <v/>
      </c>
      <c r="S59" s="16">
        <f>IF(COUNT(C59:P59)=0,"",IFERROR(F59/D59,0))</f>
        <v/>
      </c>
      <c r="T59" s="14">
        <f>IF(COUNT(C59:P59)=0,"",IFERROR(C59/F59,0))</f>
        <v/>
      </c>
      <c r="U59" s="17">
        <f>IF(COUNT(C59:P59)=0,"",IFERROR(G59/F59,0))</f>
        <v/>
      </c>
      <c r="V59" s="14">
        <f>IF(COUNT(C59:P59)=0,"",IFERROR(C59/G59,0))</f>
        <v/>
      </c>
      <c r="W59" s="18">
        <f>IF(COUNT(C59:P59)=0,"",IFERROR(G59/D59*1000,0))</f>
        <v/>
      </c>
      <c r="X59" s="17">
        <f>IF(COUNT(C59:P59)=0,"",IFERROR(H59/G59,0))</f>
        <v/>
      </c>
      <c r="Y59" s="14">
        <f>IF(COUNT(C59:P59)=0,"",IFERROR(C59/H59,0))</f>
        <v/>
      </c>
      <c r="Z59" s="14">
        <f>IF(COUNT(C59:P59)=0,"",IFERROR(C59/I59,0))</f>
        <v/>
      </c>
      <c r="AA59" s="17">
        <f>IF(COUNT(C59:P59)=0,"",IFERROR(Y59/Q59,0))</f>
        <v/>
      </c>
      <c r="AB59" s="18">
        <f>IF(COUNT(C59:P59)=0,"",IFERROR(H59/D59*1000,0))</f>
        <v/>
      </c>
      <c r="AC59" s="17">
        <f>IF(COUNT(C59:P59)=0,"",IFERROR(J59/H59,0))</f>
        <v/>
      </c>
      <c r="AD59" s="14">
        <f>IF(COUNT(C59:P59)=0,"",IFERROR(C59/J59,0))</f>
        <v/>
      </c>
      <c r="AE59" s="17">
        <f>IF(COUNT(C59:P59)=0,"",IFERROR(K59/H59,0))</f>
        <v/>
      </c>
      <c r="AF59" s="17">
        <f>IF(COUNT(C59:P59)=0,"",IFERROR(L59/H59,0))</f>
        <v/>
      </c>
      <c r="AG59" s="14">
        <f>IF(COUNT(C59:P59)=0,"",IFERROR(C59/K59,0))</f>
        <v/>
      </c>
      <c r="AH59" s="17">
        <f>IF(COUNT(C59:P59)=0,"",IFERROR(M59/K59,0))</f>
        <v/>
      </c>
      <c r="AI59" s="14">
        <f>IF(COUNT(C59:P59)=0,"",IFERROR(C59/M59,0))</f>
        <v/>
      </c>
      <c r="AJ59" s="17">
        <f>IF(COUNT(C59:P59)=0,"",IFERROR(N59/M59,0))</f>
        <v/>
      </c>
      <c r="AK59" s="16">
        <f>IF(COUNT(C59:P59)=0,"",IFERROR(N59/H59,0))</f>
        <v/>
      </c>
      <c r="AL59" s="14">
        <f>IF(COUNT(C59:P59)=0,"",IFERROR(C59/N59,0))</f>
        <v/>
      </c>
      <c r="AM59" s="17">
        <f>IF(COUNT(C59:P59)=0,"",IFERROR(O59/N59,0))</f>
        <v/>
      </c>
      <c r="AN59" s="17">
        <f>IF(COUNT(C59:P59)=0,"",IFERROR(P59/N59,0))</f>
        <v/>
      </c>
      <c r="AO59" s="19">
        <f>IF(COUNT(C59:P59)=0,"",IFERROR(N59*Config!$C$7+O59*Config!$C$8+P59*Config!$C$9,0))</f>
        <v/>
      </c>
      <c r="AP59" s="14">
        <f>IF(COUNT(C59:P59)=0,"",IFERROR(AO59/N59,0))</f>
        <v/>
      </c>
      <c r="AQ59" s="19">
        <f>IF(COUNT(C59:P59)=0,"",IFERROR(AO59*(1-Config!$C$10-Config!$C$11-Config!$C$12),0))</f>
        <v/>
      </c>
      <c r="AR59" s="19">
        <f>IF(COUNT(C59:P59)=0,"",IFERROR(AQ59-C59-Config!$C$13,0))</f>
        <v/>
      </c>
      <c r="AS59" s="20">
        <f>IF(COUNT(C59:P59)=0,"",IFERROR(AQ59/C59,0))</f>
        <v/>
      </c>
      <c r="AT59" s="14">
        <f>IF(COUNT(C59:P59)=0,"",IFERROR(AR59/G59,0))</f>
        <v/>
      </c>
      <c r="AU59" s="20">
        <f>IF(COUNT(C59:P59)=0,"",IFERROR(AT59/V59,0))</f>
        <v/>
      </c>
      <c r="AV59" s="14">
        <f>IF(COUNT(C59:P59)=0,"",IFERROR(AR59/H59,0))</f>
        <v/>
      </c>
    </row>
    <row r="60">
      <c r="A60" s="11">
        <f>Config!$C$6+54</f>
        <v/>
      </c>
      <c r="B60" s="12">
        <f>INT((A60-Config!$C$6)/7)+1</f>
        <v/>
      </c>
      <c r="C60" s="9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4">
        <f>IF(COUNT(C60:P60)=0,"",IFERROR(C60/D60*1000,0))</f>
        <v/>
      </c>
      <c r="R60" s="15">
        <f>IF(COUNT(C60:P60)=0,"",IFERROR(D60/E60,0))</f>
        <v/>
      </c>
      <c r="S60" s="16">
        <f>IF(COUNT(C60:P60)=0,"",IFERROR(F60/D60,0))</f>
        <v/>
      </c>
      <c r="T60" s="14">
        <f>IF(COUNT(C60:P60)=0,"",IFERROR(C60/F60,0))</f>
        <v/>
      </c>
      <c r="U60" s="17">
        <f>IF(COUNT(C60:P60)=0,"",IFERROR(G60/F60,0))</f>
        <v/>
      </c>
      <c r="V60" s="14">
        <f>IF(COUNT(C60:P60)=0,"",IFERROR(C60/G60,0))</f>
        <v/>
      </c>
      <c r="W60" s="18">
        <f>IF(COUNT(C60:P60)=0,"",IFERROR(G60/D60*1000,0))</f>
        <v/>
      </c>
      <c r="X60" s="17">
        <f>IF(COUNT(C60:P60)=0,"",IFERROR(H60/G60,0))</f>
        <v/>
      </c>
      <c r="Y60" s="14">
        <f>IF(COUNT(C60:P60)=0,"",IFERROR(C60/H60,0))</f>
        <v/>
      </c>
      <c r="Z60" s="14">
        <f>IF(COUNT(C60:P60)=0,"",IFERROR(C60/I60,0))</f>
        <v/>
      </c>
      <c r="AA60" s="17">
        <f>IF(COUNT(C60:P60)=0,"",IFERROR(Y60/Q60,0))</f>
        <v/>
      </c>
      <c r="AB60" s="18">
        <f>IF(COUNT(C60:P60)=0,"",IFERROR(H60/D60*1000,0))</f>
        <v/>
      </c>
      <c r="AC60" s="17">
        <f>IF(COUNT(C60:P60)=0,"",IFERROR(J60/H60,0))</f>
        <v/>
      </c>
      <c r="AD60" s="14">
        <f>IF(COUNT(C60:P60)=0,"",IFERROR(C60/J60,0))</f>
        <v/>
      </c>
      <c r="AE60" s="17">
        <f>IF(COUNT(C60:P60)=0,"",IFERROR(K60/H60,0))</f>
        <v/>
      </c>
      <c r="AF60" s="17">
        <f>IF(COUNT(C60:P60)=0,"",IFERROR(L60/H60,0))</f>
        <v/>
      </c>
      <c r="AG60" s="14">
        <f>IF(COUNT(C60:P60)=0,"",IFERROR(C60/K60,0))</f>
        <v/>
      </c>
      <c r="AH60" s="17">
        <f>IF(COUNT(C60:P60)=0,"",IFERROR(M60/K60,0))</f>
        <v/>
      </c>
      <c r="AI60" s="14">
        <f>IF(COUNT(C60:P60)=0,"",IFERROR(C60/M60,0))</f>
        <v/>
      </c>
      <c r="AJ60" s="17">
        <f>IF(COUNT(C60:P60)=0,"",IFERROR(N60/M60,0))</f>
        <v/>
      </c>
      <c r="AK60" s="16">
        <f>IF(COUNT(C60:P60)=0,"",IFERROR(N60/H60,0))</f>
        <v/>
      </c>
      <c r="AL60" s="14">
        <f>IF(COUNT(C60:P60)=0,"",IFERROR(C60/N60,0))</f>
        <v/>
      </c>
      <c r="AM60" s="17">
        <f>IF(COUNT(C60:P60)=0,"",IFERROR(O60/N60,0))</f>
        <v/>
      </c>
      <c r="AN60" s="17">
        <f>IF(COUNT(C60:P60)=0,"",IFERROR(P60/N60,0))</f>
        <v/>
      </c>
      <c r="AO60" s="19">
        <f>IF(COUNT(C60:P60)=0,"",IFERROR(N60*Config!$C$7+O60*Config!$C$8+P60*Config!$C$9,0))</f>
        <v/>
      </c>
      <c r="AP60" s="14">
        <f>IF(COUNT(C60:P60)=0,"",IFERROR(AO60/N60,0))</f>
        <v/>
      </c>
      <c r="AQ60" s="19">
        <f>IF(COUNT(C60:P60)=0,"",IFERROR(AO60*(1-Config!$C$10-Config!$C$11-Config!$C$12),0))</f>
        <v/>
      </c>
      <c r="AR60" s="19">
        <f>IF(COUNT(C60:P60)=0,"",IFERROR(AQ60-C60-Config!$C$13,0))</f>
        <v/>
      </c>
      <c r="AS60" s="20">
        <f>IF(COUNT(C60:P60)=0,"",IFERROR(AQ60/C60,0))</f>
        <v/>
      </c>
      <c r="AT60" s="14">
        <f>IF(COUNT(C60:P60)=0,"",IFERROR(AR60/G60,0))</f>
        <v/>
      </c>
      <c r="AU60" s="20">
        <f>IF(COUNT(C60:P60)=0,"",IFERROR(AT60/V60,0))</f>
        <v/>
      </c>
      <c r="AV60" s="14">
        <f>IF(COUNT(C60:P60)=0,"",IFERROR(AR60/H60,0))</f>
        <v/>
      </c>
    </row>
    <row r="61">
      <c r="A61" s="11">
        <f>Config!$C$6+55</f>
        <v/>
      </c>
      <c r="B61" s="12">
        <f>INT((A61-Config!$C$6)/7)+1</f>
        <v/>
      </c>
      <c r="C61" s="9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4">
        <f>IF(COUNT(C61:P61)=0,"",IFERROR(C61/D61*1000,0))</f>
        <v/>
      </c>
      <c r="R61" s="15">
        <f>IF(COUNT(C61:P61)=0,"",IFERROR(D61/E61,0))</f>
        <v/>
      </c>
      <c r="S61" s="16">
        <f>IF(COUNT(C61:P61)=0,"",IFERROR(F61/D61,0))</f>
        <v/>
      </c>
      <c r="T61" s="14">
        <f>IF(COUNT(C61:P61)=0,"",IFERROR(C61/F61,0))</f>
        <v/>
      </c>
      <c r="U61" s="17">
        <f>IF(COUNT(C61:P61)=0,"",IFERROR(G61/F61,0))</f>
        <v/>
      </c>
      <c r="V61" s="14">
        <f>IF(COUNT(C61:P61)=0,"",IFERROR(C61/G61,0))</f>
        <v/>
      </c>
      <c r="W61" s="18">
        <f>IF(COUNT(C61:P61)=0,"",IFERROR(G61/D61*1000,0))</f>
        <v/>
      </c>
      <c r="X61" s="17">
        <f>IF(COUNT(C61:P61)=0,"",IFERROR(H61/G61,0))</f>
        <v/>
      </c>
      <c r="Y61" s="14">
        <f>IF(COUNT(C61:P61)=0,"",IFERROR(C61/H61,0))</f>
        <v/>
      </c>
      <c r="Z61" s="14">
        <f>IF(COUNT(C61:P61)=0,"",IFERROR(C61/I61,0))</f>
        <v/>
      </c>
      <c r="AA61" s="17">
        <f>IF(COUNT(C61:P61)=0,"",IFERROR(Y61/Q61,0))</f>
        <v/>
      </c>
      <c r="AB61" s="18">
        <f>IF(COUNT(C61:P61)=0,"",IFERROR(H61/D61*1000,0))</f>
        <v/>
      </c>
      <c r="AC61" s="17">
        <f>IF(COUNT(C61:P61)=0,"",IFERROR(J61/H61,0))</f>
        <v/>
      </c>
      <c r="AD61" s="14">
        <f>IF(COUNT(C61:P61)=0,"",IFERROR(C61/J61,0))</f>
        <v/>
      </c>
      <c r="AE61" s="17">
        <f>IF(COUNT(C61:P61)=0,"",IFERROR(K61/H61,0))</f>
        <v/>
      </c>
      <c r="AF61" s="17">
        <f>IF(COUNT(C61:P61)=0,"",IFERROR(L61/H61,0))</f>
        <v/>
      </c>
      <c r="AG61" s="14">
        <f>IF(COUNT(C61:P61)=0,"",IFERROR(C61/K61,0))</f>
        <v/>
      </c>
      <c r="AH61" s="17">
        <f>IF(COUNT(C61:P61)=0,"",IFERROR(M61/K61,0))</f>
        <v/>
      </c>
      <c r="AI61" s="14">
        <f>IF(COUNT(C61:P61)=0,"",IFERROR(C61/M61,0))</f>
        <v/>
      </c>
      <c r="AJ61" s="17">
        <f>IF(COUNT(C61:P61)=0,"",IFERROR(N61/M61,0))</f>
        <v/>
      </c>
      <c r="AK61" s="16">
        <f>IF(COUNT(C61:P61)=0,"",IFERROR(N61/H61,0))</f>
        <v/>
      </c>
      <c r="AL61" s="14">
        <f>IF(COUNT(C61:P61)=0,"",IFERROR(C61/N61,0))</f>
        <v/>
      </c>
      <c r="AM61" s="17">
        <f>IF(COUNT(C61:P61)=0,"",IFERROR(O61/N61,0))</f>
        <v/>
      </c>
      <c r="AN61" s="17">
        <f>IF(COUNT(C61:P61)=0,"",IFERROR(P61/N61,0))</f>
        <v/>
      </c>
      <c r="AO61" s="19">
        <f>IF(COUNT(C61:P61)=0,"",IFERROR(N61*Config!$C$7+O61*Config!$C$8+P61*Config!$C$9,0))</f>
        <v/>
      </c>
      <c r="AP61" s="14">
        <f>IF(COUNT(C61:P61)=0,"",IFERROR(AO61/N61,0))</f>
        <v/>
      </c>
      <c r="AQ61" s="19">
        <f>IF(COUNT(C61:P61)=0,"",IFERROR(AO61*(1-Config!$C$10-Config!$C$11-Config!$C$12),0))</f>
        <v/>
      </c>
      <c r="AR61" s="19">
        <f>IF(COUNT(C61:P61)=0,"",IFERROR(AQ61-C61-Config!$C$13,0))</f>
        <v/>
      </c>
      <c r="AS61" s="20">
        <f>IF(COUNT(C61:P61)=0,"",IFERROR(AQ61/C61,0))</f>
        <v/>
      </c>
      <c r="AT61" s="14">
        <f>IF(COUNT(C61:P61)=0,"",IFERROR(AR61/G61,0))</f>
        <v/>
      </c>
      <c r="AU61" s="20">
        <f>IF(COUNT(C61:P61)=0,"",IFERROR(AT61/V61,0))</f>
        <v/>
      </c>
      <c r="AV61" s="14">
        <f>IF(COUNT(C61:P61)=0,"",IFERROR(AR61/H61,0))</f>
        <v/>
      </c>
    </row>
    <row r="62">
      <c r="A62" s="11">
        <f>Config!$C$6+56</f>
        <v/>
      </c>
      <c r="B62" s="12">
        <f>INT((A62-Config!$C$6)/7)+1</f>
        <v/>
      </c>
      <c r="C62" s="9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4">
        <f>IF(COUNT(C62:P62)=0,"",IFERROR(C62/D62*1000,0))</f>
        <v/>
      </c>
      <c r="R62" s="15">
        <f>IF(COUNT(C62:P62)=0,"",IFERROR(D62/E62,0))</f>
        <v/>
      </c>
      <c r="S62" s="16">
        <f>IF(COUNT(C62:P62)=0,"",IFERROR(F62/D62,0))</f>
        <v/>
      </c>
      <c r="T62" s="14">
        <f>IF(COUNT(C62:P62)=0,"",IFERROR(C62/F62,0))</f>
        <v/>
      </c>
      <c r="U62" s="17">
        <f>IF(COUNT(C62:P62)=0,"",IFERROR(G62/F62,0))</f>
        <v/>
      </c>
      <c r="V62" s="14">
        <f>IF(COUNT(C62:P62)=0,"",IFERROR(C62/G62,0))</f>
        <v/>
      </c>
      <c r="W62" s="18">
        <f>IF(COUNT(C62:P62)=0,"",IFERROR(G62/D62*1000,0))</f>
        <v/>
      </c>
      <c r="X62" s="17">
        <f>IF(COUNT(C62:P62)=0,"",IFERROR(H62/G62,0))</f>
        <v/>
      </c>
      <c r="Y62" s="14">
        <f>IF(COUNT(C62:P62)=0,"",IFERROR(C62/H62,0))</f>
        <v/>
      </c>
      <c r="Z62" s="14">
        <f>IF(COUNT(C62:P62)=0,"",IFERROR(C62/I62,0))</f>
        <v/>
      </c>
      <c r="AA62" s="17">
        <f>IF(COUNT(C62:P62)=0,"",IFERROR(Y62/Q62,0))</f>
        <v/>
      </c>
      <c r="AB62" s="18">
        <f>IF(COUNT(C62:P62)=0,"",IFERROR(H62/D62*1000,0))</f>
        <v/>
      </c>
      <c r="AC62" s="17">
        <f>IF(COUNT(C62:P62)=0,"",IFERROR(J62/H62,0))</f>
        <v/>
      </c>
      <c r="AD62" s="14">
        <f>IF(COUNT(C62:P62)=0,"",IFERROR(C62/J62,0))</f>
        <v/>
      </c>
      <c r="AE62" s="17">
        <f>IF(COUNT(C62:P62)=0,"",IFERROR(K62/H62,0))</f>
        <v/>
      </c>
      <c r="AF62" s="17">
        <f>IF(COUNT(C62:P62)=0,"",IFERROR(L62/H62,0))</f>
        <v/>
      </c>
      <c r="AG62" s="14">
        <f>IF(COUNT(C62:P62)=0,"",IFERROR(C62/K62,0))</f>
        <v/>
      </c>
      <c r="AH62" s="17">
        <f>IF(COUNT(C62:P62)=0,"",IFERROR(M62/K62,0))</f>
        <v/>
      </c>
      <c r="AI62" s="14">
        <f>IF(COUNT(C62:P62)=0,"",IFERROR(C62/M62,0))</f>
        <v/>
      </c>
      <c r="AJ62" s="17">
        <f>IF(COUNT(C62:P62)=0,"",IFERROR(N62/M62,0))</f>
        <v/>
      </c>
      <c r="AK62" s="16">
        <f>IF(COUNT(C62:P62)=0,"",IFERROR(N62/H62,0))</f>
        <v/>
      </c>
      <c r="AL62" s="14">
        <f>IF(COUNT(C62:P62)=0,"",IFERROR(C62/N62,0))</f>
        <v/>
      </c>
      <c r="AM62" s="17">
        <f>IF(COUNT(C62:P62)=0,"",IFERROR(O62/N62,0))</f>
        <v/>
      </c>
      <c r="AN62" s="17">
        <f>IF(COUNT(C62:P62)=0,"",IFERROR(P62/N62,0))</f>
        <v/>
      </c>
      <c r="AO62" s="19">
        <f>IF(COUNT(C62:P62)=0,"",IFERROR(N62*Config!$C$7+O62*Config!$C$8+P62*Config!$C$9,0))</f>
        <v/>
      </c>
      <c r="AP62" s="14">
        <f>IF(COUNT(C62:P62)=0,"",IFERROR(AO62/N62,0))</f>
        <v/>
      </c>
      <c r="AQ62" s="19">
        <f>IF(COUNT(C62:P62)=0,"",IFERROR(AO62*(1-Config!$C$10-Config!$C$11-Config!$C$12),0))</f>
        <v/>
      </c>
      <c r="AR62" s="19">
        <f>IF(COUNT(C62:P62)=0,"",IFERROR(AQ62-C62-Config!$C$13,0))</f>
        <v/>
      </c>
      <c r="AS62" s="20">
        <f>IF(COUNT(C62:P62)=0,"",IFERROR(AQ62/C62,0))</f>
        <v/>
      </c>
      <c r="AT62" s="14">
        <f>IF(COUNT(C62:P62)=0,"",IFERROR(AR62/G62,0))</f>
        <v/>
      </c>
      <c r="AU62" s="20">
        <f>IF(COUNT(C62:P62)=0,"",IFERROR(AT62/V62,0))</f>
        <v/>
      </c>
      <c r="AV62" s="14">
        <f>IF(COUNT(C62:P62)=0,"",IFERROR(AR62/H62,0))</f>
        <v/>
      </c>
    </row>
    <row r="63">
      <c r="A63" s="11">
        <f>Config!$C$6+57</f>
        <v/>
      </c>
      <c r="B63" s="12">
        <f>INT((A63-Config!$C$6)/7)+1</f>
        <v/>
      </c>
      <c r="C63" s="9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4">
        <f>IF(COUNT(C63:P63)=0,"",IFERROR(C63/D63*1000,0))</f>
        <v/>
      </c>
      <c r="R63" s="15">
        <f>IF(COUNT(C63:P63)=0,"",IFERROR(D63/E63,0))</f>
        <v/>
      </c>
      <c r="S63" s="16">
        <f>IF(COUNT(C63:P63)=0,"",IFERROR(F63/D63,0))</f>
        <v/>
      </c>
      <c r="T63" s="14">
        <f>IF(COUNT(C63:P63)=0,"",IFERROR(C63/F63,0))</f>
        <v/>
      </c>
      <c r="U63" s="17">
        <f>IF(COUNT(C63:P63)=0,"",IFERROR(G63/F63,0))</f>
        <v/>
      </c>
      <c r="V63" s="14">
        <f>IF(COUNT(C63:P63)=0,"",IFERROR(C63/G63,0))</f>
        <v/>
      </c>
      <c r="W63" s="18">
        <f>IF(COUNT(C63:P63)=0,"",IFERROR(G63/D63*1000,0))</f>
        <v/>
      </c>
      <c r="X63" s="17">
        <f>IF(COUNT(C63:P63)=0,"",IFERROR(H63/G63,0))</f>
        <v/>
      </c>
      <c r="Y63" s="14">
        <f>IF(COUNT(C63:P63)=0,"",IFERROR(C63/H63,0))</f>
        <v/>
      </c>
      <c r="Z63" s="14">
        <f>IF(COUNT(C63:P63)=0,"",IFERROR(C63/I63,0))</f>
        <v/>
      </c>
      <c r="AA63" s="17">
        <f>IF(COUNT(C63:P63)=0,"",IFERROR(Y63/Q63,0))</f>
        <v/>
      </c>
      <c r="AB63" s="18">
        <f>IF(COUNT(C63:P63)=0,"",IFERROR(H63/D63*1000,0))</f>
        <v/>
      </c>
      <c r="AC63" s="17">
        <f>IF(COUNT(C63:P63)=0,"",IFERROR(J63/H63,0))</f>
        <v/>
      </c>
      <c r="AD63" s="14">
        <f>IF(COUNT(C63:P63)=0,"",IFERROR(C63/J63,0))</f>
        <v/>
      </c>
      <c r="AE63" s="17">
        <f>IF(COUNT(C63:P63)=0,"",IFERROR(K63/H63,0))</f>
        <v/>
      </c>
      <c r="AF63" s="17">
        <f>IF(COUNT(C63:P63)=0,"",IFERROR(L63/H63,0))</f>
        <v/>
      </c>
      <c r="AG63" s="14">
        <f>IF(COUNT(C63:P63)=0,"",IFERROR(C63/K63,0))</f>
        <v/>
      </c>
      <c r="AH63" s="17">
        <f>IF(COUNT(C63:P63)=0,"",IFERROR(M63/K63,0))</f>
        <v/>
      </c>
      <c r="AI63" s="14">
        <f>IF(COUNT(C63:P63)=0,"",IFERROR(C63/M63,0))</f>
        <v/>
      </c>
      <c r="AJ63" s="17">
        <f>IF(COUNT(C63:P63)=0,"",IFERROR(N63/M63,0))</f>
        <v/>
      </c>
      <c r="AK63" s="16">
        <f>IF(COUNT(C63:P63)=0,"",IFERROR(N63/H63,0))</f>
        <v/>
      </c>
      <c r="AL63" s="14">
        <f>IF(COUNT(C63:P63)=0,"",IFERROR(C63/N63,0))</f>
        <v/>
      </c>
      <c r="AM63" s="17">
        <f>IF(COUNT(C63:P63)=0,"",IFERROR(O63/N63,0))</f>
        <v/>
      </c>
      <c r="AN63" s="17">
        <f>IF(COUNT(C63:P63)=0,"",IFERROR(P63/N63,0))</f>
        <v/>
      </c>
      <c r="AO63" s="19">
        <f>IF(COUNT(C63:P63)=0,"",IFERROR(N63*Config!$C$7+O63*Config!$C$8+P63*Config!$C$9,0))</f>
        <v/>
      </c>
      <c r="AP63" s="14">
        <f>IF(COUNT(C63:P63)=0,"",IFERROR(AO63/N63,0))</f>
        <v/>
      </c>
      <c r="AQ63" s="19">
        <f>IF(COUNT(C63:P63)=0,"",IFERROR(AO63*(1-Config!$C$10-Config!$C$11-Config!$C$12),0))</f>
        <v/>
      </c>
      <c r="AR63" s="19">
        <f>IF(COUNT(C63:P63)=0,"",IFERROR(AQ63-C63-Config!$C$13,0))</f>
        <v/>
      </c>
      <c r="AS63" s="20">
        <f>IF(COUNT(C63:P63)=0,"",IFERROR(AQ63/C63,0))</f>
        <v/>
      </c>
      <c r="AT63" s="14">
        <f>IF(COUNT(C63:P63)=0,"",IFERROR(AR63/G63,0))</f>
        <v/>
      </c>
      <c r="AU63" s="20">
        <f>IF(COUNT(C63:P63)=0,"",IFERROR(AT63/V63,0))</f>
        <v/>
      </c>
      <c r="AV63" s="14">
        <f>IF(COUNT(C63:P63)=0,"",IFERROR(AR63/H63,0))</f>
        <v/>
      </c>
    </row>
    <row r="64">
      <c r="A64" s="11">
        <f>Config!$C$6+58</f>
        <v/>
      </c>
      <c r="B64" s="12">
        <f>INT((A64-Config!$C$6)/7)+1</f>
        <v/>
      </c>
      <c r="C64" s="9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4">
        <f>IF(COUNT(C64:P64)=0,"",IFERROR(C64/D64*1000,0))</f>
        <v/>
      </c>
      <c r="R64" s="15">
        <f>IF(COUNT(C64:P64)=0,"",IFERROR(D64/E64,0))</f>
        <v/>
      </c>
      <c r="S64" s="16">
        <f>IF(COUNT(C64:P64)=0,"",IFERROR(F64/D64,0))</f>
        <v/>
      </c>
      <c r="T64" s="14">
        <f>IF(COUNT(C64:P64)=0,"",IFERROR(C64/F64,0))</f>
        <v/>
      </c>
      <c r="U64" s="17">
        <f>IF(COUNT(C64:P64)=0,"",IFERROR(G64/F64,0))</f>
        <v/>
      </c>
      <c r="V64" s="14">
        <f>IF(COUNT(C64:P64)=0,"",IFERROR(C64/G64,0))</f>
        <v/>
      </c>
      <c r="W64" s="18">
        <f>IF(COUNT(C64:P64)=0,"",IFERROR(G64/D64*1000,0))</f>
        <v/>
      </c>
      <c r="X64" s="17">
        <f>IF(COUNT(C64:P64)=0,"",IFERROR(H64/G64,0))</f>
        <v/>
      </c>
      <c r="Y64" s="14">
        <f>IF(COUNT(C64:P64)=0,"",IFERROR(C64/H64,0))</f>
        <v/>
      </c>
      <c r="Z64" s="14">
        <f>IF(COUNT(C64:P64)=0,"",IFERROR(C64/I64,0))</f>
        <v/>
      </c>
      <c r="AA64" s="17">
        <f>IF(COUNT(C64:P64)=0,"",IFERROR(Y64/Q64,0))</f>
        <v/>
      </c>
      <c r="AB64" s="18">
        <f>IF(COUNT(C64:P64)=0,"",IFERROR(H64/D64*1000,0))</f>
        <v/>
      </c>
      <c r="AC64" s="17">
        <f>IF(COUNT(C64:P64)=0,"",IFERROR(J64/H64,0))</f>
        <v/>
      </c>
      <c r="AD64" s="14">
        <f>IF(COUNT(C64:P64)=0,"",IFERROR(C64/J64,0))</f>
        <v/>
      </c>
      <c r="AE64" s="17">
        <f>IF(COUNT(C64:P64)=0,"",IFERROR(K64/H64,0))</f>
        <v/>
      </c>
      <c r="AF64" s="17">
        <f>IF(COUNT(C64:P64)=0,"",IFERROR(L64/H64,0))</f>
        <v/>
      </c>
      <c r="AG64" s="14">
        <f>IF(COUNT(C64:P64)=0,"",IFERROR(C64/K64,0))</f>
        <v/>
      </c>
      <c r="AH64" s="17">
        <f>IF(COUNT(C64:P64)=0,"",IFERROR(M64/K64,0))</f>
        <v/>
      </c>
      <c r="AI64" s="14">
        <f>IF(COUNT(C64:P64)=0,"",IFERROR(C64/M64,0))</f>
        <v/>
      </c>
      <c r="AJ64" s="17">
        <f>IF(COUNT(C64:P64)=0,"",IFERROR(N64/M64,0))</f>
        <v/>
      </c>
      <c r="AK64" s="16">
        <f>IF(COUNT(C64:P64)=0,"",IFERROR(N64/H64,0))</f>
        <v/>
      </c>
      <c r="AL64" s="14">
        <f>IF(COUNT(C64:P64)=0,"",IFERROR(C64/N64,0))</f>
        <v/>
      </c>
      <c r="AM64" s="17">
        <f>IF(COUNT(C64:P64)=0,"",IFERROR(O64/N64,0))</f>
        <v/>
      </c>
      <c r="AN64" s="17">
        <f>IF(COUNT(C64:P64)=0,"",IFERROR(P64/N64,0))</f>
        <v/>
      </c>
      <c r="AO64" s="19">
        <f>IF(COUNT(C64:P64)=0,"",IFERROR(N64*Config!$C$7+O64*Config!$C$8+P64*Config!$C$9,0))</f>
        <v/>
      </c>
      <c r="AP64" s="14">
        <f>IF(COUNT(C64:P64)=0,"",IFERROR(AO64/N64,0))</f>
        <v/>
      </c>
      <c r="AQ64" s="19">
        <f>IF(COUNT(C64:P64)=0,"",IFERROR(AO64*(1-Config!$C$10-Config!$C$11-Config!$C$12),0))</f>
        <v/>
      </c>
      <c r="AR64" s="19">
        <f>IF(COUNT(C64:P64)=0,"",IFERROR(AQ64-C64-Config!$C$13,0))</f>
        <v/>
      </c>
      <c r="AS64" s="20">
        <f>IF(COUNT(C64:P64)=0,"",IFERROR(AQ64/C64,0))</f>
        <v/>
      </c>
      <c r="AT64" s="14">
        <f>IF(COUNT(C64:P64)=0,"",IFERROR(AR64/G64,0))</f>
        <v/>
      </c>
      <c r="AU64" s="20">
        <f>IF(COUNT(C64:P64)=0,"",IFERROR(AT64/V64,0))</f>
        <v/>
      </c>
      <c r="AV64" s="14">
        <f>IF(COUNT(C64:P64)=0,"",IFERROR(AR64/H64,0))</f>
        <v/>
      </c>
    </row>
    <row r="65">
      <c r="A65" s="11">
        <f>Config!$C$6+59</f>
        <v/>
      </c>
      <c r="B65" s="12">
        <f>INT((A65-Config!$C$6)/7)+1</f>
        <v/>
      </c>
      <c r="C65" s="9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4">
        <f>IF(COUNT(C65:P65)=0,"",IFERROR(C65/D65*1000,0))</f>
        <v/>
      </c>
      <c r="R65" s="15">
        <f>IF(COUNT(C65:P65)=0,"",IFERROR(D65/E65,0))</f>
        <v/>
      </c>
      <c r="S65" s="16">
        <f>IF(COUNT(C65:P65)=0,"",IFERROR(F65/D65,0))</f>
        <v/>
      </c>
      <c r="T65" s="14">
        <f>IF(COUNT(C65:P65)=0,"",IFERROR(C65/F65,0))</f>
        <v/>
      </c>
      <c r="U65" s="17">
        <f>IF(COUNT(C65:P65)=0,"",IFERROR(G65/F65,0))</f>
        <v/>
      </c>
      <c r="V65" s="14">
        <f>IF(COUNT(C65:P65)=0,"",IFERROR(C65/G65,0))</f>
        <v/>
      </c>
      <c r="W65" s="18">
        <f>IF(COUNT(C65:P65)=0,"",IFERROR(G65/D65*1000,0))</f>
        <v/>
      </c>
      <c r="X65" s="17">
        <f>IF(COUNT(C65:P65)=0,"",IFERROR(H65/G65,0))</f>
        <v/>
      </c>
      <c r="Y65" s="14">
        <f>IF(COUNT(C65:P65)=0,"",IFERROR(C65/H65,0))</f>
        <v/>
      </c>
      <c r="Z65" s="14">
        <f>IF(COUNT(C65:P65)=0,"",IFERROR(C65/I65,0))</f>
        <v/>
      </c>
      <c r="AA65" s="17">
        <f>IF(COUNT(C65:P65)=0,"",IFERROR(Y65/Q65,0))</f>
        <v/>
      </c>
      <c r="AB65" s="18">
        <f>IF(COUNT(C65:P65)=0,"",IFERROR(H65/D65*1000,0))</f>
        <v/>
      </c>
      <c r="AC65" s="17">
        <f>IF(COUNT(C65:P65)=0,"",IFERROR(J65/H65,0))</f>
        <v/>
      </c>
      <c r="AD65" s="14">
        <f>IF(COUNT(C65:P65)=0,"",IFERROR(C65/J65,0))</f>
        <v/>
      </c>
      <c r="AE65" s="17">
        <f>IF(COUNT(C65:P65)=0,"",IFERROR(K65/H65,0))</f>
        <v/>
      </c>
      <c r="AF65" s="17">
        <f>IF(COUNT(C65:P65)=0,"",IFERROR(L65/H65,0))</f>
        <v/>
      </c>
      <c r="AG65" s="14">
        <f>IF(COUNT(C65:P65)=0,"",IFERROR(C65/K65,0))</f>
        <v/>
      </c>
      <c r="AH65" s="17">
        <f>IF(COUNT(C65:P65)=0,"",IFERROR(M65/K65,0))</f>
        <v/>
      </c>
      <c r="AI65" s="14">
        <f>IF(COUNT(C65:P65)=0,"",IFERROR(C65/M65,0))</f>
        <v/>
      </c>
      <c r="AJ65" s="17">
        <f>IF(COUNT(C65:P65)=0,"",IFERROR(N65/M65,0))</f>
        <v/>
      </c>
      <c r="AK65" s="16">
        <f>IF(COUNT(C65:P65)=0,"",IFERROR(N65/H65,0))</f>
        <v/>
      </c>
      <c r="AL65" s="14">
        <f>IF(COUNT(C65:P65)=0,"",IFERROR(C65/N65,0))</f>
        <v/>
      </c>
      <c r="AM65" s="17">
        <f>IF(COUNT(C65:P65)=0,"",IFERROR(O65/N65,0))</f>
        <v/>
      </c>
      <c r="AN65" s="17">
        <f>IF(COUNT(C65:P65)=0,"",IFERROR(P65/N65,0))</f>
        <v/>
      </c>
      <c r="AO65" s="19">
        <f>IF(COUNT(C65:P65)=0,"",IFERROR(N65*Config!$C$7+O65*Config!$C$8+P65*Config!$C$9,0))</f>
        <v/>
      </c>
      <c r="AP65" s="14">
        <f>IF(COUNT(C65:P65)=0,"",IFERROR(AO65/N65,0))</f>
        <v/>
      </c>
      <c r="AQ65" s="19">
        <f>IF(COUNT(C65:P65)=0,"",IFERROR(AO65*(1-Config!$C$10-Config!$C$11-Config!$C$12),0))</f>
        <v/>
      </c>
      <c r="AR65" s="19">
        <f>IF(COUNT(C65:P65)=0,"",IFERROR(AQ65-C65-Config!$C$13,0))</f>
        <v/>
      </c>
      <c r="AS65" s="20">
        <f>IF(COUNT(C65:P65)=0,"",IFERROR(AQ65/C65,0))</f>
        <v/>
      </c>
      <c r="AT65" s="14">
        <f>IF(COUNT(C65:P65)=0,"",IFERROR(AR65/G65,0))</f>
        <v/>
      </c>
      <c r="AU65" s="20">
        <f>IF(COUNT(C65:P65)=0,"",IFERROR(AT65/V65,0))</f>
        <v/>
      </c>
      <c r="AV65" s="14">
        <f>IF(COUNT(C65:P65)=0,"",IFERROR(AR65/H65,0))</f>
        <v/>
      </c>
    </row>
    <row r="66">
      <c r="A66" s="11">
        <f>Config!$C$6+60</f>
        <v/>
      </c>
      <c r="B66" s="12">
        <f>INT((A66-Config!$C$6)/7)+1</f>
        <v/>
      </c>
      <c r="C66" s="9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4">
        <f>IF(COUNT(C66:P66)=0,"",IFERROR(C66/D66*1000,0))</f>
        <v/>
      </c>
      <c r="R66" s="15">
        <f>IF(COUNT(C66:P66)=0,"",IFERROR(D66/E66,0))</f>
        <v/>
      </c>
      <c r="S66" s="16">
        <f>IF(COUNT(C66:P66)=0,"",IFERROR(F66/D66,0))</f>
        <v/>
      </c>
      <c r="T66" s="14">
        <f>IF(COUNT(C66:P66)=0,"",IFERROR(C66/F66,0))</f>
        <v/>
      </c>
      <c r="U66" s="17">
        <f>IF(COUNT(C66:P66)=0,"",IFERROR(G66/F66,0))</f>
        <v/>
      </c>
      <c r="V66" s="14">
        <f>IF(COUNT(C66:P66)=0,"",IFERROR(C66/G66,0))</f>
        <v/>
      </c>
      <c r="W66" s="18">
        <f>IF(COUNT(C66:P66)=0,"",IFERROR(G66/D66*1000,0))</f>
        <v/>
      </c>
      <c r="X66" s="17">
        <f>IF(COUNT(C66:P66)=0,"",IFERROR(H66/G66,0))</f>
        <v/>
      </c>
      <c r="Y66" s="14">
        <f>IF(COUNT(C66:P66)=0,"",IFERROR(C66/H66,0))</f>
        <v/>
      </c>
      <c r="Z66" s="14">
        <f>IF(COUNT(C66:P66)=0,"",IFERROR(C66/I66,0))</f>
        <v/>
      </c>
      <c r="AA66" s="17">
        <f>IF(COUNT(C66:P66)=0,"",IFERROR(Y66/Q66,0))</f>
        <v/>
      </c>
      <c r="AB66" s="18">
        <f>IF(COUNT(C66:P66)=0,"",IFERROR(H66/D66*1000,0))</f>
        <v/>
      </c>
      <c r="AC66" s="17">
        <f>IF(COUNT(C66:P66)=0,"",IFERROR(J66/H66,0))</f>
        <v/>
      </c>
      <c r="AD66" s="14">
        <f>IF(COUNT(C66:P66)=0,"",IFERROR(C66/J66,0))</f>
        <v/>
      </c>
      <c r="AE66" s="17">
        <f>IF(COUNT(C66:P66)=0,"",IFERROR(K66/H66,0))</f>
        <v/>
      </c>
      <c r="AF66" s="17">
        <f>IF(COUNT(C66:P66)=0,"",IFERROR(L66/H66,0))</f>
        <v/>
      </c>
      <c r="AG66" s="14">
        <f>IF(COUNT(C66:P66)=0,"",IFERROR(C66/K66,0))</f>
        <v/>
      </c>
      <c r="AH66" s="17">
        <f>IF(COUNT(C66:P66)=0,"",IFERROR(M66/K66,0))</f>
        <v/>
      </c>
      <c r="AI66" s="14">
        <f>IF(COUNT(C66:P66)=0,"",IFERROR(C66/M66,0))</f>
        <v/>
      </c>
      <c r="AJ66" s="17">
        <f>IF(COUNT(C66:P66)=0,"",IFERROR(N66/M66,0))</f>
        <v/>
      </c>
      <c r="AK66" s="16">
        <f>IF(COUNT(C66:P66)=0,"",IFERROR(N66/H66,0))</f>
        <v/>
      </c>
      <c r="AL66" s="14">
        <f>IF(COUNT(C66:P66)=0,"",IFERROR(C66/N66,0))</f>
        <v/>
      </c>
      <c r="AM66" s="17">
        <f>IF(COUNT(C66:P66)=0,"",IFERROR(O66/N66,0))</f>
        <v/>
      </c>
      <c r="AN66" s="17">
        <f>IF(COUNT(C66:P66)=0,"",IFERROR(P66/N66,0))</f>
        <v/>
      </c>
      <c r="AO66" s="19">
        <f>IF(COUNT(C66:P66)=0,"",IFERROR(N66*Config!$C$7+O66*Config!$C$8+P66*Config!$C$9,0))</f>
        <v/>
      </c>
      <c r="AP66" s="14">
        <f>IF(COUNT(C66:P66)=0,"",IFERROR(AO66/N66,0))</f>
        <v/>
      </c>
      <c r="AQ66" s="19">
        <f>IF(COUNT(C66:P66)=0,"",IFERROR(AO66*(1-Config!$C$10-Config!$C$11-Config!$C$12),0))</f>
        <v/>
      </c>
      <c r="AR66" s="19">
        <f>IF(COUNT(C66:P66)=0,"",IFERROR(AQ66-C66-Config!$C$13,0))</f>
        <v/>
      </c>
      <c r="AS66" s="20">
        <f>IF(COUNT(C66:P66)=0,"",IFERROR(AQ66/C66,0))</f>
        <v/>
      </c>
      <c r="AT66" s="14">
        <f>IF(COUNT(C66:P66)=0,"",IFERROR(AR66/G66,0))</f>
        <v/>
      </c>
      <c r="AU66" s="20">
        <f>IF(COUNT(C66:P66)=0,"",IFERROR(AT66/V66,0))</f>
        <v/>
      </c>
      <c r="AV66" s="14">
        <f>IF(COUNT(C66:P66)=0,"",IFERROR(AR66/H66,0))</f>
        <v/>
      </c>
    </row>
    <row r="67">
      <c r="A67" s="11">
        <f>Config!$C$6+61</f>
        <v/>
      </c>
      <c r="B67" s="12">
        <f>INT((A67-Config!$C$6)/7)+1</f>
        <v/>
      </c>
      <c r="C67" s="9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4">
        <f>IF(COUNT(C67:P67)=0,"",IFERROR(C67/D67*1000,0))</f>
        <v/>
      </c>
      <c r="R67" s="15">
        <f>IF(COUNT(C67:P67)=0,"",IFERROR(D67/E67,0))</f>
        <v/>
      </c>
      <c r="S67" s="16">
        <f>IF(COUNT(C67:P67)=0,"",IFERROR(F67/D67,0))</f>
        <v/>
      </c>
      <c r="T67" s="14">
        <f>IF(COUNT(C67:P67)=0,"",IFERROR(C67/F67,0))</f>
        <v/>
      </c>
      <c r="U67" s="17">
        <f>IF(COUNT(C67:P67)=0,"",IFERROR(G67/F67,0))</f>
        <v/>
      </c>
      <c r="V67" s="14">
        <f>IF(COUNT(C67:P67)=0,"",IFERROR(C67/G67,0))</f>
        <v/>
      </c>
      <c r="W67" s="18">
        <f>IF(COUNT(C67:P67)=0,"",IFERROR(G67/D67*1000,0))</f>
        <v/>
      </c>
      <c r="X67" s="17">
        <f>IF(COUNT(C67:P67)=0,"",IFERROR(H67/G67,0))</f>
        <v/>
      </c>
      <c r="Y67" s="14">
        <f>IF(COUNT(C67:P67)=0,"",IFERROR(C67/H67,0))</f>
        <v/>
      </c>
      <c r="Z67" s="14">
        <f>IF(COUNT(C67:P67)=0,"",IFERROR(C67/I67,0))</f>
        <v/>
      </c>
      <c r="AA67" s="17">
        <f>IF(COUNT(C67:P67)=0,"",IFERROR(Y67/Q67,0))</f>
        <v/>
      </c>
      <c r="AB67" s="18">
        <f>IF(COUNT(C67:P67)=0,"",IFERROR(H67/D67*1000,0))</f>
        <v/>
      </c>
      <c r="AC67" s="17">
        <f>IF(COUNT(C67:P67)=0,"",IFERROR(J67/H67,0))</f>
        <v/>
      </c>
      <c r="AD67" s="14">
        <f>IF(COUNT(C67:P67)=0,"",IFERROR(C67/J67,0))</f>
        <v/>
      </c>
      <c r="AE67" s="17">
        <f>IF(COUNT(C67:P67)=0,"",IFERROR(K67/H67,0))</f>
        <v/>
      </c>
      <c r="AF67" s="17">
        <f>IF(COUNT(C67:P67)=0,"",IFERROR(L67/H67,0))</f>
        <v/>
      </c>
      <c r="AG67" s="14">
        <f>IF(COUNT(C67:P67)=0,"",IFERROR(C67/K67,0))</f>
        <v/>
      </c>
      <c r="AH67" s="17">
        <f>IF(COUNT(C67:P67)=0,"",IFERROR(M67/K67,0))</f>
        <v/>
      </c>
      <c r="AI67" s="14">
        <f>IF(COUNT(C67:P67)=0,"",IFERROR(C67/M67,0))</f>
        <v/>
      </c>
      <c r="AJ67" s="17">
        <f>IF(COUNT(C67:P67)=0,"",IFERROR(N67/M67,0))</f>
        <v/>
      </c>
      <c r="AK67" s="16">
        <f>IF(COUNT(C67:P67)=0,"",IFERROR(N67/H67,0))</f>
        <v/>
      </c>
      <c r="AL67" s="14">
        <f>IF(COUNT(C67:P67)=0,"",IFERROR(C67/N67,0))</f>
        <v/>
      </c>
      <c r="AM67" s="17">
        <f>IF(COUNT(C67:P67)=0,"",IFERROR(O67/N67,0))</f>
        <v/>
      </c>
      <c r="AN67" s="17">
        <f>IF(COUNT(C67:P67)=0,"",IFERROR(P67/N67,0))</f>
        <v/>
      </c>
      <c r="AO67" s="19">
        <f>IF(COUNT(C67:P67)=0,"",IFERROR(N67*Config!$C$7+O67*Config!$C$8+P67*Config!$C$9,0))</f>
        <v/>
      </c>
      <c r="AP67" s="14">
        <f>IF(COUNT(C67:P67)=0,"",IFERROR(AO67/N67,0))</f>
        <v/>
      </c>
      <c r="AQ67" s="19">
        <f>IF(COUNT(C67:P67)=0,"",IFERROR(AO67*(1-Config!$C$10-Config!$C$11-Config!$C$12),0))</f>
        <v/>
      </c>
      <c r="AR67" s="19">
        <f>IF(COUNT(C67:P67)=0,"",IFERROR(AQ67-C67-Config!$C$13,0))</f>
        <v/>
      </c>
      <c r="AS67" s="20">
        <f>IF(COUNT(C67:P67)=0,"",IFERROR(AQ67/C67,0))</f>
        <v/>
      </c>
      <c r="AT67" s="14">
        <f>IF(COUNT(C67:P67)=0,"",IFERROR(AR67/G67,0))</f>
        <v/>
      </c>
      <c r="AU67" s="20">
        <f>IF(COUNT(C67:P67)=0,"",IFERROR(AT67/V67,0))</f>
        <v/>
      </c>
      <c r="AV67" s="14">
        <f>IF(COUNT(C67:P67)=0,"",IFERROR(AR67/H67,0))</f>
        <v/>
      </c>
    </row>
    <row r="68">
      <c r="A68" s="11">
        <f>Config!$C$6+62</f>
        <v/>
      </c>
      <c r="B68" s="12">
        <f>INT((A68-Config!$C$6)/7)+1</f>
        <v/>
      </c>
      <c r="C68" s="9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4">
        <f>IF(COUNT(C68:P68)=0,"",IFERROR(C68/D68*1000,0))</f>
        <v/>
      </c>
      <c r="R68" s="15">
        <f>IF(COUNT(C68:P68)=0,"",IFERROR(D68/E68,0))</f>
        <v/>
      </c>
      <c r="S68" s="16">
        <f>IF(COUNT(C68:P68)=0,"",IFERROR(F68/D68,0))</f>
        <v/>
      </c>
      <c r="T68" s="14">
        <f>IF(COUNT(C68:P68)=0,"",IFERROR(C68/F68,0))</f>
        <v/>
      </c>
      <c r="U68" s="17">
        <f>IF(COUNT(C68:P68)=0,"",IFERROR(G68/F68,0))</f>
        <v/>
      </c>
      <c r="V68" s="14">
        <f>IF(COUNT(C68:P68)=0,"",IFERROR(C68/G68,0))</f>
        <v/>
      </c>
      <c r="W68" s="18">
        <f>IF(COUNT(C68:P68)=0,"",IFERROR(G68/D68*1000,0))</f>
        <v/>
      </c>
      <c r="X68" s="17">
        <f>IF(COUNT(C68:P68)=0,"",IFERROR(H68/G68,0))</f>
        <v/>
      </c>
      <c r="Y68" s="14">
        <f>IF(COUNT(C68:P68)=0,"",IFERROR(C68/H68,0))</f>
        <v/>
      </c>
      <c r="Z68" s="14">
        <f>IF(COUNT(C68:P68)=0,"",IFERROR(C68/I68,0))</f>
        <v/>
      </c>
      <c r="AA68" s="17">
        <f>IF(COUNT(C68:P68)=0,"",IFERROR(Y68/Q68,0))</f>
        <v/>
      </c>
      <c r="AB68" s="18">
        <f>IF(COUNT(C68:P68)=0,"",IFERROR(H68/D68*1000,0))</f>
        <v/>
      </c>
      <c r="AC68" s="17">
        <f>IF(COUNT(C68:P68)=0,"",IFERROR(J68/H68,0))</f>
        <v/>
      </c>
      <c r="AD68" s="14">
        <f>IF(COUNT(C68:P68)=0,"",IFERROR(C68/J68,0))</f>
        <v/>
      </c>
      <c r="AE68" s="17">
        <f>IF(COUNT(C68:P68)=0,"",IFERROR(K68/H68,0))</f>
        <v/>
      </c>
      <c r="AF68" s="17">
        <f>IF(COUNT(C68:P68)=0,"",IFERROR(L68/H68,0))</f>
        <v/>
      </c>
      <c r="AG68" s="14">
        <f>IF(COUNT(C68:P68)=0,"",IFERROR(C68/K68,0))</f>
        <v/>
      </c>
      <c r="AH68" s="17">
        <f>IF(COUNT(C68:P68)=0,"",IFERROR(M68/K68,0))</f>
        <v/>
      </c>
      <c r="AI68" s="14">
        <f>IF(COUNT(C68:P68)=0,"",IFERROR(C68/M68,0))</f>
        <v/>
      </c>
      <c r="AJ68" s="17">
        <f>IF(COUNT(C68:P68)=0,"",IFERROR(N68/M68,0))</f>
        <v/>
      </c>
      <c r="AK68" s="16">
        <f>IF(COUNT(C68:P68)=0,"",IFERROR(N68/H68,0))</f>
        <v/>
      </c>
      <c r="AL68" s="14">
        <f>IF(COUNT(C68:P68)=0,"",IFERROR(C68/N68,0))</f>
        <v/>
      </c>
      <c r="AM68" s="17">
        <f>IF(COUNT(C68:P68)=0,"",IFERROR(O68/N68,0))</f>
        <v/>
      </c>
      <c r="AN68" s="17">
        <f>IF(COUNT(C68:P68)=0,"",IFERROR(P68/N68,0))</f>
        <v/>
      </c>
      <c r="AO68" s="19">
        <f>IF(COUNT(C68:P68)=0,"",IFERROR(N68*Config!$C$7+O68*Config!$C$8+P68*Config!$C$9,0))</f>
        <v/>
      </c>
      <c r="AP68" s="14">
        <f>IF(COUNT(C68:P68)=0,"",IFERROR(AO68/N68,0))</f>
        <v/>
      </c>
      <c r="AQ68" s="19">
        <f>IF(COUNT(C68:P68)=0,"",IFERROR(AO68*(1-Config!$C$10-Config!$C$11-Config!$C$12),0))</f>
        <v/>
      </c>
      <c r="AR68" s="19">
        <f>IF(COUNT(C68:P68)=0,"",IFERROR(AQ68-C68-Config!$C$13,0))</f>
        <v/>
      </c>
      <c r="AS68" s="20">
        <f>IF(COUNT(C68:P68)=0,"",IFERROR(AQ68/C68,0))</f>
        <v/>
      </c>
      <c r="AT68" s="14">
        <f>IF(COUNT(C68:P68)=0,"",IFERROR(AR68/G68,0))</f>
        <v/>
      </c>
      <c r="AU68" s="20">
        <f>IF(COUNT(C68:P68)=0,"",IFERROR(AT68/V68,0))</f>
        <v/>
      </c>
      <c r="AV68" s="14">
        <f>IF(COUNT(C68:P68)=0,"",IFERROR(AR68/H68,0))</f>
        <v/>
      </c>
    </row>
    <row r="69">
      <c r="A69" s="11">
        <f>Config!$C$6+63</f>
        <v/>
      </c>
      <c r="B69" s="12">
        <f>INT((A69-Config!$C$6)/7)+1</f>
        <v/>
      </c>
      <c r="C69" s="9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4">
        <f>IF(COUNT(C69:P69)=0,"",IFERROR(C69/D69*1000,0))</f>
        <v/>
      </c>
      <c r="R69" s="15">
        <f>IF(COUNT(C69:P69)=0,"",IFERROR(D69/E69,0))</f>
        <v/>
      </c>
      <c r="S69" s="16">
        <f>IF(COUNT(C69:P69)=0,"",IFERROR(F69/D69,0))</f>
        <v/>
      </c>
      <c r="T69" s="14">
        <f>IF(COUNT(C69:P69)=0,"",IFERROR(C69/F69,0))</f>
        <v/>
      </c>
      <c r="U69" s="17">
        <f>IF(COUNT(C69:P69)=0,"",IFERROR(G69/F69,0))</f>
        <v/>
      </c>
      <c r="V69" s="14">
        <f>IF(COUNT(C69:P69)=0,"",IFERROR(C69/G69,0))</f>
        <v/>
      </c>
      <c r="W69" s="18">
        <f>IF(COUNT(C69:P69)=0,"",IFERROR(G69/D69*1000,0))</f>
        <v/>
      </c>
      <c r="X69" s="17">
        <f>IF(COUNT(C69:P69)=0,"",IFERROR(H69/G69,0))</f>
        <v/>
      </c>
      <c r="Y69" s="14">
        <f>IF(COUNT(C69:P69)=0,"",IFERROR(C69/H69,0))</f>
        <v/>
      </c>
      <c r="Z69" s="14">
        <f>IF(COUNT(C69:P69)=0,"",IFERROR(C69/I69,0))</f>
        <v/>
      </c>
      <c r="AA69" s="17">
        <f>IF(COUNT(C69:P69)=0,"",IFERROR(Y69/Q69,0))</f>
        <v/>
      </c>
      <c r="AB69" s="18">
        <f>IF(COUNT(C69:P69)=0,"",IFERROR(H69/D69*1000,0))</f>
        <v/>
      </c>
      <c r="AC69" s="17">
        <f>IF(COUNT(C69:P69)=0,"",IFERROR(J69/H69,0))</f>
        <v/>
      </c>
      <c r="AD69" s="14">
        <f>IF(COUNT(C69:P69)=0,"",IFERROR(C69/J69,0))</f>
        <v/>
      </c>
      <c r="AE69" s="17">
        <f>IF(COUNT(C69:P69)=0,"",IFERROR(K69/H69,0))</f>
        <v/>
      </c>
      <c r="AF69" s="17">
        <f>IF(COUNT(C69:P69)=0,"",IFERROR(L69/H69,0))</f>
        <v/>
      </c>
      <c r="AG69" s="14">
        <f>IF(COUNT(C69:P69)=0,"",IFERROR(C69/K69,0))</f>
        <v/>
      </c>
      <c r="AH69" s="17">
        <f>IF(COUNT(C69:P69)=0,"",IFERROR(M69/K69,0))</f>
        <v/>
      </c>
      <c r="AI69" s="14">
        <f>IF(COUNT(C69:P69)=0,"",IFERROR(C69/M69,0))</f>
        <v/>
      </c>
      <c r="AJ69" s="17">
        <f>IF(COUNT(C69:P69)=0,"",IFERROR(N69/M69,0))</f>
        <v/>
      </c>
      <c r="AK69" s="16">
        <f>IF(COUNT(C69:P69)=0,"",IFERROR(N69/H69,0))</f>
        <v/>
      </c>
      <c r="AL69" s="14">
        <f>IF(COUNT(C69:P69)=0,"",IFERROR(C69/N69,0))</f>
        <v/>
      </c>
      <c r="AM69" s="17">
        <f>IF(COUNT(C69:P69)=0,"",IFERROR(O69/N69,0))</f>
        <v/>
      </c>
      <c r="AN69" s="17">
        <f>IF(COUNT(C69:P69)=0,"",IFERROR(P69/N69,0))</f>
        <v/>
      </c>
      <c r="AO69" s="19">
        <f>IF(COUNT(C69:P69)=0,"",IFERROR(N69*Config!$C$7+O69*Config!$C$8+P69*Config!$C$9,0))</f>
        <v/>
      </c>
      <c r="AP69" s="14">
        <f>IF(COUNT(C69:P69)=0,"",IFERROR(AO69/N69,0))</f>
        <v/>
      </c>
      <c r="AQ69" s="19">
        <f>IF(COUNT(C69:P69)=0,"",IFERROR(AO69*(1-Config!$C$10-Config!$C$11-Config!$C$12),0))</f>
        <v/>
      </c>
      <c r="AR69" s="19">
        <f>IF(COUNT(C69:P69)=0,"",IFERROR(AQ69-C69-Config!$C$13,0))</f>
        <v/>
      </c>
      <c r="AS69" s="20">
        <f>IF(COUNT(C69:P69)=0,"",IFERROR(AQ69/C69,0))</f>
        <v/>
      </c>
      <c r="AT69" s="14">
        <f>IF(COUNT(C69:P69)=0,"",IFERROR(AR69/G69,0))</f>
        <v/>
      </c>
      <c r="AU69" s="20">
        <f>IF(COUNT(C69:P69)=0,"",IFERROR(AT69/V69,0))</f>
        <v/>
      </c>
      <c r="AV69" s="14">
        <f>IF(COUNT(C69:P69)=0,"",IFERROR(AR69/H69,0))</f>
        <v/>
      </c>
    </row>
    <row r="70">
      <c r="A70" s="11">
        <f>Config!$C$6+64</f>
        <v/>
      </c>
      <c r="B70" s="12">
        <f>INT((A70-Config!$C$6)/7)+1</f>
        <v/>
      </c>
      <c r="C70" s="9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4">
        <f>IF(COUNT(C70:P70)=0,"",IFERROR(C70/D70*1000,0))</f>
        <v/>
      </c>
      <c r="R70" s="15">
        <f>IF(COUNT(C70:P70)=0,"",IFERROR(D70/E70,0))</f>
        <v/>
      </c>
      <c r="S70" s="16">
        <f>IF(COUNT(C70:P70)=0,"",IFERROR(F70/D70,0))</f>
        <v/>
      </c>
      <c r="T70" s="14">
        <f>IF(COUNT(C70:P70)=0,"",IFERROR(C70/F70,0))</f>
        <v/>
      </c>
      <c r="U70" s="17">
        <f>IF(COUNT(C70:P70)=0,"",IFERROR(G70/F70,0))</f>
        <v/>
      </c>
      <c r="V70" s="14">
        <f>IF(COUNT(C70:P70)=0,"",IFERROR(C70/G70,0))</f>
        <v/>
      </c>
      <c r="W70" s="18">
        <f>IF(COUNT(C70:P70)=0,"",IFERROR(G70/D70*1000,0))</f>
        <v/>
      </c>
      <c r="X70" s="17">
        <f>IF(COUNT(C70:P70)=0,"",IFERROR(H70/G70,0))</f>
        <v/>
      </c>
      <c r="Y70" s="14">
        <f>IF(COUNT(C70:P70)=0,"",IFERROR(C70/H70,0))</f>
        <v/>
      </c>
      <c r="Z70" s="14">
        <f>IF(COUNT(C70:P70)=0,"",IFERROR(C70/I70,0))</f>
        <v/>
      </c>
      <c r="AA70" s="17">
        <f>IF(COUNT(C70:P70)=0,"",IFERROR(Y70/Q70,0))</f>
        <v/>
      </c>
      <c r="AB70" s="18">
        <f>IF(COUNT(C70:P70)=0,"",IFERROR(H70/D70*1000,0))</f>
        <v/>
      </c>
      <c r="AC70" s="17">
        <f>IF(COUNT(C70:P70)=0,"",IFERROR(J70/H70,0))</f>
        <v/>
      </c>
      <c r="AD70" s="14">
        <f>IF(COUNT(C70:P70)=0,"",IFERROR(C70/J70,0))</f>
        <v/>
      </c>
      <c r="AE70" s="17">
        <f>IF(COUNT(C70:P70)=0,"",IFERROR(K70/H70,0))</f>
        <v/>
      </c>
      <c r="AF70" s="17">
        <f>IF(COUNT(C70:P70)=0,"",IFERROR(L70/H70,0))</f>
        <v/>
      </c>
      <c r="AG70" s="14">
        <f>IF(COUNT(C70:P70)=0,"",IFERROR(C70/K70,0))</f>
        <v/>
      </c>
      <c r="AH70" s="17">
        <f>IF(COUNT(C70:P70)=0,"",IFERROR(M70/K70,0))</f>
        <v/>
      </c>
      <c r="AI70" s="14">
        <f>IF(COUNT(C70:P70)=0,"",IFERROR(C70/M70,0))</f>
        <v/>
      </c>
      <c r="AJ70" s="17">
        <f>IF(COUNT(C70:P70)=0,"",IFERROR(N70/M70,0))</f>
        <v/>
      </c>
      <c r="AK70" s="16">
        <f>IF(COUNT(C70:P70)=0,"",IFERROR(N70/H70,0))</f>
        <v/>
      </c>
      <c r="AL70" s="14">
        <f>IF(COUNT(C70:P70)=0,"",IFERROR(C70/N70,0))</f>
        <v/>
      </c>
      <c r="AM70" s="17">
        <f>IF(COUNT(C70:P70)=0,"",IFERROR(O70/N70,0))</f>
        <v/>
      </c>
      <c r="AN70" s="17">
        <f>IF(COUNT(C70:P70)=0,"",IFERROR(P70/N70,0))</f>
        <v/>
      </c>
      <c r="AO70" s="19">
        <f>IF(COUNT(C70:P70)=0,"",IFERROR(N70*Config!$C$7+O70*Config!$C$8+P70*Config!$C$9,0))</f>
        <v/>
      </c>
      <c r="AP70" s="14">
        <f>IF(COUNT(C70:P70)=0,"",IFERROR(AO70/N70,0))</f>
        <v/>
      </c>
      <c r="AQ70" s="19">
        <f>IF(COUNT(C70:P70)=0,"",IFERROR(AO70*(1-Config!$C$10-Config!$C$11-Config!$C$12),0))</f>
        <v/>
      </c>
      <c r="AR70" s="19">
        <f>IF(COUNT(C70:P70)=0,"",IFERROR(AQ70-C70-Config!$C$13,0))</f>
        <v/>
      </c>
      <c r="AS70" s="20">
        <f>IF(COUNT(C70:P70)=0,"",IFERROR(AQ70/C70,0))</f>
        <v/>
      </c>
      <c r="AT70" s="14">
        <f>IF(COUNT(C70:P70)=0,"",IFERROR(AR70/G70,0))</f>
        <v/>
      </c>
      <c r="AU70" s="20">
        <f>IF(COUNT(C70:P70)=0,"",IFERROR(AT70/V70,0))</f>
        <v/>
      </c>
      <c r="AV70" s="14">
        <f>IF(COUNT(C70:P70)=0,"",IFERROR(AR70/H70,0))</f>
        <v/>
      </c>
    </row>
    <row r="71">
      <c r="A71" s="11">
        <f>Config!$C$6+65</f>
        <v/>
      </c>
      <c r="B71" s="12">
        <f>INT((A71-Config!$C$6)/7)+1</f>
        <v/>
      </c>
      <c r="C71" s="9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4">
        <f>IF(COUNT(C71:P71)=0,"",IFERROR(C71/D71*1000,0))</f>
        <v/>
      </c>
      <c r="R71" s="15">
        <f>IF(COUNT(C71:P71)=0,"",IFERROR(D71/E71,0))</f>
        <v/>
      </c>
      <c r="S71" s="16">
        <f>IF(COUNT(C71:P71)=0,"",IFERROR(F71/D71,0))</f>
        <v/>
      </c>
      <c r="T71" s="14">
        <f>IF(COUNT(C71:P71)=0,"",IFERROR(C71/F71,0))</f>
        <v/>
      </c>
      <c r="U71" s="17">
        <f>IF(COUNT(C71:P71)=0,"",IFERROR(G71/F71,0))</f>
        <v/>
      </c>
      <c r="V71" s="14">
        <f>IF(COUNT(C71:P71)=0,"",IFERROR(C71/G71,0))</f>
        <v/>
      </c>
      <c r="W71" s="18">
        <f>IF(COUNT(C71:P71)=0,"",IFERROR(G71/D71*1000,0))</f>
        <v/>
      </c>
      <c r="X71" s="17">
        <f>IF(COUNT(C71:P71)=0,"",IFERROR(H71/G71,0))</f>
        <v/>
      </c>
      <c r="Y71" s="14">
        <f>IF(COUNT(C71:P71)=0,"",IFERROR(C71/H71,0))</f>
        <v/>
      </c>
      <c r="Z71" s="14">
        <f>IF(COUNT(C71:P71)=0,"",IFERROR(C71/I71,0))</f>
        <v/>
      </c>
      <c r="AA71" s="17">
        <f>IF(COUNT(C71:P71)=0,"",IFERROR(Y71/Q71,0))</f>
        <v/>
      </c>
      <c r="AB71" s="18">
        <f>IF(COUNT(C71:P71)=0,"",IFERROR(H71/D71*1000,0))</f>
        <v/>
      </c>
      <c r="AC71" s="17">
        <f>IF(COUNT(C71:P71)=0,"",IFERROR(J71/H71,0))</f>
        <v/>
      </c>
      <c r="AD71" s="14">
        <f>IF(COUNT(C71:P71)=0,"",IFERROR(C71/J71,0))</f>
        <v/>
      </c>
      <c r="AE71" s="17">
        <f>IF(COUNT(C71:P71)=0,"",IFERROR(K71/H71,0))</f>
        <v/>
      </c>
      <c r="AF71" s="17">
        <f>IF(COUNT(C71:P71)=0,"",IFERROR(L71/H71,0))</f>
        <v/>
      </c>
      <c r="AG71" s="14">
        <f>IF(COUNT(C71:P71)=0,"",IFERROR(C71/K71,0))</f>
        <v/>
      </c>
      <c r="AH71" s="17">
        <f>IF(COUNT(C71:P71)=0,"",IFERROR(M71/K71,0))</f>
        <v/>
      </c>
      <c r="AI71" s="14">
        <f>IF(COUNT(C71:P71)=0,"",IFERROR(C71/M71,0))</f>
        <v/>
      </c>
      <c r="AJ71" s="17">
        <f>IF(COUNT(C71:P71)=0,"",IFERROR(N71/M71,0))</f>
        <v/>
      </c>
      <c r="AK71" s="16">
        <f>IF(COUNT(C71:P71)=0,"",IFERROR(N71/H71,0))</f>
        <v/>
      </c>
      <c r="AL71" s="14">
        <f>IF(COUNT(C71:P71)=0,"",IFERROR(C71/N71,0))</f>
        <v/>
      </c>
      <c r="AM71" s="17">
        <f>IF(COUNT(C71:P71)=0,"",IFERROR(O71/N71,0))</f>
        <v/>
      </c>
      <c r="AN71" s="17">
        <f>IF(COUNT(C71:P71)=0,"",IFERROR(P71/N71,0))</f>
        <v/>
      </c>
      <c r="AO71" s="19">
        <f>IF(COUNT(C71:P71)=0,"",IFERROR(N71*Config!$C$7+O71*Config!$C$8+P71*Config!$C$9,0))</f>
        <v/>
      </c>
      <c r="AP71" s="14">
        <f>IF(COUNT(C71:P71)=0,"",IFERROR(AO71/N71,0))</f>
        <v/>
      </c>
      <c r="AQ71" s="19">
        <f>IF(COUNT(C71:P71)=0,"",IFERROR(AO71*(1-Config!$C$10-Config!$C$11-Config!$C$12),0))</f>
        <v/>
      </c>
      <c r="AR71" s="19">
        <f>IF(COUNT(C71:P71)=0,"",IFERROR(AQ71-C71-Config!$C$13,0))</f>
        <v/>
      </c>
      <c r="AS71" s="20">
        <f>IF(COUNT(C71:P71)=0,"",IFERROR(AQ71/C71,0))</f>
        <v/>
      </c>
      <c r="AT71" s="14">
        <f>IF(COUNT(C71:P71)=0,"",IFERROR(AR71/G71,0))</f>
        <v/>
      </c>
      <c r="AU71" s="20">
        <f>IF(COUNT(C71:P71)=0,"",IFERROR(AT71/V71,0))</f>
        <v/>
      </c>
      <c r="AV71" s="14">
        <f>IF(COUNT(C71:P71)=0,"",IFERROR(AR71/H71,0))</f>
        <v/>
      </c>
    </row>
    <row r="72">
      <c r="A72" s="11">
        <f>Config!$C$6+66</f>
        <v/>
      </c>
      <c r="B72" s="12">
        <f>INT((A72-Config!$C$6)/7)+1</f>
        <v/>
      </c>
      <c r="C72" s="9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4">
        <f>IF(COUNT(C72:P72)=0,"",IFERROR(C72/D72*1000,0))</f>
        <v/>
      </c>
      <c r="R72" s="15">
        <f>IF(COUNT(C72:P72)=0,"",IFERROR(D72/E72,0))</f>
        <v/>
      </c>
      <c r="S72" s="16">
        <f>IF(COUNT(C72:P72)=0,"",IFERROR(F72/D72,0))</f>
        <v/>
      </c>
      <c r="T72" s="14">
        <f>IF(COUNT(C72:P72)=0,"",IFERROR(C72/F72,0))</f>
        <v/>
      </c>
      <c r="U72" s="17">
        <f>IF(COUNT(C72:P72)=0,"",IFERROR(G72/F72,0))</f>
        <v/>
      </c>
      <c r="V72" s="14">
        <f>IF(COUNT(C72:P72)=0,"",IFERROR(C72/G72,0))</f>
        <v/>
      </c>
      <c r="W72" s="18">
        <f>IF(COUNT(C72:P72)=0,"",IFERROR(G72/D72*1000,0))</f>
        <v/>
      </c>
      <c r="X72" s="17">
        <f>IF(COUNT(C72:P72)=0,"",IFERROR(H72/G72,0))</f>
        <v/>
      </c>
      <c r="Y72" s="14">
        <f>IF(COUNT(C72:P72)=0,"",IFERROR(C72/H72,0))</f>
        <v/>
      </c>
      <c r="Z72" s="14">
        <f>IF(COUNT(C72:P72)=0,"",IFERROR(C72/I72,0))</f>
        <v/>
      </c>
      <c r="AA72" s="17">
        <f>IF(COUNT(C72:P72)=0,"",IFERROR(Y72/Q72,0))</f>
        <v/>
      </c>
      <c r="AB72" s="18">
        <f>IF(COUNT(C72:P72)=0,"",IFERROR(H72/D72*1000,0))</f>
        <v/>
      </c>
      <c r="AC72" s="17">
        <f>IF(COUNT(C72:P72)=0,"",IFERROR(J72/H72,0))</f>
        <v/>
      </c>
      <c r="AD72" s="14">
        <f>IF(COUNT(C72:P72)=0,"",IFERROR(C72/J72,0))</f>
        <v/>
      </c>
      <c r="AE72" s="17">
        <f>IF(COUNT(C72:P72)=0,"",IFERROR(K72/H72,0))</f>
        <v/>
      </c>
      <c r="AF72" s="17">
        <f>IF(COUNT(C72:P72)=0,"",IFERROR(L72/H72,0))</f>
        <v/>
      </c>
      <c r="AG72" s="14">
        <f>IF(COUNT(C72:P72)=0,"",IFERROR(C72/K72,0))</f>
        <v/>
      </c>
      <c r="AH72" s="17">
        <f>IF(COUNT(C72:P72)=0,"",IFERROR(M72/K72,0))</f>
        <v/>
      </c>
      <c r="AI72" s="14">
        <f>IF(COUNT(C72:P72)=0,"",IFERROR(C72/M72,0))</f>
        <v/>
      </c>
      <c r="AJ72" s="17">
        <f>IF(COUNT(C72:P72)=0,"",IFERROR(N72/M72,0))</f>
        <v/>
      </c>
      <c r="AK72" s="16">
        <f>IF(COUNT(C72:P72)=0,"",IFERROR(N72/H72,0))</f>
        <v/>
      </c>
      <c r="AL72" s="14">
        <f>IF(COUNT(C72:P72)=0,"",IFERROR(C72/N72,0))</f>
        <v/>
      </c>
      <c r="AM72" s="17">
        <f>IF(COUNT(C72:P72)=0,"",IFERROR(O72/N72,0))</f>
        <v/>
      </c>
      <c r="AN72" s="17">
        <f>IF(COUNT(C72:P72)=0,"",IFERROR(P72/N72,0))</f>
        <v/>
      </c>
      <c r="AO72" s="19">
        <f>IF(COUNT(C72:P72)=0,"",IFERROR(N72*Config!$C$7+O72*Config!$C$8+P72*Config!$C$9,0))</f>
        <v/>
      </c>
      <c r="AP72" s="14">
        <f>IF(COUNT(C72:P72)=0,"",IFERROR(AO72/N72,0))</f>
        <v/>
      </c>
      <c r="AQ72" s="19">
        <f>IF(COUNT(C72:P72)=0,"",IFERROR(AO72*(1-Config!$C$10-Config!$C$11-Config!$C$12),0))</f>
        <v/>
      </c>
      <c r="AR72" s="19">
        <f>IF(COUNT(C72:P72)=0,"",IFERROR(AQ72-C72-Config!$C$13,0))</f>
        <v/>
      </c>
      <c r="AS72" s="20">
        <f>IF(COUNT(C72:P72)=0,"",IFERROR(AQ72/C72,0))</f>
        <v/>
      </c>
      <c r="AT72" s="14">
        <f>IF(COUNT(C72:P72)=0,"",IFERROR(AR72/G72,0))</f>
        <v/>
      </c>
      <c r="AU72" s="20">
        <f>IF(COUNT(C72:P72)=0,"",IFERROR(AT72/V72,0))</f>
        <v/>
      </c>
      <c r="AV72" s="14">
        <f>IF(COUNT(C72:P72)=0,"",IFERROR(AR72/H72,0))</f>
        <v/>
      </c>
    </row>
    <row r="73">
      <c r="A73" s="11">
        <f>Config!$C$6+67</f>
        <v/>
      </c>
      <c r="B73" s="12">
        <f>INT((A73-Config!$C$6)/7)+1</f>
        <v/>
      </c>
      <c r="C73" s="9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4">
        <f>IF(COUNT(C73:P73)=0,"",IFERROR(C73/D73*1000,0))</f>
        <v/>
      </c>
      <c r="R73" s="15">
        <f>IF(COUNT(C73:P73)=0,"",IFERROR(D73/E73,0))</f>
        <v/>
      </c>
      <c r="S73" s="16">
        <f>IF(COUNT(C73:P73)=0,"",IFERROR(F73/D73,0))</f>
        <v/>
      </c>
      <c r="T73" s="14">
        <f>IF(COUNT(C73:P73)=0,"",IFERROR(C73/F73,0))</f>
        <v/>
      </c>
      <c r="U73" s="17">
        <f>IF(COUNT(C73:P73)=0,"",IFERROR(G73/F73,0))</f>
        <v/>
      </c>
      <c r="V73" s="14">
        <f>IF(COUNT(C73:P73)=0,"",IFERROR(C73/G73,0))</f>
        <v/>
      </c>
      <c r="W73" s="18">
        <f>IF(COUNT(C73:P73)=0,"",IFERROR(G73/D73*1000,0))</f>
        <v/>
      </c>
      <c r="X73" s="17">
        <f>IF(COUNT(C73:P73)=0,"",IFERROR(H73/G73,0))</f>
        <v/>
      </c>
      <c r="Y73" s="14">
        <f>IF(COUNT(C73:P73)=0,"",IFERROR(C73/H73,0))</f>
        <v/>
      </c>
      <c r="Z73" s="14">
        <f>IF(COUNT(C73:P73)=0,"",IFERROR(C73/I73,0))</f>
        <v/>
      </c>
      <c r="AA73" s="17">
        <f>IF(COUNT(C73:P73)=0,"",IFERROR(Y73/Q73,0))</f>
        <v/>
      </c>
      <c r="AB73" s="18">
        <f>IF(COUNT(C73:P73)=0,"",IFERROR(H73/D73*1000,0))</f>
        <v/>
      </c>
      <c r="AC73" s="17">
        <f>IF(COUNT(C73:P73)=0,"",IFERROR(J73/H73,0))</f>
        <v/>
      </c>
      <c r="AD73" s="14">
        <f>IF(COUNT(C73:P73)=0,"",IFERROR(C73/J73,0))</f>
        <v/>
      </c>
      <c r="AE73" s="17">
        <f>IF(COUNT(C73:P73)=0,"",IFERROR(K73/H73,0))</f>
        <v/>
      </c>
      <c r="AF73" s="17">
        <f>IF(COUNT(C73:P73)=0,"",IFERROR(L73/H73,0))</f>
        <v/>
      </c>
      <c r="AG73" s="14">
        <f>IF(COUNT(C73:P73)=0,"",IFERROR(C73/K73,0))</f>
        <v/>
      </c>
      <c r="AH73" s="17">
        <f>IF(COUNT(C73:P73)=0,"",IFERROR(M73/K73,0))</f>
        <v/>
      </c>
      <c r="AI73" s="14">
        <f>IF(COUNT(C73:P73)=0,"",IFERROR(C73/M73,0))</f>
        <v/>
      </c>
      <c r="AJ73" s="17">
        <f>IF(COUNT(C73:P73)=0,"",IFERROR(N73/M73,0))</f>
        <v/>
      </c>
      <c r="AK73" s="16">
        <f>IF(COUNT(C73:P73)=0,"",IFERROR(N73/H73,0))</f>
        <v/>
      </c>
      <c r="AL73" s="14">
        <f>IF(COUNT(C73:P73)=0,"",IFERROR(C73/N73,0))</f>
        <v/>
      </c>
      <c r="AM73" s="17">
        <f>IF(COUNT(C73:P73)=0,"",IFERROR(O73/N73,0))</f>
        <v/>
      </c>
      <c r="AN73" s="17">
        <f>IF(COUNT(C73:P73)=0,"",IFERROR(P73/N73,0))</f>
        <v/>
      </c>
      <c r="AO73" s="19">
        <f>IF(COUNT(C73:P73)=0,"",IFERROR(N73*Config!$C$7+O73*Config!$C$8+P73*Config!$C$9,0))</f>
        <v/>
      </c>
      <c r="AP73" s="14">
        <f>IF(COUNT(C73:P73)=0,"",IFERROR(AO73/N73,0))</f>
        <v/>
      </c>
      <c r="AQ73" s="19">
        <f>IF(COUNT(C73:P73)=0,"",IFERROR(AO73*(1-Config!$C$10-Config!$C$11-Config!$C$12),0))</f>
        <v/>
      </c>
      <c r="AR73" s="19">
        <f>IF(COUNT(C73:P73)=0,"",IFERROR(AQ73-C73-Config!$C$13,0))</f>
        <v/>
      </c>
      <c r="AS73" s="20">
        <f>IF(COUNT(C73:P73)=0,"",IFERROR(AQ73/C73,0))</f>
        <v/>
      </c>
      <c r="AT73" s="14">
        <f>IF(COUNT(C73:P73)=0,"",IFERROR(AR73/G73,0))</f>
        <v/>
      </c>
      <c r="AU73" s="20">
        <f>IF(COUNT(C73:P73)=0,"",IFERROR(AT73/V73,0))</f>
        <v/>
      </c>
      <c r="AV73" s="14">
        <f>IF(COUNT(C73:P73)=0,"",IFERROR(AR73/H73,0))</f>
        <v/>
      </c>
    </row>
    <row r="74">
      <c r="A74" s="11">
        <f>Config!$C$6+68</f>
        <v/>
      </c>
      <c r="B74" s="12">
        <f>INT((A74-Config!$C$6)/7)+1</f>
        <v/>
      </c>
      <c r="C74" s="9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4">
        <f>IF(COUNT(C74:P74)=0,"",IFERROR(C74/D74*1000,0))</f>
        <v/>
      </c>
      <c r="R74" s="15">
        <f>IF(COUNT(C74:P74)=0,"",IFERROR(D74/E74,0))</f>
        <v/>
      </c>
      <c r="S74" s="16">
        <f>IF(COUNT(C74:P74)=0,"",IFERROR(F74/D74,0))</f>
        <v/>
      </c>
      <c r="T74" s="14">
        <f>IF(COUNT(C74:P74)=0,"",IFERROR(C74/F74,0))</f>
        <v/>
      </c>
      <c r="U74" s="17">
        <f>IF(COUNT(C74:P74)=0,"",IFERROR(G74/F74,0))</f>
        <v/>
      </c>
      <c r="V74" s="14">
        <f>IF(COUNT(C74:P74)=0,"",IFERROR(C74/G74,0))</f>
        <v/>
      </c>
      <c r="W74" s="18">
        <f>IF(COUNT(C74:P74)=0,"",IFERROR(G74/D74*1000,0))</f>
        <v/>
      </c>
      <c r="X74" s="17">
        <f>IF(COUNT(C74:P74)=0,"",IFERROR(H74/G74,0))</f>
        <v/>
      </c>
      <c r="Y74" s="14">
        <f>IF(COUNT(C74:P74)=0,"",IFERROR(C74/H74,0))</f>
        <v/>
      </c>
      <c r="Z74" s="14">
        <f>IF(COUNT(C74:P74)=0,"",IFERROR(C74/I74,0))</f>
        <v/>
      </c>
      <c r="AA74" s="17">
        <f>IF(COUNT(C74:P74)=0,"",IFERROR(Y74/Q74,0))</f>
        <v/>
      </c>
      <c r="AB74" s="18">
        <f>IF(COUNT(C74:P74)=0,"",IFERROR(H74/D74*1000,0))</f>
        <v/>
      </c>
      <c r="AC74" s="17">
        <f>IF(COUNT(C74:P74)=0,"",IFERROR(J74/H74,0))</f>
        <v/>
      </c>
      <c r="AD74" s="14">
        <f>IF(COUNT(C74:P74)=0,"",IFERROR(C74/J74,0))</f>
        <v/>
      </c>
      <c r="AE74" s="17">
        <f>IF(COUNT(C74:P74)=0,"",IFERROR(K74/H74,0))</f>
        <v/>
      </c>
      <c r="AF74" s="17">
        <f>IF(COUNT(C74:P74)=0,"",IFERROR(L74/H74,0))</f>
        <v/>
      </c>
      <c r="AG74" s="14">
        <f>IF(COUNT(C74:P74)=0,"",IFERROR(C74/K74,0))</f>
        <v/>
      </c>
      <c r="AH74" s="17">
        <f>IF(COUNT(C74:P74)=0,"",IFERROR(M74/K74,0))</f>
        <v/>
      </c>
      <c r="AI74" s="14">
        <f>IF(COUNT(C74:P74)=0,"",IFERROR(C74/M74,0))</f>
        <v/>
      </c>
      <c r="AJ74" s="17">
        <f>IF(COUNT(C74:P74)=0,"",IFERROR(N74/M74,0))</f>
        <v/>
      </c>
      <c r="AK74" s="16">
        <f>IF(COUNT(C74:P74)=0,"",IFERROR(N74/H74,0))</f>
        <v/>
      </c>
      <c r="AL74" s="14">
        <f>IF(COUNT(C74:P74)=0,"",IFERROR(C74/N74,0))</f>
        <v/>
      </c>
      <c r="AM74" s="17">
        <f>IF(COUNT(C74:P74)=0,"",IFERROR(O74/N74,0))</f>
        <v/>
      </c>
      <c r="AN74" s="17">
        <f>IF(COUNT(C74:P74)=0,"",IFERROR(P74/N74,0))</f>
        <v/>
      </c>
      <c r="AO74" s="19">
        <f>IF(COUNT(C74:P74)=0,"",IFERROR(N74*Config!$C$7+O74*Config!$C$8+P74*Config!$C$9,0))</f>
        <v/>
      </c>
      <c r="AP74" s="14">
        <f>IF(COUNT(C74:P74)=0,"",IFERROR(AO74/N74,0))</f>
        <v/>
      </c>
      <c r="AQ74" s="19">
        <f>IF(COUNT(C74:P74)=0,"",IFERROR(AO74*(1-Config!$C$10-Config!$C$11-Config!$C$12),0))</f>
        <v/>
      </c>
      <c r="AR74" s="19">
        <f>IF(COUNT(C74:P74)=0,"",IFERROR(AQ74-C74-Config!$C$13,0))</f>
        <v/>
      </c>
      <c r="AS74" s="20">
        <f>IF(COUNT(C74:P74)=0,"",IFERROR(AQ74/C74,0))</f>
        <v/>
      </c>
      <c r="AT74" s="14">
        <f>IF(COUNT(C74:P74)=0,"",IFERROR(AR74/G74,0))</f>
        <v/>
      </c>
      <c r="AU74" s="20">
        <f>IF(COUNT(C74:P74)=0,"",IFERROR(AT74/V74,0))</f>
        <v/>
      </c>
      <c r="AV74" s="14">
        <f>IF(COUNT(C74:P74)=0,"",IFERROR(AR74/H74,0))</f>
        <v/>
      </c>
    </row>
    <row r="75">
      <c r="A75" s="11">
        <f>Config!$C$6+69</f>
        <v/>
      </c>
      <c r="B75" s="12">
        <f>INT((A75-Config!$C$6)/7)+1</f>
        <v/>
      </c>
      <c r="C75" s="9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4">
        <f>IF(COUNT(C75:P75)=0,"",IFERROR(C75/D75*1000,0))</f>
        <v/>
      </c>
      <c r="R75" s="15">
        <f>IF(COUNT(C75:P75)=0,"",IFERROR(D75/E75,0))</f>
        <v/>
      </c>
      <c r="S75" s="16">
        <f>IF(COUNT(C75:P75)=0,"",IFERROR(F75/D75,0))</f>
        <v/>
      </c>
      <c r="T75" s="14">
        <f>IF(COUNT(C75:P75)=0,"",IFERROR(C75/F75,0))</f>
        <v/>
      </c>
      <c r="U75" s="17">
        <f>IF(COUNT(C75:P75)=0,"",IFERROR(G75/F75,0))</f>
        <v/>
      </c>
      <c r="V75" s="14">
        <f>IF(COUNT(C75:P75)=0,"",IFERROR(C75/G75,0))</f>
        <v/>
      </c>
      <c r="W75" s="18">
        <f>IF(COUNT(C75:P75)=0,"",IFERROR(G75/D75*1000,0))</f>
        <v/>
      </c>
      <c r="X75" s="17">
        <f>IF(COUNT(C75:P75)=0,"",IFERROR(H75/G75,0))</f>
        <v/>
      </c>
      <c r="Y75" s="14">
        <f>IF(COUNT(C75:P75)=0,"",IFERROR(C75/H75,0))</f>
        <v/>
      </c>
      <c r="Z75" s="14">
        <f>IF(COUNT(C75:P75)=0,"",IFERROR(C75/I75,0))</f>
        <v/>
      </c>
      <c r="AA75" s="17">
        <f>IF(COUNT(C75:P75)=0,"",IFERROR(Y75/Q75,0))</f>
        <v/>
      </c>
      <c r="AB75" s="18">
        <f>IF(COUNT(C75:P75)=0,"",IFERROR(H75/D75*1000,0))</f>
        <v/>
      </c>
      <c r="AC75" s="17">
        <f>IF(COUNT(C75:P75)=0,"",IFERROR(J75/H75,0))</f>
        <v/>
      </c>
      <c r="AD75" s="14">
        <f>IF(COUNT(C75:P75)=0,"",IFERROR(C75/J75,0))</f>
        <v/>
      </c>
      <c r="AE75" s="17">
        <f>IF(COUNT(C75:P75)=0,"",IFERROR(K75/H75,0))</f>
        <v/>
      </c>
      <c r="AF75" s="17">
        <f>IF(COUNT(C75:P75)=0,"",IFERROR(L75/H75,0))</f>
        <v/>
      </c>
      <c r="AG75" s="14">
        <f>IF(COUNT(C75:P75)=0,"",IFERROR(C75/K75,0))</f>
        <v/>
      </c>
      <c r="AH75" s="17">
        <f>IF(COUNT(C75:P75)=0,"",IFERROR(M75/K75,0))</f>
        <v/>
      </c>
      <c r="AI75" s="14">
        <f>IF(COUNT(C75:P75)=0,"",IFERROR(C75/M75,0))</f>
        <v/>
      </c>
      <c r="AJ75" s="17">
        <f>IF(COUNT(C75:P75)=0,"",IFERROR(N75/M75,0))</f>
        <v/>
      </c>
      <c r="AK75" s="16">
        <f>IF(COUNT(C75:P75)=0,"",IFERROR(N75/H75,0))</f>
        <v/>
      </c>
      <c r="AL75" s="14">
        <f>IF(COUNT(C75:P75)=0,"",IFERROR(C75/N75,0))</f>
        <v/>
      </c>
      <c r="AM75" s="17">
        <f>IF(COUNT(C75:P75)=0,"",IFERROR(O75/N75,0))</f>
        <v/>
      </c>
      <c r="AN75" s="17">
        <f>IF(COUNT(C75:P75)=0,"",IFERROR(P75/N75,0))</f>
        <v/>
      </c>
      <c r="AO75" s="19">
        <f>IF(COUNT(C75:P75)=0,"",IFERROR(N75*Config!$C$7+O75*Config!$C$8+P75*Config!$C$9,0))</f>
        <v/>
      </c>
      <c r="AP75" s="14">
        <f>IF(COUNT(C75:P75)=0,"",IFERROR(AO75/N75,0))</f>
        <v/>
      </c>
      <c r="AQ75" s="19">
        <f>IF(COUNT(C75:P75)=0,"",IFERROR(AO75*(1-Config!$C$10-Config!$C$11-Config!$C$12),0))</f>
        <v/>
      </c>
      <c r="AR75" s="19">
        <f>IF(COUNT(C75:P75)=0,"",IFERROR(AQ75-C75-Config!$C$13,0))</f>
        <v/>
      </c>
      <c r="AS75" s="20">
        <f>IF(COUNT(C75:P75)=0,"",IFERROR(AQ75/C75,0))</f>
        <v/>
      </c>
      <c r="AT75" s="14">
        <f>IF(COUNT(C75:P75)=0,"",IFERROR(AR75/G75,0))</f>
        <v/>
      </c>
      <c r="AU75" s="20">
        <f>IF(COUNT(C75:P75)=0,"",IFERROR(AT75/V75,0))</f>
        <v/>
      </c>
      <c r="AV75" s="14">
        <f>IF(COUNT(C75:P75)=0,"",IFERROR(AR75/H75,0))</f>
        <v/>
      </c>
    </row>
    <row r="76">
      <c r="A76" s="11">
        <f>Config!$C$6+70</f>
        <v/>
      </c>
      <c r="B76" s="12">
        <f>INT((A76-Config!$C$6)/7)+1</f>
        <v/>
      </c>
      <c r="C76" s="9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4">
        <f>IF(COUNT(C76:P76)=0,"",IFERROR(C76/D76*1000,0))</f>
        <v/>
      </c>
      <c r="R76" s="15">
        <f>IF(COUNT(C76:P76)=0,"",IFERROR(D76/E76,0))</f>
        <v/>
      </c>
      <c r="S76" s="16">
        <f>IF(COUNT(C76:P76)=0,"",IFERROR(F76/D76,0))</f>
        <v/>
      </c>
      <c r="T76" s="14">
        <f>IF(COUNT(C76:P76)=0,"",IFERROR(C76/F76,0))</f>
        <v/>
      </c>
      <c r="U76" s="17">
        <f>IF(COUNT(C76:P76)=0,"",IFERROR(G76/F76,0))</f>
        <v/>
      </c>
      <c r="V76" s="14">
        <f>IF(COUNT(C76:P76)=0,"",IFERROR(C76/G76,0))</f>
        <v/>
      </c>
      <c r="W76" s="18">
        <f>IF(COUNT(C76:P76)=0,"",IFERROR(G76/D76*1000,0))</f>
        <v/>
      </c>
      <c r="X76" s="17">
        <f>IF(COUNT(C76:P76)=0,"",IFERROR(H76/G76,0))</f>
        <v/>
      </c>
      <c r="Y76" s="14">
        <f>IF(COUNT(C76:P76)=0,"",IFERROR(C76/H76,0))</f>
        <v/>
      </c>
      <c r="Z76" s="14">
        <f>IF(COUNT(C76:P76)=0,"",IFERROR(C76/I76,0))</f>
        <v/>
      </c>
      <c r="AA76" s="17">
        <f>IF(COUNT(C76:P76)=0,"",IFERROR(Y76/Q76,0))</f>
        <v/>
      </c>
      <c r="AB76" s="18">
        <f>IF(COUNT(C76:P76)=0,"",IFERROR(H76/D76*1000,0))</f>
        <v/>
      </c>
      <c r="AC76" s="17">
        <f>IF(COUNT(C76:P76)=0,"",IFERROR(J76/H76,0))</f>
        <v/>
      </c>
      <c r="AD76" s="14">
        <f>IF(COUNT(C76:P76)=0,"",IFERROR(C76/J76,0))</f>
        <v/>
      </c>
      <c r="AE76" s="17">
        <f>IF(COUNT(C76:P76)=0,"",IFERROR(K76/H76,0))</f>
        <v/>
      </c>
      <c r="AF76" s="17">
        <f>IF(COUNT(C76:P76)=0,"",IFERROR(L76/H76,0))</f>
        <v/>
      </c>
      <c r="AG76" s="14">
        <f>IF(COUNT(C76:P76)=0,"",IFERROR(C76/K76,0))</f>
        <v/>
      </c>
      <c r="AH76" s="17">
        <f>IF(COUNT(C76:P76)=0,"",IFERROR(M76/K76,0))</f>
        <v/>
      </c>
      <c r="AI76" s="14">
        <f>IF(COUNT(C76:P76)=0,"",IFERROR(C76/M76,0))</f>
        <v/>
      </c>
      <c r="AJ76" s="17">
        <f>IF(COUNT(C76:P76)=0,"",IFERROR(N76/M76,0))</f>
        <v/>
      </c>
      <c r="AK76" s="16">
        <f>IF(COUNT(C76:P76)=0,"",IFERROR(N76/H76,0))</f>
        <v/>
      </c>
      <c r="AL76" s="14">
        <f>IF(COUNT(C76:P76)=0,"",IFERROR(C76/N76,0))</f>
        <v/>
      </c>
      <c r="AM76" s="17">
        <f>IF(COUNT(C76:P76)=0,"",IFERROR(O76/N76,0))</f>
        <v/>
      </c>
      <c r="AN76" s="17">
        <f>IF(COUNT(C76:P76)=0,"",IFERROR(P76/N76,0))</f>
        <v/>
      </c>
      <c r="AO76" s="19">
        <f>IF(COUNT(C76:P76)=0,"",IFERROR(N76*Config!$C$7+O76*Config!$C$8+P76*Config!$C$9,0))</f>
        <v/>
      </c>
      <c r="AP76" s="14">
        <f>IF(COUNT(C76:P76)=0,"",IFERROR(AO76/N76,0))</f>
        <v/>
      </c>
      <c r="AQ76" s="19">
        <f>IF(COUNT(C76:P76)=0,"",IFERROR(AO76*(1-Config!$C$10-Config!$C$11-Config!$C$12),0))</f>
        <v/>
      </c>
      <c r="AR76" s="19">
        <f>IF(COUNT(C76:P76)=0,"",IFERROR(AQ76-C76-Config!$C$13,0))</f>
        <v/>
      </c>
      <c r="AS76" s="20">
        <f>IF(COUNT(C76:P76)=0,"",IFERROR(AQ76/C76,0))</f>
        <v/>
      </c>
      <c r="AT76" s="14">
        <f>IF(COUNT(C76:P76)=0,"",IFERROR(AR76/G76,0))</f>
        <v/>
      </c>
      <c r="AU76" s="20">
        <f>IF(COUNT(C76:P76)=0,"",IFERROR(AT76/V76,0))</f>
        <v/>
      </c>
      <c r="AV76" s="14">
        <f>IF(COUNT(C76:P76)=0,"",IFERROR(AR76/H76,0))</f>
        <v/>
      </c>
    </row>
    <row r="77">
      <c r="A77" s="11">
        <f>Config!$C$6+71</f>
        <v/>
      </c>
      <c r="B77" s="12">
        <f>INT((A77-Config!$C$6)/7)+1</f>
        <v/>
      </c>
      <c r="C77" s="9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4">
        <f>IF(COUNT(C77:P77)=0,"",IFERROR(C77/D77*1000,0))</f>
        <v/>
      </c>
      <c r="R77" s="15">
        <f>IF(COUNT(C77:P77)=0,"",IFERROR(D77/E77,0))</f>
        <v/>
      </c>
      <c r="S77" s="16">
        <f>IF(COUNT(C77:P77)=0,"",IFERROR(F77/D77,0))</f>
        <v/>
      </c>
      <c r="T77" s="14">
        <f>IF(COUNT(C77:P77)=0,"",IFERROR(C77/F77,0))</f>
        <v/>
      </c>
      <c r="U77" s="17">
        <f>IF(COUNT(C77:P77)=0,"",IFERROR(G77/F77,0))</f>
        <v/>
      </c>
      <c r="V77" s="14">
        <f>IF(COUNT(C77:P77)=0,"",IFERROR(C77/G77,0))</f>
        <v/>
      </c>
      <c r="W77" s="18">
        <f>IF(COUNT(C77:P77)=0,"",IFERROR(G77/D77*1000,0))</f>
        <v/>
      </c>
      <c r="X77" s="17">
        <f>IF(COUNT(C77:P77)=0,"",IFERROR(H77/G77,0))</f>
        <v/>
      </c>
      <c r="Y77" s="14">
        <f>IF(COUNT(C77:P77)=0,"",IFERROR(C77/H77,0))</f>
        <v/>
      </c>
      <c r="Z77" s="14">
        <f>IF(COUNT(C77:P77)=0,"",IFERROR(C77/I77,0))</f>
        <v/>
      </c>
      <c r="AA77" s="17">
        <f>IF(COUNT(C77:P77)=0,"",IFERROR(Y77/Q77,0))</f>
        <v/>
      </c>
      <c r="AB77" s="18">
        <f>IF(COUNT(C77:P77)=0,"",IFERROR(H77/D77*1000,0))</f>
        <v/>
      </c>
      <c r="AC77" s="17">
        <f>IF(COUNT(C77:P77)=0,"",IFERROR(J77/H77,0))</f>
        <v/>
      </c>
      <c r="AD77" s="14">
        <f>IF(COUNT(C77:P77)=0,"",IFERROR(C77/J77,0))</f>
        <v/>
      </c>
      <c r="AE77" s="17">
        <f>IF(COUNT(C77:P77)=0,"",IFERROR(K77/H77,0))</f>
        <v/>
      </c>
      <c r="AF77" s="17">
        <f>IF(COUNT(C77:P77)=0,"",IFERROR(L77/H77,0))</f>
        <v/>
      </c>
      <c r="AG77" s="14">
        <f>IF(COUNT(C77:P77)=0,"",IFERROR(C77/K77,0))</f>
        <v/>
      </c>
      <c r="AH77" s="17">
        <f>IF(COUNT(C77:P77)=0,"",IFERROR(M77/K77,0))</f>
        <v/>
      </c>
      <c r="AI77" s="14">
        <f>IF(COUNT(C77:P77)=0,"",IFERROR(C77/M77,0))</f>
        <v/>
      </c>
      <c r="AJ77" s="17">
        <f>IF(COUNT(C77:P77)=0,"",IFERROR(N77/M77,0))</f>
        <v/>
      </c>
      <c r="AK77" s="16">
        <f>IF(COUNT(C77:P77)=0,"",IFERROR(N77/H77,0))</f>
        <v/>
      </c>
      <c r="AL77" s="14">
        <f>IF(COUNT(C77:P77)=0,"",IFERROR(C77/N77,0))</f>
        <v/>
      </c>
      <c r="AM77" s="17">
        <f>IF(COUNT(C77:P77)=0,"",IFERROR(O77/N77,0))</f>
        <v/>
      </c>
      <c r="AN77" s="17">
        <f>IF(COUNT(C77:P77)=0,"",IFERROR(P77/N77,0))</f>
        <v/>
      </c>
      <c r="AO77" s="19">
        <f>IF(COUNT(C77:P77)=0,"",IFERROR(N77*Config!$C$7+O77*Config!$C$8+P77*Config!$C$9,0))</f>
        <v/>
      </c>
      <c r="AP77" s="14">
        <f>IF(COUNT(C77:P77)=0,"",IFERROR(AO77/N77,0))</f>
        <v/>
      </c>
      <c r="AQ77" s="19">
        <f>IF(COUNT(C77:P77)=0,"",IFERROR(AO77*(1-Config!$C$10-Config!$C$11-Config!$C$12),0))</f>
        <v/>
      </c>
      <c r="AR77" s="19">
        <f>IF(COUNT(C77:P77)=0,"",IFERROR(AQ77-C77-Config!$C$13,0))</f>
        <v/>
      </c>
      <c r="AS77" s="20">
        <f>IF(COUNT(C77:P77)=0,"",IFERROR(AQ77/C77,0))</f>
        <v/>
      </c>
      <c r="AT77" s="14">
        <f>IF(COUNT(C77:P77)=0,"",IFERROR(AR77/G77,0))</f>
        <v/>
      </c>
      <c r="AU77" s="20">
        <f>IF(COUNT(C77:P77)=0,"",IFERROR(AT77/V77,0))</f>
        <v/>
      </c>
      <c r="AV77" s="14">
        <f>IF(COUNT(C77:P77)=0,"",IFERROR(AR77/H77,0))</f>
        <v/>
      </c>
    </row>
    <row r="78">
      <c r="A78" s="11">
        <f>Config!$C$6+72</f>
        <v/>
      </c>
      <c r="B78" s="12">
        <f>INT((A78-Config!$C$6)/7)+1</f>
        <v/>
      </c>
      <c r="C78" s="9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4">
        <f>IF(COUNT(C78:P78)=0,"",IFERROR(C78/D78*1000,0))</f>
        <v/>
      </c>
      <c r="R78" s="15">
        <f>IF(COUNT(C78:P78)=0,"",IFERROR(D78/E78,0))</f>
        <v/>
      </c>
      <c r="S78" s="16">
        <f>IF(COUNT(C78:P78)=0,"",IFERROR(F78/D78,0))</f>
        <v/>
      </c>
      <c r="T78" s="14">
        <f>IF(COUNT(C78:P78)=0,"",IFERROR(C78/F78,0))</f>
        <v/>
      </c>
      <c r="U78" s="17">
        <f>IF(COUNT(C78:P78)=0,"",IFERROR(G78/F78,0))</f>
        <v/>
      </c>
      <c r="V78" s="14">
        <f>IF(COUNT(C78:P78)=0,"",IFERROR(C78/G78,0))</f>
        <v/>
      </c>
      <c r="W78" s="18">
        <f>IF(COUNT(C78:P78)=0,"",IFERROR(G78/D78*1000,0))</f>
        <v/>
      </c>
      <c r="X78" s="17">
        <f>IF(COUNT(C78:P78)=0,"",IFERROR(H78/G78,0))</f>
        <v/>
      </c>
      <c r="Y78" s="14">
        <f>IF(COUNT(C78:P78)=0,"",IFERROR(C78/H78,0))</f>
        <v/>
      </c>
      <c r="Z78" s="14">
        <f>IF(COUNT(C78:P78)=0,"",IFERROR(C78/I78,0))</f>
        <v/>
      </c>
      <c r="AA78" s="17">
        <f>IF(COUNT(C78:P78)=0,"",IFERROR(Y78/Q78,0))</f>
        <v/>
      </c>
      <c r="AB78" s="18">
        <f>IF(COUNT(C78:P78)=0,"",IFERROR(H78/D78*1000,0))</f>
        <v/>
      </c>
      <c r="AC78" s="17">
        <f>IF(COUNT(C78:P78)=0,"",IFERROR(J78/H78,0))</f>
        <v/>
      </c>
      <c r="AD78" s="14">
        <f>IF(COUNT(C78:P78)=0,"",IFERROR(C78/J78,0))</f>
        <v/>
      </c>
      <c r="AE78" s="17">
        <f>IF(COUNT(C78:P78)=0,"",IFERROR(K78/H78,0))</f>
        <v/>
      </c>
      <c r="AF78" s="17">
        <f>IF(COUNT(C78:P78)=0,"",IFERROR(L78/H78,0))</f>
        <v/>
      </c>
      <c r="AG78" s="14">
        <f>IF(COUNT(C78:P78)=0,"",IFERROR(C78/K78,0))</f>
        <v/>
      </c>
      <c r="AH78" s="17">
        <f>IF(COUNT(C78:P78)=0,"",IFERROR(M78/K78,0))</f>
        <v/>
      </c>
      <c r="AI78" s="14">
        <f>IF(COUNT(C78:P78)=0,"",IFERROR(C78/M78,0))</f>
        <v/>
      </c>
      <c r="AJ78" s="17">
        <f>IF(COUNT(C78:P78)=0,"",IFERROR(N78/M78,0))</f>
        <v/>
      </c>
      <c r="AK78" s="16">
        <f>IF(COUNT(C78:P78)=0,"",IFERROR(N78/H78,0))</f>
        <v/>
      </c>
      <c r="AL78" s="14">
        <f>IF(COUNT(C78:P78)=0,"",IFERROR(C78/N78,0))</f>
        <v/>
      </c>
      <c r="AM78" s="17">
        <f>IF(COUNT(C78:P78)=0,"",IFERROR(O78/N78,0))</f>
        <v/>
      </c>
      <c r="AN78" s="17">
        <f>IF(COUNT(C78:P78)=0,"",IFERROR(P78/N78,0))</f>
        <v/>
      </c>
      <c r="AO78" s="19">
        <f>IF(COUNT(C78:P78)=0,"",IFERROR(N78*Config!$C$7+O78*Config!$C$8+P78*Config!$C$9,0))</f>
        <v/>
      </c>
      <c r="AP78" s="14">
        <f>IF(COUNT(C78:P78)=0,"",IFERROR(AO78/N78,0))</f>
        <v/>
      </c>
      <c r="AQ78" s="19">
        <f>IF(COUNT(C78:P78)=0,"",IFERROR(AO78*(1-Config!$C$10-Config!$C$11-Config!$C$12),0))</f>
        <v/>
      </c>
      <c r="AR78" s="19">
        <f>IF(COUNT(C78:P78)=0,"",IFERROR(AQ78-C78-Config!$C$13,0))</f>
        <v/>
      </c>
      <c r="AS78" s="20">
        <f>IF(COUNT(C78:P78)=0,"",IFERROR(AQ78/C78,0))</f>
        <v/>
      </c>
      <c r="AT78" s="14">
        <f>IF(COUNT(C78:P78)=0,"",IFERROR(AR78/G78,0))</f>
        <v/>
      </c>
      <c r="AU78" s="20">
        <f>IF(COUNT(C78:P78)=0,"",IFERROR(AT78/V78,0))</f>
        <v/>
      </c>
      <c r="AV78" s="14">
        <f>IF(COUNT(C78:P78)=0,"",IFERROR(AR78/H78,0))</f>
        <v/>
      </c>
    </row>
    <row r="79">
      <c r="A79" s="11">
        <f>Config!$C$6+73</f>
        <v/>
      </c>
      <c r="B79" s="12">
        <f>INT((A79-Config!$C$6)/7)+1</f>
        <v/>
      </c>
      <c r="C79" s="9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4">
        <f>IF(COUNT(C79:P79)=0,"",IFERROR(C79/D79*1000,0))</f>
        <v/>
      </c>
      <c r="R79" s="15">
        <f>IF(COUNT(C79:P79)=0,"",IFERROR(D79/E79,0))</f>
        <v/>
      </c>
      <c r="S79" s="16">
        <f>IF(COUNT(C79:P79)=0,"",IFERROR(F79/D79,0))</f>
        <v/>
      </c>
      <c r="T79" s="14">
        <f>IF(COUNT(C79:P79)=0,"",IFERROR(C79/F79,0))</f>
        <v/>
      </c>
      <c r="U79" s="17">
        <f>IF(COUNT(C79:P79)=0,"",IFERROR(G79/F79,0))</f>
        <v/>
      </c>
      <c r="V79" s="14">
        <f>IF(COUNT(C79:P79)=0,"",IFERROR(C79/G79,0))</f>
        <v/>
      </c>
      <c r="W79" s="18">
        <f>IF(COUNT(C79:P79)=0,"",IFERROR(G79/D79*1000,0))</f>
        <v/>
      </c>
      <c r="X79" s="17">
        <f>IF(COUNT(C79:P79)=0,"",IFERROR(H79/G79,0))</f>
        <v/>
      </c>
      <c r="Y79" s="14">
        <f>IF(COUNT(C79:P79)=0,"",IFERROR(C79/H79,0))</f>
        <v/>
      </c>
      <c r="Z79" s="14">
        <f>IF(COUNT(C79:P79)=0,"",IFERROR(C79/I79,0))</f>
        <v/>
      </c>
      <c r="AA79" s="17">
        <f>IF(COUNT(C79:P79)=0,"",IFERROR(Y79/Q79,0))</f>
        <v/>
      </c>
      <c r="AB79" s="18">
        <f>IF(COUNT(C79:P79)=0,"",IFERROR(H79/D79*1000,0))</f>
        <v/>
      </c>
      <c r="AC79" s="17">
        <f>IF(COUNT(C79:P79)=0,"",IFERROR(J79/H79,0))</f>
        <v/>
      </c>
      <c r="AD79" s="14">
        <f>IF(COUNT(C79:P79)=0,"",IFERROR(C79/J79,0))</f>
        <v/>
      </c>
      <c r="AE79" s="17">
        <f>IF(COUNT(C79:P79)=0,"",IFERROR(K79/H79,0))</f>
        <v/>
      </c>
      <c r="AF79" s="17">
        <f>IF(COUNT(C79:P79)=0,"",IFERROR(L79/H79,0))</f>
        <v/>
      </c>
      <c r="AG79" s="14">
        <f>IF(COUNT(C79:P79)=0,"",IFERROR(C79/K79,0))</f>
        <v/>
      </c>
      <c r="AH79" s="17">
        <f>IF(COUNT(C79:P79)=0,"",IFERROR(M79/K79,0))</f>
        <v/>
      </c>
      <c r="AI79" s="14">
        <f>IF(COUNT(C79:P79)=0,"",IFERROR(C79/M79,0))</f>
        <v/>
      </c>
      <c r="AJ79" s="17">
        <f>IF(COUNT(C79:P79)=0,"",IFERROR(N79/M79,0))</f>
        <v/>
      </c>
      <c r="AK79" s="16">
        <f>IF(COUNT(C79:P79)=0,"",IFERROR(N79/H79,0))</f>
        <v/>
      </c>
      <c r="AL79" s="14">
        <f>IF(COUNT(C79:P79)=0,"",IFERROR(C79/N79,0))</f>
        <v/>
      </c>
      <c r="AM79" s="17">
        <f>IF(COUNT(C79:P79)=0,"",IFERROR(O79/N79,0))</f>
        <v/>
      </c>
      <c r="AN79" s="17">
        <f>IF(COUNT(C79:P79)=0,"",IFERROR(P79/N79,0))</f>
        <v/>
      </c>
      <c r="AO79" s="19">
        <f>IF(COUNT(C79:P79)=0,"",IFERROR(N79*Config!$C$7+O79*Config!$C$8+P79*Config!$C$9,0))</f>
        <v/>
      </c>
      <c r="AP79" s="14">
        <f>IF(COUNT(C79:P79)=0,"",IFERROR(AO79/N79,0))</f>
        <v/>
      </c>
      <c r="AQ79" s="19">
        <f>IF(COUNT(C79:P79)=0,"",IFERROR(AO79*(1-Config!$C$10-Config!$C$11-Config!$C$12),0))</f>
        <v/>
      </c>
      <c r="AR79" s="19">
        <f>IF(COUNT(C79:P79)=0,"",IFERROR(AQ79-C79-Config!$C$13,0))</f>
        <v/>
      </c>
      <c r="AS79" s="20">
        <f>IF(COUNT(C79:P79)=0,"",IFERROR(AQ79/C79,0))</f>
        <v/>
      </c>
      <c r="AT79" s="14">
        <f>IF(COUNT(C79:P79)=0,"",IFERROR(AR79/G79,0))</f>
        <v/>
      </c>
      <c r="AU79" s="20">
        <f>IF(COUNT(C79:P79)=0,"",IFERROR(AT79/V79,0))</f>
        <v/>
      </c>
      <c r="AV79" s="14">
        <f>IF(COUNT(C79:P79)=0,"",IFERROR(AR79/H79,0))</f>
        <v/>
      </c>
    </row>
    <row r="80">
      <c r="A80" s="11">
        <f>Config!$C$6+74</f>
        <v/>
      </c>
      <c r="B80" s="12">
        <f>INT((A80-Config!$C$6)/7)+1</f>
        <v/>
      </c>
      <c r="C80" s="9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4">
        <f>IF(COUNT(C80:P80)=0,"",IFERROR(C80/D80*1000,0))</f>
        <v/>
      </c>
      <c r="R80" s="15">
        <f>IF(COUNT(C80:P80)=0,"",IFERROR(D80/E80,0))</f>
        <v/>
      </c>
      <c r="S80" s="16">
        <f>IF(COUNT(C80:P80)=0,"",IFERROR(F80/D80,0))</f>
        <v/>
      </c>
      <c r="T80" s="14">
        <f>IF(COUNT(C80:P80)=0,"",IFERROR(C80/F80,0))</f>
        <v/>
      </c>
      <c r="U80" s="17">
        <f>IF(COUNT(C80:P80)=0,"",IFERROR(G80/F80,0))</f>
        <v/>
      </c>
      <c r="V80" s="14">
        <f>IF(COUNT(C80:P80)=0,"",IFERROR(C80/G80,0))</f>
        <v/>
      </c>
      <c r="W80" s="18">
        <f>IF(COUNT(C80:P80)=0,"",IFERROR(G80/D80*1000,0))</f>
        <v/>
      </c>
      <c r="X80" s="17">
        <f>IF(COUNT(C80:P80)=0,"",IFERROR(H80/G80,0))</f>
        <v/>
      </c>
      <c r="Y80" s="14">
        <f>IF(COUNT(C80:P80)=0,"",IFERROR(C80/H80,0))</f>
        <v/>
      </c>
      <c r="Z80" s="14">
        <f>IF(COUNT(C80:P80)=0,"",IFERROR(C80/I80,0))</f>
        <v/>
      </c>
      <c r="AA80" s="17">
        <f>IF(COUNT(C80:P80)=0,"",IFERROR(Y80/Q80,0))</f>
        <v/>
      </c>
      <c r="AB80" s="18">
        <f>IF(COUNT(C80:P80)=0,"",IFERROR(H80/D80*1000,0))</f>
        <v/>
      </c>
      <c r="AC80" s="17">
        <f>IF(COUNT(C80:P80)=0,"",IFERROR(J80/H80,0))</f>
        <v/>
      </c>
      <c r="AD80" s="14">
        <f>IF(COUNT(C80:P80)=0,"",IFERROR(C80/J80,0))</f>
        <v/>
      </c>
      <c r="AE80" s="17">
        <f>IF(COUNT(C80:P80)=0,"",IFERROR(K80/H80,0))</f>
        <v/>
      </c>
      <c r="AF80" s="17">
        <f>IF(COUNT(C80:P80)=0,"",IFERROR(L80/H80,0))</f>
        <v/>
      </c>
      <c r="AG80" s="14">
        <f>IF(COUNT(C80:P80)=0,"",IFERROR(C80/K80,0))</f>
        <v/>
      </c>
      <c r="AH80" s="17">
        <f>IF(COUNT(C80:P80)=0,"",IFERROR(M80/K80,0))</f>
        <v/>
      </c>
      <c r="AI80" s="14">
        <f>IF(COUNT(C80:P80)=0,"",IFERROR(C80/M80,0))</f>
        <v/>
      </c>
      <c r="AJ80" s="17">
        <f>IF(COUNT(C80:P80)=0,"",IFERROR(N80/M80,0))</f>
        <v/>
      </c>
      <c r="AK80" s="16">
        <f>IF(COUNT(C80:P80)=0,"",IFERROR(N80/H80,0))</f>
        <v/>
      </c>
      <c r="AL80" s="14">
        <f>IF(COUNT(C80:P80)=0,"",IFERROR(C80/N80,0))</f>
        <v/>
      </c>
      <c r="AM80" s="17">
        <f>IF(COUNT(C80:P80)=0,"",IFERROR(O80/N80,0))</f>
        <v/>
      </c>
      <c r="AN80" s="17">
        <f>IF(COUNT(C80:P80)=0,"",IFERROR(P80/N80,0))</f>
        <v/>
      </c>
      <c r="AO80" s="19">
        <f>IF(COUNT(C80:P80)=0,"",IFERROR(N80*Config!$C$7+O80*Config!$C$8+P80*Config!$C$9,0))</f>
        <v/>
      </c>
      <c r="AP80" s="14">
        <f>IF(COUNT(C80:P80)=0,"",IFERROR(AO80/N80,0))</f>
        <v/>
      </c>
      <c r="AQ80" s="19">
        <f>IF(COUNT(C80:P80)=0,"",IFERROR(AO80*(1-Config!$C$10-Config!$C$11-Config!$C$12),0))</f>
        <v/>
      </c>
      <c r="AR80" s="19">
        <f>IF(COUNT(C80:P80)=0,"",IFERROR(AQ80-C80-Config!$C$13,0))</f>
        <v/>
      </c>
      <c r="AS80" s="20">
        <f>IF(COUNT(C80:P80)=0,"",IFERROR(AQ80/C80,0))</f>
        <v/>
      </c>
      <c r="AT80" s="14">
        <f>IF(COUNT(C80:P80)=0,"",IFERROR(AR80/G80,0))</f>
        <v/>
      </c>
      <c r="AU80" s="20">
        <f>IF(COUNT(C80:P80)=0,"",IFERROR(AT80/V80,0))</f>
        <v/>
      </c>
      <c r="AV80" s="14">
        <f>IF(COUNT(C80:P80)=0,"",IFERROR(AR80/H80,0))</f>
        <v/>
      </c>
    </row>
    <row r="81">
      <c r="A81" s="11">
        <f>Config!$C$6+75</f>
        <v/>
      </c>
      <c r="B81" s="12">
        <f>INT((A81-Config!$C$6)/7)+1</f>
        <v/>
      </c>
      <c r="C81" s="9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4">
        <f>IF(COUNT(C81:P81)=0,"",IFERROR(C81/D81*1000,0))</f>
        <v/>
      </c>
      <c r="R81" s="15">
        <f>IF(COUNT(C81:P81)=0,"",IFERROR(D81/E81,0))</f>
        <v/>
      </c>
      <c r="S81" s="16">
        <f>IF(COUNT(C81:P81)=0,"",IFERROR(F81/D81,0))</f>
        <v/>
      </c>
      <c r="T81" s="14">
        <f>IF(COUNT(C81:P81)=0,"",IFERROR(C81/F81,0))</f>
        <v/>
      </c>
      <c r="U81" s="17">
        <f>IF(COUNT(C81:P81)=0,"",IFERROR(G81/F81,0))</f>
        <v/>
      </c>
      <c r="V81" s="14">
        <f>IF(COUNT(C81:P81)=0,"",IFERROR(C81/G81,0))</f>
        <v/>
      </c>
      <c r="W81" s="18">
        <f>IF(COUNT(C81:P81)=0,"",IFERROR(G81/D81*1000,0))</f>
        <v/>
      </c>
      <c r="X81" s="17">
        <f>IF(COUNT(C81:P81)=0,"",IFERROR(H81/G81,0))</f>
        <v/>
      </c>
      <c r="Y81" s="14">
        <f>IF(COUNT(C81:P81)=0,"",IFERROR(C81/H81,0))</f>
        <v/>
      </c>
      <c r="Z81" s="14">
        <f>IF(COUNT(C81:P81)=0,"",IFERROR(C81/I81,0))</f>
        <v/>
      </c>
      <c r="AA81" s="17">
        <f>IF(COUNT(C81:P81)=0,"",IFERROR(Y81/Q81,0))</f>
        <v/>
      </c>
      <c r="AB81" s="18">
        <f>IF(COUNT(C81:P81)=0,"",IFERROR(H81/D81*1000,0))</f>
        <v/>
      </c>
      <c r="AC81" s="17">
        <f>IF(COUNT(C81:P81)=0,"",IFERROR(J81/H81,0))</f>
        <v/>
      </c>
      <c r="AD81" s="14">
        <f>IF(COUNT(C81:P81)=0,"",IFERROR(C81/J81,0))</f>
        <v/>
      </c>
      <c r="AE81" s="17">
        <f>IF(COUNT(C81:P81)=0,"",IFERROR(K81/H81,0))</f>
        <v/>
      </c>
      <c r="AF81" s="17">
        <f>IF(COUNT(C81:P81)=0,"",IFERROR(L81/H81,0))</f>
        <v/>
      </c>
      <c r="AG81" s="14">
        <f>IF(COUNT(C81:P81)=0,"",IFERROR(C81/K81,0))</f>
        <v/>
      </c>
      <c r="AH81" s="17">
        <f>IF(COUNT(C81:P81)=0,"",IFERROR(M81/K81,0))</f>
        <v/>
      </c>
      <c r="AI81" s="14">
        <f>IF(COUNT(C81:P81)=0,"",IFERROR(C81/M81,0))</f>
        <v/>
      </c>
      <c r="AJ81" s="17">
        <f>IF(COUNT(C81:P81)=0,"",IFERROR(N81/M81,0))</f>
        <v/>
      </c>
      <c r="AK81" s="16">
        <f>IF(COUNT(C81:P81)=0,"",IFERROR(N81/H81,0))</f>
        <v/>
      </c>
      <c r="AL81" s="14">
        <f>IF(COUNT(C81:P81)=0,"",IFERROR(C81/N81,0))</f>
        <v/>
      </c>
      <c r="AM81" s="17">
        <f>IF(COUNT(C81:P81)=0,"",IFERROR(O81/N81,0))</f>
        <v/>
      </c>
      <c r="AN81" s="17">
        <f>IF(COUNT(C81:P81)=0,"",IFERROR(P81/N81,0))</f>
        <v/>
      </c>
      <c r="AO81" s="19">
        <f>IF(COUNT(C81:P81)=0,"",IFERROR(N81*Config!$C$7+O81*Config!$C$8+P81*Config!$C$9,0))</f>
        <v/>
      </c>
      <c r="AP81" s="14">
        <f>IF(COUNT(C81:P81)=0,"",IFERROR(AO81/N81,0))</f>
        <v/>
      </c>
      <c r="AQ81" s="19">
        <f>IF(COUNT(C81:P81)=0,"",IFERROR(AO81*(1-Config!$C$10-Config!$C$11-Config!$C$12),0))</f>
        <v/>
      </c>
      <c r="AR81" s="19">
        <f>IF(COUNT(C81:P81)=0,"",IFERROR(AQ81-C81-Config!$C$13,0))</f>
        <v/>
      </c>
      <c r="AS81" s="20">
        <f>IF(COUNT(C81:P81)=0,"",IFERROR(AQ81/C81,0))</f>
        <v/>
      </c>
      <c r="AT81" s="14">
        <f>IF(COUNT(C81:P81)=0,"",IFERROR(AR81/G81,0))</f>
        <v/>
      </c>
      <c r="AU81" s="20">
        <f>IF(COUNT(C81:P81)=0,"",IFERROR(AT81/V81,0))</f>
        <v/>
      </c>
      <c r="AV81" s="14">
        <f>IF(COUNT(C81:P81)=0,"",IFERROR(AR81/H81,0))</f>
        <v/>
      </c>
    </row>
    <row r="82">
      <c r="A82" s="11">
        <f>Config!$C$6+76</f>
        <v/>
      </c>
      <c r="B82" s="12">
        <f>INT((A82-Config!$C$6)/7)+1</f>
        <v/>
      </c>
      <c r="C82" s="9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4">
        <f>IF(COUNT(C82:P82)=0,"",IFERROR(C82/D82*1000,0))</f>
        <v/>
      </c>
      <c r="R82" s="15">
        <f>IF(COUNT(C82:P82)=0,"",IFERROR(D82/E82,0))</f>
        <v/>
      </c>
      <c r="S82" s="16">
        <f>IF(COUNT(C82:P82)=0,"",IFERROR(F82/D82,0))</f>
        <v/>
      </c>
      <c r="T82" s="14">
        <f>IF(COUNT(C82:P82)=0,"",IFERROR(C82/F82,0))</f>
        <v/>
      </c>
      <c r="U82" s="17">
        <f>IF(COUNT(C82:P82)=0,"",IFERROR(G82/F82,0))</f>
        <v/>
      </c>
      <c r="V82" s="14">
        <f>IF(COUNT(C82:P82)=0,"",IFERROR(C82/G82,0))</f>
        <v/>
      </c>
      <c r="W82" s="18">
        <f>IF(COUNT(C82:P82)=0,"",IFERROR(G82/D82*1000,0))</f>
        <v/>
      </c>
      <c r="X82" s="17">
        <f>IF(COUNT(C82:P82)=0,"",IFERROR(H82/G82,0))</f>
        <v/>
      </c>
      <c r="Y82" s="14">
        <f>IF(COUNT(C82:P82)=0,"",IFERROR(C82/H82,0))</f>
        <v/>
      </c>
      <c r="Z82" s="14">
        <f>IF(COUNT(C82:P82)=0,"",IFERROR(C82/I82,0))</f>
        <v/>
      </c>
      <c r="AA82" s="17">
        <f>IF(COUNT(C82:P82)=0,"",IFERROR(Y82/Q82,0))</f>
        <v/>
      </c>
      <c r="AB82" s="18">
        <f>IF(COUNT(C82:P82)=0,"",IFERROR(H82/D82*1000,0))</f>
        <v/>
      </c>
      <c r="AC82" s="17">
        <f>IF(COUNT(C82:P82)=0,"",IFERROR(J82/H82,0))</f>
        <v/>
      </c>
      <c r="AD82" s="14">
        <f>IF(COUNT(C82:P82)=0,"",IFERROR(C82/J82,0))</f>
        <v/>
      </c>
      <c r="AE82" s="17">
        <f>IF(COUNT(C82:P82)=0,"",IFERROR(K82/H82,0))</f>
        <v/>
      </c>
      <c r="AF82" s="17">
        <f>IF(COUNT(C82:P82)=0,"",IFERROR(L82/H82,0))</f>
        <v/>
      </c>
      <c r="AG82" s="14">
        <f>IF(COUNT(C82:P82)=0,"",IFERROR(C82/K82,0))</f>
        <v/>
      </c>
      <c r="AH82" s="17">
        <f>IF(COUNT(C82:P82)=0,"",IFERROR(M82/K82,0))</f>
        <v/>
      </c>
      <c r="AI82" s="14">
        <f>IF(COUNT(C82:P82)=0,"",IFERROR(C82/M82,0))</f>
        <v/>
      </c>
      <c r="AJ82" s="17">
        <f>IF(COUNT(C82:P82)=0,"",IFERROR(N82/M82,0))</f>
        <v/>
      </c>
      <c r="AK82" s="16">
        <f>IF(COUNT(C82:P82)=0,"",IFERROR(N82/H82,0))</f>
        <v/>
      </c>
      <c r="AL82" s="14">
        <f>IF(COUNT(C82:P82)=0,"",IFERROR(C82/N82,0))</f>
        <v/>
      </c>
      <c r="AM82" s="17">
        <f>IF(COUNT(C82:P82)=0,"",IFERROR(O82/N82,0))</f>
        <v/>
      </c>
      <c r="AN82" s="17">
        <f>IF(COUNT(C82:P82)=0,"",IFERROR(P82/N82,0))</f>
        <v/>
      </c>
      <c r="AO82" s="19">
        <f>IF(COUNT(C82:P82)=0,"",IFERROR(N82*Config!$C$7+O82*Config!$C$8+P82*Config!$C$9,0))</f>
        <v/>
      </c>
      <c r="AP82" s="14">
        <f>IF(COUNT(C82:P82)=0,"",IFERROR(AO82/N82,0))</f>
        <v/>
      </c>
      <c r="AQ82" s="19">
        <f>IF(COUNT(C82:P82)=0,"",IFERROR(AO82*(1-Config!$C$10-Config!$C$11-Config!$C$12),0))</f>
        <v/>
      </c>
      <c r="AR82" s="19">
        <f>IF(COUNT(C82:P82)=0,"",IFERROR(AQ82-C82-Config!$C$13,0))</f>
        <v/>
      </c>
      <c r="AS82" s="20">
        <f>IF(COUNT(C82:P82)=0,"",IFERROR(AQ82/C82,0))</f>
        <v/>
      </c>
      <c r="AT82" s="14">
        <f>IF(COUNT(C82:P82)=0,"",IFERROR(AR82/G82,0))</f>
        <v/>
      </c>
      <c r="AU82" s="20">
        <f>IF(COUNT(C82:P82)=0,"",IFERROR(AT82/V82,0))</f>
        <v/>
      </c>
      <c r="AV82" s="14">
        <f>IF(COUNT(C82:P82)=0,"",IFERROR(AR82/H82,0))</f>
        <v/>
      </c>
    </row>
    <row r="83">
      <c r="A83" s="11">
        <f>Config!$C$6+77</f>
        <v/>
      </c>
      <c r="B83" s="12">
        <f>INT((A83-Config!$C$6)/7)+1</f>
        <v/>
      </c>
      <c r="C83" s="9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4">
        <f>IF(COUNT(C83:P83)=0,"",IFERROR(C83/D83*1000,0))</f>
        <v/>
      </c>
      <c r="R83" s="15">
        <f>IF(COUNT(C83:P83)=0,"",IFERROR(D83/E83,0))</f>
        <v/>
      </c>
      <c r="S83" s="16">
        <f>IF(COUNT(C83:P83)=0,"",IFERROR(F83/D83,0))</f>
        <v/>
      </c>
      <c r="T83" s="14">
        <f>IF(COUNT(C83:P83)=0,"",IFERROR(C83/F83,0))</f>
        <v/>
      </c>
      <c r="U83" s="17">
        <f>IF(COUNT(C83:P83)=0,"",IFERROR(G83/F83,0))</f>
        <v/>
      </c>
      <c r="V83" s="14">
        <f>IF(COUNT(C83:P83)=0,"",IFERROR(C83/G83,0))</f>
        <v/>
      </c>
      <c r="W83" s="18">
        <f>IF(COUNT(C83:P83)=0,"",IFERROR(G83/D83*1000,0))</f>
        <v/>
      </c>
      <c r="X83" s="17">
        <f>IF(COUNT(C83:P83)=0,"",IFERROR(H83/G83,0))</f>
        <v/>
      </c>
      <c r="Y83" s="14">
        <f>IF(COUNT(C83:P83)=0,"",IFERROR(C83/H83,0))</f>
        <v/>
      </c>
      <c r="Z83" s="14">
        <f>IF(COUNT(C83:P83)=0,"",IFERROR(C83/I83,0))</f>
        <v/>
      </c>
      <c r="AA83" s="17">
        <f>IF(COUNT(C83:P83)=0,"",IFERROR(Y83/Q83,0))</f>
        <v/>
      </c>
      <c r="AB83" s="18">
        <f>IF(COUNT(C83:P83)=0,"",IFERROR(H83/D83*1000,0))</f>
        <v/>
      </c>
      <c r="AC83" s="17">
        <f>IF(COUNT(C83:P83)=0,"",IFERROR(J83/H83,0))</f>
        <v/>
      </c>
      <c r="AD83" s="14">
        <f>IF(COUNT(C83:P83)=0,"",IFERROR(C83/J83,0))</f>
        <v/>
      </c>
      <c r="AE83" s="17">
        <f>IF(COUNT(C83:P83)=0,"",IFERROR(K83/H83,0))</f>
        <v/>
      </c>
      <c r="AF83" s="17">
        <f>IF(COUNT(C83:P83)=0,"",IFERROR(L83/H83,0))</f>
        <v/>
      </c>
      <c r="AG83" s="14">
        <f>IF(COUNT(C83:P83)=0,"",IFERROR(C83/K83,0))</f>
        <v/>
      </c>
      <c r="AH83" s="17">
        <f>IF(COUNT(C83:P83)=0,"",IFERROR(M83/K83,0))</f>
        <v/>
      </c>
      <c r="AI83" s="14">
        <f>IF(COUNT(C83:P83)=0,"",IFERROR(C83/M83,0))</f>
        <v/>
      </c>
      <c r="AJ83" s="17">
        <f>IF(COUNT(C83:P83)=0,"",IFERROR(N83/M83,0))</f>
        <v/>
      </c>
      <c r="AK83" s="16">
        <f>IF(COUNT(C83:P83)=0,"",IFERROR(N83/H83,0))</f>
        <v/>
      </c>
      <c r="AL83" s="14">
        <f>IF(COUNT(C83:P83)=0,"",IFERROR(C83/N83,0))</f>
        <v/>
      </c>
      <c r="AM83" s="17">
        <f>IF(COUNT(C83:P83)=0,"",IFERROR(O83/N83,0))</f>
        <v/>
      </c>
      <c r="AN83" s="17">
        <f>IF(COUNT(C83:P83)=0,"",IFERROR(P83/N83,0))</f>
        <v/>
      </c>
      <c r="AO83" s="19">
        <f>IF(COUNT(C83:P83)=0,"",IFERROR(N83*Config!$C$7+O83*Config!$C$8+P83*Config!$C$9,0))</f>
        <v/>
      </c>
      <c r="AP83" s="14">
        <f>IF(COUNT(C83:P83)=0,"",IFERROR(AO83/N83,0))</f>
        <v/>
      </c>
      <c r="AQ83" s="19">
        <f>IF(COUNT(C83:P83)=0,"",IFERROR(AO83*(1-Config!$C$10-Config!$C$11-Config!$C$12),0))</f>
        <v/>
      </c>
      <c r="AR83" s="19">
        <f>IF(COUNT(C83:P83)=0,"",IFERROR(AQ83-C83-Config!$C$13,0))</f>
        <v/>
      </c>
      <c r="AS83" s="20">
        <f>IF(COUNT(C83:P83)=0,"",IFERROR(AQ83/C83,0))</f>
        <v/>
      </c>
      <c r="AT83" s="14">
        <f>IF(COUNT(C83:P83)=0,"",IFERROR(AR83/G83,0))</f>
        <v/>
      </c>
      <c r="AU83" s="20">
        <f>IF(COUNT(C83:P83)=0,"",IFERROR(AT83/V83,0))</f>
        <v/>
      </c>
      <c r="AV83" s="14">
        <f>IF(COUNT(C83:P83)=0,"",IFERROR(AR83/H83,0))</f>
        <v/>
      </c>
    </row>
    <row r="84">
      <c r="A84" s="11">
        <f>Config!$C$6+78</f>
        <v/>
      </c>
      <c r="B84" s="12">
        <f>INT((A84-Config!$C$6)/7)+1</f>
        <v/>
      </c>
      <c r="C84" s="9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4">
        <f>IF(COUNT(C84:P84)=0,"",IFERROR(C84/D84*1000,0))</f>
        <v/>
      </c>
      <c r="R84" s="15">
        <f>IF(COUNT(C84:P84)=0,"",IFERROR(D84/E84,0))</f>
        <v/>
      </c>
      <c r="S84" s="16">
        <f>IF(COUNT(C84:P84)=0,"",IFERROR(F84/D84,0))</f>
        <v/>
      </c>
      <c r="T84" s="14">
        <f>IF(COUNT(C84:P84)=0,"",IFERROR(C84/F84,0))</f>
        <v/>
      </c>
      <c r="U84" s="17">
        <f>IF(COUNT(C84:P84)=0,"",IFERROR(G84/F84,0))</f>
        <v/>
      </c>
      <c r="V84" s="14">
        <f>IF(COUNT(C84:P84)=0,"",IFERROR(C84/G84,0))</f>
        <v/>
      </c>
      <c r="W84" s="18">
        <f>IF(COUNT(C84:P84)=0,"",IFERROR(G84/D84*1000,0))</f>
        <v/>
      </c>
      <c r="X84" s="17">
        <f>IF(COUNT(C84:P84)=0,"",IFERROR(H84/G84,0))</f>
        <v/>
      </c>
      <c r="Y84" s="14">
        <f>IF(COUNT(C84:P84)=0,"",IFERROR(C84/H84,0))</f>
        <v/>
      </c>
      <c r="Z84" s="14">
        <f>IF(COUNT(C84:P84)=0,"",IFERROR(C84/I84,0))</f>
        <v/>
      </c>
      <c r="AA84" s="17">
        <f>IF(COUNT(C84:P84)=0,"",IFERROR(Y84/Q84,0))</f>
        <v/>
      </c>
      <c r="AB84" s="18">
        <f>IF(COUNT(C84:P84)=0,"",IFERROR(H84/D84*1000,0))</f>
        <v/>
      </c>
      <c r="AC84" s="17">
        <f>IF(COUNT(C84:P84)=0,"",IFERROR(J84/H84,0))</f>
        <v/>
      </c>
      <c r="AD84" s="14">
        <f>IF(COUNT(C84:P84)=0,"",IFERROR(C84/J84,0))</f>
        <v/>
      </c>
      <c r="AE84" s="17">
        <f>IF(COUNT(C84:P84)=0,"",IFERROR(K84/H84,0))</f>
        <v/>
      </c>
      <c r="AF84" s="17">
        <f>IF(COUNT(C84:P84)=0,"",IFERROR(L84/H84,0))</f>
        <v/>
      </c>
      <c r="AG84" s="14">
        <f>IF(COUNT(C84:P84)=0,"",IFERROR(C84/K84,0))</f>
        <v/>
      </c>
      <c r="AH84" s="17">
        <f>IF(COUNT(C84:P84)=0,"",IFERROR(M84/K84,0))</f>
        <v/>
      </c>
      <c r="AI84" s="14">
        <f>IF(COUNT(C84:P84)=0,"",IFERROR(C84/M84,0))</f>
        <v/>
      </c>
      <c r="AJ84" s="17">
        <f>IF(COUNT(C84:P84)=0,"",IFERROR(N84/M84,0))</f>
        <v/>
      </c>
      <c r="AK84" s="16">
        <f>IF(COUNT(C84:P84)=0,"",IFERROR(N84/H84,0))</f>
        <v/>
      </c>
      <c r="AL84" s="14">
        <f>IF(COUNT(C84:P84)=0,"",IFERROR(C84/N84,0))</f>
        <v/>
      </c>
      <c r="AM84" s="17">
        <f>IF(COUNT(C84:P84)=0,"",IFERROR(O84/N84,0))</f>
        <v/>
      </c>
      <c r="AN84" s="17">
        <f>IF(COUNT(C84:P84)=0,"",IFERROR(P84/N84,0))</f>
        <v/>
      </c>
      <c r="AO84" s="19">
        <f>IF(COUNT(C84:P84)=0,"",IFERROR(N84*Config!$C$7+O84*Config!$C$8+P84*Config!$C$9,0))</f>
        <v/>
      </c>
      <c r="AP84" s="14">
        <f>IF(COUNT(C84:P84)=0,"",IFERROR(AO84/N84,0))</f>
        <v/>
      </c>
      <c r="AQ84" s="19">
        <f>IF(COUNT(C84:P84)=0,"",IFERROR(AO84*(1-Config!$C$10-Config!$C$11-Config!$C$12),0))</f>
        <v/>
      </c>
      <c r="AR84" s="19">
        <f>IF(COUNT(C84:P84)=0,"",IFERROR(AQ84-C84-Config!$C$13,0))</f>
        <v/>
      </c>
      <c r="AS84" s="20">
        <f>IF(COUNT(C84:P84)=0,"",IFERROR(AQ84/C84,0))</f>
        <v/>
      </c>
      <c r="AT84" s="14">
        <f>IF(COUNT(C84:P84)=0,"",IFERROR(AR84/G84,0))</f>
        <v/>
      </c>
      <c r="AU84" s="20">
        <f>IF(COUNT(C84:P84)=0,"",IFERROR(AT84/V84,0))</f>
        <v/>
      </c>
      <c r="AV84" s="14">
        <f>IF(COUNT(C84:P84)=0,"",IFERROR(AR84/H84,0))</f>
        <v/>
      </c>
    </row>
    <row r="85">
      <c r="A85" s="11">
        <f>Config!$C$6+79</f>
        <v/>
      </c>
      <c r="B85" s="12">
        <f>INT((A85-Config!$C$6)/7)+1</f>
        <v/>
      </c>
      <c r="C85" s="9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4">
        <f>IF(COUNT(C85:P85)=0,"",IFERROR(C85/D85*1000,0))</f>
        <v/>
      </c>
      <c r="R85" s="15">
        <f>IF(COUNT(C85:P85)=0,"",IFERROR(D85/E85,0))</f>
        <v/>
      </c>
      <c r="S85" s="16">
        <f>IF(COUNT(C85:P85)=0,"",IFERROR(F85/D85,0))</f>
        <v/>
      </c>
      <c r="T85" s="14">
        <f>IF(COUNT(C85:P85)=0,"",IFERROR(C85/F85,0))</f>
        <v/>
      </c>
      <c r="U85" s="17">
        <f>IF(COUNT(C85:P85)=0,"",IFERROR(G85/F85,0))</f>
        <v/>
      </c>
      <c r="V85" s="14">
        <f>IF(COUNT(C85:P85)=0,"",IFERROR(C85/G85,0))</f>
        <v/>
      </c>
      <c r="W85" s="18">
        <f>IF(COUNT(C85:P85)=0,"",IFERROR(G85/D85*1000,0))</f>
        <v/>
      </c>
      <c r="X85" s="17">
        <f>IF(COUNT(C85:P85)=0,"",IFERROR(H85/G85,0))</f>
        <v/>
      </c>
      <c r="Y85" s="14">
        <f>IF(COUNT(C85:P85)=0,"",IFERROR(C85/H85,0))</f>
        <v/>
      </c>
      <c r="Z85" s="14">
        <f>IF(COUNT(C85:P85)=0,"",IFERROR(C85/I85,0))</f>
        <v/>
      </c>
      <c r="AA85" s="17">
        <f>IF(COUNT(C85:P85)=0,"",IFERROR(Y85/Q85,0))</f>
        <v/>
      </c>
      <c r="AB85" s="18">
        <f>IF(COUNT(C85:P85)=0,"",IFERROR(H85/D85*1000,0))</f>
        <v/>
      </c>
      <c r="AC85" s="17">
        <f>IF(COUNT(C85:P85)=0,"",IFERROR(J85/H85,0))</f>
        <v/>
      </c>
      <c r="AD85" s="14">
        <f>IF(COUNT(C85:P85)=0,"",IFERROR(C85/J85,0))</f>
        <v/>
      </c>
      <c r="AE85" s="17">
        <f>IF(COUNT(C85:P85)=0,"",IFERROR(K85/H85,0))</f>
        <v/>
      </c>
      <c r="AF85" s="17">
        <f>IF(COUNT(C85:P85)=0,"",IFERROR(L85/H85,0))</f>
        <v/>
      </c>
      <c r="AG85" s="14">
        <f>IF(COUNT(C85:P85)=0,"",IFERROR(C85/K85,0))</f>
        <v/>
      </c>
      <c r="AH85" s="17">
        <f>IF(COUNT(C85:P85)=0,"",IFERROR(M85/K85,0))</f>
        <v/>
      </c>
      <c r="AI85" s="14">
        <f>IF(COUNT(C85:P85)=0,"",IFERROR(C85/M85,0))</f>
        <v/>
      </c>
      <c r="AJ85" s="17">
        <f>IF(COUNT(C85:P85)=0,"",IFERROR(N85/M85,0))</f>
        <v/>
      </c>
      <c r="AK85" s="16">
        <f>IF(COUNT(C85:P85)=0,"",IFERROR(N85/H85,0))</f>
        <v/>
      </c>
      <c r="AL85" s="14">
        <f>IF(COUNT(C85:P85)=0,"",IFERROR(C85/N85,0))</f>
        <v/>
      </c>
      <c r="AM85" s="17">
        <f>IF(COUNT(C85:P85)=0,"",IFERROR(O85/N85,0))</f>
        <v/>
      </c>
      <c r="AN85" s="17">
        <f>IF(COUNT(C85:P85)=0,"",IFERROR(P85/N85,0))</f>
        <v/>
      </c>
      <c r="AO85" s="19">
        <f>IF(COUNT(C85:P85)=0,"",IFERROR(N85*Config!$C$7+O85*Config!$C$8+P85*Config!$C$9,0))</f>
        <v/>
      </c>
      <c r="AP85" s="14">
        <f>IF(COUNT(C85:P85)=0,"",IFERROR(AO85/N85,0))</f>
        <v/>
      </c>
      <c r="AQ85" s="19">
        <f>IF(COUNT(C85:P85)=0,"",IFERROR(AO85*(1-Config!$C$10-Config!$C$11-Config!$C$12),0))</f>
        <v/>
      </c>
      <c r="AR85" s="19">
        <f>IF(COUNT(C85:P85)=0,"",IFERROR(AQ85-C85-Config!$C$13,0))</f>
        <v/>
      </c>
      <c r="AS85" s="20">
        <f>IF(COUNT(C85:P85)=0,"",IFERROR(AQ85/C85,0))</f>
        <v/>
      </c>
      <c r="AT85" s="14">
        <f>IF(COUNT(C85:P85)=0,"",IFERROR(AR85/G85,0))</f>
        <v/>
      </c>
      <c r="AU85" s="20">
        <f>IF(COUNT(C85:P85)=0,"",IFERROR(AT85/V85,0))</f>
        <v/>
      </c>
      <c r="AV85" s="14">
        <f>IF(COUNT(C85:P85)=0,"",IFERROR(AR85/H85,0))</f>
        <v/>
      </c>
    </row>
    <row r="86">
      <c r="A86" s="11">
        <f>Config!$C$6+80</f>
        <v/>
      </c>
      <c r="B86" s="12">
        <f>INT((A86-Config!$C$6)/7)+1</f>
        <v/>
      </c>
      <c r="C86" s="9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4">
        <f>IF(COUNT(C86:P86)=0,"",IFERROR(C86/D86*1000,0))</f>
        <v/>
      </c>
      <c r="R86" s="15">
        <f>IF(COUNT(C86:P86)=0,"",IFERROR(D86/E86,0))</f>
        <v/>
      </c>
      <c r="S86" s="16">
        <f>IF(COUNT(C86:P86)=0,"",IFERROR(F86/D86,0))</f>
        <v/>
      </c>
      <c r="T86" s="14">
        <f>IF(COUNT(C86:P86)=0,"",IFERROR(C86/F86,0))</f>
        <v/>
      </c>
      <c r="U86" s="17">
        <f>IF(COUNT(C86:P86)=0,"",IFERROR(G86/F86,0))</f>
        <v/>
      </c>
      <c r="V86" s="14">
        <f>IF(COUNT(C86:P86)=0,"",IFERROR(C86/G86,0))</f>
        <v/>
      </c>
      <c r="W86" s="18">
        <f>IF(COUNT(C86:P86)=0,"",IFERROR(G86/D86*1000,0))</f>
        <v/>
      </c>
      <c r="X86" s="17">
        <f>IF(COUNT(C86:P86)=0,"",IFERROR(H86/G86,0))</f>
        <v/>
      </c>
      <c r="Y86" s="14">
        <f>IF(COUNT(C86:P86)=0,"",IFERROR(C86/H86,0))</f>
        <v/>
      </c>
      <c r="Z86" s="14">
        <f>IF(COUNT(C86:P86)=0,"",IFERROR(C86/I86,0))</f>
        <v/>
      </c>
      <c r="AA86" s="17">
        <f>IF(COUNT(C86:P86)=0,"",IFERROR(Y86/Q86,0))</f>
        <v/>
      </c>
      <c r="AB86" s="18">
        <f>IF(COUNT(C86:P86)=0,"",IFERROR(H86/D86*1000,0))</f>
        <v/>
      </c>
      <c r="AC86" s="17">
        <f>IF(COUNT(C86:P86)=0,"",IFERROR(J86/H86,0))</f>
        <v/>
      </c>
      <c r="AD86" s="14">
        <f>IF(COUNT(C86:P86)=0,"",IFERROR(C86/J86,0))</f>
        <v/>
      </c>
      <c r="AE86" s="17">
        <f>IF(COUNT(C86:P86)=0,"",IFERROR(K86/H86,0))</f>
        <v/>
      </c>
      <c r="AF86" s="17">
        <f>IF(COUNT(C86:P86)=0,"",IFERROR(L86/H86,0))</f>
        <v/>
      </c>
      <c r="AG86" s="14">
        <f>IF(COUNT(C86:P86)=0,"",IFERROR(C86/K86,0))</f>
        <v/>
      </c>
      <c r="AH86" s="17">
        <f>IF(COUNT(C86:P86)=0,"",IFERROR(M86/K86,0))</f>
        <v/>
      </c>
      <c r="AI86" s="14">
        <f>IF(COUNT(C86:P86)=0,"",IFERROR(C86/M86,0))</f>
        <v/>
      </c>
      <c r="AJ86" s="17">
        <f>IF(COUNT(C86:P86)=0,"",IFERROR(N86/M86,0))</f>
        <v/>
      </c>
      <c r="AK86" s="16">
        <f>IF(COUNT(C86:P86)=0,"",IFERROR(N86/H86,0))</f>
        <v/>
      </c>
      <c r="AL86" s="14">
        <f>IF(COUNT(C86:P86)=0,"",IFERROR(C86/N86,0))</f>
        <v/>
      </c>
      <c r="AM86" s="17">
        <f>IF(COUNT(C86:P86)=0,"",IFERROR(O86/N86,0))</f>
        <v/>
      </c>
      <c r="AN86" s="17">
        <f>IF(COUNT(C86:P86)=0,"",IFERROR(P86/N86,0))</f>
        <v/>
      </c>
      <c r="AO86" s="19">
        <f>IF(COUNT(C86:P86)=0,"",IFERROR(N86*Config!$C$7+O86*Config!$C$8+P86*Config!$C$9,0))</f>
        <v/>
      </c>
      <c r="AP86" s="14">
        <f>IF(COUNT(C86:P86)=0,"",IFERROR(AO86/N86,0))</f>
        <v/>
      </c>
      <c r="AQ86" s="19">
        <f>IF(COUNT(C86:P86)=0,"",IFERROR(AO86*(1-Config!$C$10-Config!$C$11-Config!$C$12),0))</f>
        <v/>
      </c>
      <c r="AR86" s="19">
        <f>IF(COUNT(C86:P86)=0,"",IFERROR(AQ86-C86-Config!$C$13,0))</f>
        <v/>
      </c>
      <c r="AS86" s="20">
        <f>IF(COUNT(C86:P86)=0,"",IFERROR(AQ86/C86,0))</f>
        <v/>
      </c>
      <c r="AT86" s="14">
        <f>IF(COUNT(C86:P86)=0,"",IFERROR(AR86/G86,0))</f>
        <v/>
      </c>
      <c r="AU86" s="20">
        <f>IF(COUNT(C86:P86)=0,"",IFERROR(AT86/V86,0))</f>
        <v/>
      </c>
      <c r="AV86" s="14">
        <f>IF(COUNT(C86:P86)=0,"",IFERROR(AR86/H86,0))</f>
        <v/>
      </c>
    </row>
    <row r="87">
      <c r="A87" s="11">
        <f>Config!$C$6+81</f>
        <v/>
      </c>
      <c r="B87" s="12">
        <f>INT((A87-Config!$C$6)/7)+1</f>
        <v/>
      </c>
      <c r="C87" s="9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4">
        <f>IF(COUNT(C87:P87)=0,"",IFERROR(C87/D87*1000,0))</f>
        <v/>
      </c>
      <c r="R87" s="15">
        <f>IF(COUNT(C87:P87)=0,"",IFERROR(D87/E87,0))</f>
        <v/>
      </c>
      <c r="S87" s="16">
        <f>IF(COUNT(C87:P87)=0,"",IFERROR(F87/D87,0))</f>
        <v/>
      </c>
      <c r="T87" s="14">
        <f>IF(COUNT(C87:P87)=0,"",IFERROR(C87/F87,0))</f>
        <v/>
      </c>
      <c r="U87" s="17">
        <f>IF(COUNT(C87:P87)=0,"",IFERROR(G87/F87,0))</f>
        <v/>
      </c>
      <c r="V87" s="14">
        <f>IF(COUNT(C87:P87)=0,"",IFERROR(C87/G87,0))</f>
        <v/>
      </c>
      <c r="W87" s="18">
        <f>IF(COUNT(C87:P87)=0,"",IFERROR(G87/D87*1000,0))</f>
        <v/>
      </c>
      <c r="X87" s="17">
        <f>IF(COUNT(C87:P87)=0,"",IFERROR(H87/G87,0))</f>
        <v/>
      </c>
      <c r="Y87" s="14">
        <f>IF(COUNT(C87:P87)=0,"",IFERROR(C87/H87,0))</f>
        <v/>
      </c>
      <c r="Z87" s="14">
        <f>IF(COUNT(C87:P87)=0,"",IFERROR(C87/I87,0))</f>
        <v/>
      </c>
      <c r="AA87" s="17">
        <f>IF(COUNT(C87:P87)=0,"",IFERROR(Y87/Q87,0))</f>
        <v/>
      </c>
      <c r="AB87" s="18">
        <f>IF(COUNT(C87:P87)=0,"",IFERROR(H87/D87*1000,0))</f>
        <v/>
      </c>
      <c r="AC87" s="17">
        <f>IF(COUNT(C87:P87)=0,"",IFERROR(J87/H87,0))</f>
        <v/>
      </c>
      <c r="AD87" s="14">
        <f>IF(COUNT(C87:P87)=0,"",IFERROR(C87/J87,0))</f>
        <v/>
      </c>
      <c r="AE87" s="17">
        <f>IF(COUNT(C87:P87)=0,"",IFERROR(K87/H87,0))</f>
        <v/>
      </c>
      <c r="AF87" s="17">
        <f>IF(COUNT(C87:P87)=0,"",IFERROR(L87/H87,0))</f>
        <v/>
      </c>
      <c r="AG87" s="14">
        <f>IF(COUNT(C87:P87)=0,"",IFERROR(C87/K87,0))</f>
        <v/>
      </c>
      <c r="AH87" s="17">
        <f>IF(COUNT(C87:P87)=0,"",IFERROR(M87/K87,0))</f>
        <v/>
      </c>
      <c r="AI87" s="14">
        <f>IF(COUNT(C87:P87)=0,"",IFERROR(C87/M87,0))</f>
        <v/>
      </c>
      <c r="AJ87" s="17">
        <f>IF(COUNT(C87:P87)=0,"",IFERROR(N87/M87,0))</f>
        <v/>
      </c>
      <c r="AK87" s="16">
        <f>IF(COUNT(C87:P87)=0,"",IFERROR(N87/H87,0))</f>
        <v/>
      </c>
      <c r="AL87" s="14">
        <f>IF(COUNT(C87:P87)=0,"",IFERROR(C87/N87,0))</f>
        <v/>
      </c>
      <c r="AM87" s="17">
        <f>IF(COUNT(C87:P87)=0,"",IFERROR(O87/N87,0))</f>
        <v/>
      </c>
      <c r="AN87" s="17">
        <f>IF(COUNT(C87:P87)=0,"",IFERROR(P87/N87,0))</f>
        <v/>
      </c>
      <c r="AO87" s="19">
        <f>IF(COUNT(C87:P87)=0,"",IFERROR(N87*Config!$C$7+O87*Config!$C$8+P87*Config!$C$9,0))</f>
        <v/>
      </c>
      <c r="AP87" s="14">
        <f>IF(COUNT(C87:P87)=0,"",IFERROR(AO87/N87,0))</f>
        <v/>
      </c>
      <c r="AQ87" s="19">
        <f>IF(COUNT(C87:P87)=0,"",IFERROR(AO87*(1-Config!$C$10-Config!$C$11-Config!$C$12),0))</f>
        <v/>
      </c>
      <c r="AR87" s="19">
        <f>IF(COUNT(C87:P87)=0,"",IFERROR(AQ87-C87-Config!$C$13,0))</f>
        <v/>
      </c>
      <c r="AS87" s="20">
        <f>IF(COUNT(C87:P87)=0,"",IFERROR(AQ87/C87,0))</f>
        <v/>
      </c>
      <c r="AT87" s="14">
        <f>IF(COUNT(C87:P87)=0,"",IFERROR(AR87/G87,0))</f>
        <v/>
      </c>
      <c r="AU87" s="20">
        <f>IF(COUNT(C87:P87)=0,"",IFERROR(AT87/V87,0))</f>
        <v/>
      </c>
      <c r="AV87" s="14">
        <f>IF(COUNT(C87:P87)=0,"",IFERROR(AR87/H87,0))</f>
        <v/>
      </c>
    </row>
    <row r="88">
      <c r="A88" s="11">
        <f>Config!$C$6+82</f>
        <v/>
      </c>
      <c r="B88" s="12">
        <f>INT((A88-Config!$C$6)/7)+1</f>
        <v/>
      </c>
      <c r="C88" s="9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4">
        <f>IF(COUNT(C88:P88)=0,"",IFERROR(C88/D88*1000,0))</f>
        <v/>
      </c>
      <c r="R88" s="15">
        <f>IF(COUNT(C88:P88)=0,"",IFERROR(D88/E88,0))</f>
        <v/>
      </c>
      <c r="S88" s="16">
        <f>IF(COUNT(C88:P88)=0,"",IFERROR(F88/D88,0))</f>
        <v/>
      </c>
      <c r="T88" s="14">
        <f>IF(COUNT(C88:P88)=0,"",IFERROR(C88/F88,0))</f>
        <v/>
      </c>
      <c r="U88" s="17">
        <f>IF(COUNT(C88:P88)=0,"",IFERROR(G88/F88,0))</f>
        <v/>
      </c>
      <c r="V88" s="14">
        <f>IF(COUNT(C88:P88)=0,"",IFERROR(C88/G88,0))</f>
        <v/>
      </c>
      <c r="W88" s="18">
        <f>IF(COUNT(C88:P88)=0,"",IFERROR(G88/D88*1000,0))</f>
        <v/>
      </c>
      <c r="X88" s="17">
        <f>IF(COUNT(C88:P88)=0,"",IFERROR(H88/G88,0))</f>
        <v/>
      </c>
      <c r="Y88" s="14">
        <f>IF(COUNT(C88:P88)=0,"",IFERROR(C88/H88,0))</f>
        <v/>
      </c>
      <c r="Z88" s="14">
        <f>IF(COUNT(C88:P88)=0,"",IFERROR(C88/I88,0))</f>
        <v/>
      </c>
      <c r="AA88" s="17">
        <f>IF(COUNT(C88:P88)=0,"",IFERROR(Y88/Q88,0))</f>
        <v/>
      </c>
      <c r="AB88" s="18">
        <f>IF(COUNT(C88:P88)=0,"",IFERROR(H88/D88*1000,0))</f>
        <v/>
      </c>
      <c r="AC88" s="17">
        <f>IF(COUNT(C88:P88)=0,"",IFERROR(J88/H88,0))</f>
        <v/>
      </c>
      <c r="AD88" s="14">
        <f>IF(COUNT(C88:P88)=0,"",IFERROR(C88/J88,0))</f>
        <v/>
      </c>
      <c r="AE88" s="17">
        <f>IF(COUNT(C88:P88)=0,"",IFERROR(K88/H88,0))</f>
        <v/>
      </c>
      <c r="AF88" s="17">
        <f>IF(COUNT(C88:P88)=0,"",IFERROR(L88/H88,0))</f>
        <v/>
      </c>
      <c r="AG88" s="14">
        <f>IF(COUNT(C88:P88)=0,"",IFERROR(C88/K88,0))</f>
        <v/>
      </c>
      <c r="AH88" s="17">
        <f>IF(COUNT(C88:P88)=0,"",IFERROR(M88/K88,0))</f>
        <v/>
      </c>
      <c r="AI88" s="14">
        <f>IF(COUNT(C88:P88)=0,"",IFERROR(C88/M88,0))</f>
        <v/>
      </c>
      <c r="AJ88" s="17">
        <f>IF(COUNT(C88:P88)=0,"",IFERROR(N88/M88,0))</f>
        <v/>
      </c>
      <c r="AK88" s="16">
        <f>IF(COUNT(C88:P88)=0,"",IFERROR(N88/H88,0))</f>
        <v/>
      </c>
      <c r="AL88" s="14">
        <f>IF(COUNT(C88:P88)=0,"",IFERROR(C88/N88,0))</f>
        <v/>
      </c>
      <c r="AM88" s="17">
        <f>IF(COUNT(C88:P88)=0,"",IFERROR(O88/N88,0))</f>
        <v/>
      </c>
      <c r="AN88" s="17">
        <f>IF(COUNT(C88:P88)=0,"",IFERROR(P88/N88,0))</f>
        <v/>
      </c>
      <c r="AO88" s="19">
        <f>IF(COUNT(C88:P88)=0,"",IFERROR(N88*Config!$C$7+O88*Config!$C$8+P88*Config!$C$9,0))</f>
        <v/>
      </c>
      <c r="AP88" s="14">
        <f>IF(COUNT(C88:P88)=0,"",IFERROR(AO88/N88,0))</f>
        <v/>
      </c>
      <c r="AQ88" s="19">
        <f>IF(COUNT(C88:P88)=0,"",IFERROR(AO88*(1-Config!$C$10-Config!$C$11-Config!$C$12),0))</f>
        <v/>
      </c>
      <c r="AR88" s="19">
        <f>IF(COUNT(C88:P88)=0,"",IFERROR(AQ88-C88-Config!$C$13,0))</f>
        <v/>
      </c>
      <c r="AS88" s="20">
        <f>IF(COUNT(C88:P88)=0,"",IFERROR(AQ88/C88,0))</f>
        <v/>
      </c>
      <c r="AT88" s="14">
        <f>IF(COUNT(C88:P88)=0,"",IFERROR(AR88/G88,0))</f>
        <v/>
      </c>
      <c r="AU88" s="20">
        <f>IF(COUNT(C88:P88)=0,"",IFERROR(AT88/V88,0))</f>
        <v/>
      </c>
      <c r="AV88" s="14">
        <f>IF(COUNT(C88:P88)=0,"",IFERROR(AR88/H88,0))</f>
        <v/>
      </c>
    </row>
    <row r="89">
      <c r="A89" s="11">
        <f>Config!$C$6+83</f>
        <v/>
      </c>
      <c r="B89" s="12">
        <f>INT((A89-Config!$C$6)/7)+1</f>
        <v/>
      </c>
      <c r="C89" s="9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4">
        <f>IF(COUNT(C89:P89)=0,"",IFERROR(C89/D89*1000,0))</f>
        <v/>
      </c>
      <c r="R89" s="15">
        <f>IF(COUNT(C89:P89)=0,"",IFERROR(D89/E89,0))</f>
        <v/>
      </c>
      <c r="S89" s="16">
        <f>IF(COUNT(C89:P89)=0,"",IFERROR(F89/D89,0))</f>
        <v/>
      </c>
      <c r="T89" s="14">
        <f>IF(COUNT(C89:P89)=0,"",IFERROR(C89/F89,0))</f>
        <v/>
      </c>
      <c r="U89" s="17">
        <f>IF(COUNT(C89:P89)=0,"",IFERROR(G89/F89,0))</f>
        <v/>
      </c>
      <c r="V89" s="14">
        <f>IF(COUNT(C89:P89)=0,"",IFERROR(C89/G89,0))</f>
        <v/>
      </c>
      <c r="W89" s="18">
        <f>IF(COUNT(C89:P89)=0,"",IFERROR(G89/D89*1000,0))</f>
        <v/>
      </c>
      <c r="X89" s="17">
        <f>IF(COUNT(C89:P89)=0,"",IFERROR(H89/G89,0))</f>
        <v/>
      </c>
      <c r="Y89" s="14">
        <f>IF(COUNT(C89:P89)=0,"",IFERROR(C89/H89,0))</f>
        <v/>
      </c>
      <c r="Z89" s="14">
        <f>IF(COUNT(C89:P89)=0,"",IFERROR(C89/I89,0))</f>
        <v/>
      </c>
      <c r="AA89" s="17">
        <f>IF(COUNT(C89:P89)=0,"",IFERROR(Y89/Q89,0))</f>
        <v/>
      </c>
      <c r="AB89" s="18">
        <f>IF(COUNT(C89:P89)=0,"",IFERROR(H89/D89*1000,0))</f>
        <v/>
      </c>
      <c r="AC89" s="17">
        <f>IF(COUNT(C89:P89)=0,"",IFERROR(J89/H89,0))</f>
        <v/>
      </c>
      <c r="AD89" s="14">
        <f>IF(COUNT(C89:P89)=0,"",IFERROR(C89/J89,0))</f>
        <v/>
      </c>
      <c r="AE89" s="17">
        <f>IF(COUNT(C89:P89)=0,"",IFERROR(K89/H89,0))</f>
        <v/>
      </c>
      <c r="AF89" s="17">
        <f>IF(COUNT(C89:P89)=0,"",IFERROR(L89/H89,0))</f>
        <v/>
      </c>
      <c r="AG89" s="14">
        <f>IF(COUNT(C89:P89)=0,"",IFERROR(C89/K89,0))</f>
        <v/>
      </c>
      <c r="AH89" s="17">
        <f>IF(COUNT(C89:P89)=0,"",IFERROR(M89/K89,0))</f>
        <v/>
      </c>
      <c r="AI89" s="14">
        <f>IF(COUNT(C89:P89)=0,"",IFERROR(C89/M89,0))</f>
        <v/>
      </c>
      <c r="AJ89" s="17">
        <f>IF(COUNT(C89:P89)=0,"",IFERROR(N89/M89,0))</f>
        <v/>
      </c>
      <c r="AK89" s="16">
        <f>IF(COUNT(C89:P89)=0,"",IFERROR(N89/H89,0))</f>
        <v/>
      </c>
      <c r="AL89" s="14">
        <f>IF(COUNT(C89:P89)=0,"",IFERROR(C89/N89,0))</f>
        <v/>
      </c>
      <c r="AM89" s="17">
        <f>IF(COUNT(C89:P89)=0,"",IFERROR(O89/N89,0))</f>
        <v/>
      </c>
      <c r="AN89" s="17">
        <f>IF(COUNT(C89:P89)=0,"",IFERROR(P89/N89,0))</f>
        <v/>
      </c>
      <c r="AO89" s="19">
        <f>IF(COUNT(C89:P89)=0,"",IFERROR(N89*Config!$C$7+O89*Config!$C$8+P89*Config!$C$9,0))</f>
        <v/>
      </c>
      <c r="AP89" s="14">
        <f>IF(COUNT(C89:P89)=0,"",IFERROR(AO89/N89,0))</f>
        <v/>
      </c>
      <c r="AQ89" s="19">
        <f>IF(COUNT(C89:P89)=0,"",IFERROR(AO89*(1-Config!$C$10-Config!$C$11-Config!$C$12),0))</f>
        <v/>
      </c>
      <c r="AR89" s="19">
        <f>IF(COUNT(C89:P89)=0,"",IFERROR(AQ89-C89-Config!$C$13,0))</f>
        <v/>
      </c>
      <c r="AS89" s="20">
        <f>IF(COUNT(C89:P89)=0,"",IFERROR(AQ89/C89,0))</f>
        <v/>
      </c>
      <c r="AT89" s="14">
        <f>IF(COUNT(C89:P89)=0,"",IFERROR(AR89/G89,0))</f>
        <v/>
      </c>
      <c r="AU89" s="20">
        <f>IF(COUNT(C89:P89)=0,"",IFERROR(AT89/V89,0))</f>
        <v/>
      </c>
      <c r="AV89" s="14">
        <f>IF(COUNT(C89:P89)=0,"",IFERROR(AR89/H89,0))</f>
        <v/>
      </c>
    </row>
    <row r="90">
      <c r="A90" s="11">
        <f>Config!$C$6+84</f>
        <v/>
      </c>
      <c r="B90" s="12">
        <f>INT((A90-Config!$C$6)/7)+1</f>
        <v/>
      </c>
      <c r="C90" s="9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4">
        <f>IF(COUNT(C90:P90)=0,"",IFERROR(C90/D90*1000,0))</f>
        <v/>
      </c>
      <c r="R90" s="15">
        <f>IF(COUNT(C90:P90)=0,"",IFERROR(D90/E90,0))</f>
        <v/>
      </c>
      <c r="S90" s="16">
        <f>IF(COUNT(C90:P90)=0,"",IFERROR(F90/D90,0))</f>
        <v/>
      </c>
      <c r="T90" s="14">
        <f>IF(COUNT(C90:P90)=0,"",IFERROR(C90/F90,0))</f>
        <v/>
      </c>
      <c r="U90" s="17">
        <f>IF(COUNT(C90:P90)=0,"",IFERROR(G90/F90,0))</f>
        <v/>
      </c>
      <c r="V90" s="14">
        <f>IF(COUNT(C90:P90)=0,"",IFERROR(C90/G90,0))</f>
        <v/>
      </c>
      <c r="W90" s="18">
        <f>IF(COUNT(C90:P90)=0,"",IFERROR(G90/D90*1000,0))</f>
        <v/>
      </c>
      <c r="X90" s="17">
        <f>IF(COUNT(C90:P90)=0,"",IFERROR(H90/G90,0))</f>
        <v/>
      </c>
      <c r="Y90" s="14">
        <f>IF(COUNT(C90:P90)=0,"",IFERROR(C90/H90,0))</f>
        <v/>
      </c>
      <c r="Z90" s="14">
        <f>IF(COUNT(C90:P90)=0,"",IFERROR(C90/I90,0))</f>
        <v/>
      </c>
      <c r="AA90" s="17">
        <f>IF(COUNT(C90:P90)=0,"",IFERROR(Y90/Q90,0))</f>
        <v/>
      </c>
      <c r="AB90" s="18">
        <f>IF(COUNT(C90:P90)=0,"",IFERROR(H90/D90*1000,0))</f>
        <v/>
      </c>
      <c r="AC90" s="17">
        <f>IF(COUNT(C90:P90)=0,"",IFERROR(J90/H90,0))</f>
        <v/>
      </c>
      <c r="AD90" s="14">
        <f>IF(COUNT(C90:P90)=0,"",IFERROR(C90/J90,0))</f>
        <v/>
      </c>
      <c r="AE90" s="17">
        <f>IF(COUNT(C90:P90)=0,"",IFERROR(K90/H90,0))</f>
        <v/>
      </c>
      <c r="AF90" s="17">
        <f>IF(COUNT(C90:P90)=0,"",IFERROR(L90/H90,0))</f>
        <v/>
      </c>
      <c r="AG90" s="14">
        <f>IF(COUNT(C90:P90)=0,"",IFERROR(C90/K90,0))</f>
        <v/>
      </c>
      <c r="AH90" s="17">
        <f>IF(COUNT(C90:P90)=0,"",IFERROR(M90/K90,0))</f>
        <v/>
      </c>
      <c r="AI90" s="14">
        <f>IF(COUNT(C90:P90)=0,"",IFERROR(C90/M90,0))</f>
        <v/>
      </c>
      <c r="AJ90" s="17">
        <f>IF(COUNT(C90:P90)=0,"",IFERROR(N90/M90,0))</f>
        <v/>
      </c>
      <c r="AK90" s="16">
        <f>IF(COUNT(C90:P90)=0,"",IFERROR(N90/H90,0))</f>
        <v/>
      </c>
      <c r="AL90" s="14">
        <f>IF(COUNT(C90:P90)=0,"",IFERROR(C90/N90,0))</f>
        <v/>
      </c>
      <c r="AM90" s="17">
        <f>IF(COUNT(C90:P90)=0,"",IFERROR(O90/N90,0))</f>
        <v/>
      </c>
      <c r="AN90" s="17">
        <f>IF(COUNT(C90:P90)=0,"",IFERROR(P90/N90,0))</f>
        <v/>
      </c>
      <c r="AO90" s="19">
        <f>IF(COUNT(C90:P90)=0,"",IFERROR(N90*Config!$C$7+O90*Config!$C$8+P90*Config!$C$9,0))</f>
        <v/>
      </c>
      <c r="AP90" s="14">
        <f>IF(COUNT(C90:P90)=0,"",IFERROR(AO90/N90,0))</f>
        <v/>
      </c>
      <c r="AQ90" s="19">
        <f>IF(COUNT(C90:P90)=0,"",IFERROR(AO90*(1-Config!$C$10-Config!$C$11-Config!$C$12),0))</f>
        <v/>
      </c>
      <c r="AR90" s="19">
        <f>IF(COUNT(C90:P90)=0,"",IFERROR(AQ90-C90-Config!$C$13,0))</f>
        <v/>
      </c>
      <c r="AS90" s="20">
        <f>IF(COUNT(C90:P90)=0,"",IFERROR(AQ90/C90,0))</f>
        <v/>
      </c>
      <c r="AT90" s="14">
        <f>IF(COUNT(C90:P90)=0,"",IFERROR(AR90/G90,0))</f>
        <v/>
      </c>
      <c r="AU90" s="20">
        <f>IF(COUNT(C90:P90)=0,"",IFERROR(AT90/V90,0))</f>
        <v/>
      </c>
      <c r="AV90" s="14">
        <f>IF(COUNT(C90:P90)=0,"",IFERROR(AR90/H90,0))</f>
        <v/>
      </c>
    </row>
    <row r="91">
      <c r="A91" s="11">
        <f>Config!$C$6+85</f>
        <v/>
      </c>
      <c r="B91" s="12">
        <f>INT((A91-Config!$C$6)/7)+1</f>
        <v/>
      </c>
      <c r="C91" s="9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4">
        <f>IF(COUNT(C91:P91)=0,"",IFERROR(C91/D91*1000,0))</f>
        <v/>
      </c>
      <c r="R91" s="15">
        <f>IF(COUNT(C91:P91)=0,"",IFERROR(D91/E91,0))</f>
        <v/>
      </c>
      <c r="S91" s="16">
        <f>IF(COUNT(C91:P91)=0,"",IFERROR(F91/D91,0))</f>
        <v/>
      </c>
      <c r="T91" s="14">
        <f>IF(COUNT(C91:P91)=0,"",IFERROR(C91/F91,0))</f>
        <v/>
      </c>
      <c r="U91" s="17">
        <f>IF(COUNT(C91:P91)=0,"",IFERROR(G91/F91,0))</f>
        <v/>
      </c>
      <c r="V91" s="14">
        <f>IF(COUNT(C91:P91)=0,"",IFERROR(C91/G91,0))</f>
        <v/>
      </c>
      <c r="W91" s="18">
        <f>IF(COUNT(C91:P91)=0,"",IFERROR(G91/D91*1000,0))</f>
        <v/>
      </c>
      <c r="X91" s="17">
        <f>IF(COUNT(C91:P91)=0,"",IFERROR(H91/G91,0))</f>
        <v/>
      </c>
      <c r="Y91" s="14">
        <f>IF(COUNT(C91:P91)=0,"",IFERROR(C91/H91,0))</f>
        <v/>
      </c>
      <c r="Z91" s="14">
        <f>IF(COUNT(C91:P91)=0,"",IFERROR(C91/I91,0))</f>
        <v/>
      </c>
      <c r="AA91" s="17">
        <f>IF(COUNT(C91:P91)=0,"",IFERROR(Y91/Q91,0))</f>
        <v/>
      </c>
      <c r="AB91" s="18">
        <f>IF(COUNT(C91:P91)=0,"",IFERROR(H91/D91*1000,0))</f>
        <v/>
      </c>
      <c r="AC91" s="17">
        <f>IF(COUNT(C91:P91)=0,"",IFERROR(J91/H91,0))</f>
        <v/>
      </c>
      <c r="AD91" s="14">
        <f>IF(COUNT(C91:P91)=0,"",IFERROR(C91/J91,0))</f>
        <v/>
      </c>
      <c r="AE91" s="17">
        <f>IF(COUNT(C91:P91)=0,"",IFERROR(K91/H91,0))</f>
        <v/>
      </c>
      <c r="AF91" s="17">
        <f>IF(COUNT(C91:P91)=0,"",IFERROR(L91/H91,0))</f>
        <v/>
      </c>
      <c r="AG91" s="14">
        <f>IF(COUNT(C91:P91)=0,"",IFERROR(C91/K91,0))</f>
        <v/>
      </c>
      <c r="AH91" s="17">
        <f>IF(COUNT(C91:P91)=0,"",IFERROR(M91/K91,0))</f>
        <v/>
      </c>
      <c r="AI91" s="14">
        <f>IF(COUNT(C91:P91)=0,"",IFERROR(C91/M91,0))</f>
        <v/>
      </c>
      <c r="AJ91" s="17">
        <f>IF(COUNT(C91:P91)=0,"",IFERROR(N91/M91,0))</f>
        <v/>
      </c>
      <c r="AK91" s="16">
        <f>IF(COUNT(C91:P91)=0,"",IFERROR(N91/H91,0))</f>
        <v/>
      </c>
      <c r="AL91" s="14">
        <f>IF(COUNT(C91:P91)=0,"",IFERROR(C91/N91,0))</f>
        <v/>
      </c>
      <c r="AM91" s="17">
        <f>IF(COUNT(C91:P91)=0,"",IFERROR(O91/N91,0))</f>
        <v/>
      </c>
      <c r="AN91" s="17">
        <f>IF(COUNT(C91:P91)=0,"",IFERROR(P91/N91,0))</f>
        <v/>
      </c>
      <c r="AO91" s="19">
        <f>IF(COUNT(C91:P91)=0,"",IFERROR(N91*Config!$C$7+O91*Config!$C$8+P91*Config!$C$9,0))</f>
        <v/>
      </c>
      <c r="AP91" s="14">
        <f>IF(COUNT(C91:P91)=0,"",IFERROR(AO91/N91,0))</f>
        <v/>
      </c>
      <c r="AQ91" s="19">
        <f>IF(COUNT(C91:P91)=0,"",IFERROR(AO91*(1-Config!$C$10-Config!$C$11-Config!$C$12),0))</f>
        <v/>
      </c>
      <c r="AR91" s="19">
        <f>IF(COUNT(C91:P91)=0,"",IFERROR(AQ91-C91-Config!$C$13,0))</f>
        <v/>
      </c>
      <c r="AS91" s="20">
        <f>IF(COUNT(C91:P91)=0,"",IFERROR(AQ91/C91,0))</f>
        <v/>
      </c>
      <c r="AT91" s="14">
        <f>IF(COUNT(C91:P91)=0,"",IFERROR(AR91/G91,0))</f>
        <v/>
      </c>
      <c r="AU91" s="20">
        <f>IF(COUNT(C91:P91)=0,"",IFERROR(AT91/V91,0))</f>
        <v/>
      </c>
      <c r="AV91" s="14">
        <f>IF(COUNT(C91:P91)=0,"",IFERROR(AR91/H91,0))</f>
        <v/>
      </c>
    </row>
    <row r="92">
      <c r="A92" s="11">
        <f>Config!$C$6+86</f>
        <v/>
      </c>
      <c r="B92" s="12">
        <f>INT((A92-Config!$C$6)/7)+1</f>
        <v/>
      </c>
      <c r="C92" s="9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4">
        <f>IF(COUNT(C92:P92)=0,"",IFERROR(C92/D92*1000,0))</f>
        <v/>
      </c>
      <c r="R92" s="15">
        <f>IF(COUNT(C92:P92)=0,"",IFERROR(D92/E92,0))</f>
        <v/>
      </c>
      <c r="S92" s="16">
        <f>IF(COUNT(C92:P92)=0,"",IFERROR(F92/D92,0))</f>
        <v/>
      </c>
      <c r="T92" s="14">
        <f>IF(COUNT(C92:P92)=0,"",IFERROR(C92/F92,0))</f>
        <v/>
      </c>
      <c r="U92" s="17">
        <f>IF(COUNT(C92:P92)=0,"",IFERROR(G92/F92,0))</f>
        <v/>
      </c>
      <c r="V92" s="14">
        <f>IF(COUNT(C92:P92)=0,"",IFERROR(C92/G92,0))</f>
        <v/>
      </c>
      <c r="W92" s="18">
        <f>IF(COUNT(C92:P92)=0,"",IFERROR(G92/D92*1000,0))</f>
        <v/>
      </c>
      <c r="X92" s="17">
        <f>IF(COUNT(C92:P92)=0,"",IFERROR(H92/G92,0))</f>
        <v/>
      </c>
      <c r="Y92" s="14">
        <f>IF(COUNT(C92:P92)=0,"",IFERROR(C92/H92,0))</f>
        <v/>
      </c>
      <c r="Z92" s="14">
        <f>IF(COUNT(C92:P92)=0,"",IFERROR(C92/I92,0))</f>
        <v/>
      </c>
      <c r="AA92" s="17">
        <f>IF(COUNT(C92:P92)=0,"",IFERROR(Y92/Q92,0))</f>
        <v/>
      </c>
      <c r="AB92" s="18">
        <f>IF(COUNT(C92:P92)=0,"",IFERROR(H92/D92*1000,0))</f>
        <v/>
      </c>
      <c r="AC92" s="17">
        <f>IF(COUNT(C92:P92)=0,"",IFERROR(J92/H92,0))</f>
        <v/>
      </c>
      <c r="AD92" s="14">
        <f>IF(COUNT(C92:P92)=0,"",IFERROR(C92/J92,0))</f>
        <v/>
      </c>
      <c r="AE92" s="17">
        <f>IF(COUNT(C92:P92)=0,"",IFERROR(K92/H92,0))</f>
        <v/>
      </c>
      <c r="AF92" s="17">
        <f>IF(COUNT(C92:P92)=0,"",IFERROR(L92/H92,0))</f>
        <v/>
      </c>
      <c r="AG92" s="14">
        <f>IF(COUNT(C92:P92)=0,"",IFERROR(C92/K92,0))</f>
        <v/>
      </c>
      <c r="AH92" s="17">
        <f>IF(COUNT(C92:P92)=0,"",IFERROR(M92/K92,0))</f>
        <v/>
      </c>
      <c r="AI92" s="14">
        <f>IF(COUNT(C92:P92)=0,"",IFERROR(C92/M92,0))</f>
        <v/>
      </c>
      <c r="AJ92" s="17">
        <f>IF(COUNT(C92:P92)=0,"",IFERROR(N92/M92,0))</f>
        <v/>
      </c>
      <c r="AK92" s="16">
        <f>IF(COUNT(C92:P92)=0,"",IFERROR(N92/H92,0))</f>
        <v/>
      </c>
      <c r="AL92" s="14">
        <f>IF(COUNT(C92:P92)=0,"",IFERROR(C92/N92,0))</f>
        <v/>
      </c>
      <c r="AM92" s="17">
        <f>IF(COUNT(C92:P92)=0,"",IFERROR(O92/N92,0))</f>
        <v/>
      </c>
      <c r="AN92" s="17">
        <f>IF(COUNT(C92:P92)=0,"",IFERROR(P92/N92,0))</f>
        <v/>
      </c>
      <c r="AO92" s="19">
        <f>IF(COUNT(C92:P92)=0,"",IFERROR(N92*Config!$C$7+O92*Config!$C$8+P92*Config!$C$9,0))</f>
        <v/>
      </c>
      <c r="AP92" s="14">
        <f>IF(COUNT(C92:P92)=0,"",IFERROR(AO92/N92,0))</f>
        <v/>
      </c>
      <c r="AQ92" s="19">
        <f>IF(COUNT(C92:P92)=0,"",IFERROR(AO92*(1-Config!$C$10-Config!$C$11-Config!$C$12),0))</f>
        <v/>
      </c>
      <c r="AR92" s="19">
        <f>IF(COUNT(C92:P92)=0,"",IFERROR(AQ92-C92-Config!$C$13,0))</f>
        <v/>
      </c>
      <c r="AS92" s="20">
        <f>IF(COUNT(C92:P92)=0,"",IFERROR(AQ92/C92,0))</f>
        <v/>
      </c>
      <c r="AT92" s="14">
        <f>IF(COUNT(C92:P92)=0,"",IFERROR(AR92/G92,0))</f>
        <v/>
      </c>
      <c r="AU92" s="20">
        <f>IF(COUNT(C92:P92)=0,"",IFERROR(AT92/V92,0))</f>
        <v/>
      </c>
      <c r="AV92" s="14">
        <f>IF(COUNT(C92:P92)=0,"",IFERROR(AR92/H92,0))</f>
        <v/>
      </c>
    </row>
    <row r="93">
      <c r="A93" s="11">
        <f>Config!$C$6+87</f>
        <v/>
      </c>
      <c r="B93" s="12">
        <f>INT((A93-Config!$C$6)/7)+1</f>
        <v/>
      </c>
      <c r="C93" s="9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4">
        <f>IF(COUNT(C93:P93)=0,"",IFERROR(C93/D93*1000,0))</f>
        <v/>
      </c>
      <c r="R93" s="15">
        <f>IF(COUNT(C93:P93)=0,"",IFERROR(D93/E93,0))</f>
        <v/>
      </c>
      <c r="S93" s="16">
        <f>IF(COUNT(C93:P93)=0,"",IFERROR(F93/D93,0))</f>
        <v/>
      </c>
      <c r="T93" s="14">
        <f>IF(COUNT(C93:P93)=0,"",IFERROR(C93/F93,0))</f>
        <v/>
      </c>
      <c r="U93" s="17">
        <f>IF(COUNT(C93:P93)=0,"",IFERROR(G93/F93,0))</f>
        <v/>
      </c>
      <c r="V93" s="14">
        <f>IF(COUNT(C93:P93)=0,"",IFERROR(C93/G93,0))</f>
        <v/>
      </c>
      <c r="W93" s="18">
        <f>IF(COUNT(C93:P93)=0,"",IFERROR(G93/D93*1000,0))</f>
        <v/>
      </c>
      <c r="X93" s="17">
        <f>IF(COUNT(C93:P93)=0,"",IFERROR(H93/G93,0))</f>
        <v/>
      </c>
      <c r="Y93" s="14">
        <f>IF(COUNT(C93:P93)=0,"",IFERROR(C93/H93,0))</f>
        <v/>
      </c>
      <c r="Z93" s="14">
        <f>IF(COUNT(C93:P93)=0,"",IFERROR(C93/I93,0))</f>
        <v/>
      </c>
      <c r="AA93" s="17">
        <f>IF(COUNT(C93:P93)=0,"",IFERROR(Y93/Q93,0))</f>
        <v/>
      </c>
      <c r="AB93" s="18">
        <f>IF(COUNT(C93:P93)=0,"",IFERROR(H93/D93*1000,0))</f>
        <v/>
      </c>
      <c r="AC93" s="17">
        <f>IF(COUNT(C93:P93)=0,"",IFERROR(J93/H93,0))</f>
        <v/>
      </c>
      <c r="AD93" s="14">
        <f>IF(COUNT(C93:P93)=0,"",IFERROR(C93/J93,0))</f>
        <v/>
      </c>
      <c r="AE93" s="17">
        <f>IF(COUNT(C93:P93)=0,"",IFERROR(K93/H93,0))</f>
        <v/>
      </c>
      <c r="AF93" s="17">
        <f>IF(COUNT(C93:P93)=0,"",IFERROR(L93/H93,0))</f>
        <v/>
      </c>
      <c r="AG93" s="14">
        <f>IF(COUNT(C93:P93)=0,"",IFERROR(C93/K93,0))</f>
        <v/>
      </c>
      <c r="AH93" s="17">
        <f>IF(COUNT(C93:P93)=0,"",IFERROR(M93/K93,0))</f>
        <v/>
      </c>
      <c r="AI93" s="14">
        <f>IF(COUNT(C93:P93)=0,"",IFERROR(C93/M93,0))</f>
        <v/>
      </c>
      <c r="AJ93" s="17">
        <f>IF(COUNT(C93:P93)=0,"",IFERROR(N93/M93,0))</f>
        <v/>
      </c>
      <c r="AK93" s="16">
        <f>IF(COUNT(C93:P93)=0,"",IFERROR(N93/H93,0))</f>
        <v/>
      </c>
      <c r="AL93" s="14">
        <f>IF(COUNT(C93:P93)=0,"",IFERROR(C93/N93,0))</f>
        <v/>
      </c>
      <c r="AM93" s="17">
        <f>IF(COUNT(C93:P93)=0,"",IFERROR(O93/N93,0))</f>
        <v/>
      </c>
      <c r="AN93" s="17">
        <f>IF(COUNT(C93:P93)=0,"",IFERROR(P93/N93,0))</f>
        <v/>
      </c>
      <c r="AO93" s="19">
        <f>IF(COUNT(C93:P93)=0,"",IFERROR(N93*Config!$C$7+O93*Config!$C$8+P93*Config!$C$9,0))</f>
        <v/>
      </c>
      <c r="AP93" s="14">
        <f>IF(COUNT(C93:P93)=0,"",IFERROR(AO93/N93,0))</f>
        <v/>
      </c>
      <c r="AQ93" s="19">
        <f>IF(COUNT(C93:P93)=0,"",IFERROR(AO93*(1-Config!$C$10-Config!$C$11-Config!$C$12),0))</f>
        <v/>
      </c>
      <c r="AR93" s="19">
        <f>IF(COUNT(C93:P93)=0,"",IFERROR(AQ93-C93-Config!$C$13,0))</f>
        <v/>
      </c>
      <c r="AS93" s="20">
        <f>IF(COUNT(C93:P93)=0,"",IFERROR(AQ93/C93,0))</f>
        <v/>
      </c>
      <c r="AT93" s="14">
        <f>IF(COUNT(C93:P93)=0,"",IFERROR(AR93/G93,0))</f>
        <v/>
      </c>
      <c r="AU93" s="20">
        <f>IF(COUNT(C93:P93)=0,"",IFERROR(AT93/V93,0))</f>
        <v/>
      </c>
      <c r="AV93" s="14">
        <f>IF(COUNT(C93:P93)=0,"",IFERROR(AR93/H93,0))</f>
        <v/>
      </c>
    </row>
    <row r="94">
      <c r="A94" s="11">
        <f>Config!$C$6+88</f>
        <v/>
      </c>
      <c r="B94" s="12">
        <f>INT((A94-Config!$C$6)/7)+1</f>
        <v/>
      </c>
      <c r="C94" s="9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4">
        <f>IF(COUNT(C94:P94)=0,"",IFERROR(C94/D94*1000,0))</f>
        <v/>
      </c>
      <c r="R94" s="15">
        <f>IF(COUNT(C94:P94)=0,"",IFERROR(D94/E94,0))</f>
        <v/>
      </c>
      <c r="S94" s="16">
        <f>IF(COUNT(C94:P94)=0,"",IFERROR(F94/D94,0))</f>
        <v/>
      </c>
      <c r="T94" s="14">
        <f>IF(COUNT(C94:P94)=0,"",IFERROR(C94/F94,0))</f>
        <v/>
      </c>
      <c r="U94" s="17">
        <f>IF(COUNT(C94:P94)=0,"",IFERROR(G94/F94,0))</f>
        <v/>
      </c>
      <c r="V94" s="14">
        <f>IF(COUNT(C94:P94)=0,"",IFERROR(C94/G94,0))</f>
        <v/>
      </c>
      <c r="W94" s="18">
        <f>IF(COUNT(C94:P94)=0,"",IFERROR(G94/D94*1000,0))</f>
        <v/>
      </c>
      <c r="X94" s="17">
        <f>IF(COUNT(C94:P94)=0,"",IFERROR(H94/G94,0))</f>
        <v/>
      </c>
      <c r="Y94" s="14">
        <f>IF(COUNT(C94:P94)=0,"",IFERROR(C94/H94,0))</f>
        <v/>
      </c>
      <c r="Z94" s="14">
        <f>IF(COUNT(C94:P94)=0,"",IFERROR(C94/I94,0))</f>
        <v/>
      </c>
      <c r="AA94" s="17">
        <f>IF(COUNT(C94:P94)=0,"",IFERROR(Y94/Q94,0))</f>
        <v/>
      </c>
      <c r="AB94" s="18">
        <f>IF(COUNT(C94:P94)=0,"",IFERROR(H94/D94*1000,0))</f>
        <v/>
      </c>
      <c r="AC94" s="17">
        <f>IF(COUNT(C94:P94)=0,"",IFERROR(J94/H94,0))</f>
        <v/>
      </c>
      <c r="AD94" s="14">
        <f>IF(COUNT(C94:P94)=0,"",IFERROR(C94/J94,0))</f>
        <v/>
      </c>
      <c r="AE94" s="17">
        <f>IF(COUNT(C94:P94)=0,"",IFERROR(K94/H94,0))</f>
        <v/>
      </c>
      <c r="AF94" s="17">
        <f>IF(COUNT(C94:P94)=0,"",IFERROR(L94/H94,0))</f>
        <v/>
      </c>
      <c r="AG94" s="14">
        <f>IF(COUNT(C94:P94)=0,"",IFERROR(C94/K94,0))</f>
        <v/>
      </c>
      <c r="AH94" s="17">
        <f>IF(COUNT(C94:P94)=0,"",IFERROR(M94/K94,0))</f>
        <v/>
      </c>
      <c r="AI94" s="14">
        <f>IF(COUNT(C94:P94)=0,"",IFERROR(C94/M94,0))</f>
        <v/>
      </c>
      <c r="AJ94" s="17">
        <f>IF(COUNT(C94:P94)=0,"",IFERROR(N94/M94,0))</f>
        <v/>
      </c>
      <c r="AK94" s="16">
        <f>IF(COUNT(C94:P94)=0,"",IFERROR(N94/H94,0))</f>
        <v/>
      </c>
      <c r="AL94" s="14">
        <f>IF(COUNT(C94:P94)=0,"",IFERROR(C94/N94,0))</f>
        <v/>
      </c>
      <c r="AM94" s="17">
        <f>IF(COUNT(C94:P94)=0,"",IFERROR(O94/N94,0))</f>
        <v/>
      </c>
      <c r="AN94" s="17">
        <f>IF(COUNT(C94:P94)=0,"",IFERROR(P94/N94,0))</f>
        <v/>
      </c>
      <c r="AO94" s="19">
        <f>IF(COUNT(C94:P94)=0,"",IFERROR(N94*Config!$C$7+O94*Config!$C$8+P94*Config!$C$9,0))</f>
        <v/>
      </c>
      <c r="AP94" s="14">
        <f>IF(COUNT(C94:P94)=0,"",IFERROR(AO94/N94,0))</f>
        <v/>
      </c>
      <c r="AQ94" s="19">
        <f>IF(COUNT(C94:P94)=0,"",IFERROR(AO94*(1-Config!$C$10-Config!$C$11-Config!$C$12),0))</f>
        <v/>
      </c>
      <c r="AR94" s="19">
        <f>IF(COUNT(C94:P94)=0,"",IFERROR(AQ94-C94-Config!$C$13,0))</f>
        <v/>
      </c>
      <c r="AS94" s="20">
        <f>IF(COUNT(C94:P94)=0,"",IFERROR(AQ94/C94,0))</f>
        <v/>
      </c>
      <c r="AT94" s="14">
        <f>IF(COUNT(C94:P94)=0,"",IFERROR(AR94/G94,0))</f>
        <v/>
      </c>
      <c r="AU94" s="20">
        <f>IF(COUNT(C94:P94)=0,"",IFERROR(AT94/V94,0))</f>
        <v/>
      </c>
      <c r="AV94" s="14">
        <f>IF(COUNT(C94:P94)=0,"",IFERROR(AR94/H94,0))</f>
        <v/>
      </c>
    </row>
    <row r="95">
      <c r="A95" s="11">
        <f>Config!$C$6+89</f>
        <v/>
      </c>
      <c r="B95" s="12">
        <f>INT((A95-Config!$C$6)/7)+1</f>
        <v/>
      </c>
      <c r="C95" s="9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4">
        <f>IF(COUNT(C95:P95)=0,"",IFERROR(C95/D95*1000,0))</f>
        <v/>
      </c>
      <c r="R95" s="15">
        <f>IF(COUNT(C95:P95)=0,"",IFERROR(D95/E95,0))</f>
        <v/>
      </c>
      <c r="S95" s="16">
        <f>IF(COUNT(C95:P95)=0,"",IFERROR(F95/D95,0))</f>
        <v/>
      </c>
      <c r="T95" s="14">
        <f>IF(COUNT(C95:P95)=0,"",IFERROR(C95/F95,0))</f>
        <v/>
      </c>
      <c r="U95" s="17">
        <f>IF(COUNT(C95:P95)=0,"",IFERROR(G95/F95,0))</f>
        <v/>
      </c>
      <c r="V95" s="14">
        <f>IF(COUNT(C95:P95)=0,"",IFERROR(C95/G95,0))</f>
        <v/>
      </c>
      <c r="W95" s="18">
        <f>IF(COUNT(C95:P95)=0,"",IFERROR(G95/D95*1000,0))</f>
        <v/>
      </c>
      <c r="X95" s="17">
        <f>IF(COUNT(C95:P95)=0,"",IFERROR(H95/G95,0))</f>
        <v/>
      </c>
      <c r="Y95" s="14">
        <f>IF(COUNT(C95:P95)=0,"",IFERROR(C95/H95,0))</f>
        <v/>
      </c>
      <c r="Z95" s="14">
        <f>IF(COUNT(C95:P95)=0,"",IFERROR(C95/I95,0))</f>
        <v/>
      </c>
      <c r="AA95" s="17">
        <f>IF(COUNT(C95:P95)=0,"",IFERROR(Y95/Q95,0))</f>
        <v/>
      </c>
      <c r="AB95" s="18">
        <f>IF(COUNT(C95:P95)=0,"",IFERROR(H95/D95*1000,0))</f>
        <v/>
      </c>
      <c r="AC95" s="17">
        <f>IF(COUNT(C95:P95)=0,"",IFERROR(J95/H95,0))</f>
        <v/>
      </c>
      <c r="AD95" s="14">
        <f>IF(COUNT(C95:P95)=0,"",IFERROR(C95/J95,0))</f>
        <v/>
      </c>
      <c r="AE95" s="17">
        <f>IF(COUNT(C95:P95)=0,"",IFERROR(K95/H95,0))</f>
        <v/>
      </c>
      <c r="AF95" s="17">
        <f>IF(COUNT(C95:P95)=0,"",IFERROR(L95/H95,0))</f>
        <v/>
      </c>
      <c r="AG95" s="14">
        <f>IF(COUNT(C95:P95)=0,"",IFERROR(C95/K95,0))</f>
        <v/>
      </c>
      <c r="AH95" s="17">
        <f>IF(COUNT(C95:P95)=0,"",IFERROR(M95/K95,0))</f>
        <v/>
      </c>
      <c r="AI95" s="14">
        <f>IF(COUNT(C95:P95)=0,"",IFERROR(C95/M95,0))</f>
        <v/>
      </c>
      <c r="AJ95" s="17">
        <f>IF(COUNT(C95:P95)=0,"",IFERROR(N95/M95,0))</f>
        <v/>
      </c>
      <c r="AK95" s="16">
        <f>IF(COUNT(C95:P95)=0,"",IFERROR(N95/H95,0))</f>
        <v/>
      </c>
      <c r="AL95" s="14">
        <f>IF(COUNT(C95:P95)=0,"",IFERROR(C95/N95,0))</f>
        <v/>
      </c>
      <c r="AM95" s="17">
        <f>IF(COUNT(C95:P95)=0,"",IFERROR(O95/N95,0))</f>
        <v/>
      </c>
      <c r="AN95" s="17">
        <f>IF(COUNT(C95:P95)=0,"",IFERROR(P95/N95,0))</f>
        <v/>
      </c>
      <c r="AO95" s="19">
        <f>IF(COUNT(C95:P95)=0,"",IFERROR(N95*Config!$C$7+O95*Config!$C$8+P95*Config!$C$9,0))</f>
        <v/>
      </c>
      <c r="AP95" s="14">
        <f>IF(COUNT(C95:P95)=0,"",IFERROR(AO95/N95,0))</f>
        <v/>
      </c>
      <c r="AQ95" s="19">
        <f>IF(COUNT(C95:P95)=0,"",IFERROR(AO95*(1-Config!$C$10-Config!$C$11-Config!$C$12),0))</f>
        <v/>
      </c>
      <c r="AR95" s="19">
        <f>IF(COUNT(C95:P95)=0,"",IFERROR(AQ95-C95-Config!$C$13,0))</f>
        <v/>
      </c>
      <c r="AS95" s="20">
        <f>IF(COUNT(C95:P95)=0,"",IFERROR(AQ95/C95,0))</f>
        <v/>
      </c>
      <c r="AT95" s="14">
        <f>IF(COUNT(C95:P95)=0,"",IFERROR(AR95/G95,0))</f>
        <v/>
      </c>
      <c r="AU95" s="20">
        <f>IF(COUNT(C95:P95)=0,"",IFERROR(AT95/V95,0))</f>
        <v/>
      </c>
      <c r="AV95" s="14">
        <f>IF(COUNT(C95:P95)=0,"",IFERROR(AR95/H95,0))</f>
        <v/>
      </c>
    </row>
    <row r="96">
      <c r="A96" s="11">
        <f>Config!$C$6+90</f>
        <v/>
      </c>
      <c r="B96" s="12">
        <f>INT((A96-Config!$C$6)/7)+1</f>
        <v/>
      </c>
      <c r="C96" s="9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4">
        <f>IF(COUNT(C96:P96)=0,"",IFERROR(C96/D96*1000,0))</f>
        <v/>
      </c>
      <c r="R96" s="15">
        <f>IF(COUNT(C96:P96)=0,"",IFERROR(D96/E96,0))</f>
        <v/>
      </c>
      <c r="S96" s="16">
        <f>IF(COUNT(C96:P96)=0,"",IFERROR(F96/D96,0))</f>
        <v/>
      </c>
      <c r="T96" s="14">
        <f>IF(COUNT(C96:P96)=0,"",IFERROR(C96/F96,0))</f>
        <v/>
      </c>
      <c r="U96" s="17">
        <f>IF(COUNT(C96:P96)=0,"",IFERROR(G96/F96,0))</f>
        <v/>
      </c>
      <c r="V96" s="14">
        <f>IF(COUNT(C96:P96)=0,"",IFERROR(C96/G96,0))</f>
        <v/>
      </c>
      <c r="W96" s="18">
        <f>IF(COUNT(C96:P96)=0,"",IFERROR(G96/D96*1000,0))</f>
        <v/>
      </c>
      <c r="X96" s="17">
        <f>IF(COUNT(C96:P96)=0,"",IFERROR(H96/G96,0))</f>
        <v/>
      </c>
      <c r="Y96" s="14">
        <f>IF(COUNT(C96:P96)=0,"",IFERROR(C96/H96,0))</f>
        <v/>
      </c>
      <c r="Z96" s="14">
        <f>IF(COUNT(C96:P96)=0,"",IFERROR(C96/I96,0))</f>
        <v/>
      </c>
      <c r="AA96" s="17">
        <f>IF(COUNT(C96:P96)=0,"",IFERROR(Y96/Q96,0))</f>
        <v/>
      </c>
      <c r="AB96" s="18">
        <f>IF(COUNT(C96:P96)=0,"",IFERROR(H96/D96*1000,0))</f>
        <v/>
      </c>
      <c r="AC96" s="17">
        <f>IF(COUNT(C96:P96)=0,"",IFERROR(J96/H96,0))</f>
        <v/>
      </c>
      <c r="AD96" s="14">
        <f>IF(COUNT(C96:P96)=0,"",IFERROR(C96/J96,0))</f>
        <v/>
      </c>
      <c r="AE96" s="17">
        <f>IF(COUNT(C96:P96)=0,"",IFERROR(K96/H96,0))</f>
        <v/>
      </c>
      <c r="AF96" s="17">
        <f>IF(COUNT(C96:P96)=0,"",IFERROR(L96/H96,0))</f>
        <v/>
      </c>
      <c r="AG96" s="14">
        <f>IF(COUNT(C96:P96)=0,"",IFERROR(C96/K96,0))</f>
        <v/>
      </c>
      <c r="AH96" s="17">
        <f>IF(COUNT(C96:P96)=0,"",IFERROR(M96/K96,0))</f>
        <v/>
      </c>
      <c r="AI96" s="14">
        <f>IF(COUNT(C96:P96)=0,"",IFERROR(C96/M96,0))</f>
        <v/>
      </c>
      <c r="AJ96" s="17">
        <f>IF(COUNT(C96:P96)=0,"",IFERROR(N96/M96,0))</f>
        <v/>
      </c>
      <c r="AK96" s="16">
        <f>IF(COUNT(C96:P96)=0,"",IFERROR(N96/H96,0))</f>
        <v/>
      </c>
      <c r="AL96" s="14">
        <f>IF(COUNT(C96:P96)=0,"",IFERROR(C96/N96,0))</f>
        <v/>
      </c>
      <c r="AM96" s="17">
        <f>IF(COUNT(C96:P96)=0,"",IFERROR(O96/N96,0))</f>
        <v/>
      </c>
      <c r="AN96" s="17">
        <f>IF(COUNT(C96:P96)=0,"",IFERROR(P96/N96,0))</f>
        <v/>
      </c>
      <c r="AO96" s="19">
        <f>IF(COUNT(C96:P96)=0,"",IFERROR(N96*Config!$C$7+O96*Config!$C$8+P96*Config!$C$9,0))</f>
        <v/>
      </c>
      <c r="AP96" s="14">
        <f>IF(COUNT(C96:P96)=0,"",IFERROR(AO96/N96,0))</f>
        <v/>
      </c>
      <c r="AQ96" s="19">
        <f>IF(COUNT(C96:P96)=0,"",IFERROR(AO96*(1-Config!$C$10-Config!$C$11-Config!$C$12),0))</f>
        <v/>
      </c>
      <c r="AR96" s="19">
        <f>IF(COUNT(C96:P96)=0,"",IFERROR(AQ96-C96-Config!$C$13,0))</f>
        <v/>
      </c>
      <c r="AS96" s="20">
        <f>IF(COUNT(C96:P96)=0,"",IFERROR(AQ96/C96,0))</f>
        <v/>
      </c>
      <c r="AT96" s="14">
        <f>IF(COUNT(C96:P96)=0,"",IFERROR(AR96/G96,0))</f>
        <v/>
      </c>
      <c r="AU96" s="20">
        <f>IF(COUNT(C96:P96)=0,"",IFERROR(AT96/V96,0))</f>
        <v/>
      </c>
      <c r="AV96" s="14">
        <f>IF(COUNT(C96:P96)=0,"",IFERROR(AR96/H96,0))</f>
        <v/>
      </c>
    </row>
    <row r="97">
      <c r="A97" s="11">
        <f>Config!$C$6+91</f>
        <v/>
      </c>
      <c r="B97" s="12">
        <f>INT((A97-Config!$C$6)/7)+1</f>
        <v/>
      </c>
      <c r="C97" s="9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4">
        <f>IF(COUNT(C97:P97)=0,"",IFERROR(C97/D97*1000,0))</f>
        <v/>
      </c>
      <c r="R97" s="15">
        <f>IF(COUNT(C97:P97)=0,"",IFERROR(D97/E97,0))</f>
        <v/>
      </c>
      <c r="S97" s="16">
        <f>IF(COUNT(C97:P97)=0,"",IFERROR(F97/D97,0))</f>
        <v/>
      </c>
      <c r="T97" s="14">
        <f>IF(COUNT(C97:P97)=0,"",IFERROR(C97/F97,0))</f>
        <v/>
      </c>
      <c r="U97" s="17">
        <f>IF(COUNT(C97:P97)=0,"",IFERROR(G97/F97,0))</f>
        <v/>
      </c>
      <c r="V97" s="14">
        <f>IF(COUNT(C97:P97)=0,"",IFERROR(C97/G97,0))</f>
        <v/>
      </c>
      <c r="W97" s="18">
        <f>IF(COUNT(C97:P97)=0,"",IFERROR(G97/D97*1000,0))</f>
        <v/>
      </c>
      <c r="X97" s="17">
        <f>IF(COUNT(C97:P97)=0,"",IFERROR(H97/G97,0))</f>
        <v/>
      </c>
      <c r="Y97" s="14">
        <f>IF(COUNT(C97:P97)=0,"",IFERROR(C97/H97,0))</f>
        <v/>
      </c>
      <c r="Z97" s="14">
        <f>IF(COUNT(C97:P97)=0,"",IFERROR(C97/I97,0))</f>
        <v/>
      </c>
      <c r="AA97" s="17">
        <f>IF(COUNT(C97:P97)=0,"",IFERROR(Y97/Q97,0))</f>
        <v/>
      </c>
      <c r="AB97" s="18">
        <f>IF(COUNT(C97:P97)=0,"",IFERROR(H97/D97*1000,0))</f>
        <v/>
      </c>
      <c r="AC97" s="17">
        <f>IF(COUNT(C97:P97)=0,"",IFERROR(J97/H97,0))</f>
        <v/>
      </c>
      <c r="AD97" s="14">
        <f>IF(COUNT(C97:P97)=0,"",IFERROR(C97/J97,0))</f>
        <v/>
      </c>
      <c r="AE97" s="17">
        <f>IF(COUNT(C97:P97)=0,"",IFERROR(K97/H97,0))</f>
        <v/>
      </c>
      <c r="AF97" s="17">
        <f>IF(COUNT(C97:P97)=0,"",IFERROR(L97/H97,0))</f>
        <v/>
      </c>
      <c r="AG97" s="14">
        <f>IF(COUNT(C97:P97)=0,"",IFERROR(C97/K97,0))</f>
        <v/>
      </c>
      <c r="AH97" s="17">
        <f>IF(COUNT(C97:P97)=0,"",IFERROR(M97/K97,0))</f>
        <v/>
      </c>
      <c r="AI97" s="14">
        <f>IF(COUNT(C97:P97)=0,"",IFERROR(C97/M97,0))</f>
        <v/>
      </c>
      <c r="AJ97" s="17">
        <f>IF(COUNT(C97:P97)=0,"",IFERROR(N97/M97,0))</f>
        <v/>
      </c>
      <c r="AK97" s="16">
        <f>IF(COUNT(C97:P97)=0,"",IFERROR(N97/H97,0))</f>
        <v/>
      </c>
      <c r="AL97" s="14">
        <f>IF(COUNT(C97:P97)=0,"",IFERROR(C97/N97,0))</f>
        <v/>
      </c>
      <c r="AM97" s="17">
        <f>IF(COUNT(C97:P97)=0,"",IFERROR(O97/N97,0))</f>
        <v/>
      </c>
      <c r="AN97" s="17">
        <f>IF(COUNT(C97:P97)=0,"",IFERROR(P97/N97,0))</f>
        <v/>
      </c>
      <c r="AO97" s="19">
        <f>IF(COUNT(C97:P97)=0,"",IFERROR(N97*Config!$C$7+O97*Config!$C$8+P97*Config!$C$9,0))</f>
        <v/>
      </c>
      <c r="AP97" s="14">
        <f>IF(COUNT(C97:P97)=0,"",IFERROR(AO97/N97,0))</f>
        <v/>
      </c>
      <c r="AQ97" s="19">
        <f>IF(COUNT(C97:P97)=0,"",IFERROR(AO97*(1-Config!$C$10-Config!$C$11-Config!$C$12),0))</f>
        <v/>
      </c>
      <c r="AR97" s="19">
        <f>IF(COUNT(C97:P97)=0,"",IFERROR(AQ97-C97-Config!$C$13,0))</f>
        <v/>
      </c>
      <c r="AS97" s="20">
        <f>IF(COUNT(C97:P97)=0,"",IFERROR(AQ97/C97,0))</f>
        <v/>
      </c>
      <c r="AT97" s="14">
        <f>IF(COUNT(C97:P97)=0,"",IFERROR(AR97/G97,0))</f>
        <v/>
      </c>
      <c r="AU97" s="20">
        <f>IF(COUNT(C97:P97)=0,"",IFERROR(AT97/V97,0))</f>
        <v/>
      </c>
      <c r="AV97" s="14">
        <f>IF(COUNT(C97:P97)=0,"",IFERROR(AR97/H97,0))</f>
        <v/>
      </c>
    </row>
    <row r="98">
      <c r="A98" s="11">
        <f>Config!$C$6+92</f>
        <v/>
      </c>
      <c r="B98" s="12">
        <f>INT((A98-Config!$C$6)/7)+1</f>
        <v/>
      </c>
      <c r="C98" s="9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4">
        <f>IF(COUNT(C98:P98)=0,"",IFERROR(C98/D98*1000,0))</f>
        <v/>
      </c>
      <c r="R98" s="15">
        <f>IF(COUNT(C98:P98)=0,"",IFERROR(D98/E98,0))</f>
        <v/>
      </c>
      <c r="S98" s="16">
        <f>IF(COUNT(C98:P98)=0,"",IFERROR(F98/D98,0))</f>
        <v/>
      </c>
      <c r="T98" s="14">
        <f>IF(COUNT(C98:P98)=0,"",IFERROR(C98/F98,0))</f>
        <v/>
      </c>
      <c r="U98" s="17">
        <f>IF(COUNT(C98:P98)=0,"",IFERROR(G98/F98,0))</f>
        <v/>
      </c>
      <c r="V98" s="14">
        <f>IF(COUNT(C98:P98)=0,"",IFERROR(C98/G98,0))</f>
        <v/>
      </c>
      <c r="W98" s="18">
        <f>IF(COUNT(C98:P98)=0,"",IFERROR(G98/D98*1000,0))</f>
        <v/>
      </c>
      <c r="X98" s="17">
        <f>IF(COUNT(C98:P98)=0,"",IFERROR(H98/G98,0))</f>
        <v/>
      </c>
      <c r="Y98" s="14">
        <f>IF(COUNT(C98:P98)=0,"",IFERROR(C98/H98,0))</f>
        <v/>
      </c>
      <c r="Z98" s="14">
        <f>IF(COUNT(C98:P98)=0,"",IFERROR(C98/I98,0))</f>
        <v/>
      </c>
      <c r="AA98" s="17">
        <f>IF(COUNT(C98:P98)=0,"",IFERROR(Y98/Q98,0))</f>
        <v/>
      </c>
      <c r="AB98" s="18">
        <f>IF(COUNT(C98:P98)=0,"",IFERROR(H98/D98*1000,0))</f>
        <v/>
      </c>
      <c r="AC98" s="17">
        <f>IF(COUNT(C98:P98)=0,"",IFERROR(J98/H98,0))</f>
        <v/>
      </c>
      <c r="AD98" s="14">
        <f>IF(COUNT(C98:P98)=0,"",IFERROR(C98/J98,0))</f>
        <v/>
      </c>
      <c r="AE98" s="17">
        <f>IF(COUNT(C98:P98)=0,"",IFERROR(K98/H98,0))</f>
        <v/>
      </c>
      <c r="AF98" s="17">
        <f>IF(COUNT(C98:P98)=0,"",IFERROR(L98/H98,0))</f>
        <v/>
      </c>
      <c r="AG98" s="14">
        <f>IF(COUNT(C98:P98)=0,"",IFERROR(C98/K98,0))</f>
        <v/>
      </c>
      <c r="AH98" s="17">
        <f>IF(COUNT(C98:P98)=0,"",IFERROR(M98/K98,0))</f>
        <v/>
      </c>
      <c r="AI98" s="14">
        <f>IF(COUNT(C98:P98)=0,"",IFERROR(C98/M98,0))</f>
        <v/>
      </c>
      <c r="AJ98" s="17">
        <f>IF(COUNT(C98:P98)=0,"",IFERROR(N98/M98,0))</f>
        <v/>
      </c>
      <c r="AK98" s="16">
        <f>IF(COUNT(C98:P98)=0,"",IFERROR(N98/H98,0))</f>
        <v/>
      </c>
      <c r="AL98" s="14">
        <f>IF(COUNT(C98:P98)=0,"",IFERROR(C98/N98,0))</f>
        <v/>
      </c>
      <c r="AM98" s="17">
        <f>IF(COUNT(C98:P98)=0,"",IFERROR(O98/N98,0))</f>
        <v/>
      </c>
      <c r="AN98" s="17">
        <f>IF(COUNT(C98:P98)=0,"",IFERROR(P98/N98,0))</f>
        <v/>
      </c>
      <c r="AO98" s="19">
        <f>IF(COUNT(C98:P98)=0,"",IFERROR(N98*Config!$C$7+O98*Config!$C$8+P98*Config!$C$9,0))</f>
        <v/>
      </c>
      <c r="AP98" s="14">
        <f>IF(COUNT(C98:P98)=0,"",IFERROR(AO98/N98,0))</f>
        <v/>
      </c>
      <c r="AQ98" s="19">
        <f>IF(COUNT(C98:P98)=0,"",IFERROR(AO98*(1-Config!$C$10-Config!$C$11-Config!$C$12),0))</f>
        <v/>
      </c>
      <c r="AR98" s="19">
        <f>IF(COUNT(C98:P98)=0,"",IFERROR(AQ98-C98-Config!$C$13,0))</f>
        <v/>
      </c>
      <c r="AS98" s="20">
        <f>IF(COUNT(C98:P98)=0,"",IFERROR(AQ98/C98,0))</f>
        <v/>
      </c>
      <c r="AT98" s="14">
        <f>IF(COUNT(C98:P98)=0,"",IFERROR(AR98/G98,0))</f>
        <v/>
      </c>
      <c r="AU98" s="20">
        <f>IF(COUNT(C98:P98)=0,"",IFERROR(AT98/V98,0))</f>
        <v/>
      </c>
      <c r="AV98" s="14">
        <f>IF(COUNT(C98:P98)=0,"",IFERROR(AR98/H98,0))</f>
        <v/>
      </c>
    </row>
    <row r="99">
      <c r="A99" s="11">
        <f>Config!$C$6+93</f>
        <v/>
      </c>
      <c r="B99" s="12">
        <f>INT((A99-Config!$C$6)/7)+1</f>
        <v/>
      </c>
      <c r="C99" s="9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4">
        <f>IF(COUNT(C99:P99)=0,"",IFERROR(C99/D99*1000,0))</f>
        <v/>
      </c>
      <c r="R99" s="15">
        <f>IF(COUNT(C99:P99)=0,"",IFERROR(D99/E99,0))</f>
        <v/>
      </c>
      <c r="S99" s="16">
        <f>IF(COUNT(C99:P99)=0,"",IFERROR(F99/D99,0))</f>
        <v/>
      </c>
      <c r="T99" s="14">
        <f>IF(COUNT(C99:P99)=0,"",IFERROR(C99/F99,0))</f>
        <v/>
      </c>
      <c r="U99" s="17">
        <f>IF(COUNT(C99:P99)=0,"",IFERROR(G99/F99,0))</f>
        <v/>
      </c>
      <c r="V99" s="14">
        <f>IF(COUNT(C99:P99)=0,"",IFERROR(C99/G99,0))</f>
        <v/>
      </c>
      <c r="W99" s="18">
        <f>IF(COUNT(C99:P99)=0,"",IFERROR(G99/D99*1000,0))</f>
        <v/>
      </c>
      <c r="X99" s="17">
        <f>IF(COUNT(C99:P99)=0,"",IFERROR(H99/G99,0))</f>
        <v/>
      </c>
      <c r="Y99" s="14">
        <f>IF(COUNT(C99:P99)=0,"",IFERROR(C99/H99,0))</f>
        <v/>
      </c>
      <c r="Z99" s="14">
        <f>IF(COUNT(C99:P99)=0,"",IFERROR(C99/I99,0))</f>
        <v/>
      </c>
      <c r="AA99" s="17">
        <f>IF(COUNT(C99:P99)=0,"",IFERROR(Y99/Q99,0))</f>
        <v/>
      </c>
      <c r="AB99" s="18">
        <f>IF(COUNT(C99:P99)=0,"",IFERROR(H99/D99*1000,0))</f>
        <v/>
      </c>
      <c r="AC99" s="17">
        <f>IF(COUNT(C99:P99)=0,"",IFERROR(J99/H99,0))</f>
        <v/>
      </c>
      <c r="AD99" s="14">
        <f>IF(COUNT(C99:P99)=0,"",IFERROR(C99/J99,0))</f>
        <v/>
      </c>
      <c r="AE99" s="17">
        <f>IF(COUNT(C99:P99)=0,"",IFERROR(K99/H99,0))</f>
        <v/>
      </c>
      <c r="AF99" s="17">
        <f>IF(COUNT(C99:P99)=0,"",IFERROR(L99/H99,0))</f>
        <v/>
      </c>
      <c r="AG99" s="14">
        <f>IF(COUNT(C99:P99)=0,"",IFERROR(C99/K99,0))</f>
        <v/>
      </c>
      <c r="AH99" s="17">
        <f>IF(COUNT(C99:P99)=0,"",IFERROR(M99/K99,0))</f>
        <v/>
      </c>
      <c r="AI99" s="14">
        <f>IF(COUNT(C99:P99)=0,"",IFERROR(C99/M99,0))</f>
        <v/>
      </c>
      <c r="AJ99" s="17">
        <f>IF(COUNT(C99:P99)=0,"",IFERROR(N99/M99,0))</f>
        <v/>
      </c>
      <c r="AK99" s="16">
        <f>IF(COUNT(C99:P99)=0,"",IFERROR(N99/H99,0))</f>
        <v/>
      </c>
      <c r="AL99" s="14">
        <f>IF(COUNT(C99:P99)=0,"",IFERROR(C99/N99,0))</f>
        <v/>
      </c>
      <c r="AM99" s="17">
        <f>IF(COUNT(C99:P99)=0,"",IFERROR(O99/N99,0))</f>
        <v/>
      </c>
      <c r="AN99" s="17">
        <f>IF(COUNT(C99:P99)=0,"",IFERROR(P99/N99,0))</f>
        <v/>
      </c>
      <c r="AO99" s="19">
        <f>IF(COUNT(C99:P99)=0,"",IFERROR(N99*Config!$C$7+O99*Config!$C$8+P99*Config!$C$9,0))</f>
        <v/>
      </c>
      <c r="AP99" s="14">
        <f>IF(COUNT(C99:P99)=0,"",IFERROR(AO99/N99,0))</f>
        <v/>
      </c>
      <c r="AQ99" s="19">
        <f>IF(COUNT(C99:P99)=0,"",IFERROR(AO99*(1-Config!$C$10-Config!$C$11-Config!$C$12),0))</f>
        <v/>
      </c>
      <c r="AR99" s="19">
        <f>IF(COUNT(C99:P99)=0,"",IFERROR(AQ99-C99-Config!$C$13,0))</f>
        <v/>
      </c>
      <c r="AS99" s="20">
        <f>IF(COUNT(C99:P99)=0,"",IFERROR(AQ99/C99,0))</f>
        <v/>
      </c>
      <c r="AT99" s="14">
        <f>IF(COUNT(C99:P99)=0,"",IFERROR(AR99/G99,0))</f>
        <v/>
      </c>
      <c r="AU99" s="20">
        <f>IF(COUNT(C99:P99)=0,"",IFERROR(AT99/V99,0))</f>
        <v/>
      </c>
      <c r="AV99" s="14">
        <f>IF(COUNT(C99:P99)=0,"",IFERROR(AR99/H99,0))</f>
        <v/>
      </c>
    </row>
    <row r="100">
      <c r="A100" s="11">
        <f>Config!$C$6+94</f>
        <v/>
      </c>
      <c r="B100" s="12">
        <f>INT((A100-Config!$C$6)/7)+1</f>
        <v/>
      </c>
      <c r="C100" s="9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4">
        <f>IF(COUNT(C100:P100)=0,"",IFERROR(C100/D100*1000,0))</f>
        <v/>
      </c>
      <c r="R100" s="15">
        <f>IF(COUNT(C100:P100)=0,"",IFERROR(D100/E100,0))</f>
        <v/>
      </c>
      <c r="S100" s="16">
        <f>IF(COUNT(C100:P100)=0,"",IFERROR(F100/D100,0))</f>
        <v/>
      </c>
      <c r="T100" s="14">
        <f>IF(COUNT(C100:P100)=0,"",IFERROR(C100/F100,0))</f>
        <v/>
      </c>
      <c r="U100" s="17">
        <f>IF(COUNT(C100:P100)=0,"",IFERROR(G100/F100,0))</f>
        <v/>
      </c>
      <c r="V100" s="14">
        <f>IF(COUNT(C100:P100)=0,"",IFERROR(C100/G100,0))</f>
        <v/>
      </c>
      <c r="W100" s="18">
        <f>IF(COUNT(C100:P100)=0,"",IFERROR(G100/D100*1000,0))</f>
        <v/>
      </c>
      <c r="X100" s="17">
        <f>IF(COUNT(C100:P100)=0,"",IFERROR(H100/G100,0))</f>
        <v/>
      </c>
      <c r="Y100" s="14">
        <f>IF(COUNT(C100:P100)=0,"",IFERROR(C100/H100,0))</f>
        <v/>
      </c>
      <c r="Z100" s="14">
        <f>IF(COUNT(C100:P100)=0,"",IFERROR(C100/I100,0))</f>
        <v/>
      </c>
      <c r="AA100" s="17">
        <f>IF(COUNT(C100:P100)=0,"",IFERROR(Y100/Q100,0))</f>
        <v/>
      </c>
      <c r="AB100" s="18">
        <f>IF(COUNT(C100:P100)=0,"",IFERROR(H100/D100*1000,0))</f>
        <v/>
      </c>
      <c r="AC100" s="17">
        <f>IF(COUNT(C100:P100)=0,"",IFERROR(J100/H100,0))</f>
        <v/>
      </c>
      <c r="AD100" s="14">
        <f>IF(COUNT(C100:P100)=0,"",IFERROR(C100/J100,0))</f>
        <v/>
      </c>
      <c r="AE100" s="17">
        <f>IF(COUNT(C100:P100)=0,"",IFERROR(K100/H100,0))</f>
        <v/>
      </c>
      <c r="AF100" s="17">
        <f>IF(COUNT(C100:P100)=0,"",IFERROR(L100/H100,0))</f>
        <v/>
      </c>
      <c r="AG100" s="14">
        <f>IF(COUNT(C100:P100)=0,"",IFERROR(C100/K100,0))</f>
        <v/>
      </c>
      <c r="AH100" s="17">
        <f>IF(COUNT(C100:P100)=0,"",IFERROR(M100/K100,0))</f>
        <v/>
      </c>
      <c r="AI100" s="14">
        <f>IF(COUNT(C100:P100)=0,"",IFERROR(C100/M100,0))</f>
        <v/>
      </c>
      <c r="AJ100" s="17">
        <f>IF(COUNT(C100:P100)=0,"",IFERROR(N100/M100,0))</f>
        <v/>
      </c>
      <c r="AK100" s="16">
        <f>IF(COUNT(C100:P100)=0,"",IFERROR(N100/H100,0))</f>
        <v/>
      </c>
      <c r="AL100" s="14">
        <f>IF(COUNT(C100:P100)=0,"",IFERROR(C100/N100,0))</f>
        <v/>
      </c>
      <c r="AM100" s="17">
        <f>IF(COUNT(C100:P100)=0,"",IFERROR(O100/N100,0))</f>
        <v/>
      </c>
      <c r="AN100" s="17">
        <f>IF(COUNT(C100:P100)=0,"",IFERROR(P100/N100,0))</f>
        <v/>
      </c>
      <c r="AO100" s="19">
        <f>IF(COUNT(C100:P100)=0,"",IFERROR(N100*Config!$C$7+O100*Config!$C$8+P100*Config!$C$9,0))</f>
        <v/>
      </c>
      <c r="AP100" s="14">
        <f>IF(COUNT(C100:P100)=0,"",IFERROR(AO100/N100,0))</f>
        <v/>
      </c>
      <c r="AQ100" s="19">
        <f>IF(COUNT(C100:P100)=0,"",IFERROR(AO100*(1-Config!$C$10-Config!$C$11-Config!$C$12),0))</f>
        <v/>
      </c>
      <c r="AR100" s="19">
        <f>IF(COUNT(C100:P100)=0,"",IFERROR(AQ100-C100-Config!$C$13,0))</f>
        <v/>
      </c>
      <c r="AS100" s="20">
        <f>IF(COUNT(C100:P100)=0,"",IFERROR(AQ100/C100,0))</f>
        <v/>
      </c>
      <c r="AT100" s="14">
        <f>IF(COUNT(C100:P100)=0,"",IFERROR(AR100/G100,0))</f>
        <v/>
      </c>
      <c r="AU100" s="20">
        <f>IF(COUNT(C100:P100)=0,"",IFERROR(AT100/V100,0))</f>
        <v/>
      </c>
      <c r="AV100" s="14">
        <f>IF(COUNT(C100:P100)=0,"",IFERROR(AR100/H100,0))</f>
        <v/>
      </c>
    </row>
    <row r="101">
      <c r="A101" s="11">
        <f>Config!$C$6+95</f>
        <v/>
      </c>
      <c r="B101" s="12">
        <f>INT((A101-Config!$C$6)/7)+1</f>
        <v/>
      </c>
      <c r="C101" s="9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4">
        <f>IF(COUNT(C101:P101)=0,"",IFERROR(C101/D101*1000,0))</f>
        <v/>
      </c>
      <c r="R101" s="15">
        <f>IF(COUNT(C101:P101)=0,"",IFERROR(D101/E101,0))</f>
        <v/>
      </c>
      <c r="S101" s="16">
        <f>IF(COUNT(C101:P101)=0,"",IFERROR(F101/D101,0))</f>
        <v/>
      </c>
      <c r="T101" s="14">
        <f>IF(COUNT(C101:P101)=0,"",IFERROR(C101/F101,0))</f>
        <v/>
      </c>
      <c r="U101" s="17">
        <f>IF(COUNT(C101:P101)=0,"",IFERROR(G101/F101,0))</f>
        <v/>
      </c>
      <c r="V101" s="14">
        <f>IF(COUNT(C101:P101)=0,"",IFERROR(C101/G101,0))</f>
        <v/>
      </c>
      <c r="W101" s="18">
        <f>IF(COUNT(C101:P101)=0,"",IFERROR(G101/D101*1000,0))</f>
        <v/>
      </c>
      <c r="X101" s="17">
        <f>IF(COUNT(C101:P101)=0,"",IFERROR(H101/G101,0))</f>
        <v/>
      </c>
      <c r="Y101" s="14">
        <f>IF(COUNT(C101:P101)=0,"",IFERROR(C101/H101,0))</f>
        <v/>
      </c>
      <c r="Z101" s="14">
        <f>IF(COUNT(C101:P101)=0,"",IFERROR(C101/I101,0))</f>
        <v/>
      </c>
      <c r="AA101" s="17">
        <f>IF(COUNT(C101:P101)=0,"",IFERROR(Y101/Q101,0))</f>
        <v/>
      </c>
      <c r="AB101" s="18">
        <f>IF(COUNT(C101:P101)=0,"",IFERROR(H101/D101*1000,0))</f>
        <v/>
      </c>
      <c r="AC101" s="17">
        <f>IF(COUNT(C101:P101)=0,"",IFERROR(J101/H101,0))</f>
        <v/>
      </c>
      <c r="AD101" s="14">
        <f>IF(COUNT(C101:P101)=0,"",IFERROR(C101/J101,0))</f>
        <v/>
      </c>
      <c r="AE101" s="17">
        <f>IF(COUNT(C101:P101)=0,"",IFERROR(K101/H101,0))</f>
        <v/>
      </c>
      <c r="AF101" s="17">
        <f>IF(COUNT(C101:P101)=0,"",IFERROR(L101/H101,0))</f>
        <v/>
      </c>
      <c r="AG101" s="14">
        <f>IF(COUNT(C101:P101)=0,"",IFERROR(C101/K101,0))</f>
        <v/>
      </c>
      <c r="AH101" s="17">
        <f>IF(COUNT(C101:P101)=0,"",IFERROR(M101/K101,0))</f>
        <v/>
      </c>
      <c r="AI101" s="14">
        <f>IF(COUNT(C101:P101)=0,"",IFERROR(C101/M101,0))</f>
        <v/>
      </c>
      <c r="AJ101" s="17">
        <f>IF(COUNT(C101:P101)=0,"",IFERROR(N101/M101,0))</f>
        <v/>
      </c>
      <c r="AK101" s="16">
        <f>IF(COUNT(C101:P101)=0,"",IFERROR(N101/H101,0))</f>
        <v/>
      </c>
      <c r="AL101" s="14">
        <f>IF(COUNT(C101:P101)=0,"",IFERROR(C101/N101,0))</f>
        <v/>
      </c>
      <c r="AM101" s="17">
        <f>IF(COUNT(C101:P101)=0,"",IFERROR(O101/N101,0))</f>
        <v/>
      </c>
      <c r="AN101" s="17">
        <f>IF(COUNT(C101:P101)=0,"",IFERROR(P101/N101,0))</f>
        <v/>
      </c>
      <c r="AO101" s="19">
        <f>IF(COUNT(C101:P101)=0,"",IFERROR(N101*Config!$C$7+O101*Config!$C$8+P101*Config!$C$9,0))</f>
        <v/>
      </c>
      <c r="AP101" s="14">
        <f>IF(COUNT(C101:P101)=0,"",IFERROR(AO101/N101,0))</f>
        <v/>
      </c>
      <c r="AQ101" s="19">
        <f>IF(COUNT(C101:P101)=0,"",IFERROR(AO101*(1-Config!$C$10-Config!$C$11-Config!$C$12),0))</f>
        <v/>
      </c>
      <c r="AR101" s="19">
        <f>IF(COUNT(C101:P101)=0,"",IFERROR(AQ101-C101-Config!$C$13,0))</f>
        <v/>
      </c>
      <c r="AS101" s="20">
        <f>IF(COUNT(C101:P101)=0,"",IFERROR(AQ101/C101,0))</f>
        <v/>
      </c>
      <c r="AT101" s="14">
        <f>IF(COUNT(C101:P101)=0,"",IFERROR(AR101/G101,0))</f>
        <v/>
      </c>
      <c r="AU101" s="20">
        <f>IF(COUNT(C101:P101)=0,"",IFERROR(AT101/V101,0))</f>
        <v/>
      </c>
      <c r="AV101" s="14">
        <f>IF(COUNT(C101:P101)=0,"",IFERROR(AR101/H101,0))</f>
        <v/>
      </c>
    </row>
    <row r="102">
      <c r="A102" s="11">
        <f>Config!$C$6+96</f>
        <v/>
      </c>
      <c r="B102" s="12">
        <f>INT((A102-Config!$C$6)/7)+1</f>
        <v/>
      </c>
      <c r="C102" s="9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4">
        <f>IF(COUNT(C102:P102)=0,"",IFERROR(C102/D102*1000,0))</f>
        <v/>
      </c>
      <c r="R102" s="15">
        <f>IF(COUNT(C102:P102)=0,"",IFERROR(D102/E102,0))</f>
        <v/>
      </c>
      <c r="S102" s="16">
        <f>IF(COUNT(C102:P102)=0,"",IFERROR(F102/D102,0))</f>
        <v/>
      </c>
      <c r="T102" s="14">
        <f>IF(COUNT(C102:P102)=0,"",IFERROR(C102/F102,0))</f>
        <v/>
      </c>
      <c r="U102" s="17">
        <f>IF(COUNT(C102:P102)=0,"",IFERROR(G102/F102,0))</f>
        <v/>
      </c>
      <c r="V102" s="14">
        <f>IF(COUNT(C102:P102)=0,"",IFERROR(C102/G102,0))</f>
        <v/>
      </c>
      <c r="W102" s="18">
        <f>IF(COUNT(C102:P102)=0,"",IFERROR(G102/D102*1000,0))</f>
        <v/>
      </c>
      <c r="X102" s="17">
        <f>IF(COUNT(C102:P102)=0,"",IFERROR(H102/G102,0))</f>
        <v/>
      </c>
      <c r="Y102" s="14">
        <f>IF(COUNT(C102:P102)=0,"",IFERROR(C102/H102,0))</f>
        <v/>
      </c>
      <c r="Z102" s="14">
        <f>IF(COUNT(C102:P102)=0,"",IFERROR(C102/I102,0))</f>
        <v/>
      </c>
      <c r="AA102" s="17">
        <f>IF(COUNT(C102:P102)=0,"",IFERROR(Y102/Q102,0))</f>
        <v/>
      </c>
      <c r="AB102" s="18">
        <f>IF(COUNT(C102:P102)=0,"",IFERROR(H102/D102*1000,0))</f>
        <v/>
      </c>
      <c r="AC102" s="17">
        <f>IF(COUNT(C102:P102)=0,"",IFERROR(J102/H102,0))</f>
        <v/>
      </c>
      <c r="AD102" s="14">
        <f>IF(COUNT(C102:P102)=0,"",IFERROR(C102/J102,0))</f>
        <v/>
      </c>
      <c r="AE102" s="17">
        <f>IF(COUNT(C102:P102)=0,"",IFERROR(K102/H102,0))</f>
        <v/>
      </c>
      <c r="AF102" s="17">
        <f>IF(COUNT(C102:P102)=0,"",IFERROR(L102/H102,0))</f>
        <v/>
      </c>
      <c r="AG102" s="14">
        <f>IF(COUNT(C102:P102)=0,"",IFERROR(C102/K102,0))</f>
        <v/>
      </c>
      <c r="AH102" s="17">
        <f>IF(COUNT(C102:P102)=0,"",IFERROR(M102/K102,0))</f>
        <v/>
      </c>
      <c r="AI102" s="14">
        <f>IF(COUNT(C102:P102)=0,"",IFERROR(C102/M102,0))</f>
        <v/>
      </c>
      <c r="AJ102" s="17">
        <f>IF(COUNT(C102:P102)=0,"",IFERROR(N102/M102,0))</f>
        <v/>
      </c>
      <c r="AK102" s="16">
        <f>IF(COUNT(C102:P102)=0,"",IFERROR(N102/H102,0))</f>
        <v/>
      </c>
      <c r="AL102" s="14">
        <f>IF(COUNT(C102:P102)=0,"",IFERROR(C102/N102,0))</f>
        <v/>
      </c>
      <c r="AM102" s="17">
        <f>IF(COUNT(C102:P102)=0,"",IFERROR(O102/N102,0))</f>
        <v/>
      </c>
      <c r="AN102" s="17">
        <f>IF(COUNT(C102:P102)=0,"",IFERROR(P102/N102,0))</f>
        <v/>
      </c>
      <c r="AO102" s="19">
        <f>IF(COUNT(C102:P102)=0,"",IFERROR(N102*Config!$C$7+O102*Config!$C$8+P102*Config!$C$9,0))</f>
        <v/>
      </c>
      <c r="AP102" s="14">
        <f>IF(COUNT(C102:P102)=0,"",IFERROR(AO102/N102,0))</f>
        <v/>
      </c>
      <c r="AQ102" s="19">
        <f>IF(COUNT(C102:P102)=0,"",IFERROR(AO102*(1-Config!$C$10-Config!$C$11-Config!$C$12),0))</f>
        <v/>
      </c>
      <c r="AR102" s="19">
        <f>IF(COUNT(C102:P102)=0,"",IFERROR(AQ102-C102-Config!$C$13,0))</f>
        <v/>
      </c>
      <c r="AS102" s="20">
        <f>IF(COUNT(C102:P102)=0,"",IFERROR(AQ102/C102,0))</f>
        <v/>
      </c>
      <c r="AT102" s="14">
        <f>IF(COUNT(C102:P102)=0,"",IFERROR(AR102/G102,0))</f>
        <v/>
      </c>
      <c r="AU102" s="20">
        <f>IF(COUNT(C102:P102)=0,"",IFERROR(AT102/V102,0))</f>
        <v/>
      </c>
      <c r="AV102" s="14">
        <f>IF(COUNT(C102:P102)=0,"",IFERROR(AR102/H102,0))</f>
        <v/>
      </c>
    </row>
    <row r="103">
      <c r="A103" s="11">
        <f>Config!$C$6+97</f>
        <v/>
      </c>
      <c r="B103" s="12">
        <f>INT((A103-Config!$C$6)/7)+1</f>
        <v/>
      </c>
      <c r="C103" s="9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4">
        <f>IF(COUNT(C103:P103)=0,"",IFERROR(C103/D103*1000,0))</f>
        <v/>
      </c>
      <c r="R103" s="15">
        <f>IF(COUNT(C103:P103)=0,"",IFERROR(D103/E103,0))</f>
        <v/>
      </c>
      <c r="S103" s="16">
        <f>IF(COUNT(C103:P103)=0,"",IFERROR(F103/D103,0))</f>
        <v/>
      </c>
      <c r="T103" s="14">
        <f>IF(COUNT(C103:P103)=0,"",IFERROR(C103/F103,0))</f>
        <v/>
      </c>
      <c r="U103" s="17">
        <f>IF(COUNT(C103:P103)=0,"",IFERROR(G103/F103,0))</f>
        <v/>
      </c>
      <c r="V103" s="14">
        <f>IF(COUNT(C103:P103)=0,"",IFERROR(C103/G103,0))</f>
        <v/>
      </c>
      <c r="W103" s="18">
        <f>IF(COUNT(C103:P103)=0,"",IFERROR(G103/D103*1000,0))</f>
        <v/>
      </c>
      <c r="X103" s="17">
        <f>IF(COUNT(C103:P103)=0,"",IFERROR(H103/G103,0))</f>
        <v/>
      </c>
      <c r="Y103" s="14">
        <f>IF(COUNT(C103:P103)=0,"",IFERROR(C103/H103,0))</f>
        <v/>
      </c>
      <c r="Z103" s="14">
        <f>IF(COUNT(C103:P103)=0,"",IFERROR(C103/I103,0))</f>
        <v/>
      </c>
      <c r="AA103" s="17">
        <f>IF(COUNT(C103:P103)=0,"",IFERROR(Y103/Q103,0))</f>
        <v/>
      </c>
      <c r="AB103" s="18">
        <f>IF(COUNT(C103:P103)=0,"",IFERROR(H103/D103*1000,0))</f>
        <v/>
      </c>
      <c r="AC103" s="17">
        <f>IF(COUNT(C103:P103)=0,"",IFERROR(J103/H103,0))</f>
        <v/>
      </c>
      <c r="AD103" s="14">
        <f>IF(COUNT(C103:P103)=0,"",IFERROR(C103/J103,0))</f>
        <v/>
      </c>
      <c r="AE103" s="17">
        <f>IF(COUNT(C103:P103)=0,"",IFERROR(K103/H103,0))</f>
        <v/>
      </c>
      <c r="AF103" s="17">
        <f>IF(COUNT(C103:P103)=0,"",IFERROR(L103/H103,0))</f>
        <v/>
      </c>
      <c r="AG103" s="14">
        <f>IF(COUNT(C103:P103)=0,"",IFERROR(C103/K103,0))</f>
        <v/>
      </c>
      <c r="AH103" s="17">
        <f>IF(COUNT(C103:P103)=0,"",IFERROR(M103/K103,0))</f>
        <v/>
      </c>
      <c r="AI103" s="14">
        <f>IF(COUNT(C103:P103)=0,"",IFERROR(C103/M103,0))</f>
        <v/>
      </c>
      <c r="AJ103" s="17">
        <f>IF(COUNT(C103:P103)=0,"",IFERROR(N103/M103,0))</f>
        <v/>
      </c>
      <c r="AK103" s="16">
        <f>IF(COUNT(C103:P103)=0,"",IFERROR(N103/H103,0))</f>
        <v/>
      </c>
      <c r="AL103" s="14">
        <f>IF(COUNT(C103:P103)=0,"",IFERROR(C103/N103,0))</f>
        <v/>
      </c>
      <c r="AM103" s="17">
        <f>IF(COUNT(C103:P103)=0,"",IFERROR(O103/N103,0))</f>
        <v/>
      </c>
      <c r="AN103" s="17">
        <f>IF(COUNT(C103:P103)=0,"",IFERROR(P103/N103,0))</f>
        <v/>
      </c>
      <c r="AO103" s="19">
        <f>IF(COUNT(C103:P103)=0,"",IFERROR(N103*Config!$C$7+O103*Config!$C$8+P103*Config!$C$9,0))</f>
        <v/>
      </c>
      <c r="AP103" s="14">
        <f>IF(COUNT(C103:P103)=0,"",IFERROR(AO103/N103,0))</f>
        <v/>
      </c>
      <c r="AQ103" s="19">
        <f>IF(COUNT(C103:P103)=0,"",IFERROR(AO103*(1-Config!$C$10-Config!$C$11-Config!$C$12),0))</f>
        <v/>
      </c>
      <c r="AR103" s="19">
        <f>IF(COUNT(C103:P103)=0,"",IFERROR(AQ103-C103-Config!$C$13,0))</f>
        <v/>
      </c>
      <c r="AS103" s="20">
        <f>IF(COUNT(C103:P103)=0,"",IFERROR(AQ103/C103,0))</f>
        <v/>
      </c>
      <c r="AT103" s="14">
        <f>IF(COUNT(C103:P103)=0,"",IFERROR(AR103/G103,0))</f>
        <v/>
      </c>
      <c r="AU103" s="20">
        <f>IF(COUNT(C103:P103)=0,"",IFERROR(AT103/V103,0))</f>
        <v/>
      </c>
      <c r="AV103" s="14">
        <f>IF(COUNT(C103:P103)=0,"",IFERROR(AR103/H103,0))</f>
        <v/>
      </c>
    </row>
    <row r="104">
      <c r="A104" s="11">
        <f>Config!$C$6+98</f>
        <v/>
      </c>
      <c r="B104" s="12">
        <f>INT((A104-Config!$C$6)/7)+1</f>
        <v/>
      </c>
      <c r="C104" s="9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4">
        <f>IF(COUNT(C104:P104)=0,"",IFERROR(C104/D104*1000,0))</f>
        <v/>
      </c>
      <c r="R104" s="15">
        <f>IF(COUNT(C104:P104)=0,"",IFERROR(D104/E104,0))</f>
        <v/>
      </c>
      <c r="S104" s="16">
        <f>IF(COUNT(C104:P104)=0,"",IFERROR(F104/D104,0))</f>
        <v/>
      </c>
      <c r="T104" s="14">
        <f>IF(COUNT(C104:P104)=0,"",IFERROR(C104/F104,0))</f>
        <v/>
      </c>
      <c r="U104" s="17">
        <f>IF(COUNT(C104:P104)=0,"",IFERROR(G104/F104,0))</f>
        <v/>
      </c>
      <c r="V104" s="14">
        <f>IF(COUNT(C104:P104)=0,"",IFERROR(C104/G104,0))</f>
        <v/>
      </c>
      <c r="W104" s="18">
        <f>IF(COUNT(C104:P104)=0,"",IFERROR(G104/D104*1000,0))</f>
        <v/>
      </c>
      <c r="X104" s="17">
        <f>IF(COUNT(C104:P104)=0,"",IFERROR(H104/G104,0))</f>
        <v/>
      </c>
      <c r="Y104" s="14">
        <f>IF(COUNT(C104:P104)=0,"",IFERROR(C104/H104,0))</f>
        <v/>
      </c>
      <c r="Z104" s="14">
        <f>IF(COUNT(C104:P104)=0,"",IFERROR(C104/I104,0))</f>
        <v/>
      </c>
      <c r="AA104" s="17">
        <f>IF(COUNT(C104:P104)=0,"",IFERROR(Y104/Q104,0))</f>
        <v/>
      </c>
      <c r="AB104" s="18">
        <f>IF(COUNT(C104:P104)=0,"",IFERROR(H104/D104*1000,0))</f>
        <v/>
      </c>
      <c r="AC104" s="17">
        <f>IF(COUNT(C104:P104)=0,"",IFERROR(J104/H104,0))</f>
        <v/>
      </c>
      <c r="AD104" s="14">
        <f>IF(COUNT(C104:P104)=0,"",IFERROR(C104/J104,0))</f>
        <v/>
      </c>
      <c r="AE104" s="17">
        <f>IF(COUNT(C104:P104)=0,"",IFERROR(K104/H104,0))</f>
        <v/>
      </c>
      <c r="AF104" s="17">
        <f>IF(COUNT(C104:P104)=0,"",IFERROR(L104/H104,0))</f>
        <v/>
      </c>
      <c r="AG104" s="14">
        <f>IF(COUNT(C104:P104)=0,"",IFERROR(C104/K104,0))</f>
        <v/>
      </c>
      <c r="AH104" s="17">
        <f>IF(COUNT(C104:P104)=0,"",IFERROR(M104/K104,0))</f>
        <v/>
      </c>
      <c r="AI104" s="14">
        <f>IF(COUNT(C104:P104)=0,"",IFERROR(C104/M104,0))</f>
        <v/>
      </c>
      <c r="AJ104" s="17">
        <f>IF(COUNT(C104:P104)=0,"",IFERROR(N104/M104,0))</f>
        <v/>
      </c>
      <c r="AK104" s="16">
        <f>IF(COUNT(C104:P104)=0,"",IFERROR(N104/H104,0))</f>
        <v/>
      </c>
      <c r="AL104" s="14">
        <f>IF(COUNT(C104:P104)=0,"",IFERROR(C104/N104,0))</f>
        <v/>
      </c>
      <c r="AM104" s="17">
        <f>IF(COUNT(C104:P104)=0,"",IFERROR(O104/N104,0))</f>
        <v/>
      </c>
      <c r="AN104" s="17">
        <f>IF(COUNT(C104:P104)=0,"",IFERROR(P104/N104,0))</f>
        <v/>
      </c>
      <c r="AO104" s="19">
        <f>IF(COUNT(C104:P104)=0,"",IFERROR(N104*Config!$C$7+O104*Config!$C$8+P104*Config!$C$9,0))</f>
        <v/>
      </c>
      <c r="AP104" s="14">
        <f>IF(COUNT(C104:P104)=0,"",IFERROR(AO104/N104,0))</f>
        <v/>
      </c>
      <c r="AQ104" s="19">
        <f>IF(COUNT(C104:P104)=0,"",IFERROR(AO104*(1-Config!$C$10-Config!$C$11-Config!$C$12),0))</f>
        <v/>
      </c>
      <c r="AR104" s="19">
        <f>IF(COUNT(C104:P104)=0,"",IFERROR(AQ104-C104-Config!$C$13,0))</f>
        <v/>
      </c>
      <c r="AS104" s="20">
        <f>IF(COUNT(C104:P104)=0,"",IFERROR(AQ104/C104,0))</f>
        <v/>
      </c>
      <c r="AT104" s="14">
        <f>IF(COUNT(C104:P104)=0,"",IFERROR(AR104/G104,0))</f>
        <v/>
      </c>
      <c r="AU104" s="20">
        <f>IF(COUNT(C104:P104)=0,"",IFERROR(AT104/V104,0))</f>
        <v/>
      </c>
      <c r="AV104" s="14">
        <f>IF(COUNT(C104:P104)=0,"",IFERROR(AR104/H104,0))</f>
        <v/>
      </c>
    </row>
    <row r="105">
      <c r="A105" s="11">
        <f>Config!$C$6+99</f>
        <v/>
      </c>
      <c r="B105" s="12">
        <f>INT((A105-Config!$C$6)/7)+1</f>
        <v/>
      </c>
      <c r="C105" s="9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4">
        <f>IF(COUNT(C105:P105)=0,"",IFERROR(C105/D105*1000,0))</f>
        <v/>
      </c>
      <c r="R105" s="15">
        <f>IF(COUNT(C105:P105)=0,"",IFERROR(D105/E105,0))</f>
        <v/>
      </c>
      <c r="S105" s="16">
        <f>IF(COUNT(C105:P105)=0,"",IFERROR(F105/D105,0))</f>
        <v/>
      </c>
      <c r="T105" s="14">
        <f>IF(COUNT(C105:P105)=0,"",IFERROR(C105/F105,0))</f>
        <v/>
      </c>
      <c r="U105" s="17">
        <f>IF(COUNT(C105:P105)=0,"",IFERROR(G105/F105,0))</f>
        <v/>
      </c>
      <c r="V105" s="14">
        <f>IF(COUNT(C105:P105)=0,"",IFERROR(C105/G105,0))</f>
        <v/>
      </c>
      <c r="W105" s="18">
        <f>IF(COUNT(C105:P105)=0,"",IFERROR(G105/D105*1000,0))</f>
        <v/>
      </c>
      <c r="X105" s="17">
        <f>IF(COUNT(C105:P105)=0,"",IFERROR(H105/G105,0))</f>
        <v/>
      </c>
      <c r="Y105" s="14">
        <f>IF(COUNT(C105:P105)=0,"",IFERROR(C105/H105,0))</f>
        <v/>
      </c>
      <c r="Z105" s="14">
        <f>IF(COUNT(C105:P105)=0,"",IFERROR(C105/I105,0))</f>
        <v/>
      </c>
      <c r="AA105" s="17">
        <f>IF(COUNT(C105:P105)=0,"",IFERROR(Y105/Q105,0))</f>
        <v/>
      </c>
      <c r="AB105" s="18">
        <f>IF(COUNT(C105:P105)=0,"",IFERROR(H105/D105*1000,0))</f>
        <v/>
      </c>
      <c r="AC105" s="17">
        <f>IF(COUNT(C105:P105)=0,"",IFERROR(J105/H105,0))</f>
        <v/>
      </c>
      <c r="AD105" s="14">
        <f>IF(COUNT(C105:P105)=0,"",IFERROR(C105/J105,0))</f>
        <v/>
      </c>
      <c r="AE105" s="17">
        <f>IF(COUNT(C105:P105)=0,"",IFERROR(K105/H105,0))</f>
        <v/>
      </c>
      <c r="AF105" s="17">
        <f>IF(COUNT(C105:P105)=0,"",IFERROR(L105/H105,0))</f>
        <v/>
      </c>
      <c r="AG105" s="14">
        <f>IF(COUNT(C105:P105)=0,"",IFERROR(C105/K105,0))</f>
        <v/>
      </c>
      <c r="AH105" s="17">
        <f>IF(COUNT(C105:P105)=0,"",IFERROR(M105/K105,0))</f>
        <v/>
      </c>
      <c r="AI105" s="14">
        <f>IF(COUNT(C105:P105)=0,"",IFERROR(C105/M105,0))</f>
        <v/>
      </c>
      <c r="AJ105" s="17">
        <f>IF(COUNT(C105:P105)=0,"",IFERROR(N105/M105,0))</f>
        <v/>
      </c>
      <c r="AK105" s="16">
        <f>IF(COUNT(C105:P105)=0,"",IFERROR(N105/H105,0))</f>
        <v/>
      </c>
      <c r="AL105" s="14">
        <f>IF(COUNT(C105:P105)=0,"",IFERROR(C105/N105,0))</f>
        <v/>
      </c>
      <c r="AM105" s="17">
        <f>IF(COUNT(C105:P105)=0,"",IFERROR(O105/N105,0))</f>
        <v/>
      </c>
      <c r="AN105" s="17">
        <f>IF(COUNT(C105:P105)=0,"",IFERROR(P105/N105,0))</f>
        <v/>
      </c>
      <c r="AO105" s="19">
        <f>IF(COUNT(C105:P105)=0,"",IFERROR(N105*Config!$C$7+O105*Config!$C$8+P105*Config!$C$9,0))</f>
        <v/>
      </c>
      <c r="AP105" s="14">
        <f>IF(COUNT(C105:P105)=0,"",IFERROR(AO105/N105,0))</f>
        <v/>
      </c>
      <c r="AQ105" s="19">
        <f>IF(COUNT(C105:P105)=0,"",IFERROR(AO105*(1-Config!$C$10-Config!$C$11-Config!$C$12),0))</f>
        <v/>
      </c>
      <c r="AR105" s="19">
        <f>IF(COUNT(C105:P105)=0,"",IFERROR(AQ105-C105-Config!$C$13,0))</f>
        <v/>
      </c>
      <c r="AS105" s="20">
        <f>IF(COUNT(C105:P105)=0,"",IFERROR(AQ105/C105,0))</f>
        <v/>
      </c>
      <c r="AT105" s="14">
        <f>IF(COUNT(C105:P105)=0,"",IFERROR(AR105/G105,0))</f>
        <v/>
      </c>
      <c r="AU105" s="20">
        <f>IF(COUNT(C105:P105)=0,"",IFERROR(AT105/V105,0))</f>
        <v/>
      </c>
      <c r="AV105" s="14">
        <f>IF(COUNT(C105:P105)=0,"",IFERROR(AR105/H105,0))</f>
        <v/>
      </c>
    </row>
    <row r="106">
      <c r="A106" s="11">
        <f>Config!$C$6+100</f>
        <v/>
      </c>
      <c r="B106" s="12">
        <f>INT((A106-Config!$C$6)/7)+1</f>
        <v/>
      </c>
      <c r="C106" s="9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4">
        <f>IF(COUNT(C106:P106)=0,"",IFERROR(C106/D106*1000,0))</f>
        <v/>
      </c>
      <c r="R106" s="15">
        <f>IF(COUNT(C106:P106)=0,"",IFERROR(D106/E106,0))</f>
        <v/>
      </c>
      <c r="S106" s="16">
        <f>IF(COUNT(C106:P106)=0,"",IFERROR(F106/D106,0))</f>
        <v/>
      </c>
      <c r="T106" s="14">
        <f>IF(COUNT(C106:P106)=0,"",IFERROR(C106/F106,0))</f>
        <v/>
      </c>
      <c r="U106" s="17">
        <f>IF(COUNT(C106:P106)=0,"",IFERROR(G106/F106,0))</f>
        <v/>
      </c>
      <c r="V106" s="14">
        <f>IF(COUNT(C106:P106)=0,"",IFERROR(C106/G106,0))</f>
        <v/>
      </c>
      <c r="W106" s="18">
        <f>IF(COUNT(C106:P106)=0,"",IFERROR(G106/D106*1000,0))</f>
        <v/>
      </c>
      <c r="X106" s="17">
        <f>IF(COUNT(C106:P106)=0,"",IFERROR(H106/G106,0))</f>
        <v/>
      </c>
      <c r="Y106" s="14">
        <f>IF(COUNT(C106:P106)=0,"",IFERROR(C106/H106,0))</f>
        <v/>
      </c>
      <c r="Z106" s="14">
        <f>IF(COUNT(C106:P106)=0,"",IFERROR(C106/I106,0))</f>
        <v/>
      </c>
      <c r="AA106" s="17">
        <f>IF(COUNT(C106:P106)=0,"",IFERROR(Y106/Q106,0))</f>
        <v/>
      </c>
      <c r="AB106" s="18">
        <f>IF(COUNT(C106:P106)=0,"",IFERROR(H106/D106*1000,0))</f>
        <v/>
      </c>
      <c r="AC106" s="17">
        <f>IF(COUNT(C106:P106)=0,"",IFERROR(J106/H106,0))</f>
        <v/>
      </c>
      <c r="AD106" s="14">
        <f>IF(COUNT(C106:P106)=0,"",IFERROR(C106/J106,0))</f>
        <v/>
      </c>
      <c r="AE106" s="17">
        <f>IF(COUNT(C106:P106)=0,"",IFERROR(K106/H106,0))</f>
        <v/>
      </c>
      <c r="AF106" s="17">
        <f>IF(COUNT(C106:P106)=0,"",IFERROR(L106/H106,0))</f>
        <v/>
      </c>
      <c r="AG106" s="14">
        <f>IF(COUNT(C106:P106)=0,"",IFERROR(C106/K106,0))</f>
        <v/>
      </c>
      <c r="AH106" s="17">
        <f>IF(COUNT(C106:P106)=0,"",IFERROR(M106/K106,0))</f>
        <v/>
      </c>
      <c r="AI106" s="14">
        <f>IF(COUNT(C106:P106)=0,"",IFERROR(C106/M106,0))</f>
        <v/>
      </c>
      <c r="AJ106" s="17">
        <f>IF(COUNT(C106:P106)=0,"",IFERROR(N106/M106,0))</f>
        <v/>
      </c>
      <c r="AK106" s="16">
        <f>IF(COUNT(C106:P106)=0,"",IFERROR(N106/H106,0))</f>
        <v/>
      </c>
      <c r="AL106" s="14">
        <f>IF(COUNT(C106:P106)=0,"",IFERROR(C106/N106,0))</f>
        <v/>
      </c>
      <c r="AM106" s="17">
        <f>IF(COUNT(C106:P106)=0,"",IFERROR(O106/N106,0))</f>
        <v/>
      </c>
      <c r="AN106" s="17">
        <f>IF(COUNT(C106:P106)=0,"",IFERROR(P106/N106,0))</f>
        <v/>
      </c>
      <c r="AO106" s="19">
        <f>IF(COUNT(C106:P106)=0,"",IFERROR(N106*Config!$C$7+O106*Config!$C$8+P106*Config!$C$9,0))</f>
        <v/>
      </c>
      <c r="AP106" s="14">
        <f>IF(COUNT(C106:P106)=0,"",IFERROR(AO106/N106,0))</f>
        <v/>
      </c>
      <c r="AQ106" s="19">
        <f>IF(COUNT(C106:P106)=0,"",IFERROR(AO106*(1-Config!$C$10-Config!$C$11-Config!$C$12),0))</f>
        <v/>
      </c>
      <c r="AR106" s="19">
        <f>IF(COUNT(C106:P106)=0,"",IFERROR(AQ106-C106-Config!$C$13,0))</f>
        <v/>
      </c>
      <c r="AS106" s="20">
        <f>IF(COUNT(C106:P106)=0,"",IFERROR(AQ106/C106,0))</f>
        <v/>
      </c>
      <c r="AT106" s="14">
        <f>IF(COUNT(C106:P106)=0,"",IFERROR(AR106/G106,0))</f>
        <v/>
      </c>
      <c r="AU106" s="20">
        <f>IF(COUNT(C106:P106)=0,"",IFERROR(AT106/V106,0))</f>
        <v/>
      </c>
      <c r="AV106" s="14">
        <f>IF(COUNT(C106:P106)=0,"",IFERROR(AR106/H106,0))</f>
        <v/>
      </c>
    </row>
    <row r="107">
      <c r="A107" s="11">
        <f>Config!$C$6+101</f>
        <v/>
      </c>
      <c r="B107" s="12">
        <f>INT((A107-Config!$C$6)/7)+1</f>
        <v/>
      </c>
      <c r="C107" s="9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4">
        <f>IF(COUNT(C107:P107)=0,"",IFERROR(C107/D107*1000,0))</f>
        <v/>
      </c>
      <c r="R107" s="15">
        <f>IF(COUNT(C107:P107)=0,"",IFERROR(D107/E107,0))</f>
        <v/>
      </c>
      <c r="S107" s="16">
        <f>IF(COUNT(C107:P107)=0,"",IFERROR(F107/D107,0))</f>
        <v/>
      </c>
      <c r="T107" s="14">
        <f>IF(COUNT(C107:P107)=0,"",IFERROR(C107/F107,0))</f>
        <v/>
      </c>
      <c r="U107" s="17">
        <f>IF(COUNT(C107:P107)=0,"",IFERROR(G107/F107,0))</f>
        <v/>
      </c>
      <c r="V107" s="14">
        <f>IF(COUNT(C107:P107)=0,"",IFERROR(C107/G107,0))</f>
        <v/>
      </c>
      <c r="W107" s="18">
        <f>IF(COUNT(C107:P107)=0,"",IFERROR(G107/D107*1000,0))</f>
        <v/>
      </c>
      <c r="X107" s="17">
        <f>IF(COUNT(C107:P107)=0,"",IFERROR(H107/G107,0))</f>
        <v/>
      </c>
      <c r="Y107" s="14">
        <f>IF(COUNT(C107:P107)=0,"",IFERROR(C107/H107,0))</f>
        <v/>
      </c>
      <c r="Z107" s="14">
        <f>IF(COUNT(C107:P107)=0,"",IFERROR(C107/I107,0))</f>
        <v/>
      </c>
      <c r="AA107" s="17">
        <f>IF(COUNT(C107:P107)=0,"",IFERROR(Y107/Q107,0))</f>
        <v/>
      </c>
      <c r="AB107" s="18">
        <f>IF(COUNT(C107:P107)=0,"",IFERROR(H107/D107*1000,0))</f>
        <v/>
      </c>
      <c r="AC107" s="17">
        <f>IF(COUNT(C107:P107)=0,"",IFERROR(J107/H107,0))</f>
        <v/>
      </c>
      <c r="AD107" s="14">
        <f>IF(COUNT(C107:P107)=0,"",IFERROR(C107/J107,0))</f>
        <v/>
      </c>
      <c r="AE107" s="17">
        <f>IF(COUNT(C107:P107)=0,"",IFERROR(K107/H107,0))</f>
        <v/>
      </c>
      <c r="AF107" s="17">
        <f>IF(COUNT(C107:P107)=0,"",IFERROR(L107/H107,0))</f>
        <v/>
      </c>
      <c r="AG107" s="14">
        <f>IF(COUNT(C107:P107)=0,"",IFERROR(C107/K107,0))</f>
        <v/>
      </c>
      <c r="AH107" s="17">
        <f>IF(COUNT(C107:P107)=0,"",IFERROR(M107/K107,0))</f>
        <v/>
      </c>
      <c r="AI107" s="14">
        <f>IF(COUNT(C107:P107)=0,"",IFERROR(C107/M107,0))</f>
        <v/>
      </c>
      <c r="AJ107" s="17">
        <f>IF(COUNT(C107:P107)=0,"",IFERROR(N107/M107,0))</f>
        <v/>
      </c>
      <c r="AK107" s="16">
        <f>IF(COUNT(C107:P107)=0,"",IFERROR(N107/H107,0))</f>
        <v/>
      </c>
      <c r="AL107" s="14">
        <f>IF(COUNT(C107:P107)=0,"",IFERROR(C107/N107,0))</f>
        <v/>
      </c>
      <c r="AM107" s="17">
        <f>IF(COUNT(C107:P107)=0,"",IFERROR(O107/N107,0))</f>
        <v/>
      </c>
      <c r="AN107" s="17">
        <f>IF(COUNT(C107:P107)=0,"",IFERROR(P107/N107,0))</f>
        <v/>
      </c>
      <c r="AO107" s="19">
        <f>IF(COUNT(C107:P107)=0,"",IFERROR(N107*Config!$C$7+O107*Config!$C$8+P107*Config!$C$9,0))</f>
        <v/>
      </c>
      <c r="AP107" s="14">
        <f>IF(COUNT(C107:P107)=0,"",IFERROR(AO107/N107,0))</f>
        <v/>
      </c>
      <c r="AQ107" s="19">
        <f>IF(COUNT(C107:P107)=0,"",IFERROR(AO107*(1-Config!$C$10-Config!$C$11-Config!$C$12),0))</f>
        <v/>
      </c>
      <c r="AR107" s="19">
        <f>IF(COUNT(C107:P107)=0,"",IFERROR(AQ107-C107-Config!$C$13,0))</f>
        <v/>
      </c>
      <c r="AS107" s="20">
        <f>IF(COUNT(C107:P107)=0,"",IFERROR(AQ107/C107,0))</f>
        <v/>
      </c>
      <c r="AT107" s="14">
        <f>IF(COUNT(C107:P107)=0,"",IFERROR(AR107/G107,0))</f>
        <v/>
      </c>
      <c r="AU107" s="20">
        <f>IF(COUNT(C107:P107)=0,"",IFERROR(AT107/V107,0))</f>
        <v/>
      </c>
      <c r="AV107" s="14">
        <f>IF(COUNT(C107:P107)=0,"",IFERROR(AR107/H107,0))</f>
        <v/>
      </c>
    </row>
    <row r="108">
      <c r="A108" s="11">
        <f>Config!$C$6+102</f>
        <v/>
      </c>
      <c r="B108" s="12">
        <f>INT((A108-Config!$C$6)/7)+1</f>
        <v/>
      </c>
      <c r="C108" s="9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4">
        <f>IF(COUNT(C108:P108)=0,"",IFERROR(C108/D108*1000,0))</f>
        <v/>
      </c>
      <c r="R108" s="15">
        <f>IF(COUNT(C108:P108)=0,"",IFERROR(D108/E108,0))</f>
        <v/>
      </c>
      <c r="S108" s="16">
        <f>IF(COUNT(C108:P108)=0,"",IFERROR(F108/D108,0))</f>
        <v/>
      </c>
      <c r="T108" s="14">
        <f>IF(COUNT(C108:P108)=0,"",IFERROR(C108/F108,0))</f>
        <v/>
      </c>
      <c r="U108" s="17">
        <f>IF(COUNT(C108:P108)=0,"",IFERROR(G108/F108,0))</f>
        <v/>
      </c>
      <c r="V108" s="14">
        <f>IF(COUNT(C108:P108)=0,"",IFERROR(C108/G108,0))</f>
        <v/>
      </c>
      <c r="W108" s="18">
        <f>IF(COUNT(C108:P108)=0,"",IFERROR(G108/D108*1000,0))</f>
        <v/>
      </c>
      <c r="X108" s="17">
        <f>IF(COUNT(C108:P108)=0,"",IFERROR(H108/G108,0))</f>
        <v/>
      </c>
      <c r="Y108" s="14">
        <f>IF(COUNT(C108:P108)=0,"",IFERROR(C108/H108,0))</f>
        <v/>
      </c>
      <c r="Z108" s="14">
        <f>IF(COUNT(C108:P108)=0,"",IFERROR(C108/I108,0))</f>
        <v/>
      </c>
      <c r="AA108" s="17">
        <f>IF(COUNT(C108:P108)=0,"",IFERROR(Y108/Q108,0))</f>
        <v/>
      </c>
      <c r="AB108" s="18">
        <f>IF(COUNT(C108:P108)=0,"",IFERROR(H108/D108*1000,0))</f>
        <v/>
      </c>
      <c r="AC108" s="17">
        <f>IF(COUNT(C108:P108)=0,"",IFERROR(J108/H108,0))</f>
        <v/>
      </c>
      <c r="AD108" s="14">
        <f>IF(COUNT(C108:P108)=0,"",IFERROR(C108/J108,0))</f>
        <v/>
      </c>
      <c r="AE108" s="17">
        <f>IF(COUNT(C108:P108)=0,"",IFERROR(K108/H108,0))</f>
        <v/>
      </c>
      <c r="AF108" s="17">
        <f>IF(COUNT(C108:P108)=0,"",IFERROR(L108/H108,0))</f>
        <v/>
      </c>
      <c r="AG108" s="14">
        <f>IF(COUNT(C108:P108)=0,"",IFERROR(C108/K108,0))</f>
        <v/>
      </c>
      <c r="AH108" s="17">
        <f>IF(COUNT(C108:P108)=0,"",IFERROR(M108/K108,0))</f>
        <v/>
      </c>
      <c r="AI108" s="14">
        <f>IF(COUNT(C108:P108)=0,"",IFERROR(C108/M108,0))</f>
        <v/>
      </c>
      <c r="AJ108" s="17">
        <f>IF(COUNT(C108:P108)=0,"",IFERROR(N108/M108,0))</f>
        <v/>
      </c>
      <c r="AK108" s="16">
        <f>IF(COUNT(C108:P108)=0,"",IFERROR(N108/H108,0))</f>
        <v/>
      </c>
      <c r="AL108" s="14">
        <f>IF(COUNT(C108:P108)=0,"",IFERROR(C108/N108,0))</f>
        <v/>
      </c>
      <c r="AM108" s="17">
        <f>IF(COUNT(C108:P108)=0,"",IFERROR(O108/N108,0))</f>
        <v/>
      </c>
      <c r="AN108" s="17">
        <f>IF(COUNT(C108:P108)=0,"",IFERROR(P108/N108,0))</f>
        <v/>
      </c>
      <c r="AO108" s="19">
        <f>IF(COUNT(C108:P108)=0,"",IFERROR(N108*Config!$C$7+O108*Config!$C$8+P108*Config!$C$9,0))</f>
        <v/>
      </c>
      <c r="AP108" s="14">
        <f>IF(COUNT(C108:P108)=0,"",IFERROR(AO108/N108,0))</f>
        <v/>
      </c>
      <c r="AQ108" s="19">
        <f>IF(COUNT(C108:P108)=0,"",IFERROR(AO108*(1-Config!$C$10-Config!$C$11-Config!$C$12),0))</f>
        <v/>
      </c>
      <c r="AR108" s="19">
        <f>IF(COUNT(C108:P108)=0,"",IFERROR(AQ108-C108-Config!$C$13,0))</f>
        <v/>
      </c>
      <c r="AS108" s="20">
        <f>IF(COUNT(C108:P108)=0,"",IFERROR(AQ108/C108,0))</f>
        <v/>
      </c>
      <c r="AT108" s="14">
        <f>IF(COUNT(C108:P108)=0,"",IFERROR(AR108/G108,0))</f>
        <v/>
      </c>
      <c r="AU108" s="20">
        <f>IF(COUNT(C108:P108)=0,"",IFERROR(AT108/V108,0))</f>
        <v/>
      </c>
      <c r="AV108" s="14">
        <f>IF(COUNT(C108:P108)=0,"",IFERROR(AR108/H108,0))</f>
        <v/>
      </c>
    </row>
    <row r="109">
      <c r="A109" s="11">
        <f>Config!$C$6+103</f>
        <v/>
      </c>
      <c r="B109" s="12">
        <f>INT((A109-Config!$C$6)/7)+1</f>
        <v/>
      </c>
      <c r="C109" s="9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4">
        <f>IF(COUNT(C109:P109)=0,"",IFERROR(C109/D109*1000,0))</f>
        <v/>
      </c>
      <c r="R109" s="15">
        <f>IF(COUNT(C109:P109)=0,"",IFERROR(D109/E109,0))</f>
        <v/>
      </c>
      <c r="S109" s="16">
        <f>IF(COUNT(C109:P109)=0,"",IFERROR(F109/D109,0))</f>
        <v/>
      </c>
      <c r="T109" s="14">
        <f>IF(COUNT(C109:P109)=0,"",IFERROR(C109/F109,0))</f>
        <v/>
      </c>
      <c r="U109" s="17">
        <f>IF(COUNT(C109:P109)=0,"",IFERROR(G109/F109,0))</f>
        <v/>
      </c>
      <c r="V109" s="14">
        <f>IF(COUNT(C109:P109)=0,"",IFERROR(C109/G109,0))</f>
        <v/>
      </c>
      <c r="W109" s="18">
        <f>IF(COUNT(C109:P109)=0,"",IFERROR(G109/D109*1000,0))</f>
        <v/>
      </c>
      <c r="X109" s="17">
        <f>IF(COUNT(C109:P109)=0,"",IFERROR(H109/G109,0))</f>
        <v/>
      </c>
      <c r="Y109" s="14">
        <f>IF(COUNT(C109:P109)=0,"",IFERROR(C109/H109,0))</f>
        <v/>
      </c>
      <c r="Z109" s="14">
        <f>IF(COUNT(C109:P109)=0,"",IFERROR(C109/I109,0))</f>
        <v/>
      </c>
      <c r="AA109" s="17">
        <f>IF(COUNT(C109:P109)=0,"",IFERROR(Y109/Q109,0))</f>
        <v/>
      </c>
      <c r="AB109" s="18">
        <f>IF(COUNT(C109:P109)=0,"",IFERROR(H109/D109*1000,0))</f>
        <v/>
      </c>
      <c r="AC109" s="17">
        <f>IF(COUNT(C109:P109)=0,"",IFERROR(J109/H109,0))</f>
        <v/>
      </c>
      <c r="AD109" s="14">
        <f>IF(COUNT(C109:P109)=0,"",IFERROR(C109/J109,0))</f>
        <v/>
      </c>
      <c r="AE109" s="17">
        <f>IF(COUNT(C109:P109)=0,"",IFERROR(K109/H109,0))</f>
        <v/>
      </c>
      <c r="AF109" s="17">
        <f>IF(COUNT(C109:P109)=0,"",IFERROR(L109/H109,0))</f>
        <v/>
      </c>
      <c r="AG109" s="14">
        <f>IF(COUNT(C109:P109)=0,"",IFERROR(C109/K109,0))</f>
        <v/>
      </c>
      <c r="AH109" s="17">
        <f>IF(COUNT(C109:P109)=0,"",IFERROR(M109/K109,0))</f>
        <v/>
      </c>
      <c r="AI109" s="14">
        <f>IF(COUNT(C109:P109)=0,"",IFERROR(C109/M109,0))</f>
        <v/>
      </c>
      <c r="AJ109" s="17">
        <f>IF(COUNT(C109:P109)=0,"",IFERROR(N109/M109,0))</f>
        <v/>
      </c>
      <c r="AK109" s="16">
        <f>IF(COUNT(C109:P109)=0,"",IFERROR(N109/H109,0))</f>
        <v/>
      </c>
      <c r="AL109" s="14">
        <f>IF(COUNT(C109:P109)=0,"",IFERROR(C109/N109,0))</f>
        <v/>
      </c>
      <c r="AM109" s="17">
        <f>IF(COUNT(C109:P109)=0,"",IFERROR(O109/N109,0))</f>
        <v/>
      </c>
      <c r="AN109" s="17">
        <f>IF(COUNT(C109:P109)=0,"",IFERROR(P109/N109,0))</f>
        <v/>
      </c>
      <c r="AO109" s="19">
        <f>IF(COUNT(C109:P109)=0,"",IFERROR(N109*Config!$C$7+O109*Config!$C$8+P109*Config!$C$9,0))</f>
        <v/>
      </c>
      <c r="AP109" s="14">
        <f>IF(COUNT(C109:P109)=0,"",IFERROR(AO109/N109,0))</f>
        <v/>
      </c>
      <c r="AQ109" s="19">
        <f>IF(COUNT(C109:P109)=0,"",IFERROR(AO109*(1-Config!$C$10-Config!$C$11-Config!$C$12),0))</f>
        <v/>
      </c>
      <c r="AR109" s="19">
        <f>IF(COUNT(C109:P109)=0,"",IFERROR(AQ109-C109-Config!$C$13,0))</f>
        <v/>
      </c>
      <c r="AS109" s="20">
        <f>IF(COUNT(C109:P109)=0,"",IFERROR(AQ109/C109,0))</f>
        <v/>
      </c>
      <c r="AT109" s="14">
        <f>IF(COUNT(C109:P109)=0,"",IFERROR(AR109/G109,0))</f>
        <v/>
      </c>
      <c r="AU109" s="20">
        <f>IF(COUNT(C109:P109)=0,"",IFERROR(AT109/V109,0))</f>
        <v/>
      </c>
      <c r="AV109" s="14">
        <f>IF(COUNT(C109:P109)=0,"",IFERROR(AR109/H109,0))</f>
        <v/>
      </c>
    </row>
    <row r="110">
      <c r="A110" s="11">
        <f>Config!$C$6+104</f>
        <v/>
      </c>
      <c r="B110" s="12">
        <f>INT((A110-Config!$C$6)/7)+1</f>
        <v/>
      </c>
      <c r="C110" s="9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4">
        <f>IF(COUNT(C110:P110)=0,"",IFERROR(C110/D110*1000,0))</f>
        <v/>
      </c>
      <c r="R110" s="15">
        <f>IF(COUNT(C110:P110)=0,"",IFERROR(D110/E110,0))</f>
        <v/>
      </c>
      <c r="S110" s="16">
        <f>IF(COUNT(C110:P110)=0,"",IFERROR(F110/D110,0))</f>
        <v/>
      </c>
      <c r="T110" s="14">
        <f>IF(COUNT(C110:P110)=0,"",IFERROR(C110/F110,0))</f>
        <v/>
      </c>
      <c r="U110" s="17">
        <f>IF(COUNT(C110:P110)=0,"",IFERROR(G110/F110,0))</f>
        <v/>
      </c>
      <c r="V110" s="14">
        <f>IF(COUNT(C110:P110)=0,"",IFERROR(C110/G110,0))</f>
        <v/>
      </c>
      <c r="W110" s="18">
        <f>IF(COUNT(C110:P110)=0,"",IFERROR(G110/D110*1000,0))</f>
        <v/>
      </c>
      <c r="X110" s="17">
        <f>IF(COUNT(C110:P110)=0,"",IFERROR(H110/G110,0))</f>
        <v/>
      </c>
      <c r="Y110" s="14">
        <f>IF(COUNT(C110:P110)=0,"",IFERROR(C110/H110,0))</f>
        <v/>
      </c>
      <c r="Z110" s="14">
        <f>IF(COUNT(C110:P110)=0,"",IFERROR(C110/I110,0))</f>
        <v/>
      </c>
      <c r="AA110" s="17">
        <f>IF(COUNT(C110:P110)=0,"",IFERROR(Y110/Q110,0))</f>
        <v/>
      </c>
      <c r="AB110" s="18">
        <f>IF(COUNT(C110:P110)=0,"",IFERROR(H110/D110*1000,0))</f>
        <v/>
      </c>
      <c r="AC110" s="17">
        <f>IF(COUNT(C110:P110)=0,"",IFERROR(J110/H110,0))</f>
        <v/>
      </c>
      <c r="AD110" s="14">
        <f>IF(COUNT(C110:P110)=0,"",IFERROR(C110/J110,0))</f>
        <v/>
      </c>
      <c r="AE110" s="17">
        <f>IF(COUNT(C110:P110)=0,"",IFERROR(K110/H110,0))</f>
        <v/>
      </c>
      <c r="AF110" s="17">
        <f>IF(COUNT(C110:P110)=0,"",IFERROR(L110/H110,0))</f>
        <v/>
      </c>
      <c r="AG110" s="14">
        <f>IF(COUNT(C110:P110)=0,"",IFERROR(C110/K110,0))</f>
        <v/>
      </c>
      <c r="AH110" s="17">
        <f>IF(COUNT(C110:P110)=0,"",IFERROR(M110/K110,0))</f>
        <v/>
      </c>
      <c r="AI110" s="14">
        <f>IF(COUNT(C110:P110)=0,"",IFERROR(C110/M110,0))</f>
        <v/>
      </c>
      <c r="AJ110" s="17">
        <f>IF(COUNT(C110:P110)=0,"",IFERROR(N110/M110,0))</f>
        <v/>
      </c>
      <c r="AK110" s="16">
        <f>IF(COUNT(C110:P110)=0,"",IFERROR(N110/H110,0))</f>
        <v/>
      </c>
      <c r="AL110" s="14">
        <f>IF(COUNT(C110:P110)=0,"",IFERROR(C110/N110,0))</f>
        <v/>
      </c>
      <c r="AM110" s="17">
        <f>IF(COUNT(C110:P110)=0,"",IFERROR(O110/N110,0))</f>
        <v/>
      </c>
      <c r="AN110" s="17">
        <f>IF(COUNT(C110:P110)=0,"",IFERROR(P110/N110,0))</f>
        <v/>
      </c>
      <c r="AO110" s="19">
        <f>IF(COUNT(C110:P110)=0,"",IFERROR(N110*Config!$C$7+O110*Config!$C$8+P110*Config!$C$9,0))</f>
        <v/>
      </c>
      <c r="AP110" s="14">
        <f>IF(COUNT(C110:P110)=0,"",IFERROR(AO110/N110,0))</f>
        <v/>
      </c>
      <c r="AQ110" s="19">
        <f>IF(COUNT(C110:P110)=0,"",IFERROR(AO110*(1-Config!$C$10-Config!$C$11-Config!$C$12),0))</f>
        <v/>
      </c>
      <c r="AR110" s="19">
        <f>IF(COUNT(C110:P110)=0,"",IFERROR(AQ110-C110-Config!$C$13,0))</f>
        <v/>
      </c>
      <c r="AS110" s="20">
        <f>IF(COUNT(C110:P110)=0,"",IFERROR(AQ110/C110,0))</f>
        <v/>
      </c>
      <c r="AT110" s="14">
        <f>IF(COUNT(C110:P110)=0,"",IFERROR(AR110/G110,0))</f>
        <v/>
      </c>
      <c r="AU110" s="20">
        <f>IF(COUNT(C110:P110)=0,"",IFERROR(AT110/V110,0))</f>
        <v/>
      </c>
      <c r="AV110" s="14">
        <f>IF(COUNT(C110:P110)=0,"",IFERROR(AR110/H110,0))</f>
        <v/>
      </c>
    </row>
    <row r="111">
      <c r="A111" s="11">
        <f>Config!$C$6+105</f>
        <v/>
      </c>
      <c r="B111" s="12">
        <f>INT((A111-Config!$C$6)/7)+1</f>
        <v/>
      </c>
      <c r="C111" s="9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4">
        <f>IF(COUNT(C111:P111)=0,"",IFERROR(C111/D111*1000,0))</f>
        <v/>
      </c>
      <c r="R111" s="15">
        <f>IF(COUNT(C111:P111)=0,"",IFERROR(D111/E111,0))</f>
        <v/>
      </c>
      <c r="S111" s="16">
        <f>IF(COUNT(C111:P111)=0,"",IFERROR(F111/D111,0))</f>
        <v/>
      </c>
      <c r="T111" s="14">
        <f>IF(COUNT(C111:P111)=0,"",IFERROR(C111/F111,0))</f>
        <v/>
      </c>
      <c r="U111" s="17">
        <f>IF(COUNT(C111:P111)=0,"",IFERROR(G111/F111,0))</f>
        <v/>
      </c>
      <c r="V111" s="14">
        <f>IF(COUNT(C111:P111)=0,"",IFERROR(C111/G111,0))</f>
        <v/>
      </c>
      <c r="W111" s="18">
        <f>IF(COUNT(C111:P111)=0,"",IFERROR(G111/D111*1000,0))</f>
        <v/>
      </c>
      <c r="X111" s="17">
        <f>IF(COUNT(C111:P111)=0,"",IFERROR(H111/G111,0))</f>
        <v/>
      </c>
      <c r="Y111" s="14">
        <f>IF(COUNT(C111:P111)=0,"",IFERROR(C111/H111,0))</f>
        <v/>
      </c>
      <c r="Z111" s="14">
        <f>IF(COUNT(C111:P111)=0,"",IFERROR(C111/I111,0))</f>
        <v/>
      </c>
      <c r="AA111" s="17">
        <f>IF(COUNT(C111:P111)=0,"",IFERROR(Y111/Q111,0))</f>
        <v/>
      </c>
      <c r="AB111" s="18">
        <f>IF(COUNT(C111:P111)=0,"",IFERROR(H111/D111*1000,0))</f>
        <v/>
      </c>
      <c r="AC111" s="17">
        <f>IF(COUNT(C111:P111)=0,"",IFERROR(J111/H111,0))</f>
        <v/>
      </c>
      <c r="AD111" s="14">
        <f>IF(COUNT(C111:P111)=0,"",IFERROR(C111/J111,0))</f>
        <v/>
      </c>
      <c r="AE111" s="17">
        <f>IF(COUNT(C111:P111)=0,"",IFERROR(K111/H111,0))</f>
        <v/>
      </c>
      <c r="AF111" s="17">
        <f>IF(COUNT(C111:P111)=0,"",IFERROR(L111/H111,0))</f>
        <v/>
      </c>
      <c r="AG111" s="14">
        <f>IF(COUNT(C111:P111)=0,"",IFERROR(C111/K111,0))</f>
        <v/>
      </c>
      <c r="AH111" s="17">
        <f>IF(COUNT(C111:P111)=0,"",IFERROR(M111/K111,0))</f>
        <v/>
      </c>
      <c r="AI111" s="14">
        <f>IF(COUNT(C111:P111)=0,"",IFERROR(C111/M111,0))</f>
        <v/>
      </c>
      <c r="AJ111" s="17">
        <f>IF(COUNT(C111:P111)=0,"",IFERROR(N111/M111,0))</f>
        <v/>
      </c>
      <c r="AK111" s="16">
        <f>IF(COUNT(C111:P111)=0,"",IFERROR(N111/H111,0))</f>
        <v/>
      </c>
      <c r="AL111" s="14">
        <f>IF(COUNT(C111:P111)=0,"",IFERROR(C111/N111,0))</f>
        <v/>
      </c>
      <c r="AM111" s="17">
        <f>IF(COUNT(C111:P111)=0,"",IFERROR(O111/N111,0))</f>
        <v/>
      </c>
      <c r="AN111" s="17">
        <f>IF(COUNT(C111:P111)=0,"",IFERROR(P111/N111,0))</f>
        <v/>
      </c>
      <c r="AO111" s="19">
        <f>IF(COUNT(C111:P111)=0,"",IFERROR(N111*Config!$C$7+O111*Config!$C$8+P111*Config!$C$9,0))</f>
        <v/>
      </c>
      <c r="AP111" s="14">
        <f>IF(COUNT(C111:P111)=0,"",IFERROR(AO111/N111,0))</f>
        <v/>
      </c>
      <c r="AQ111" s="19">
        <f>IF(COUNT(C111:P111)=0,"",IFERROR(AO111*(1-Config!$C$10-Config!$C$11-Config!$C$12),0))</f>
        <v/>
      </c>
      <c r="AR111" s="19">
        <f>IF(COUNT(C111:P111)=0,"",IFERROR(AQ111-C111-Config!$C$13,0))</f>
        <v/>
      </c>
      <c r="AS111" s="20">
        <f>IF(COUNT(C111:P111)=0,"",IFERROR(AQ111/C111,0))</f>
        <v/>
      </c>
      <c r="AT111" s="14">
        <f>IF(COUNT(C111:P111)=0,"",IFERROR(AR111/G111,0))</f>
        <v/>
      </c>
      <c r="AU111" s="20">
        <f>IF(COUNT(C111:P111)=0,"",IFERROR(AT111/V111,0))</f>
        <v/>
      </c>
      <c r="AV111" s="14">
        <f>IF(COUNT(C111:P111)=0,"",IFERROR(AR111/H111,0))</f>
        <v/>
      </c>
    </row>
    <row r="112">
      <c r="A112" s="11">
        <f>Config!$C$6+106</f>
        <v/>
      </c>
      <c r="B112" s="12">
        <f>INT((A112-Config!$C$6)/7)+1</f>
        <v/>
      </c>
      <c r="C112" s="9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4">
        <f>IF(COUNT(C112:P112)=0,"",IFERROR(C112/D112*1000,0))</f>
        <v/>
      </c>
      <c r="R112" s="15">
        <f>IF(COUNT(C112:P112)=0,"",IFERROR(D112/E112,0))</f>
        <v/>
      </c>
      <c r="S112" s="16">
        <f>IF(COUNT(C112:P112)=0,"",IFERROR(F112/D112,0))</f>
        <v/>
      </c>
      <c r="T112" s="14">
        <f>IF(COUNT(C112:P112)=0,"",IFERROR(C112/F112,0))</f>
        <v/>
      </c>
      <c r="U112" s="17">
        <f>IF(COUNT(C112:P112)=0,"",IFERROR(G112/F112,0))</f>
        <v/>
      </c>
      <c r="V112" s="14">
        <f>IF(COUNT(C112:P112)=0,"",IFERROR(C112/G112,0))</f>
        <v/>
      </c>
      <c r="W112" s="18">
        <f>IF(COUNT(C112:P112)=0,"",IFERROR(G112/D112*1000,0))</f>
        <v/>
      </c>
      <c r="X112" s="17">
        <f>IF(COUNT(C112:P112)=0,"",IFERROR(H112/G112,0))</f>
        <v/>
      </c>
      <c r="Y112" s="14">
        <f>IF(COUNT(C112:P112)=0,"",IFERROR(C112/H112,0))</f>
        <v/>
      </c>
      <c r="Z112" s="14">
        <f>IF(COUNT(C112:P112)=0,"",IFERROR(C112/I112,0))</f>
        <v/>
      </c>
      <c r="AA112" s="17">
        <f>IF(COUNT(C112:P112)=0,"",IFERROR(Y112/Q112,0))</f>
        <v/>
      </c>
      <c r="AB112" s="18">
        <f>IF(COUNT(C112:P112)=0,"",IFERROR(H112/D112*1000,0))</f>
        <v/>
      </c>
      <c r="AC112" s="17">
        <f>IF(COUNT(C112:P112)=0,"",IFERROR(J112/H112,0))</f>
        <v/>
      </c>
      <c r="AD112" s="14">
        <f>IF(COUNT(C112:P112)=0,"",IFERROR(C112/J112,0))</f>
        <v/>
      </c>
      <c r="AE112" s="17">
        <f>IF(COUNT(C112:P112)=0,"",IFERROR(K112/H112,0))</f>
        <v/>
      </c>
      <c r="AF112" s="17">
        <f>IF(COUNT(C112:P112)=0,"",IFERROR(L112/H112,0))</f>
        <v/>
      </c>
      <c r="AG112" s="14">
        <f>IF(COUNT(C112:P112)=0,"",IFERROR(C112/K112,0))</f>
        <v/>
      </c>
      <c r="AH112" s="17">
        <f>IF(COUNT(C112:P112)=0,"",IFERROR(M112/K112,0))</f>
        <v/>
      </c>
      <c r="AI112" s="14">
        <f>IF(COUNT(C112:P112)=0,"",IFERROR(C112/M112,0))</f>
        <v/>
      </c>
      <c r="AJ112" s="17">
        <f>IF(COUNT(C112:P112)=0,"",IFERROR(N112/M112,0))</f>
        <v/>
      </c>
      <c r="AK112" s="16">
        <f>IF(COUNT(C112:P112)=0,"",IFERROR(N112/H112,0))</f>
        <v/>
      </c>
      <c r="AL112" s="14">
        <f>IF(COUNT(C112:P112)=0,"",IFERROR(C112/N112,0))</f>
        <v/>
      </c>
      <c r="AM112" s="17">
        <f>IF(COUNT(C112:P112)=0,"",IFERROR(O112/N112,0))</f>
        <v/>
      </c>
      <c r="AN112" s="17">
        <f>IF(COUNT(C112:P112)=0,"",IFERROR(P112/N112,0))</f>
        <v/>
      </c>
      <c r="AO112" s="19">
        <f>IF(COUNT(C112:P112)=0,"",IFERROR(N112*Config!$C$7+O112*Config!$C$8+P112*Config!$C$9,0))</f>
        <v/>
      </c>
      <c r="AP112" s="14">
        <f>IF(COUNT(C112:P112)=0,"",IFERROR(AO112/N112,0))</f>
        <v/>
      </c>
      <c r="AQ112" s="19">
        <f>IF(COUNT(C112:P112)=0,"",IFERROR(AO112*(1-Config!$C$10-Config!$C$11-Config!$C$12),0))</f>
        <v/>
      </c>
      <c r="AR112" s="19">
        <f>IF(COUNT(C112:P112)=0,"",IFERROR(AQ112-C112-Config!$C$13,0))</f>
        <v/>
      </c>
      <c r="AS112" s="20">
        <f>IF(COUNT(C112:P112)=0,"",IFERROR(AQ112/C112,0))</f>
        <v/>
      </c>
      <c r="AT112" s="14">
        <f>IF(COUNT(C112:P112)=0,"",IFERROR(AR112/G112,0))</f>
        <v/>
      </c>
      <c r="AU112" s="20">
        <f>IF(COUNT(C112:P112)=0,"",IFERROR(AT112/V112,0))</f>
        <v/>
      </c>
      <c r="AV112" s="14">
        <f>IF(COUNT(C112:P112)=0,"",IFERROR(AR112/H112,0))</f>
        <v/>
      </c>
    </row>
    <row r="113">
      <c r="A113" s="11">
        <f>Config!$C$6+107</f>
        <v/>
      </c>
      <c r="B113" s="12">
        <f>INT((A113-Config!$C$6)/7)+1</f>
        <v/>
      </c>
      <c r="C113" s="9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4">
        <f>IF(COUNT(C113:P113)=0,"",IFERROR(C113/D113*1000,0))</f>
        <v/>
      </c>
      <c r="R113" s="15">
        <f>IF(COUNT(C113:P113)=0,"",IFERROR(D113/E113,0))</f>
        <v/>
      </c>
      <c r="S113" s="16">
        <f>IF(COUNT(C113:P113)=0,"",IFERROR(F113/D113,0))</f>
        <v/>
      </c>
      <c r="T113" s="14">
        <f>IF(COUNT(C113:P113)=0,"",IFERROR(C113/F113,0))</f>
        <v/>
      </c>
      <c r="U113" s="17">
        <f>IF(COUNT(C113:P113)=0,"",IFERROR(G113/F113,0))</f>
        <v/>
      </c>
      <c r="V113" s="14">
        <f>IF(COUNT(C113:P113)=0,"",IFERROR(C113/G113,0))</f>
        <v/>
      </c>
      <c r="W113" s="18">
        <f>IF(COUNT(C113:P113)=0,"",IFERROR(G113/D113*1000,0))</f>
        <v/>
      </c>
      <c r="X113" s="17">
        <f>IF(COUNT(C113:P113)=0,"",IFERROR(H113/G113,0))</f>
        <v/>
      </c>
      <c r="Y113" s="14">
        <f>IF(COUNT(C113:P113)=0,"",IFERROR(C113/H113,0))</f>
        <v/>
      </c>
      <c r="Z113" s="14">
        <f>IF(COUNT(C113:P113)=0,"",IFERROR(C113/I113,0))</f>
        <v/>
      </c>
      <c r="AA113" s="17">
        <f>IF(COUNT(C113:P113)=0,"",IFERROR(Y113/Q113,0))</f>
        <v/>
      </c>
      <c r="AB113" s="18">
        <f>IF(COUNT(C113:P113)=0,"",IFERROR(H113/D113*1000,0))</f>
        <v/>
      </c>
      <c r="AC113" s="17">
        <f>IF(COUNT(C113:P113)=0,"",IFERROR(J113/H113,0))</f>
        <v/>
      </c>
      <c r="AD113" s="14">
        <f>IF(COUNT(C113:P113)=0,"",IFERROR(C113/J113,0))</f>
        <v/>
      </c>
      <c r="AE113" s="17">
        <f>IF(COUNT(C113:P113)=0,"",IFERROR(K113/H113,0))</f>
        <v/>
      </c>
      <c r="AF113" s="17">
        <f>IF(COUNT(C113:P113)=0,"",IFERROR(L113/H113,0))</f>
        <v/>
      </c>
      <c r="AG113" s="14">
        <f>IF(COUNT(C113:P113)=0,"",IFERROR(C113/K113,0))</f>
        <v/>
      </c>
      <c r="AH113" s="17">
        <f>IF(COUNT(C113:P113)=0,"",IFERROR(M113/K113,0))</f>
        <v/>
      </c>
      <c r="AI113" s="14">
        <f>IF(COUNT(C113:P113)=0,"",IFERROR(C113/M113,0))</f>
        <v/>
      </c>
      <c r="AJ113" s="17">
        <f>IF(COUNT(C113:P113)=0,"",IFERROR(N113/M113,0))</f>
        <v/>
      </c>
      <c r="AK113" s="16">
        <f>IF(COUNT(C113:P113)=0,"",IFERROR(N113/H113,0))</f>
        <v/>
      </c>
      <c r="AL113" s="14">
        <f>IF(COUNT(C113:P113)=0,"",IFERROR(C113/N113,0))</f>
        <v/>
      </c>
      <c r="AM113" s="17">
        <f>IF(COUNT(C113:P113)=0,"",IFERROR(O113/N113,0))</f>
        <v/>
      </c>
      <c r="AN113" s="17">
        <f>IF(COUNT(C113:P113)=0,"",IFERROR(P113/N113,0))</f>
        <v/>
      </c>
      <c r="AO113" s="19">
        <f>IF(COUNT(C113:P113)=0,"",IFERROR(N113*Config!$C$7+O113*Config!$C$8+P113*Config!$C$9,0))</f>
        <v/>
      </c>
      <c r="AP113" s="14">
        <f>IF(COUNT(C113:P113)=0,"",IFERROR(AO113/N113,0))</f>
        <v/>
      </c>
      <c r="AQ113" s="19">
        <f>IF(COUNT(C113:P113)=0,"",IFERROR(AO113*(1-Config!$C$10-Config!$C$11-Config!$C$12),0))</f>
        <v/>
      </c>
      <c r="AR113" s="19">
        <f>IF(COUNT(C113:P113)=0,"",IFERROR(AQ113-C113-Config!$C$13,0))</f>
        <v/>
      </c>
      <c r="AS113" s="20">
        <f>IF(COUNT(C113:P113)=0,"",IFERROR(AQ113/C113,0))</f>
        <v/>
      </c>
      <c r="AT113" s="14">
        <f>IF(COUNT(C113:P113)=0,"",IFERROR(AR113/G113,0))</f>
        <v/>
      </c>
      <c r="AU113" s="20">
        <f>IF(COUNT(C113:P113)=0,"",IFERROR(AT113/V113,0))</f>
        <v/>
      </c>
      <c r="AV113" s="14">
        <f>IF(COUNT(C113:P113)=0,"",IFERROR(AR113/H113,0))</f>
        <v/>
      </c>
    </row>
    <row r="114">
      <c r="A114" s="11">
        <f>Config!$C$6+108</f>
        <v/>
      </c>
      <c r="B114" s="12">
        <f>INT((A114-Config!$C$6)/7)+1</f>
        <v/>
      </c>
      <c r="C114" s="9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4">
        <f>IF(COUNT(C114:P114)=0,"",IFERROR(C114/D114*1000,0))</f>
        <v/>
      </c>
      <c r="R114" s="15">
        <f>IF(COUNT(C114:P114)=0,"",IFERROR(D114/E114,0))</f>
        <v/>
      </c>
      <c r="S114" s="16">
        <f>IF(COUNT(C114:P114)=0,"",IFERROR(F114/D114,0))</f>
        <v/>
      </c>
      <c r="T114" s="14">
        <f>IF(COUNT(C114:P114)=0,"",IFERROR(C114/F114,0))</f>
        <v/>
      </c>
      <c r="U114" s="17">
        <f>IF(COUNT(C114:P114)=0,"",IFERROR(G114/F114,0))</f>
        <v/>
      </c>
      <c r="V114" s="14">
        <f>IF(COUNT(C114:P114)=0,"",IFERROR(C114/G114,0))</f>
        <v/>
      </c>
      <c r="W114" s="18">
        <f>IF(COUNT(C114:P114)=0,"",IFERROR(G114/D114*1000,0))</f>
        <v/>
      </c>
      <c r="X114" s="17">
        <f>IF(COUNT(C114:P114)=0,"",IFERROR(H114/G114,0))</f>
        <v/>
      </c>
      <c r="Y114" s="14">
        <f>IF(COUNT(C114:P114)=0,"",IFERROR(C114/H114,0))</f>
        <v/>
      </c>
      <c r="Z114" s="14">
        <f>IF(COUNT(C114:P114)=0,"",IFERROR(C114/I114,0))</f>
        <v/>
      </c>
      <c r="AA114" s="17">
        <f>IF(COUNT(C114:P114)=0,"",IFERROR(Y114/Q114,0))</f>
        <v/>
      </c>
      <c r="AB114" s="18">
        <f>IF(COUNT(C114:P114)=0,"",IFERROR(H114/D114*1000,0))</f>
        <v/>
      </c>
      <c r="AC114" s="17">
        <f>IF(COUNT(C114:P114)=0,"",IFERROR(J114/H114,0))</f>
        <v/>
      </c>
      <c r="AD114" s="14">
        <f>IF(COUNT(C114:P114)=0,"",IFERROR(C114/J114,0))</f>
        <v/>
      </c>
      <c r="AE114" s="17">
        <f>IF(COUNT(C114:P114)=0,"",IFERROR(K114/H114,0))</f>
        <v/>
      </c>
      <c r="AF114" s="17">
        <f>IF(COUNT(C114:P114)=0,"",IFERROR(L114/H114,0))</f>
        <v/>
      </c>
      <c r="AG114" s="14">
        <f>IF(COUNT(C114:P114)=0,"",IFERROR(C114/K114,0))</f>
        <v/>
      </c>
      <c r="AH114" s="17">
        <f>IF(COUNT(C114:P114)=0,"",IFERROR(M114/K114,0))</f>
        <v/>
      </c>
      <c r="AI114" s="14">
        <f>IF(COUNT(C114:P114)=0,"",IFERROR(C114/M114,0))</f>
        <v/>
      </c>
      <c r="AJ114" s="17">
        <f>IF(COUNT(C114:P114)=0,"",IFERROR(N114/M114,0))</f>
        <v/>
      </c>
      <c r="AK114" s="16">
        <f>IF(COUNT(C114:P114)=0,"",IFERROR(N114/H114,0))</f>
        <v/>
      </c>
      <c r="AL114" s="14">
        <f>IF(COUNT(C114:P114)=0,"",IFERROR(C114/N114,0))</f>
        <v/>
      </c>
      <c r="AM114" s="17">
        <f>IF(COUNT(C114:P114)=0,"",IFERROR(O114/N114,0))</f>
        <v/>
      </c>
      <c r="AN114" s="17">
        <f>IF(COUNT(C114:P114)=0,"",IFERROR(P114/N114,0))</f>
        <v/>
      </c>
      <c r="AO114" s="19">
        <f>IF(COUNT(C114:P114)=0,"",IFERROR(N114*Config!$C$7+O114*Config!$C$8+P114*Config!$C$9,0))</f>
        <v/>
      </c>
      <c r="AP114" s="14">
        <f>IF(COUNT(C114:P114)=0,"",IFERROR(AO114/N114,0))</f>
        <v/>
      </c>
      <c r="AQ114" s="19">
        <f>IF(COUNT(C114:P114)=0,"",IFERROR(AO114*(1-Config!$C$10-Config!$C$11-Config!$C$12),0))</f>
        <v/>
      </c>
      <c r="AR114" s="19">
        <f>IF(COUNT(C114:P114)=0,"",IFERROR(AQ114-C114-Config!$C$13,0))</f>
        <v/>
      </c>
      <c r="AS114" s="20">
        <f>IF(COUNT(C114:P114)=0,"",IFERROR(AQ114/C114,0))</f>
        <v/>
      </c>
      <c r="AT114" s="14">
        <f>IF(COUNT(C114:P114)=0,"",IFERROR(AR114/G114,0))</f>
        <v/>
      </c>
      <c r="AU114" s="20">
        <f>IF(COUNT(C114:P114)=0,"",IFERROR(AT114/V114,0))</f>
        <v/>
      </c>
      <c r="AV114" s="14">
        <f>IF(COUNT(C114:P114)=0,"",IFERROR(AR114/H114,0))</f>
        <v/>
      </c>
    </row>
    <row r="115">
      <c r="A115" s="11">
        <f>Config!$C$6+109</f>
        <v/>
      </c>
      <c r="B115" s="12">
        <f>INT((A115-Config!$C$6)/7)+1</f>
        <v/>
      </c>
      <c r="C115" s="9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4">
        <f>IF(COUNT(C115:P115)=0,"",IFERROR(C115/D115*1000,0))</f>
        <v/>
      </c>
      <c r="R115" s="15">
        <f>IF(COUNT(C115:P115)=0,"",IFERROR(D115/E115,0))</f>
        <v/>
      </c>
      <c r="S115" s="16">
        <f>IF(COUNT(C115:P115)=0,"",IFERROR(F115/D115,0))</f>
        <v/>
      </c>
      <c r="T115" s="14">
        <f>IF(COUNT(C115:P115)=0,"",IFERROR(C115/F115,0))</f>
        <v/>
      </c>
      <c r="U115" s="17">
        <f>IF(COUNT(C115:P115)=0,"",IFERROR(G115/F115,0))</f>
        <v/>
      </c>
      <c r="V115" s="14">
        <f>IF(COUNT(C115:P115)=0,"",IFERROR(C115/G115,0))</f>
        <v/>
      </c>
      <c r="W115" s="18">
        <f>IF(COUNT(C115:P115)=0,"",IFERROR(G115/D115*1000,0))</f>
        <v/>
      </c>
      <c r="X115" s="17">
        <f>IF(COUNT(C115:P115)=0,"",IFERROR(H115/G115,0))</f>
        <v/>
      </c>
      <c r="Y115" s="14">
        <f>IF(COUNT(C115:P115)=0,"",IFERROR(C115/H115,0))</f>
        <v/>
      </c>
      <c r="Z115" s="14">
        <f>IF(COUNT(C115:P115)=0,"",IFERROR(C115/I115,0))</f>
        <v/>
      </c>
      <c r="AA115" s="17">
        <f>IF(COUNT(C115:P115)=0,"",IFERROR(Y115/Q115,0))</f>
        <v/>
      </c>
      <c r="AB115" s="18">
        <f>IF(COUNT(C115:P115)=0,"",IFERROR(H115/D115*1000,0))</f>
        <v/>
      </c>
      <c r="AC115" s="17">
        <f>IF(COUNT(C115:P115)=0,"",IFERROR(J115/H115,0))</f>
        <v/>
      </c>
      <c r="AD115" s="14">
        <f>IF(COUNT(C115:P115)=0,"",IFERROR(C115/J115,0))</f>
        <v/>
      </c>
      <c r="AE115" s="17">
        <f>IF(COUNT(C115:P115)=0,"",IFERROR(K115/H115,0))</f>
        <v/>
      </c>
      <c r="AF115" s="17">
        <f>IF(COUNT(C115:P115)=0,"",IFERROR(L115/H115,0))</f>
        <v/>
      </c>
      <c r="AG115" s="14">
        <f>IF(COUNT(C115:P115)=0,"",IFERROR(C115/K115,0))</f>
        <v/>
      </c>
      <c r="AH115" s="17">
        <f>IF(COUNT(C115:P115)=0,"",IFERROR(M115/K115,0))</f>
        <v/>
      </c>
      <c r="AI115" s="14">
        <f>IF(COUNT(C115:P115)=0,"",IFERROR(C115/M115,0))</f>
        <v/>
      </c>
      <c r="AJ115" s="17">
        <f>IF(COUNT(C115:P115)=0,"",IFERROR(N115/M115,0))</f>
        <v/>
      </c>
      <c r="AK115" s="16">
        <f>IF(COUNT(C115:P115)=0,"",IFERROR(N115/H115,0))</f>
        <v/>
      </c>
      <c r="AL115" s="14">
        <f>IF(COUNT(C115:P115)=0,"",IFERROR(C115/N115,0))</f>
        <v/>
      </c>
      <c r="AM115" s="17">
        <f>IF(COUNT(C115:P115)=0,"",IFERROR(O115/N115,0))</f>
        <v/>
      </c>
      <c r="AN115" s="17">
        <f>IF(COUNT(C115:P115)=0,"",IFERROR(P115/N115,0))</f>
        <v/>
      </c>
      <c r="AO115" s="19">
        <f>IF(COUNT(C115:P115)=0,"",IFERROR(N115*Config!$C$7+O115*Config!$C$8+P115*Config!$C$9,0))</f>
        <v/>
      </c>
      <c r="AP115" s="14">
        <f>IF(COUNT(C115:P115)=0,"",IFERROR(AO115/N115,0))</f>
        <v/>
      </c>
      <c r="AQ115" s="19">
        <f>IF(COUNT(C115:P115)=0,"",IFERROR(AO115*(1-Config!$C$10-Config!$C$11-Config!$C$12),0))</f>
        <v/>
      </c>
      <c r="AR115" s="19">
        <f>IF(COUNT(C115:P115)=0,"",IFERROR(AQ115-C115-Config!$C$13,0))</f>
        <v/>
      </c>
      <c r="AS115" s="20">
        <f>IF(COUNT(C115:P115)=0,"",IFERROR(AQ115/C115,0))</f>
        <v/>
      </c>
      <c r="AT115" s="14">
        <f>IF(COUNT(C115:P115)=0,"",IFERROR(AR115/G115,0))</f>
        <v/>
      </c>
      <c r="AU115" s="20">
        <f>IF(COUNT(C115:P115)=0,"",IFERROR(AT115/V115,0))</f>
        <v/>
      </c>
      <c r="AV115" s="14">
        <f>IF(COUNT(C115:P115)=0,"",IFERROR(AR115/H115,0))</f>
        <v/>
      </c>
    </row>
    <row r="116">
      <c r="A116" s="11">
        <f>Config!$C$6+110</f>
        <v/>
      </c>
      <c r="B116" s="12">
        <f>INT((A116-Config!$C$6)/7)+1</f>
        <v/>
      </c>
      <c r="C116" s="9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4">
        <f>IF(COUNT(C116:P116)=0,"",IFERROR(C116/D116*1000,0))</f>
        <v/>
      </c>
      <c r="R116" s="15">
        <f>IF(COUNT(C116:P116)=0,"",IFERROR(D116/E116,0))</f>
        <v/>
      </c>
      <c r="S116" s="16">
        <f>IF(COUNT(C116:P116)=0,"",IFERROR(F116/D116,0))</f>
        <v/>
      </c>
      <c r="T116" s="14">
        <f>IF(COUNT(C116:P116)=0,"",IFERROR(C116/F116,0))</f>
        <v/>
      </c>
      <c r="U116" s="17">
        <f>IF(COUNT(C116:P116)=0,"",IFERROR(G116/F116,0))</f>
        <v/>
      </c>
      <c r="V116" s="14">
        <f>IF(COUNT(C116:P116)=0,"",IFERROR(C116/G116,0))</f>
        <v/>
      </c>
      <c r="W116" s="18">
        <f>IF(COUNT(C116:P116)=0,"",IFERROR(G116/D116*1000,0))</f>
        <v/>
      </c>
      <c r="X116" s="17">
        <f>IF(COUNT(C116:P116)=0,"",IFERROR(H116/G116,0))</f>
        <v/>
      </c>
      <c r="Y116" s="14">
        <f>IF(COUNT(C116:P116)=0,"",IFERROR(C116/H116,0))</f>
        <v/>
      </c>
      <c r="Z116" s="14">
        <f>IF(COUNT(C116:P116)=0,"",IFERROR(C116/I116,0))</f>
        <v/>
      </c>
      <c r="AA116" s="17">
        <f>IF(COUNT(C116:P116)=0,"",IFERROR(Y116/Q116,0))</f>
        <v/>
      </c>
      <c r="AB116" s="18">
        <f>IF(COUNT(C116:P116)=0,"",IFERROR(H116/D116*1000,0))</f>
        <v/>
      </c>
      <c r="AC116" s="17">
        <f>IF(COUNT(C116:P116)=0,"",IFERROR(J116/H116,0))</f>
        <v/>
      </c>
      <c r="AD116" s="14">
        <f>IF(COUNT(C116:P116)=0,"",IFERROR(C116/J116,0))</f>
        <v/>
      </c>
      <c r="AE116" s="17">
        <f>IF(COUNT(C116:P116)=0,"",IFERROR(K116/H116,0))</f>
        <v/>
      </c>
      <c r="AF116" s="17">
        <f>IF(COUNT(C116:P116)=0,"",IFERROR(L116/H116,0))</f>
        <v/>
      </c>
      <c r="AG116" s="14">
        <f>IF(COUNT(C116:P116)=0,"",IFERROR(C116/K116,0))</f>
        <v/>
      </c>
      <c r="AH116" s="17">
        <f>IF(COUNT(C116:P116)=0,"",IFERROR(M116/K116,0))</f>
        <v/>
      </c>
      <c r="AI116" s="14">
        <f>IF(COUNT(C116:P116)=0,"",IFERROR(C116/M116,0))</f>
        <v/>
      </c>
      <c r="AJ116" s="17">
        <f>IF(COUNT(C116:P116)=0,"",IFERROR(N116/M116,0))</f>
        <v/>
      </c>
      <c r="AK116" s="16">
        <f>IF(COUNT(C116:P116)=0,"",IFERROR(N116/H116,0))</f>
        <v/>
      </c>
      <c r="AL116" s="14">
        <f>IF(COUNT(C116:P116)=0,"",IFERROR(C116/N116,0))</f>
        <v/>
      </c>
      <c r="AM116" s="17">
        <f>IF(COUNT(C116:P116)=0,"",IFERROR(O116/N116,0))</f>
        <v/>
      </c>
      <c r="AN116" s="17">
        <f>IF(COUNT(C116:P116)=0,"",IFERROR(P116/N116,0))</f>
        <v/>
      </c>
      <c r="AO116" s="19">
        <f>IF(COUNT(C116:P116)=0,"",IFERROR(N116*Config!$C$7+O116*Config!$C$8+P116*Config!$C$9,0))</f>
        <v/>
      </c>
      <c r="AP116" s="14">
        <f>IF(COUNT(C116:P116)=0,"",IFERROR(AO116/N116,0))</f>
        <v/>
      </c>
      <c r="AQ116" s="19">
        <f>IF(COUNT(C116:P116)=0,"",IFERROR(AO116*(1-Config!$C$10-Config!$C$11-Config!$C$12),0))</f>
        <v/>
      </c>
      <c r="AR116" s="19">
        <f>IF(COUNT(C116:P116)=0,"",IFERROR(AQ116-C116-Config!$C$13,0))</f>
        <v/>
      </c>
      <c r="AS116" s="20">
        <f>IF(COUNT(C116:P116)=0,"",IFERROR(AQ116/C116,0))</f>
        <v/>
      </c>
      <c r="AT116" s="14">
        <f>IF(COUNT(C116:P116)=0,"",IFERROR(AR116/G116,0))</f>
        <v/>
      </c>
      <c r="AU116" s="20">
        <f>IF(COUNT(C116:P116)=0,"",IFERROR(AT116/V116,0))</f>
        <v/>
      </c>
      <c r="AV116" s="14">
        <f>IF(COUNT(C116:P116)=0,"",IFERROR(AR116/H116,0))</f>
        <v/>
      </c>
    </row>
    <row r="117">
      <c r="A117" s="11">
        <f>Config!$C$6+111</f>
        <v/>
      </c>
      <c r="B117" s="12">
        <f>INT((A117-Config!$C$6)/7)+1</f>
        <v/>
      </c>
      <c r="C117" s="9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4">
        <f>IF(COUNT(C117:P117)=0,"",IFERROR(C117/D117*1000,0))</f>
        <v/>
      </c>
      <c r="R117" s="15">
        <f>IF(COUNT(C117:P117)=0,"",IFERROR(D117/E117,0))</f>
        <v/>
      </c>
      <c r="S117" s="16">
        <f>IF(COUNT(C117:P117)=0,"",IFERROR(F117/D117,0))</f>
        <v/>
      </c>
      <c r="T117" s="14">
        <f>IF(COUNT(C117:P117)=0,"",IFERROR(C117/F117,0))</f>
        <v/>
      </c>
      <c r="U117" s="17">
        <f>IF(COUNT(C117:P117)=0,"",IFERROR(G117/F117,0))</f>
        <v/>
      </c>
      <c r="V117" s="14">
        <f>IF(COUNT(C117:P117)=0,"",IFERROR(C117/G117,0))</f>
        <v/>
      </c>
      <c r="W117" s="18">
        <f>IF(COUNT(C117:P117)=0,"",IFERROR(G117/D117*1000,0))</f>
        <v/>
      </c>
      <c r="X117" s="17">
        <f>IF(COUNT(C117:P117)=0,"",IFERROR(H117/G117,0))</f>
        <v/>
      </c>
      <c r="Y117" s="14">
        <f>IF(COUNT(C117:P117)=0,"",IFERROR(C117/H117,0))</f>
        <v/>
      </c>
      <c r="Z117" s="14">
        <f>IF(COUNT(C117:P117)=0,"",IFERROR(C117/I117,0))</f>
        <v/>
      </c>
      <c r="AA117" s="17">
        <f>IF(COUNT(C117:P117)=0,"",IFERROR(Y117/Q117,0))</f>
        <v/>
      </c>
      <c r="AB117" s="18">
        <f>IF(COUNT(C117:P117)=0,"",IFERROR(H117/D117*1000,0))</f>
        <v/>
      </c>
      <c r="AC117" s="17">
        <f>IF(COUNT(C117:P117)=0,"",IFERROR(J117/H117,0))</f>
        <v/>
      </c>
      <c r="AD117" s="14">
        <f>IF(COUNT(C117:P117)=0,"",IFERROR(C117/J117,0))</f>
        <v/>
      </c>
      <c r="AE117" s="17">
        <f>IF(COUNT(C117:P117)=0,"",IFERROR(K117/H117,0))</f>
        <v/>
      </c>
      <c r="AF117" s="17">
        <f>IF(COUNT(C117:P117)=0,"",IFERROR(L117/H117,0))</f>
        <v/>
      </c>
      <c r="AG117" s="14">
        <f>IF(COUNT(C117:P117)=0,"",IFERROR(C117/K117,0))</f>
        <v/>
      </c>
      <c r="AH117" s="17">
        <f>IF(COUNT(C117:P117)=0,"",IFERROR(M117/K117,0))</f>
        <v/>
      </c>
      <c r="AI117" s="14">
        <f>IF(COUNT(C117:P117)=0,"",IFERROR(C117/M117,0))</f>
        <v/>
      </c>
      <c r="AJ117" s="17">
        <f>IF(COUNT(C117:P117)=0,"",IFERROR(N117/M117,0))</f>
        <v/>
      </c>
      <c r="AK117" s="16">
        <f>IF(COUNT(C117:P117)=0,"",IFERROR(N117/H117,0))</f>
        <v/>
      </c>
      <c r="AL117" s="14">
        <f>IF(COUNT(C117:P117)=0,"",IFERROR(C117/N117,0))</f>
        <v/>
      </c>
      <c r="AM117" s="17">
        <f>IF(COUNT(C117:P117)=0,"",IFERROR(O117/N117,0))</f>
        <v/>
      </c>
      <c r="AN117" s="17">
        <f>IF(COUNT(C117:P117)=0,"",IFERROR(P117/N117,0))</f>
        <v/>
      </c>
      <c r="AO117" s="19">
        <f>IF(COUNT(C117:P117)=0,"",IFERROR(N117*Config!$C$7+O117*Config!$C$8+P117*Config!$C$9,0))</f>
        <v/>
      </c>
      <c r="AP117" s="14">
        <f>IF(COUNT(C117:P117)=0,"",IFERROR(AO117/N117,0))</f>
        <v/>
      </c>
      <c r="AQ117" s="19">
        <f>IF(COUNT(C117:P117)=0,"",IFERROR(AO117*(1-Config!$C$10-Config!$C$11-Config!$C$12),0))</f>
        <v/>
      </c>
      <c r="AR117" s="19">
        <f>IF(COUNT(C117:P117)=0,"",IFERROR(AQ117-C117-Config!$C$13,0))</f>
        <v/>
      </c>
      <c r="AS117" s="20">
        <f>IF(COUNT(C117:P117)=0,"",IFERROR(AQ117/C117,0))</f>
        <v/>
      </c>
      <c r="AT117" s="14">
        <f>IF(COUNT(C117:P117)=0,"",IFERROR(AR117/G117,0))</f>
        <v/>
      </c>
      <c r="AU117" s="20">
        <f>IF(COUNT(C117:P117)=0,"",IFERROR(AT117/V117,0))</f>
        <v/>
      </c>
      <c r="AV117" s="14">
        <f>IF(COUNT(C117:P117)=0,"",IFERROR(AR117/H117,0))</f>
        <v/>
      </c>
    </row>
    <row r="118">
      <c r="A118" s="11">
        <f>Config!$C$6+112</f>
        <v/>
      </c>
      <c r="B118" s="12">
        <f>INT((A118-Config!$C$6)/7)+1</f>
        <v/>
      </c>
      <c r="C118" s="9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4">
        <f>IF(COUNT(C118:P118)=0,"",IFERROR(C118/D118*1000,0))</f>
        <v/>
      </c>
      <c r="R118" s="15">
        <f>IF(COUNT(C118:P118)=0,"",IFERROR(D118/E118,0))</f>
        <v/>
      </c>
      <c r="S118" s="16">
        <f>IF(COUNT(C118:P118)=0,"",IFERROR(F118/D118,0))</f>
        <v/>
      </c>
      <c r="T118" s="14">
        <f>IF(COUNT(C118:P118)=0,"",IFERROR(C118/F118,0))</f>
        <v/>
      </c>
      <c r="U118" s="17">
        <f>IF(COUNT(C118:P118)=0,"",IFERROR(G118/F118,0))</f>
        <v/>
      </c>
      <c r="V118" s="14">
        <f>IF(COUNT(C118:P118)=0,"",IFERROR(C118/G118,0))</f>
        <v/>
      </c>
      <c r="W118" s="18">
        <f>IF(COUNT(C118:P118)=0,"",IFERROR(G118/D118*1000,0))</f>
        <v/>
      </c>
      <c r="X118" s="17">
        <f>IF(COUNT(C118:P118)=0,"",IFERROR(H118/G118,0))</f>
        <v/>
      </c>
      <c r="Y118" s="14">
        <f>IF(COUNT(C118:P118)=0,"",IFERROR(C118/H118,0))</f>
        <v/>
      </c>
      <c r="Z118" s="14">
        <f>IF(COUNT(C118:P118)=0,"",IFERROR(C118/I118,0))</f>
        <v/>
      </c>
      <c r="AA118" s="17">
        <f>IF(COUNT(C118:P118)=0,"",IFERROR(Y118/Q118,0))</f>
        <v/>
      </c>
      <c r="AB118" s="18">
        <f>IF(COUNT(C118:P118)=0,"",IFERROR(H118/D118*1000,0))</f>
        <v/>
      </c>
      <c r="AC118" s="17">
        <f>IF(COUNT(C118:P118)=0,"",IFERROR(J118/H118,0))</f>
        <v/>
      </c>
      <c r="AD118" s="14">
        <f>IF(COUNT(C118:P118)=0,"",IFERROR(C118/J118,0))</f>
        <v/>
      </c>
      <c r="AE118" s="17">
        <f>IF(COUNT(C118:P118)=0,"",IFERROR(K118/H118,0))</f>
        <v/>
      </c>
      <c r="AF118" s="17">
        <f>IF(COUNT(C118:P118)=0,"",IFERROR(L118/H118,0))</f>
        <v/>
      </c>
      <c r="AG118" s="14">
        <f>IF(COUNT(C118:P118)=0,"",IFERROR(C118/K118,0))</f>
        <v/>
      </c>
      <c r="AH118" s="17">
        <f>IF(COUNT(C118:P118)=0,"",IFERROR(M118/K118,0))</f>
        <v/>
      </c>
      <c r="AI118" s="14">
        <f>IF(COUNT(C118:P118)=0,"",IFERROR(C118/M118,0))</f>
        <v/>
      </c>
      <c r="AJ118" s="17">
        <f>IF(COUNT(C118:P118)=0,"",IFERROR(N118/M118,0))</f>
        <v/>
      </c>
      <c r="AK118" s="16">
        <f>IF(COUNT(C118:P118)=0,"",IFERROR(N118/H118,0))</f>
        <v/>
      </c>
      <c r="AL118" s="14">
        <f>IF(COUNT(C118:P118)=0,"",IFERROR(C118/N118,0))</f>
        <v/>
      </c>
      <c r="AM118" s="17">
        <f>IF(COUNT(C118:P118)=0,"",IFERROR(O118/N118,0))</f>
        <v/>
      </c>
      <c r="AN118" s="17">
        <f>IF(COUNT(C118:P118)=0,"",IFERROR(P118/N118,0))</f>
        <v/>
      </c>
      <c r="AO118" s="19">
        <f>IF(COUNT(C118:P118)=0,"",IFERROR(N118*Config!$C$7+O118*Config!$C$8+P118*Config!$C$9,0))</f>
        <v/>
      </c>
      <c r="AP118" s="14">
        <f>IF(COUNT(C118:P118)=0,"",IFERROR(AO118/N118,0))</f>
        <v/>
      </c>
      <c r="AQ118" s="19">
        <f>IF(COUNT(C118:P118)=0,"",IFERROR(AO118*(1-Config!$C$10-Config!$C$11-Config!$C$12),0))</f>
        <v/>
      </c>
      <c r="AR118" s="19">
        <f>IF(COUNT(C118:P118)=0,"",IFERROR(AQ118-C118-Config!$C$13,0))</f>
        <v/>
      </c>
      <c r="AS118" s="20">
        <f>IF(COUNT(C118:P118)=0,"",IFERROR(AQ118/C118,0))</f>
        <v/>
      </c>
      <c r="AT118" s="14">
        <f>IF(COUNT(C118:P118)=0,"",IFERROR(AR118/G118,0))</f>
        <v/>
      </c>
      <c r="AU118" s="20">
        <f>IF(COUNT(C118:P118)=0,"",IFERROR(AT118/V118,0))</f>
        <v/>
      </c>
      <c r="AV118" s="14">
        <f>IF(COUNT(C118:P118)=0,"",IFERROR(AR118/H118,0))</f>
        <v/>
      </c>
    </row>
    <row r="119">
      <c r="A119" s="11">
        <f>Config!$C$6+113</f>
        <v/>
      </c>
      <c r="B119" s="12">
        <f>INT((A119-Config!$C$6)/7)+1</f>
        <v/>
      </c>
      <c r="C119" s="9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4">
        <f>IF(COUNT(C119:P119)=0,"",IFERROR(C119/D119*1000,0))</f>
        <v/>
      </c>
      <c r="R119" s="15">
        <f>IF(COUNT(C119:P119)=0,"",IFERROR(D119/E119,0))</f>
        <v/>
      </c>
      <c r="S119" s="16">
        <f>IF(COUNT(C119:P119)=0,"",IFERROR(F119/D119,0))</f>
        <v/>
      </c>
      <c r="T119" s="14">
        <f>IF(COUNT(C119:P119)=0,"",IFERROR(C119/F119,0))</f>
        <v/>
      </c>
      <c r="U119" s="17">
        <f>IF(COUNT(C119:P119)=0,"",IFERROR(G119/F119,0))</f>
        <v/>
      </c>
      <c r="V119" s="14">
        <f>IF(COUNT(C119:P119)=0,"",IFERROR(C119/G119,0))</f>
        <v/>
      </c>
      <c r="W119" s="18">
        <f>IF(COUNT(C119:P119)=0,"",IFERROR(G119/D119*1000,0))</f>
        <v/>
      </c>
      <c r="X119" s="17">
        <f>IF(COUNT(C119:P119)=0,"",IFERROR(H119/G119,0))</f>
        <v/>
      </c>
      <c r="Y119" s="14">
        <f>IF(COUNT(C119:P119)=0,"",IFERROR(C119/H119,0))</f>
        <v/>
      </c>
      <c r="Z119" s="14">
        <f>IF(COUNT(C119:P119)=0,"",IFERROR(C119/I119,0))</f>
        <v/>
      </c>
      <c r="AA119" s="17">
        <f>IF(COUNT(C119:P119)=0,"",IFERROR(Y119/Q119,0))</f>
        <v/>
      </c>
      <c r="AB119" s="18">
        <f>IF(COUNT(C119:P119)=0,"",IFERROR(H119/D119*1000,0))</f>
        <v/>
      </c>
      <c r="AC119" s="17">
        <f>IF(COUNT(C119:P119)=0,"",IFERROR(J119/H119,0))</f>
        <v/>
      </c>
      <c r="AD119" s="14">
        <f>IF(COUNT(C119:P119)=0,"",IFERROR(C119/J119,0))</f>
        <v/>
      </c>
      <c r="AE119" s="17">
        <f>IF(COUNT(C119:P119)=0,"",IFERROR(K119/H119,0))</f>
        <v/>
      </c>
      <c r="AF119" s="17">
        <f>IF(COUNT(C119:P119)=0,"",IFERROR(L119/H119,0))</f>
        <v/>
      </c>
      <c r="AG119" s="14">
        <f>IF(COUNT(C119:P119)=0,"",IFERROR(C119/K119,0))</f>
        <v/>
      </c>
      <c r="AH119" s="17">
        <f>IF(COUNT(C119:P119)=0,"",IFERROR(M119/K119,0))</f>
        <v/>
      </c>
      <c r="AI119" s="14">
        <f>IF(COUNT(C119:P119)=0,"",IFERROR(C119/M119,0))</f>
        <v/>
      </c>
      <c r="AJ119" s="17">
        <f>IF(COUNT(C119:P119)=0,"",IFERROR(N119/M119,0))</f>
        <v/>
      </c>
      <c r="AK119" s="16">
        <f>IF(COUNT(C119:P119)=0,"",IFERROR(N119/H119,0))</f>
        <v/>
      </c>
      <c r="AL119" s="14">
        <f>IF(COUNT(C119:P119)=0,"",IFERROR(C119/N119,0))</f>
        <v/>
      </c>
      <c r="AM119" s="17">
        <f>IF(COUNT(C119:P119)=0,"",IFERROR(O119/N119,0))</f>
        <v/>
      </c>
      <c r="AN119" s="17">
        <f>IF(COUNT(C119:P119)=0,"",IFERROR(P119/N119,0))</f>
        <v/>
      </c>
      <c r="AO119" s="19">
        <f>IF(COUNT(C119:P119)=0,"",IFERROR(N119*Config!$C$7+O119*Config!$C$8+P119*Config!$C$9,0))</f>
        <v/>
      </c>
      <c r="AP119" s="14">
        <f>IF(COUNT(C119:P119)=0,"",IFERROR(AO119/N119,0))</f>
        <v/>
      </c>
      <c r="AQ119" s="19">
        <f>IF(COUNT(C119:P119)=0,"",IFERROR(AO119*(1-Config!$C$10-Config!$C$11-Config!$C$12),0))</f>
        <v/>
      </c>
      <c r="AR119" s="19">
        <f>IF(COUNT(C119:P119)=0,"",IFERROR(AQ119-C119-Config!$C$13,0))</f>
        <v/>
      </c>
      <c r="AS119" s="20">
        <f>IF(COUNT(C119:P119)=0,"",IFERROR(AQ119/C119,0))</f>
        <v/>
      </c>
      <c r="AT119" s="14">
        <f>IF(COUNT(C119:P119)=0,"",IFERROR(AR119/G119,0))</f>
        <v/>
      </c>
      <c r="AU119" s="20">
        <f>IF(COUNT(C119:P119)=0,"",IFERROR(AT119/V119,0))</f>
        <v/>
      </c>
      <c r="AV119" s="14">
        <f>IF(COUNT(C119:P119)=0,"",IFERROR(AR119/H119,0))</f>
        <v/>
      </c>
    </row>
    <row r="120">
      <c r="A120" s="11">
        <f>Config!$C$6+114</f>
        <v/>
      </c>
      <c r="B120" s="12">
        <f>INT((A120-Config!$C$6)/7)+1</f>
        <v/>
      </c>
      <c r="C120" s="9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4">
        <f>IF(COUNT(C120:P120)=0,"",IFERROR(C120/D120*1000,0))</f>
        <v/>
      </c>
      <c r="R120" s="15">
        <f>IF(COUNT(C120:P120)=0,"",IFERROR(D120/E120,0))</f>
        <v/>
      </c>
      <c r="S120" s="16">
        <f>IF(COUNT(C120:P120)=0,"",IFERROR(F120/D120,0))</f>
        <v/>
      </c>
      <c r="T120" s="14">
        <f>IF(COUNT(C120:P120)=0,"",IFERROR(C120/F120,0))</f>
        <v/>
      </c>
      <c r="U120" s="17">
        <f>IF(COUNT(C120:P120)=0,"",IFERROR(G120/F120,0))</f>
        <v/>
      </c>
      <c r="V120" s="14">
        <f>IF(COUNT(C120:P120)=0,"",IFERROR(C120/G120,0))</f>
        <v/>
      </c>
      <c r="W120" s="18">
        <f>IF(COUNT(C120:P120)=0,"",IFERROR(G120/D120*1000,0))</f>
        <v/>
      </c>
      <c r="X120" s="17">
        <f>IF(COUNT(C120:P120)=0,"",IFERROR(H120/G120,0))</f>
        <v/>
      </c>
      <c r="Y120" s="14">
        <f>IF(COUNT(C120:P120)=0,"",IFERROR(C120/H120,0))</f>
        <v/>
      </c>
      <c r="Z120" s="14">
        <f>IF(COUNT(C120:P120)=0,"",IFERROR(C120/I120,0))</f>
        <v/>
      </c>
      <c r="AA120" s="17">
        <f>IF(COUNT(C120:P120)=0,"",IFERROR(Y120/Q120,0))</f>
        <v/>
      </c>
      <c r="AB120" s="18">
        <f>IF(COUNT(C120:P120)=0,"",IFERROR(H120/D120*1000,0))</f>
        <v/>
      </c>
      <c r="AC120" s="17">
        <f>IF(COUNT(C120:P120)=0,"",IFERROR(J120/H120,0))</f>
        <v/>
      </c>
      <c r="AD120" s="14">
        <f>IF(COUNT(C120:P120)=0,"",IFERROR(C120/J120,0))</f>
        <v/>
      </c>
      <c r="AE120" s="17">
        <f>IF(COUNT(C120:P120)=0,"",IFERROR(K120/H120,0))</f>
        <v/>
      </c>
      <c r="AF120" s="17">
        <f>IF(COUNT(C120:P120)=0,"",IFERROR(L120/H120,0))</f>
        <v/>
      </c>
      <c r="AG120" s="14">
        <f>IF(COUNT(C120:P120)=0,"",IFERROR(C120/K120,0))</f>
        <v/>
      </c>
      <c r="AH120" s="17">
        <f>IF(COUNT(C120:P120)=0,"",IFERROR(M120/K120,0))</f>
        <v/>
      </c>
      <c r="AI120" s="14">
        <f>IF(COUNT(C120:P120)=0,"",IFERROR(C120/M120,0))</f>
        <v/>
      </c>
      <c r="AJ120" s="17">
        <f>IF(COUNT(C120:P120)=0,"",IFERROR(N120/M120,0))</f>
        <v/>
      </c>
      <c r="AK120" s="16">
        <f>IF(COUNT(C120:P120)=0,"",IFERROR(N120/H120,0))</f>
        <v/>
      </c>
      <c r="AL120" s="14">
        <f>IF(COUNT(C120:P120)=0,"",IFERROR(C120/N120,0))</f>
        <v/>
      </c>
      <c r="AM120" s="17">
        <f>IF(COUNT(C120:P120)=0,"",IFERROR(O120/N120,0))</f>
        <v/>
      </c>
      <c r="AN120" s="17">
        <f>IF(COUNT(C120:P120)=0,"",IFERROR(P120/N120,0))</f>
        <v/>
      </c>
      <c r="AO120" s="19">
        <f>IF(COUNT(C120:P120)=0,"",IFERROR(N120*Config!$C$7+O120*Config!$C$8+P120*Config!$C$9,0))</f>
        <v/>
      </c>
      <c r="AP120" s="14">
        <f>IF(COUNT(C120:P120)=0,"",IFERROR(AO120/N120,0))</f>
        <v/>
      </c>
      <c r="AQ120" s="19">
        <f>IF(COUNT(C120:P120)=0,"",IFERROR(AO120*(1-Config!$C$10-Config!$C$11-Config!$C$12),0))</f>
        <v/>
      </c>
      <c r="AR120" s="19">
        <f>IF(COUNT(C120:P120)=0,"",IFERROR(AQ120-C120-Config!$C$13,0))</f>
        <v/>
      </c>
      <c r="AS120" s="20">
        <f>IF(COUNT(C120:P120)=0,"",IFERROR(AQ120/C120,0))</f>
        <v/>
      </c>
      <c r="AT120" s="14">
        <f>IF(COUNT(C120:P120)=0,"",IFERROR(AR120/G120,0))</f>
        <v/>
      </c>
      <c r="AU120" s="20">
        <f>IF(COUNT(C120:P120)=0,"",IFERROR(AT120/V120,0))</f>
        <v/>
      </c>
      <c r="AV120" s="14">
        <f>IF(COUNT(C120:P120)=0,"",IFERROR(AR120/H120,0))</f>
        <v/>
      </c>
    </row>
    <row r="121">
      <c r="A121" s="11">
        <f>Config!$C$6+115</f>
        <v/>
      </c>
      <c r="B121" s="12">
        <f>INT((A121-Config!$C$6)/7)+1</f>
        <v/>
      </c>
      <c r="C121" s="9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4">
        <f>IF(COUNT(C121:P121)=0,"",IFERROR(C121/D121*1000,0))</f>
        <v/>
      </c>
      <c r="R121" s="15">
        <f>IF(COUNT(C121:P121)=0,"",IFERROR(D121/E121,0))</f>
        <v/>
      </c>
      <c r="S121" s="16">
        <f>IF(COUNT(C121:P121)=0,"",IFERROR(F121/D121,0))</f>
        <v/>
      </c>
      <c r="T121" s="14">
        <f>IF(COUNT(C121:P121)=0,"",IFERROR(C121/F121,0))</f>
        <v/>
      </c>
      <c r="U121" s="17">
        <f>IF(COUNT(C121:P121)=0,"",IFERROR(G121/F121,0))</f>
        <v/>
      </c>
      <c r="V121" s="14">
        <f>IF(COUNT(C121:P121)=0,"",IFERROR(C121/G121,0))</f>
        <v/>
      </c>
      <c r="W121" s="18">
        <f>IF(COUNT(C121:P121)=0,"",IFERROR(G121/D121*1000,0))</f>
        <v/>
      </c>
      <c r="X121" s="17">
        <f>IF(COUNT(C121:P121)=0,"",IFERROR(H121/G121,0))</f>
        <v/>
      </c>
      <c r="Y121" s="14">
        <f>IF(COUNT(C121:P121)=0,"",IFERROR(C121/H121,0))</f>
        <v/>
      </c>
      <c r="Z121" s="14">
        <f>IF(COUNT(C121:P121)=0,"",IFERROR(C121/I121,0))</f>
        <v/>
      </c>
      <c r="AA121" s="17">
        <f>IF(COUNT(C121:P121)=0,"",IFERROR(Y121/Q121,0))</f>
        <v/>
      </c>
      <c r="AB121" s="18">
        <f>IF(COUNT(C121:P121)=0,"",IFERROR(H121/D121*1000,0))</f>
        <v/>
      </c>
      <c r="AC121" s="17">
        <f>IF(COUNT(C121:P121)=0,"",IFERROR(J121/H121,0))</f>
        <v/>
      </c>
      <c r="AD121" s="14">
        <f>IF(COUNT(C121:P121)=0,"",IFERROR(C121/J121,0))</f>
        <v/>
      </c>
      <c r="AE121" s="17">
        <f>IF(COUNT(C121:P121)=0,"",IFERROR(K121/H121,0))</f>
        <v/>
      </c>
      <c r="AF121" s="17">
        <f>IF(COUNT(C121:P121)=0,"",IFERROR(L121/H121,0))</f>
        <v/>
      </c>
      <c r="AG121" s="14">
        <f>IF(COUNT(C121:P121)=0,"",IFERROR(C121/K121,0))</f>
        <v/>
      </c>
      <c r="AH121" s="17">
        <f>IF(COUNT(C121:P121)=0,"",IFERROR(M121/K121,0))</f>
        <v/>
      </c>
      <c r="AI121" s="14">
        <f>IF(COUNT(C121:P121)=0,"",IFERROR(C121/M121,0))</f>
        <v/>
      </c>
      <c r="AJ121" s="17">
        <f>IF(COUNT(C121:P121)=0,"",IFERROR(N121/M121,0))</f>
        <v/>
      </c>
      <c r="AK121" s="16">
        <f>IF(COUNT(C121:P121)=0,"",IFERROR(N121/H121,0))</f>
        <v/>
      </c>
      <c r="AL121" s="14">
        <f>IF(COUNT(C121:P121)=0,"",IFERROR(C121/N121,0))</f>
        <v/>
      </c>
      <c r="AM121" s="17">
        <f>IF(COUNT(C121:P121)=0,"",IFERROR(O121/N121,0))</f>
        <v/>
      </c>
      <c r="AN121" s="17">
        <f>IF(COUNT(C121:P121)=0,"",IFERROR(P121/N121,0))</f>
        <v/>
      </c>
      <c r="AO121" s="19">
        <f>IF(COUNT(C121:P121)=0,"",IFERROR(N121*Config!$C$7+O121*Config!$C$8+P121*Config!$C$9,0))</f>
        <v/>
      </c>
      <c r="AP121" s="14">
        <f>IF(COUNT(C121:P121)=0,"",IFERROR(AO121/N121,0))</f>
        <v/>
      </c>
      <c r="AQ121" s="19">
        <f>IF(COUNT(C121:P121)=0,"",IFERROR(AO121*(1-Config!$C$10-Config!$C$11-Config!$C$12),0))</f>
        <v/>
      </c>
      <c r="AR121" s="19">
        <f>IF(COUNT(C121:P121)=0,"",IFERROR(AQ121-C121-Config!$C$13,0))</f>
        <v/>
      </c>
      <c r="AS121" s="20">
        <f>IF(COUNT(C121:P121)=0,"",IFERROR(AQ121/C121,0))</f>
        <v/>
      </c>
      <c r="AT121" s="14">
        <f>IF(COUNT(C121:P121)=0,"",IFERROR(AR121/G121,0))</f>
        <v/>
      </c>
      <c r="AU121" s="20">
        <f>IF(COUNT(C121:P121)=0,"",IFERROR(AT121/V121,0))</f>
        <v/>
      </c>
      <c r="AV121" s="14">
        <f>IF(COUNT(C121:P121)=0,"",IFERROR(AR121/H121,0))</f>
        <v/>
      </c>
    </row>
    <row r="122">
      <c r="A122" s="11">
        <f>Config!$C$6+116</f>
        <v/>
      </c>
      <c r="B122" s="12">
        <f>INT((A122-Config!$C$6)/7)+1</f>
        <v/>
      </c>
      <c r="C122" s="9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4">
        <f>IF(COUNT(C122:P122)=0,"",IFERROR(C122/D122*1000,0))</f>
        <v/>
      </c>
      <c r="R122" s="15">
        <f>IF(COUNT(C122:P122)=0,"",IFERROR(D122/E122,0))</f>
        <v/>
      </c>
      <c r="S122" s="16">
        <f>IF(COUNT(C122:P122)=0,"",IFERROR(F122/D122,0))</f>
        <v/>
      </c>
      <c r="T122" s="14">
        <f>IF(COUNT(C122:P122)=0,"",IFERROR(C122/F122,0))</f>
        <v/>
      </c>
      <c r="U122" s="17">
        <f>IF(COUNT(C122:P122)=0,"",IFERROR(G122/F122,0))</f>
        <v/>
      </c>
      <c r="V122" s="14">
        <f>IF(COUNT(C122:P122)=0,"",IFERROR(C122/G122,0))</f>
        <v/>
      </c>
      <c r="W122" s="18">
        <f>IF(COUNT(C122:P122)=0,"",IFERROR(G122/D122*1000,0))</f>
        <v/>
      </c>
      <c r="X122" s="17">
        <f>IF(COUNT(C122:P122)=0,"",IFERROR(H122/G122,0))</f>
        <v/>
      </c>
      <c r="Y122" s="14">
        <f>IF(COUNT(C122:P122)=0,"",IFERROR(C122/H122,0))</f>
        <v/>
      </c>
      <c r="Z122" s="14">
        <f>IF(COUNT(C122:P122)=0,"",IFERROR(C122/I122,0))</f>
        <v/>
      </c>
      <c r="AA122" s="17">
        <f>IF(COUNT(C122:P122)=0,"",IFERROR(Y122/Q122,0))</f>
        <v/>
      </c>
      <c r="AB122" s="18">
        <f>IF(COUNT(C122:P122)=0,"",IFERROR(H122/D122*1000,0))</f>
        <v/>
      </c>
      <c r="AC122" s="17">
        <f>IF(COUNT(C122:P122)=0,"",IFERROR(J122/H122,0))</f>
        <v/>
      </c>
      <c r="AD122" s="14">
        <f>IF(COUNT(C122:P122)=0,"",IFERROR(C122/J122,0))</f>
        <v/>
      </c>
      <c r="AE122" s="17">
        <f>IF(COUNT(C122:P122)=0,"",IFERROR(K122/H122,0))</f>
        <v/>
      </c>
      <c r="AF122" s="17">
        <f>IF(COUNT(C122:P122)=0,"",IFERROR(L122/H122,0))</f>
        <v/>
      </c>
      <c r="AG122" s="14">
        <f>IF(COUNT(C122:P122)=0,"",IFERROR(C122/K122,0))</f>
        <v/>
      </c>
      <c r="AH122" s="17">
        <f>IF(COUNT(C122:P122)=0,"",IFERROR(M122/K122,0))</f>
        <v/>
      </c>
      <c r="AI122" s="14">
        <f>IF(COUNT(C122:P122)=0,"",IFERROR(C122/M122,0))</f>
        <v/>
      </c>
      <c r="AJ122" s="17">
        <f>IF(COUNT(C122:P122)=0,"",IFERROR(N122/M122,0))</f>
        <v/>
      </c>
      <c r="AK122" s="16">
        <f>IF(COUNT(C122:P122)=0,"",IFERROR(N122/H122,0))</f>
        <v/>
      </c>
      <c r="AL122" s="14">
        <f>IF(COUNT(C122:P122)=0,"",IFERROR(C122/N122,0))</f>
        <v/>
      </c>
      <c r="AM122" s="17">
        <f>IF(COUNT(C122:P122)=0,"",IFERROR(O122/N122,0))</f>
        <v/>
      </c>
      <c r="AN122" s="17">
        <f>IF(COUNT(C122:P122)=0,"",IFERROR(P122/N122,0))</f>
        <v/>
      </c>
      <c r="AO122" s="19">
        <f>IF(COUNT(C122:P122)=0,"",IFERROR(N122*Config!$C$7+O122*Config!$C$8+P122*Config!$C$9,0))</f>
        <v/>
      </c>
      <c r="AP122" s="14">
        <f>IF(COUNT(C122:P122)=0,"",IFERROR(AO122/N122,0))</f>
        <v/>
      </c>
      <c r="AQ122" s="19">
        <f>IF(COUNT(C122:P122)=0,"",IFERROR(AO122*(1-Config!$C$10-Config!$C$11-Config!$C$12),0))</f>
        <v/>
      </c>
      <c r="AR122" s="19">
        <f>IF(COUNT(C122:P122)=0,"",IFERROR(AQ122-C122-Config!$C$13,0))</f>
        <v/>
      </c>
      <c r="AS122" s="20">
        <f>IF(COUNT(C122:P122)=0,"",IFERROR(AQ122/C122,0))</f>
        <v/>
      </c>
      <c r="AT122" s="14">
        <f>IF(COUNT(C122:P122)=0,"",IFERROR(AR122/G122,0))</f>
        <v/>
      </c>
      <c r="AU122" s="20">
        <f>IF(COUNT(C122:P122)=0,"",IFERROR(AT122/V122,0))</f>
        <v/>
      </c>
      <c r="AV122" s="14">
        <f>IF(COUNT(C122:P122)=0,"",IFERROR(AR122/H122,0))</f>
        <v/>
      </c>
    </row>
    <row r="123">
      <c r="A123" s="11">
        <f>Config!$C$6+117</f>
        <v/>
      </c>
      <c r="B123" s="12">
        <f>INT((A123-Config!$C$6)/7)+1</f>
        <v/>
      </c>
      <c r="C123" s="9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4">
        <f>IF(COUNT(C123:P123)=0,"",IFERROR(C123/D123*1000,0))</f>
        <v/>
      </c>
      <c r="R123" s="15">
        <f>IF(COUNT(C123:P123)=0,"",IFERROR(D123/E123,0))</f>
        <v/>
      </c>
      <c r="S123" s="16">
        <f>IF(COUNT(C123:P123)=0,"",IFERROR(F123/D123,0))</f>
        <v/>
      </c>
      <c r="T123" s="14">
        <f>IF(COUNT(C123:P123)=0,"",IFERROR(C123/F123,0))</f>
        <v/>
      </c>
      <c r="U123" s="17">
        <f>IF(COUNT(C123:P123)=0,"",IFERROR(G123/F123,0))</f>
        <v/>
      </c>
      <c r="V123" s="14">
        <f>IF(COUNT(C123:P123)=0,"",IFERROR(C123/G123,0))</f>
        <v/>
      </c>
      <c r="W123" s="18">
        <f>IF(COUNT(C123:P123)=0,"",IFERROR(G123/D123*1000,0))</f>
        <v/>
      </c>
      <c r="X123" s="17">
        <f>IF(COUNT(C123:P123)=0,"",IFERROR(H123/G123,0))</f>
        <v/>
      </c>
      <c r="Y123" s="14">
        <f>IF(COUNT(C123:P123)=0,"",IFERROR(C123/H123,0))</f>
        <v/>
      </c>
      <c r="Z123" s="14">
        <f>IF(COUNT(C123:P123)=0,"",IFERROR(C123/I123,0))</f>
        <v/>
      </c>
      <c r="AA123" s="17">
        <f>IF(COUNT(C123:P123)=0,"",IFERROR(Y123/Q123,0))</f>
        <v/>
      </c>
      <c r="AB123" s="18">
        <f>IF(COUNT(C123:P123)=0,"",IFERROR(H123/D123*1000,0))</f>
        <v/>
      </c>
      <c r="AC123" s="17">
        <f>IF(COUNT(C123:P123)=0,"",IFERROR(J123/H123,0))</f>
        <v/>
      </c>
      <c r="AD123" s="14">
        <f>IF(COUNT(C123:P123)=0,"",IFERROR(C123/J123,0))</f>
        <v/>
      </c>
      <c r="AE123" s="17">
        <f>IF(COUNT(C123:P123)=0,"",IFERROR(K123/H123,0))</f>
        <v/>
      </c>
      <c r="AF123" s="17">
        <f>IF(COUNT(C123:P123)=0,"",IFERROR(L123/H123,0))</f>
        <v/>
      </c>
      <c r="AG123" s="14">
        <f>IF(COUNT(C123:P123)=0,"",IFERROR(C123/K123,0))</f>
        <v/>
      </c>
      <c r="AH123" s="17">
        <f>IF(COUNT(C123:P123)=0,"",IFERROR(M123/K123,0))</f>
        <v/>
      </c>
      <c r="AI123" s="14">
        <f>IF(COUNT(C123:P123)=0,"",IFERROR(C123/M123,0))</f>
        <v/>
      </c>
      <c r="AJ123" s="17">
        <f>IF(COUNT(C123:P123)=0,"",IFERROR(N123/M123,0))</f>
        <v/>
      </c>
      <c r="AK123" s="16">
        <f>IF(COUNT(C123:P123)=0,"",IFERROR(N123/H123,0))</f>
        <v/>
      </c>
      <c r="AL123" s="14">
        <f>IF(COUNT(C123:P123)=0,"",IFERROR(C123/N123,0))</f>
        <v/>
      </c>
      <c r="AM123" s="17">
        <f>IF(COUNT(C123:P123)=0,"",IFERROR(O123/N123,0))</f>
        <v/>
      </c>
      <c r="AN123" s="17">
        <f>IF(COUNT(C123:P123)=0,"",IFERROR(P123/N123,0))</f>
        <v/>
      </c>
      <c r="AO123" s="19">
        <f>IF(COUNT(C123:P123)=0,"",IFERROR(N123*Config!$C$7+O123*Config!$C$8+P123*Config!$C$9,0))</f>
        <v/>
      </c>
      <c r="AP123" s="14">
        <f>IF(COUNT(C123:P123)=0,"",IFERROR(AO123/N123,0))</f>
        <v/>
      </c>
      <c r="AQ123" s="19">
        <f>IF(COUNT(C123:P123)=0,"",IFERROR(AO123*(1-Config!$C$10-Config!$C$11-Config!$C$12),0))</f>
        <v/>
      </c>
      <c r="AR123" s="19">
        <f>IF(COUNT(C123:P123)=0,"",IFERROR(AQ123-C123-Config!$C$13,0))</f>
        <v/>
      </c>
      <c r="AS123" s="20">
        <f>IF(COUNT(C123:P123)=0,"",IFERROR(AQ123/C123,0))</f>
        <v/>
      </c>
      <c r="AT123" s="14">
        <f>IF(COUNT(C123:P123)=0,"",IFERROR(AR123/G123,0))</f>
        <v/>
      </c>
      <c r="AU123" s="20">
        <f>IF(COUNT(C123:P123)=0,"",IFERROR(AT123/V123,0))</f>
        <v/>
      </c>
      <c r="AV123" s="14">
        <f>IF(COUNT(C123:P123)=0,"",IFERROR(AR123/H123,0))</f>
        <v/>
      </c>
    </row>
    <row r="124">
      <c r="A124" s="11">
        <f>Config!$C$6+118</f>
        <v/>
      </c>
      <c r="B124" s="12">
        <f>INT((A124-Config!$C$6)/7)+1</f>
        <v/>
      </c>
      <c r="C124" s="9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4">
        <f>IF(COUNT(C124:P124)=0,"",IFERROR(C124/D124*1000,0))</f>
        <v/>
      </c>
      <c r="R124" s="15">
        <f>IF(COUNT(C124:P124)=0,"",IFERROR(D124/E124,0))</f>
        <v/>
      </c>
      <c r="S124" s="16">
        <f>IF(COUNT(C124:P124)=0,"",IFERROR(F124/D124,0))</f>
        <v/>
      </c>
      <c r="T124" s="14">
        <f>IF(COUNT(C124:P124)=0,"",IFERROR(C124/F124,0))</f>
        <v/>
      </c>
      <c r="U124" s="17">
        <f>IF(COUNT(C124:P124)=0,"",IFERROR(G124/F124,0))</f>
        <v/>
      </c>
      <c r="V124" s="14">
        <f>IF(COUNT(C124:P124)=0,"",IFERROR(C124/G124,0))</f>
        <v/>
      </c>
      <c r="W124" s="18">
        <f>IF(COUNT(C124:P124)=0,"",IFERROR(G124/D124*1000,0))</f>
        <v/>
      </c>
      <c r="X124" s="17">
        <f>IF(COUNT(C124:P124)=0,"",IFERROR(H124/G124,0))</f>
        <v/>
      </c>
      <c r="Y124" s="14">
        <f>IF(COUNT(C124:P124)=0,"",IFERROR(C124/H124,0))</f>
        <v/>
      </c>
      <c r="Z124" s="14">
        <f>IF(COUNT(C124:P124)=0,"",IFERROR(C124/I124,0))</f>
        <v/>
      </c>
      <c r="AA124" s="17">
        <f>IF(COUNT(C124:P124)=0,"",IFERROR(Y124/Q124,0))</f>
        <v/>
      </c>
      <c r="AB124" s="18">
        <f>IF(COUNT(C124:P124)=0,"",IFERROR(H124/D124*1000,0))</f>
        <v/>
      </c>
      <c r="AC124" s="17">
        <f>IF(COUNT(C124:P124)=0,"",IFERROR(J124/H124,0))</f>
        <v/>
      </c>
      <c r="AD124" s="14">
        <f>IF(COUNT(C124:P124)=0,"",IFERROR(C124/J124,0))</f>
        <v/>
      </c>
      <c r="AE124" s="17">
        <f>IF(COUNT(C124:P124)=0,"",IFERROR(K124/H124,0))</f>
        <v/>
      </c>
      <c r="AF124" s="17">
        <f>IF(COUNT(C124:P124)=0,"",IFERROR(L124/H124,0))</f>
        <v/>
      </c>
      <c r="AG124" s="14">
        <f>IF(COUNT(C124:P124)=0,"",IFERROR(C124/K124,0))</f>
        <v/>
      </c>
      <c r="AH124" s="17">
        <f>IF(COUNT(C124:P124)=0,"",IFERROR(M124/K124,0))</f>
        <v/>
      </c>
      <c r="AI124" s="14">
        <f>IF(COUNT(C124:P124)=0,"",IFERROR(C124/M124,0))</f>
        <v/>
      </c>
      <c r="AJ124" s="17">
        <f>IF(COUNT(C124:P124)=0,"",IFERROR(N124/M124,0))</f>
        <v/>
      </c>
      <c r="AK124" s="16">
        <f>IF(COUNT(C124:P124)=0,"",IFERROR(N124/H124,0))</f>
        <v/>
      </c>
      <c r="AL124" s="14">
        <f>IF(COUNT(C124:P124)=0,"",IFERROR(C124/N124,0))</f>
        <v/>
      </c>
      <c r="AM124" s="17">
        <f>IF(COUNT(C124:P124)=0,"",IFERROR(O124/N124,0))</f>
        <v/>
      </c>
      <c r="AN124" s="17">
        <f>IF(COUNT(C124:P124)=0,"",IFERROR(P124/N124,0))</f>
        <v/>
      </c>
      <c r="AO124" s="19">
        <f>IF(COUNT(C124:P124)=0,"",IFERROR(N124*Config!$C$7+O124*Config!$C$8+P124*Config!$C$9,0))</f>
        <v/>
      </c>
      <c r="AP124" s="14">
        <f>IF(COUNT(C124:P124)=0,"",IFERROR(AO124/N124,0))</f>
        <v/>
      </c>
      <c r="AQ124" s="19">
        <f>IF(COUNT(C124:P124)=0,"",IFERROR(AO124*(1-Config!$C$10-Config!$C$11-Config!$C$12),0))</f>
        <v/>
      </c>
      <c r="AR124" s="19">
        <f>IF(COUNT(C124:P124)=0,"",IFERROR(AQ124-C124-Config!$C$13,0))</f>
        <v/>
      </c>
      <c r="AS124" s="20">
        <f>IF(COUNT(C124:P124)=0,"",IFERROR(AQ124/C124,0))</f>
        <v/>
      </c>
      <c r="AT124" s="14">
        <f>IF(COUNT(C124:P124)=0,"",IFERROR(AR124/G124,0))</f>
        <v/>
      </c>
      <c r="AU124" s="20">
        <f>IF(COUNT(C124:P124)=0,"",IFERROR(AT124/V124,0))</f>
        <v/>
      </c>
      <c r="AV124" s="14">
        <f>IF(COUNT(C124:P124)=0,"",IFERROR(AR124/H124,0))</f>
        <v/>
      </c>
    </row>
    <row r="125">
      <c r="A125" s="11">
        <f>Config!$C$6+119</f>
        <v/>
      </c>
      <c r="B125" s="12">
        <f>INT((A125-Config!$C$6)/7)+1</f>
        <v/>
      </c>
      <c r="C125" s="9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4">
        <f>IF(COUNT(C125:P125)=0,"",IFERROR(C125/D125*1000,0))</f>
        <v/>
      </c>
      <c r="R125" s="15">
        <f>IF(COUNT(C125:P125)=0,"",IFERROR(D125/E125,0))</f>
        <v/>
      </c>
      <c r="S125" s="16">
        <f>IF(COUNT(C125:P125)=0,"",IFERROR(F125/D125,0))</f>
        <v/>
      </c>
      <c r="T125" s="14">
        <f>IF(COUNT(C125:P125)=0,"",IFERROR(C125/F125,0))</f>
        <v/>
      </c>
      <c r="U125" s="17">
        <f>IF(COUNT(C125:P125)=0,"",IFERROR(G125/F125,0))</f>
        <v/>
      </c>
      <c r="V125" s="14">
        <f>IF(COUNT(C125:P125)=0,"",IFERROR(C125/G125,0))</f>
        <v/>
      </c>
      <c r="W125" s="18">
        <f>IF(COUNT(C125:P125)=0,"",IFERROR(G125/D125*1000,0))</f>
        <v/>
      </c>
      <c r="X125" s="17">
        <f>IF(COUNT(C125:P125)=0,"",IFERROR(H125/G125,0))</f>
        <v/>
      </c>
      <c r="Y125" s="14">
        <f>IF(COUNT(C125:P125)=0,"",IFERROR(C125/H125,0))</f>
        <v/>
      </c>
      <c r="Z125" s="14">
        <f>IF(COUNT(C125:P125)=0,"",IFERROR(C125/I125,0))</f>
        <v/>
      </c>
      <c r="AA125" s="17">
        <f>IF(COUNT(C125:P125)=0,"",IFERROR(Y125/Q125,0))</f>
        <v/>
      </c>
      <c r="AB125" s="18">
        <f>IF(COUNT(C125:P125)=0,"",IFERROR(H125/D125*1000,0))</f>
        <v/>
      </c>
      <c r="AC125" s="17">
        <f>IF(COUNT(C125:P125)=0,"",IFERROR(J125/H125,0))</f>
        <v/>
      </c>
      <c r="AD125" s="14">
        <f>IF(COUNT(C125:P125)=0,"",IFERROR(C125/J125,0))</f>
        <v/>
      </c>
      <c r="AE125" s="17">
        <f>IF(COUNT(C125:P125)=0,"",IFERROR(K125/H125,0))</f>
        <v/>
      </c>
      <c r="AF125" s="17">
        <f>IF(COUNT(C125:P125)=0,"",IFERROR(L125/H125,0))</f>
        <v/>
      </c>
      <c r="AG125" s="14">
        <f>IF(COUNT(C125:P125)=0,"",IFERROR(C125/K125,0))</f>
        <v/>
      </c>
      <c r="AH125" s="17">
        <f>IF(COUNT(C125:P125)=0,"",IFERROR(M125/K125,0))</f>
        <v/>
      </c>
      <c r="AI125" s="14">
        <f>IF(COUNT(C125:P125)=0,"",IFERROR(C125/M125,0))</f>
        <v/>
      </c>
      <c r="AJ125" s="17">
        <f>IF(COUNT(C125:P125)=0,"",IFERROR(N125/M125,0))</f>
        <v/>
      </c>
      <c r="AK125" s="16">
        <f>IF(COUNT(C125:P125)=0,"",IFERROR(N125/H125,0))</f>
        <v/>
      </c>
      <c r="AL125" s="14">
        <f>IF(COUNT(C125:P125)=0,"",IFERROR(C125/N125,0))</f>
        <v/>
      </c>
      <c r="AM125" s="17">
        <f>IF(COUNT(C125:P125)=0,"",IFERROR(O125/N125,0))</f>
        <v/>
      </c>
      <c r="AN125" s="17">
        <f>IF(COUNT(C125:P125)=0,"",IFERROR(P125/N125,0))</f>
        <v/>
      </c>
      <c r="AO125" s="19">
        <f>IF(COUNT(C125:P125)=0,"",IFERROR(N125*Config!$C$7+O125*Config!$C$8+P125*Config!$C$9,0))</f>
        <v/>
      </c>
      <c r="AP125" s="14">
        <f>IF(COUNT(C125:P125)=0,"",IFERROR(AO125/N125,0))</f>
        <v/>
      </c>
      <c r="AQ125" s="19">
        <f>IF(COUNT(C125:P125)=0,"",IFERROR(AO125*(1-Config!$C$10-Config!$C$11-Config!$C$12),0))</f>
        <v/>
      </c>
      <c r="AR125" s="19">
        <f>IF(COUNT(C125:P125)=0,"",IFERROR(AQ125-C125-Config!$C$13,0))</f>
        <v/>
      </c>
      <c r="AS125" s="20">
        <f>IF(COUNT(C125:P125)=0,"",IFERROR(AQ125/C125,0))</f>
        <v/>
      </c>
      <c r="AT125" s="14">
        <f>IF(COUNT(C125:P125)=0,"",IFERROR(AR125/G125,0))</f>
        <v/>
      </c>
      <c r="AU125" s="20">
        <f>IF(COUNT(C125:P125)=0,"",IFERROR(AT125/V125,0))</f>
        <v/>
      </c>
      <c r="AV125" s="14">
        <f>IF(COUNT(C125:P125)=0,"",IFERROR(AR125/H125,0))</f>
        <v/>
      </c>
    </row>
    <row r="126">
      <c r="A126" s="11">
        <f>Config!$C$6+120</f>
        <v/>
      </c>
      <c r="B126" s="12">
        <f>INT((A126-Config!$C$6)/7)+1</f>
        <v/>
      </c>
      <c r="C126" s="9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4">
        <f>IF(COUNT(C126:P126)=0,"",IFERROR(C126/D126*1000,0))</f>
        <v/>
      </c>
      <c r="R126" s="15">
        <f>IF(COUNT(C126:P126)=0,"",IFERROR(D126/E126,0))</f>
        <v/>
      </c>
      <c r="S126" s="16">
        <f>IF(COUNT(C126:P126)=0,"",IFERROR(F126/D126,0))</f>
        <v/>
      </c>
      <c r="T126" s="14">
        <f>IF(COUNT(C126:P126)=0,"",IFERROR(C126/F126,0))</f>
        <v/>
      </c>
      <c r="U126" s="17">
        <f>IF(COUNT(C126:P126)=0,"",IFERROR(G126/F126,0))</f>
        <v/>
      </c>
      <c r="V126" s="14">
        <f>IF(COUNT(C126:P126)=0,"",IFERROR(C126/G126,0))</f>
        <v/>
      </c>
      <c r="W126" s="18">
        <f>IF(COUNT(C126:P126)=0,"",IFERROR(G126/D126*1000,0))</f>
        <v/>
      </c>
      <c r="X126" s="17">
        <f>IF(COUNT(C126:P126)=0,"",IFERROR(H126/G126,0))</f>
        <v/>
      </c>
      <c r="Y126" s="14">
        <f>IF(COUNT(C126:P126)=0,"",IFERROR(C126/H126,0))</f>
        <v/>
      </c>
      <c r="Z126" s="14">
        <f>IF(COUNT(C126:P126)=0,"",IFERROR(C126/I126,0))</f>
        <v/>
      </c>
      <c r="AA126" s="17">
        <f>IF(COUNT(C126:P126)=0,"",IFERROR(Y126/Q126,0))</f>
        <v/>
      </c>
      <c r="AB126" s="18">
        <f>IF(COUNT(C126:P126)=0,"",IFERROR(H126/D126*1000,0))</f>
        <v/>
      </c>
      <c r="AC126" s="17">
        <f>IF(COUNT(C126:P126)=0,"",IFERROR(J126/H126,0))</f>
        <v/>
      </c>
      <c r="AD126" s="14">
        <f>IF(COUNT(C126:P126)=0,"",IFERROR(C126/J126,0))</f>
        <v/>
      </c>
      <c r="AE126" s="17">
        <f>IF(COUNT(C126:P126)=0,"",IFERROR(K126/H126,0))</f>
        <v/>
      </c>
      <c r="AF126" s="17">
        <f>IF(COUNT(C126:P126)=0,"",IFERROR(L126/H126,0))</f>
        <v/>
      </c>
      <c r="AG126" s="14">
        <f>IF(COUNT(C126:P126)=0,"",IFERROR(C126/K126,0))</f>
        <v/>
      </c>
      <c r="AH126" s="17">
        <f>IF(COUNT(C126:P126)=0,"",IFERROR(M126/K126,0))</f>
        <v/>
      </c>
      <c r="AI126" s="14">
        <f>IF(COUNT(C126:P126)=0,"",IFERROR(C126/M126,0))</f>
        <v/>
      </c>
      <c r="AJ126" s="17">
        <f>IF(COUNT(C126:P126)=0,"",IFERROR(N126/M126,0))</f>
        <v/>
      </c>
      <c r="AK126" s="16">
        <f>IF(COUNT(C126:P126)=0,"",IFERROR(N126/H126,0))</f>
        <v/>
      </c>
      <c r="AL126" s="14">
        <f>IF(COUNT(C126:P126)=0,"",IFERROR(C126/N126,0))</f>
        <v/>
      </c>
      <c r="AM126" s="17">
        <f>IF(COUNT(C126:P126)=0,"",IFERROR(O126/N126,0))</f>
        <v/>
      </c>
      <c r="AN126" s="17">
        <f>IF(COUNT(C126:P126)=0,"",IFERROR(P126/N126,0))</f>
        <v/>
      </c>
      <c r="AO126" s="19">
        <f>IF(COUNT(C126:P126)=0,"",IFERROR(N126*Config!$C$7+O126*Config!$C$8+P126*Config!$C$9,0))</f>
        <v/>
      </c>
      <c r="AP126" s="14">
        <f>IF(COUNT(C126:P126)=0,"",IFERROR(AO126/N126,0))</f>
        <v/>
      </c>
      <c r="AQ126" s="19">
        <f>IF(COUNT(C126:P126)=0,"",IFERROR(AO126*(1-Config!$C$10-Config!$C$11-Config!$C$12),0))</f>
        <v/>
      </c>
      <c r="AR126" s="19">
        <f>IF(COUNT(C126:P126)=0,"",IFERROR(AQ126-C126-Config!$C$13,0))</f>
        <v/>
      </c>
      <c r="AS126" s="20">
        <f>IF(COUNT(C126:P126)=0,"",IFERROR(AQ126/C126,0))</f>
        <v/>
      </c>
      <c r="AT126" s="14">
        <f>IF(COUNT(C126:P126)=0,"",IFERROR(AR126/G126,0))</f>
        <v/>
      </c>
      <c r="AU126" s="20">
        <f>IF(COUNT(C126:P126)=0,"",IFERROR(AT126/V126,0))</f>
        <v/>
      </c>
      <c r="AV126" s="14">
        <f>IF(COUNT(C126:P126)=0,"",IFERROR(AR126/H126,0))</f>
        <v/>
      </c>
    </row>
    <row r="127">
      <c r="A127" s="11">
        <f>Config!$C$6+121</f>
        <v/>
      </c>
      <c r="B127" s="12">
        <f>INT((A127-Config!$C$6)/7)+1</f>
        <v/>
      </c>
      <c r="C127" s="9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4">
        <f>IF(COUNT(C127:P127)=0,"",IFERROR(C127/D127*1000,0))</f>
        <v/>
      </c>
      <c r="R127" s="15">
        <f>IF(COUNT(C127:P127)=0,"",IFERROR(D127/E127,0))</f>
        <v/>
      </c>
      <c r="S127" s="16">
        <f>IF(COUNT(C127:P127)=0,"",IFERROR(F127/D127,0))</f>
        <v/>
      </c>
      <c r="T127" s="14">
        <f>IF(COUNT(C127:P127)=0,"",IFERROR(C127/F127,0))</f>
        <v/>
      </c>
      <c r="U127" s="17">
        <f>IF(COUNT(C127:P127)=0,"",IFERROR(G127/F127,0))</f>
        <v/>
      </c>
      <c r="V127" s="14">
        <f>IF(COUNT(C127:P127)=0,"",IFERROR(C127/G127,0))</f>
        <v/>
      </c>
      <c r="W127" s="18">
        <f>IF(COUNT(C127:P127)=0,"",IFERROR(G127/D127*1000,0))</f>
        <v/>
      </c>
      <c r="X127" s="17">
        <f>IF(COUNT(C127:P127)=0,"",IFERROR(H127/G127,0))</f>
        <v/>
      </c>
      <c r="Y127" s="14">
        <f>IF(COUNT(C127:P127)=0,"",IFERROR(C127/H127,0))</f>
        <v/>
      </c>
      <c r="Z127" s="14">
        <f>IF(COUNT(C127:P127)=0,"",IFERROR(C127/I127,0))</f>
        <v/>
      </c>
      <c r="AA127" s="17">
        <f>IF(COUNT(C127:P127)=0,"",IFERROR(Y127/Q127,0))</f>
        <v/>
      </c>
      <c r="AB127" s="18">
        <f>IF(COUNT(C127:P127)=0,"",IFERROR(H127/D127*1000,0))</f>
        <v/>
      </c>
      <c r="AC127" s="17">
        <f>IF(COUNT(C127:P127)=0,"",IFERROR(J127/H127,0))</f>
        <v/>
      </c>
      <c r="AD127" s="14">
        <f>IF(COUNT(C127:P127)=0,"",IFERROR(C127/J127,0))</f>
        <v/>
      </c>
      <c r="AE127" s="17">
        <f>IF(COUNT(C127:P127)=0,"",IFERROR(K127/H127,0))</f>
        <v/>
      </c>
      <c r="AF127" s="17">
        <f>IF(COUNT(C127:P127)=0,"",IFERROR(L127/H127,0))</f>
        <v/>
      </c>
      <c r="AG127" s="14">
        <f>IF(COUNT(C127:P127)=0,"",IFERROR(C127/K127,0))</f>
        <v/>
      </c>
      <c r="AH127" s="17">
        <f>IF(COUNT(C127:P127)=0,"",IFERROR(M127/K127,0))</f>
        <v/>
      </c>
      <c r="AI127" s="14">
        <f>IF(COUNT(C127:P127)=0,"",IFERROR(C127/M127,0))</f>
        <v/>
      </c>
      <c r="AJ127" s="17">
        <f>IF(COUNT(C127:P127)=0,"",IFERROR(N127/M127,0))</f>
        <v/>
      </c>
      <c r="AK127" s="16">
        <f>IF(COUNT(C127:P127)=0,"",IFERROR(N127/H127,0))</f>
        <v/>
      </c>
      <c r="AL127" s="14">
        <f>IF(COUNT(C127:P127)=0,"",IFERROR(C127/N127,0))</f>
        <v/>
      </c>
      <c r="AM127" s="17">
        <f>IF(COUNT(C127:P127)=0,"",IFERROR(O127/N127,0))</f>
        <v/>
      </c>
      <c r="AN127" s="17">
        <f>IF(COUNT(C127:P127)=0,"",IFERROR(P127/N127,0))</f>
        <v/>
      </c>
      <c r="AO127" s="19">
        <f>IF(COUNT(C127:P127)=0,"",IFERROR(N127*Config!$C$7+O127*Config!$C$8+P127*Config!$C$9,0))</f>
        <v/>
      </c>
      <c r="AP127" s="14">
        <f>IF(COUNT(C127:P127)=0,"",IFERROR(AO127/N127,0))</f>
        <v/>
      </c>
      <c r="AQ127" s="19">
        <f>IF(COUNT(C127:P127)=0,"",IFERROR(AO127*(1-Config!$C$10-Config!$C$11-Config!$C$12),0))</f>
        <v/>
      </c>
      <c r="AR127" s="19">
        <f>IF(COUNT(C127:P127)=0,"",IFERROR(AQ127-C127-Config!$C$13,0))</f>
        <v/>
      </c>
      <c r="AS127" s="20">
        <f>IF(COUNT(C127:P127)=0,"",IFERROR(AQ127/C127,0))</f>
        <v/>
      </c>
      <c r="AT127" s="14">
        <f>IF(COUNT(C127:P127)=0,"",IFERROR(AR127/G127,0))</f>
        <v/>
      </c>
      <c r="AU127" s="20">
        <f>IF(COUNT(C127:P127)=0,"",IFERROR(AT127/V127,0))</f>
        <v/>
      </c>
      <c r="AV127" s="14">
        <f>IF(COUNT(C127:P127)=0,"",IFERROR(AR127/H127,0))</f>
        <v/>
      </c>
    </row>
    <row r="128">
      <c r="A128" s="11">
        <f>Config!$C$6+122</f>
        <v/>
      </c>
      <c r="B128" s="12">
        <f>INT((A128-Config!$C$6)/7)+1</f>
        <v/>
      </c>
      <c r="C128" s="9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4">
        <f>IF(COUNT(C128:P128)=0,"",IFERROR(C128/D128*1000,0))</f>
        <v/>
      </c>
      <c r="R128" s="15">
        <f>IF(COUNT(C128:P128)=0,"",IFERROR(D128/E128,0))</f>
        <v/>
      </c>
      <c r="S128" s="16">
        <f>IF(COUNT(C128:P128)=0,"",IFERROR(F128/D128,0))</f>
        <v/>
      </c>
      <c r="T128" s="14">
        <f>IF(COUNT(C128:P128)=0,"",IFERROR(C128/F128,0))</f>
        <v/>
      </c>
      <c r="U128" s="17">
        <f>IF(COUNT(C128:P128)=0,"",IFERROR(G128/F128,0))</f>
        <v/>
      </c>
      <c r="V128" s="14">
        <f>IF(COUNT(C128:P128)=0,"",IFERROR(C128/G128,0))</f>
        <v/>
      </c>
      <c r="W128" s="18">
        <f>IF(COUNT(C128:P128)=0,"",IFERROR(G128/D128*1000,0))</f>
        <v/>
      </c>
      <c r="X128" s="17">
        <f>IF(COUNT(C128:P128)=0,"",IFERROR(H128/G128,0))</f>
        <v/>
      </c>
      <c r="Y128" s="14">
        <f>IF(COUNT(C128:P128)=0,"",IFERROR(C128/H128,0))</f>
        <v/>
      </c>
      <c r="Z128" s="14">
        <f>IF(COUNT(C128:P128)=0,"",IFERROR(C128/I128,0))</f>
        <v/>
      </c>
      <c r="AA128" s="17">
        <f>IF(COUNT(C128:P128)=0,"",IFERROR(Y128/Q128,0))</f>
        <v/>
      </c>
      <c r="AB128" s="18">
        <f>IF(COUNT(C128:P128)=0,"",IFERROR(H128/D128*1000,0))</f>
        <v/>
      </c>
      <c r="AC128" s="17">
        <f>IF(COUNT(C128:P128)=0,"",IFERROR(J128/H128,0))</f>
        <v/>
      </c>
      <c r="AD128" s="14">
        <f>IF(COUNT(C128:P128)=0,"",IFERROR(C128/J128,0))</f>
        <v/>
      </c>
      <c r="AE128" s="17">
        <f>IF(COUNT(C128:P128)=0,"",IFERROR(K128/H128,0))</f>
        <v/>
      </c>
      <c r="AF128" s="17">
        <f>IF(COUNT(C128:P128)=0,"",IFERROR(L128/H128,0))</f>
        <v/>
      </c>
      <c r="AG128" s="14">
        <f>IF(COUNT(C128:P128)=0,"",IFERROR(C128/K128,0))</f>
        <v/>
      </c>
      <c r="AH128" s="17">
        <f>IF(COUNT(C128:P128)=0,"",IFERROR(M128/K128,0))</f>
        <v/>
      </c>
      <c r="AI128" s="14">
        <f>IF(COUNT(C128:P128)=0,"",IFERROR(C128/M128,0))</f>
        <v/>
      </c>
      <c r="AJ128" s="17">
        <f>IF(COUNT(C128:P128)=0,"",IFERROR(N128/M128,0))</f>
        <v/>
      </c>
      <c r="AK128" s="16">
        <f>IF(COUNT(C128:P128)=0,"",IFERROR(N128/H128,0))</f>
        <v/>
      </c>
      <c r="AL128" s="14">
        <f>IF(COUNT(C128:P128)=0,"",IFERROR(C128/N128,0))</f>
        <v/>
      </c>
      <c r="AM128" s="17">
        <f>IF(COUNT(C128:P128)=0,"",IFERROR(O128/N128,0))</f>
        <v/>
      </c>
      <c r="AN128" s="17">
        <f>IF(COUNT(C128:P128)=0,"",IFERROR(P128/N128,0))</f>
        <v/>
      </c>
      <c r="AO128" s="19">
        <f>IF(COUNT(C128:P128)=0,"",IFERROR(N128*Config!$C$7+O128*Config!$C$8+P128*Config!$C$9,0))</f>
        <v/>
      </c>
      <c r="AP128" s="14">
        <f>IF(COUNT(C128:P128)=0,"",IFERROR(AO128/N128,0))</f>
        <v/>
      </c>
      <c r="AQ128" s="19">
        <f>IF(COUNT(C128:P128)=0,"",IFERROR(AO128*(1-Config!$C$10-Config!$C$11-Config!$C$12),0))</f>
        <v/>
      </c>
      <c r="AR128" s="19">
        <f>IF(COUNT(C128:P128)=0,"",IFERROR(AQ128-C128-Config!$C$13,0))</f>
        <v/>
      </c>
      <c r="AS128" s="20">
        <f>IF(COUNT(C128:P128)=0,"",IFERROR(AQ128/C128,0))</f>
        <v/>
      </c>
      <c r="AT128" s="14">
        <f>IF(COUNT(C128:P128)=0,"",IFERROR(AR128/G128,0))</f>
        <v/>
      </c>
      <c r="AU128" s="20">
        <f>IF(COUNT(C128:P128)=0,"",IFERROR(AT128/V128,0))</f>
        <v/>
      </c>
      <c r="AV128" s="14">
        <f>IF(COUNT(C128:P128)=0,"",IFERROR(AR128/H128,0))</f>
        <v/>
      </c>
    </row>
    <row r="129">
      <c r="A129" s="11">
        <f>Config!$C$6+123</f>
        <v/>
      </c>
      <c r="B129" s="12">
        <f>INT((A129-Config!$C$6)/7)+1</f>
        <v/>
      </c>
      <c r="C129" s="9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4">
        <f>IF(COUNT(C129:P129)=0,"",IFERROR(C129/D129*1000,0))</f>
        <v/>
      </c>
      <c r="R129" s="15">
        <f>IF(COUNT(C129:P129)=0,"",IFERROR(D129/E129,0))</f>
        <v/>
      </c>
      <c r="S129" s="16">
        <f>IF(COUNT(C129:P129)=0,"",IFERROR(F129/D129,0))</f>
        <v/>
      </c>
      <c r="T129" s="14">
        <f>IF(COUNT(C129:P129)=0,"",IFERROR(C129/F129,0))</f>
        <v/>
      </c>
      <c r="U129" s="17">
        <f>IF(COUNT(C129:P129)=0,"",IFERROR(G129/F129,0))</f>
        <v/>
      </c>
      <c r="V129" s="14">
        <f>IF(COUNT(C129:P129)=0,"",IFERROR(C129/G129,0))</f>
        <v/>
      </c>
      <c r="W129" s="18">
        <f>IF(COUNT(C129:P129)=0,"",IFERROR(G129/D129*1000,0))</f>
        <v/>
      </c>
      <c r="X129" s="17">
        <f>IF(COUNT(C129:P129)=0,"",IFERROR(H129/G129,0))</f>
        <v/>
      </c>
      <c r="Y129" s="14">
        <f>IF(COUNT(C129:P129)=0,"",IFERROR(C129/H129,0))</f>
        <v/>
      </c>
      <c r="Z129" s="14">
        <f>IF(COUNT(C129:P129)=0,"",IFERROR(C129/I129,0))</f>
        <v/>
      </c>
      <c r="AA129" s="17">
        <f>IF(COUNT(C129:P129)=0,"",IFERROR(Y129/Q129,0))</f>
        <v/>
      </c>
      <c r="AB129" s="18">
        <f>IF(COUNT(C129:P129)=0,"",IFERROR(H129/D129*1000,0))</f>
        <v/>
      </c>
      <c r="AC129" s="17">
        <f>IF(COUNT(C129:P129)=0,"",IFERROR(J129/H129,0))</f>
        <v/>
      </c>
      <c r="AD129" s="14">
        <f>IF(COUNT(C129:P129)=0,"",IFERROR(C129/J129,0))</f>
        <v/>
      </c>
      <c r="AE129" s="17">
        <f>IF(COUNT(C129:P129)=0,"",IFERROR(K129/H129,0))</f>
        <v/>
      </c>
      <c r="AF129" s="17">
        <f>IF(COUNT(C129:P129)=0,"",IFERROR(L129/H129,0))</f>
        <v/>
      </c>
      <c r="AG129" s="14">
        <f>IF(COUNT(C129:P129)=0,"",IFERROR(C129/K129,0))</f>
        <v/>
      </c>
      <c r="AH129" s="17">
        <f>IF(COUNT(C129:P129)=0,"",IFERROR(M129/K129,0))</f>
        <v/>
      </c>
      <c r="AI129" s="14">
        <f>IF(COUNT(C129:P129)=0,"",IFERROR(C129/M129,0))</f>
        <v/>
      </c>
      <c r="AJ129" s="17">
        <f>IF(COUNT(C129:P129)=0,"",IFERROR(N129/M129,0))</f>
        <v/>
      </c>
      <c r="AK129" s="16">
        <f>IF(COUNT(C129:P129)=0,"",IFERROR(N129/H129,0))</f>
        <v/>
      </c>
      <c r="AL129" s="14">
        <f>IF(COUNT(C129:P129)=0,"",IFERROR(C129/N129,0))</f>
        <v/>
      </c>
      <c r="AM129" s="17">
        <f>IF(COUNT(C129:P129)=0,"",IFERROR(O129/N129,0))</f>
        <v/>
      </c>
      <c r="AN129" s="17">
        <f>IF(COUNT(C129:P129)=0,"",IFERROR(P129/N129,0))</f>
        <v/>
      </c>
      <c r="AO129" s="19">
        <f>IF(COUNT(C129:P129)=0,"",IFERROR(N129*Config!$C$7+O129*Config!$C$8+P129*Config!$C$9,0))</f>
        <v/>
      </c>
      <c r="AP129" s="14">
        <f>IF(COUNT(C129:P129)=0,"",IFERROR(AO129/N129,0))</f>
        <v/>
      </c>
      <c r="AQ129" s="19">
        <f>IF(COUNT(C129:P129)=0,"",IFERROR(AO129*(1-Config!$C$10-Config!$C$11-Config!$C$12),0))</f>
        <v/>
      </c>
      <c r="AR129" s="19">
        <f>IF(COUNT(C129:P129)=0,"",IFERROR(AQ129-C129-Config!$C$13,0))</f>
        <v/>
      </c>
      <c r="AS129" s="20">
        <f>IF(COUNT(C129:P129)=0,"",IFERROR(AQ129/C129,0))</f>
        <v/>
      </c>
      <c r="AT129" s="14">
        <f>IF(COUNT(C129:P129)=0,"",IFERROR(AR129/G129,0))</f>
        <v/>
      </c>
      <c r="AU129" s="20">
        <f>IF(COUNT(C129:P129)=0,"",IFERROR(AT129/V129,0))</f>
        <v/>
      </c>
      <c r="AV129" s="14">
        <f>IF(COUNT(C129:P129)=0,"",IFERROR(AR129/H129,0))</f>
        <v/>
      </c>
    </row>
    <row r="130">
      <c r="A130" s="11">
        <f>Config!$C$6+124</f>
        <v/>
      </c>
      <c r="B130" s="12">
        <f>INT((A130-Config!$C$6)/7)+1</f>
        <v/>
      </c>
      <c r="C130" s="9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4">
        <f>IF(COUNT(C130:P130)=0,"",IFERROR(C130/D130*1000,0))</f>
        <v/>
      </c>
      <c r="R130" s="15">
        <f>IF(COUNT(C130:P130)=0,"",IFERROR(D130/E130,0))</f>
        <v/>
      </c>
      <c r="S130" s="16">
        <f>IF(COUNT(C130:P130)=0,"",IFERROR(F130/D130,0))</f>
        <v/>
      </c>
      <c r="T130" s="14">
        <f>IF(COUNT(C130:P130)=0,"",IFERROR(C130/F130,0))</f>
        <v/>
      </c>
      <c r="U130" s="17">
        <f>IF(COUNT(C130:P130)=0,"",IFERROR(G130/F130,0))</f>
        <v/>
      </c>
      <c r="V130" s="14">
        <f>IF(COUNT(C130:P130)=0,"",IFERROR(C130/G130,0))</f>
        <v/>
      </c>
      <c r="W130" s="18">
        <f>IF(COUNT(C130:P130)=0,"",IFERROR(G130/D130*1000,0))</f>
        <v/>
      </c>
      <c r="X130" s="17">
        <f>IF(COUNT(C130:P130)=0,"",IFERROR(H130/G130,0))</f>
        <v/>
      </c>
      <c r="Y130" s="14">
        <f>IF(COUNT(C130:P130)=0,"",IFERROR(C130/H130,0))</f>
        <v/>
      </c>
      <c r="Z130" s="14">
        <f>IF(COUNT(C130:P130)=0,"",IFERROR(C130/I130,0))</f>
        <v/>
      </c>
      <c r="AA130" s="17">
        <f>IF(COUNT(C130:P130)=0,"",IFERROR(Y130/Q130,0))</f>
        <v/>
      </c>
      <c r="AB130" s="18">
        <f>IF(COUNT(C130:P130)=0,"",IFERROR(H130/D130*1000,0))</f>
        <v/>
      </c>
      <c r="AC130" s="17">
        <f>IF(COUNT(C130:P130)=0,"",IFERROR(J130/H130,0))</f>
        <v/>
      </c>
      <c r="AD130" s="14">
        <f>IF(COUNT(C130:P130)=0,"",IFERROR(C130/J130,0))</f>
        <v/>
      </c>
      <c r="AE130" s="17">
        <f>IF(COUNT(C130:P130)=0,"",IFERROR(K130/H130,0))</f>
        <v/>
      </c>
      <c r="AF130" s="17">
        <f>IF(COUNT(C130:P130)=0,"",IFERROR(L130/H130,0))</f>
        <v/>
      </c>
      <c r="AG130" s="14">
        <f>IF(COUNT(C130:P130)=0,"",IFERROR(C130/K130,0))</f>
        <v/>
      </c>
      <c r="AH130" s="17">
        <f>IF(COUNT(C130:P130)=0,"",IFERROR(M130/K130,0))</f>
        <v/>
      </c>
      <c r="AI130" s="14">
        <f>IF(COUNT(C130:P130)=0,"",IFERROR(C130/M130,0))</f>
        <v/>
      </c>
      <c r="AJ130" s="17">
        <f>IF(COUNT(C130:P130)=0,"",IFERROR(N130/M130,0))</f>
        <v/>
      </c>
      <c r="AK130" s="16">
        <f>IF(COUNT(C130:P130)=0,"",IFERROR(N130/H130,0))</f>
        <v/>
      </c>
      <c r="AL130" s="14">
        <f>IF(COUNT(C130:P130)=0,"",IFERROR(C130/N130,0))</f>
        <v/>
      </c>
      <c r="AM130" s="17">
        <f>IF(COUNT(C130:P130)=0,"",IFERROR(O130/N130,0))</f>
        <v/>
      </c>
      <c r="AN130" s="17">
        <f>IF(COUNT(C130:P130)=0,"",IFERROR(P130/N130,0))</f>
        <v/>
      </c>
      <c r="AO130" s="19">
        <f>IF(COUNT(C130:P130)=0,"",IFERROR(N130*Config!$C$7+O130*Config!$C$8+P130*Config!$C$9,0))</f>
        <v/>
      </c>
      <c r="AP130" s="14">
        <f>IF(COUNT(C130:P130)=0,"",IFERROR(AO130/N130,0))</f>
        <v/>
      </c>
      <c r="AQ130" s="19">
        <f>IF(COUNT(C130:P130)=0,"",IFERROR(AO130*(1-Config!$C$10-Config!$C$11-Config!$C$12),0))</f>
        <v/>
      </c>
      <c r="AR130" s="19">
        <f>IF(COUNT(C130:P130)=0,"",IFERROR(AQ130-C130-Config!$C$13,0))</f>
        <v/>
      </c>
      <c r="AS130" s="20">
        <f>IF(COUNT(C130:P130)=0,"",IFERROR(AQ130/C130,0))</f>
        <v/>
      </c>
      <c r="AT130" s="14">
        <f>IF(COUNT(C130:P130)=0,"",IFERROR(AR130/G130,0))</f>
        <v/>
      </c>
      <c r="AU130" s="20">
        <f>IF(COUNT(C130:P130)=0,"",IFERROR(AT130/V130,0))</f>
        <v/>
      </c>
      <c r="AV130" s="14">
        <f>IF(COUNT(C130:P130)=0,"",IFERROR(AR130/H130,0))</f>
        <v/>
      </c>
    </row>
    <row r="131">
      <c r="A131" s="11">
        <f>Config!$C$6+125</f>
        <v/>
      </c>
      <c r="B131" s="12">
        <f>INT((A131-Config!$C$6)/7)+1</f>
        <v/>
      </c>
      <c r="C131" s="9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4">
        <f>IF(COUNT(C131:P131)=0,"",IFERROR(C131/D131*1000,0))</f>
        <v/>
      </c>
      <c r="R131" s="15">
        <f>IF(COUNT(C131:P131)=0,"",IFERROR(D131/E131,0))</f>
        <v/>
      </c>
      <c r="S131" s="16">
        <f>IF(COUNT(C131:P131)=0,"",IFERROR(F131/D131,0))</f>
        <v/>
      </c>
      <c r="T131" s="14">
        <f>IF(COUNT(C131:P131)=0,"",IFERROR(C131/F131,0))</f>
        <v/>
      </c>
      <c r="U131" s="17">
        <f>IF(COUNT(C131:P131)=0,"",IFERROR(G131/F131,0))</f>
        <v/>
      </c>
      <c r="V131" s="14">
        <f>IF(COUNT(C131:P131)=0,"",IFERROR(C131/G131,0))</f>
        <v/>
      </c>
      <c r="W131" s="18">
        <f>IF(COUNT(C131:P131)=0,"",IFERROR(G131/D131*1000,0))</f>
        <v/>
      </c>
      <c r="X131" s="17">
        <f>IF(COUNT(C131:P131)=0,"",IFERROR(H131/G131,0))</f>
        <v/>
      </c>
      <c r="Y131" s="14">
        <f>IF(COUNT(C131:P131)=0,"",IFERROR(C131/H131,0))</f>
        <v/>
      </c>
      <c r="Z131" s="14">
        <f>IF(COUNT(C131:P131)=0,"",IFERROR(C131/I131,0))</f>
        <v/>
      </c>
      <c r="AA131" s="17">
        <f>IF(COUNT(C131:P131)=0,"",IFERROR(Y131/Q131,0))</f>
        <v/>
      </c>
      <c r="AB131" s="18">
        <f>IF(COUNT(C131:P131)=0,"",IFERROR(H131/D131*1000,0))</f>
        <v/>
      </c>
      <c r="AC131" s="17">
        <f>IF(COUNT(C131:P131)=0,"",IFERROR(J131/H131,0))</f>
        <v/>
      </c>
      <c r="AD131" s="14">
        <f>IF(COUNT(C131:P131)=0,"",IFERROR(C131/J131,0))</f>
        <v/>
      </c>
      <c r="AE131" s="17">
        <f>IF(COUNT(C131:P131)=0,"",IFERROR(K131/H131,0))</f>
        <v/>
      </c>
      <c r="AF131" s="17">
        <f>IF(COUNT(C131:P131)=0,"",IFERROR(L131/H131,0))</f>
        <v/>
      </c>
      <c r="AG131" s="14">
        <f>IF(COUNT(C131:P131)=0,"",IFERROR(C131/K131,0))</f>
        <v/>
      </c>
      <c r="AH131" s="17">
        <f>IF(COUNT(C131:P131)=0,"",IFERROR(M131/K131,0))</f>
        <v/>
      </c>
      <c r="AI131" s="14">
        <f>IF(COUNT(C131:P131)=0,"",IFERROR(C131/M131,0))</f>
        <v/>
      </c>
      <c r="AJ131" s="17">
        <f>IF(COUNT(C131:P131)=0,"",IFERROR(N131/M131,0))</f>
        <v/>
      </c>
      <c r="AK131" s="16">
        <f>IF(COUNT(C131:P131)=0,"",IFERROR(N131/H131,0))</f>
        <v/>
      </c>
      <c r="AL131" s="14">
        <f>IF(COUNT(C131:P131)=0,"",IFERROR(C131/N131,0))</f>
        <v/>
      </c>
      <c r="AM131" s="17">
        <f>IF(COUNT(C131:P131)=0,"",IFERROR(O131/N131,0))</f>
        <v/>
      </c>
      <c r="AN131" s="17">
        <f>IF(COUNT(C131:P131)=0,"",IFERROR(P131/N131,0))</f>
        <v/>
      </c>
      <c r="AO131" s="19">
        <f>IF(COUNT(C131:P131)=0,"",IFERROR(N131*Config!$C$7+O131*Config!$C$8+P131*Config!$C$9,0))</f>
        <v/>
      </c>
      <c r="AP131" s="14">
        <f>IF(COUNT(C131:P131)=0,"",IFERROR(AO131/N131,0))</f>
        <v/>
      </c>
      <c r="AQ131" s="19">
        <f>IF(COUNT(C131:P131)=0,"",IFERROR(AO131*(1-Config!$C$10-Config!$C$11-Config!$C$12),0))</f>
        <v/>
      </c>
      <c r="AR131" s="19">
        <f>IF(COUNT(C131:P131)=0,"",IFERROR(AQ131-C131-Config!$C$13,0))</f>
        <v/>
      </c>
      <c r="AS131" s="20">
        <f>IF(COUNT(C131:P131)=0,"",IFERROR(AQ131/C131,0))</f>
        <v/>
      </c>
      <c r="AT131" s="14">
        <f>IF(COUNT(C131:P131)=0,"",IFERROR(AR131/G131,0))</f>
        <v/>
      </c>
      <c r="AU131" s="20">
        <f>IF(COUNT(C131:P131)=0,"",IFERROR(AT131/V131,0))</f>
        <v/>
      </c>
      <c r="AV131" s="14">
        <f>IF(COUNT(C131:P131)=0,"",IFERROR(AR131/H131,0))</f>
        <v/>
      </c>
    </row>
    <row r="132">
      <c r="A132" s="11">
        <f>Config!$C$6+126</f>
        <v/>
      </c>
      <c r="B132" s="12">
        <f>INT((A132-Config!$C$6)/7)+1</f>
        <v/>
      </c>
      <c r="C132" s="9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4">
        <f>IF(COUNT(C132:P132)=0,"",IFERROR(C132/D132*1000,0))</f>
        <v/>
      </c>
      <c r="R132" s="15">
        <f>IF(COUNT(C132:P132)=0,"",IFERROR(D132/E132,0))</f>
        <v/>
      </c>
      <c r="S132" s="16">
        <f>IF(COUNT(C132:P132)=0,"",IFERROR(F132/D132,0))</f>
        <v/>
      </c>
      <c r="T132" s="14">
        <f>IF(COUNT(C132:P132)=0,"",IFERROR(C132/F132,0))</f>
        <v/>
      </c>
      <c r="U132" s="17">
        <f>IF(COUNT(C132:P132)=0,"",IFERROR(G132/F132,0))</f>
        <v/>
      </c>
      <c r="V132" s="14">
        <f>IF(COUNT(C132:P132)=0,"",IFERROR(C132/G132,0))</f>
        <v/>
      </c>
      <c r="W132" s="18">
        <f>IF(COUNT(C132:P132)=0,"",IFERROR(G132/D132*1000,0))</f>
        <v/>
      </c>
      <c r="X132" s="17">
        <f>IF(COUNT(C132:P132)=0,"",IFERROR(H132/G132,0))</f>
        <v/>
      </c>
      <c r="Y132" s="14">
        <f>IF(COUNT(C132:P132)=0,"",IFERROR(C132/H132,0))</f>
        <v/>
      </c>
      <c r="Z132" s="14">
        <f>IF(COUNT(C132:P132)=0,"",IFERROR(C132/I132,0))</f>
        <v/>
      </c>
      <c r="AA132" s="17">
        <f>IF(COUNT(C132:P132)=0,"",IFERROR(Y132/Q132,0))</f>
        <v/>
      </c>
      <c r="AB132" s="18">
        <f>IF(COUNT(C132:P132)=0,"",IFERROR(H132/D132*1000,0))</f>
        <v/>
      </c>
      <c r="AC132" s="17">
        <f>IF(COUNT(C132:P132)=0,"",IFERROR(J132/H132,0))</f>
        <v/>
      </c>
      <c r="AD132" s="14">
        <f>IF(COUNT(C132:P132)=0,"",IFERROR(C132/J132,0))</f>
        <v/>
      </c>
      <c r="AE132" s="17">
        <f>IF(COUNT(C132:P132)=0,"",IFERROR(K132/H132,0))</f>
        <v/>
      </c>
      <c r="AF132" s="17">
        <f>IF(COUNT(C132:P132)=0,"",IFERROR(L132/H132,0))</f>
        <v/>
      </c>
      <c r="AG132" s="14">
        <f>IF(COUNT(C132:P132)=0,"",IFERROR(C132/K132,0))</f>
        <v/>
      </c>
      <c r="AH132" s="17">
        <f>IF(COUNT(C132:P132)=0,"",IFERROR(M132/K132,0))</f>
        <v/>
      </c>
      <c r="AI132" s="14">
        <f>IF(COUNT(C132:P132)=0,"",IFERROR(C132/M132,0))</f>
        <v/>
      </c>
      <c r="AJ132" s="17">
        <f>IF(COUNT(C132:P132)=0,"",IFERROR(N132/M132,0))</f>
        <v/>
      </c>
      <c r="AK132" s="16">
        <f>IF(COUNT(C132:P132)=0,"",IFERROR(N132/H132,0))</f>
        <v/>
      </c>
      <c r="AL132" s="14">
        <f>IF(COUNT(C132:P132)=0,"",IFERROR(C132/N132,0))</f>
        <v/>
      </c>
      <c r="AM132" s="17">
        <f>IF(COUNT(C132:P132)=0,"",IFERROR(O132/N132,0))</f>
        <v/>
      </c>
      <c r="AN132" s="17">
        <f>IF(COUNT(C132:P132)=0,"",IFERROR(P132/N132,0))</f>
        <v/>
      </c>
      <c r="AO132" s="19">
        <f>IF(COUNT(C132:P132)=0,"",IFERROR(N132*Config!$C$7+O132*Config!$C$8+P132*Config!$C$9,0))</f>
        <v/>
      </c>
      <c r="AP132" s="14">
        <f>IF(COUNT(C132:P132)=0,"",IFERROR(AO132/N132,0))</f>
        <v/>
      </c>
      <c r="AQ132" s="19">
        <f>IF(COUNT(C132:P132)=0,"",IFERROR(AO132*(1-Config!$C$10-Config!$C$11-Config!$C$12),0))</f>
        <v/>
      </c>
      <c r="AR132" s="19">
        <f>IF(COUNT(C132:P132)=0,"",IFERROR(AQ132-C132-Config!$C$13,0))</f>
        <v/>
      </c>
      <c r="AS132" s="20">
        <f>IF(COUNT(C132:P132)=0,"",IFERROR(AQ132/C132,0))</f>
        <v/>
      </c>
      <c r="AT132" s="14">
        <f>IF(COUNT(C132:P132)=0,"",IFERROR(AR132/G132,0))</f>
        <v/>
      </c>
      <c r="AU132" s="20">
        <f>IF(COUNT(C132:P132)=0,"",IFERROR(AT132/V132,0))</f>
        <v/>
      </c>
      <c r="AV132" s="14">
        <f>IF(COUNT(C132:P132)=0,"",IFERROR(AR132/H132,0))</f>
        <v/>
      </c>
    </row>
    <row r="133">
      <c r="A133" s="11">
        <f>Config!$C$6+127</f>
        <v/>
      </c>
      <c r="B133" s="12">
        <f>INT((A133-Config!$C$6)/7)+1</f>
        <v/>
      </c>
      <c r="C133" s="9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4">
        <f>IF(COUNT(C133:P133)=0,"",IFERROR(C133/D133*1000,0))</f>
        <v/>
      </c>
      <c r="R133" s="15">
        <f>IF(COUNT(C133:P133)=0,"",IFERROR(D133/E133,0))</f>
        <v/>
      </c>
      <c r="S133" s="16">
        <f>IF(COUNT(C133:P133)=0,"",IFERROR(F133/D133,0))</f>
        <v/>
      </c>
      <c r="T133" s="14">
        <f>IF(COUNT(C133:P133)=0,"",IFERROR(C133/F133,0))</f>
        <v/>
      </c>
      <c r="U133" s="17">
        <f>IF(COUNT(C133:P133)=0,"",IFERROR(G133/F133,0))</f>
        <v/>
      </c>
      <c r="V133" s="14">
        <f>IF(COUNT(C133:P133)=0,"",IFERROR(C133/G133,0))</f>
        <v/>
      </c>
      <c r="W133" s="18">
        <f>IF(COUNT(C133:P133)=0,"",IFERROR(G133/D133*1000,0))</f>
        <v/>
      </c>
      <c r="X133" s="17">
        <f>IF(COUNT(C133:P133)=0,"",IFERROR(H133/G133,0))</f>
        <v/>
      </c>
      <c r="Y133" s="14">
        <f>IF(COUNT(C133:P133)=0,"",IFERROR(C133/H133,0))</f>
        <v/>
      </c>
      <c r="Z133" s="14">
        <f>IF(COUNT(C133:P133)=0,"",IFERROR(C133/I133,0))</f>
        <v/>
      </c>
      <c r="AA133" s="17">
        <f>IF(COUNT(C133:P133)=0,"",IFERROR(Y133/Q133,0))</f>
        <v/>
      </c>
      <c r="AB133" s="18">
        <f>IF(COUNT(C133:P133)=0,"",IFERROR(H133/D133*1000,0))</f>
        <v/>
      </c>
      <c r="AC133" s="17">
        <f>IF(COUNT(C133:P133)=0,"",IFERROR(J133/H133,0))</f>
        <v/>
      </c>
      <c r="AD133" s="14">
        <f>IF(COUNT(C133:P133)=0,"",IFERROR(C133/J133,0))</f>
        <v/>
      </c>
      <c r="AE133" s="17">
        <f>IF(COUNT(C133:P133)=0,"",IFERROR(K133/H133,0))</f>
        <v/>
      </c>
      <c r="AF133" s="17">
        <f>IF(COUNT(C133:P133)=0,"",IFERROR(L133/H133,0))</f>
        <v/>
      </c>
      <c r="AG133" s="14">
        <f>IF(COUNT(C133:P133)=0,"",IFERROR(C133/K133,0))</f>
        <v/>
      </c>
      <c r="AH133" s="17">
        <f>IF(COUNT(C133:P133)=0,"",IFERROR(M133/K133,0))</f>
        <v/>
      </c>
      <c r="AI133" s="14">
        <f>IF(COUNT(C133:P133)=0,"",IFERROR(C133/M133,0))</f>
        <v/>
      </c>
      <c r="AJ133" s="17">
        <f>IF(COUNT(C133:P133)=0,"",IFERROR(N133/M133,0))</f>
        <v/>
      </c>
      <c r="AK133" s="16">
        <f>IF(COUNT(C133:P133)=0,"",IFERROR(N133/H133,0))</f>
        <v/>
      </c>
      <c r="AL133" s="14">
        <f>IF(COUNT(C133:P133)=0,"",IFERROR(C133/N133,0))</f>
        <v/>
      </c>
      <c r="AM133" s="17">
        <f>IF(COUNT(C133:P133)=0,"",IFERROR(O133/N133,0))</f>
        <v/>
      </c>
      <c r="AN133" s="17">
        <f>IF(COUNT(C133:P133)=0,"",IFERROR(P133/N133,0))</f>
        <v/>
      </c>
      <c r="AO133" s="19">
        <f>IF(COUNT(C133:P133)=0,"",IFERROR(N133*Config!$C$7+O133*Config!$C$8+P133*Config!$C$9,0))</f>
        <v/>
      </c>
      <c r="AP133" s="14">
        <f>IF(COUNT(C133:P133)=0,"",IFERROR(AO133/N133,0))</f>
        <v/>
      </c>
      <c r="AQ133" s="19">
        <f>IF(COUNT(C133:P133)=0,"",IFERROR(AO133*(1-Config!$C$10-Config!$C$11-Config!$C$12),0))</f>
        <v/>
      </c>
      <c r="AR133" s="19">
        <f>IF(COUNT(C133:P133)=0,"",IFERROR(AQ133-C133-Config!$C$13,0))</f>
        <v/>
      </c>
      <c r="AS133" s="20">
        <f>IF(COUNT(C133:P133)=0,"",IFERROR(AQ133/C133,0))</f>
        <v/>
      </c>
      <c r="AT133" s="14">
        <f>IF(COUNT(C133:P133)=0,"",IFERROR(AR133/G133,0))</f>
        <v/>
      </c>
      <c r="AU133" s="20">
        <f>IF(COUNT(C133:P133)=0,"",IFERROR(AT133/V133,0))</f>
        <v/>
      </c>
      <c r="AV133" s="14">
        <f>IF(COUNT(C133:P133)=0,"",IFERROR(AR133/H133,0))</f>
        <v/>
      </c>
    </row>
    <row r="134">
      <c r="A134" s="11">
        <f>Config!$C$6+128</f>
        <v/>
      </c>
      <c r="B134" s="12">
        <f>INT((A134-Config!$C$6)/7)+1</f>
        <v/>
      </c>
      <c r="C134" s="9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4">
        <f>IF(COUNT(C134:P134)=0,"",IFERROR(C134/D134*1000,0))</f>
        <v/>
      </c>
      <c r="R134" s="15">
        <f>IF(COUNT(C134:P134)=0,"",IFERROR(D134/E134,0))</f>
        <v/>
      </c>
      <c r="S134" s="16">
        <f>IF(COUNT(C134:P134)=0,"",IFERROR(F134/D134,0))</f>
        <v/>
      </c>
      <c r="T134" s="14">
        <f>IF(COUNT(C134:P134)=0,"",IFERROR(C134/F134,0))</f>
        <v/>
      </c>
      <c r="U134" s="17">
        <f>IF(COUNT(C134:P134)=0,"",IFERROR(G134/F134,0))</f>
        <v/>
      </c>
      <c r="V134" s="14">
        <f>IF(COUNT(C134:P134)=0,"",IFERROR(C134/G134,0))</f>
        <v/>
      </c>
      <c r="W134" s="18">
        <f>IF(COUNT(C134:P134)=0,"",IFERROR(G134/D134*1000,0))</f>
        <v/>
      </c>
      <c r="X134" s="17">
        <f>IF(COUNT(C134:P134)=0,"",IFERROR(H134/G134,0))</f>
        <v/>
      </c>
      <c r="Y134" s="14">
        <f>IF(COUNT(C134:P134)=0,"",IFERROR(C134/H134,0))</f>
        <v/>
      </c>
      <c r="Z134" s="14">
        <f>IF(COUNT(C134:P134)=0,"",IFERROR(C134/I134,0))</f>
        <v/>
      </c>
      <c r="AA134" s="17">
        <f>IF(COUNT(C134:P134)=0,"",IFERROR(Y134/Q134,0))</f>
        <v/>
      </c>
      <c r="AB134" s="18">
        <f>IF(COUNT(C134:P134)=0,"",IFERROR(H134/D134*1000,0))</f>
        <v/>
      </c>
      <c r="AC134" s="17">
        <f>IF(COUNT(C134:P134)=0,"",IFERROR(J134/H134,0))</f>
        <v/>
      </c>
      <c r="AD134" s="14">
        <f>IF(COUNT(C134:P134)=0,"",IFERROR(C134/J134,0))</f>
        <v/>
      </c>
      <c r="AE134" s="17">
        <f>IF(COUNT(C134:P134)=0,"",IFERROR(K134/H134,0))</f>
        <v/>
      </c>
      <c r="AF134" s="17">
        <f>IF(COUNT(C134:P134)=0,"",IFERROR(L134/H134,0))</f>
        <v/>
      </c>
      <c r="AG134" s="14">
        <f>IF(COUNT(C134:P134)=0,"",IFERROR(C134/K134,0))</f>
        <v/>
      </c>
      <c r="AH134" s="17">
        <f>IF(COUNT(C134:P134)=0,"",IFERROR(M134/K134,0))</f>
        <v/>
      </c>
      <c r="AI134" s="14">
        <f>IF(COUNT(C134:P134)=0,"",IFERROR(C134/M134,0))</f>
        <v/>
      </c>
      <c r="AJ134" s="17">
        <f>IF(COUNT(C134:P134)=0,"",IFERROR(N134/M134,0))</f>
        <v/>
      </c>
      <c r="AK134" s="16">
        <f>IF(COUNT(C134:P134)=0,"",IFERROR(N134/H134,0))</f>
        <v/>
      </c>
      <c r="AL134" s="14">
        <f>IF(COUNT(C134:P134)=0,"",IFERROR(C134/N134,0))</f>
        <v/>
      </c>
      <c r="AM134" s="17">
        <f>IF(COUNT(C134:P134)=0,"",IFERROR(O134/N134,0))</f>
        <v/>
      </c>
      <c r="AN134" s="17">
        <f>IF(COUNT(C134:P134)=0,"",IFERROR(P134/N134,0))</f>
        <v/>
      </c>
      <c r="AO134" s="19">
        <f>IF(COUNT(C134:P134)=0,"",IFERROR(N134*Config!$C$7+O134*Config!$C$8+P134*Config!$C$9,0))</f>
        <v/>
      </c>
      <c r="AP134" s="14">
        <f>IF(COUNT(C134:P134)=0,"",IFERROR(AO134/N134,0))</f>
        <v/>
      </c>
      <c r="AQ134" s="19">
        <f>IF(COUNT(C134:P134)=0,"",IFERROR(AO134*(1-Config!$C$10-Config!$C$11-Config!$C$12),0))</f>
        <v/>
      </c>
      <c r="AR134" s="19">
        <f>IF(COUNT(C134:P134)=0,"",IFERROR(AQ134-C134-Config!$C$13,0))</f>
        <v/>
      </c>
      <c r="AS134" s="20">
        <f>IF(COUNT(C134:P134)=0,"",IFERROR(AQ134/C134,0))</f>
        <v/>
      </c>
      <c r="AT134" s="14">
        <f>IF(COUNT(C134:P134)=0,"",IFERROR(AR134/G134,0))</f>
        <v/>
      </c>
      <c r="AU134" s="20">
        <f>IF(COUNT(C134:P134)=0,"",IFERROR(AT134/V134,0))</f>
        <v/>
      </c>
      <c r="AV134" s="14">
        <f>IF(COUNT(C134:P134)=0,"",IFERROR(AR134/H134,0))</f>
        <v/>
      </c>
    </row>
    <row r="135">
      <c r="A135" s="11">
        <f>Config!$C$6+129</f>
        <v/>
      </c>
      <c r="B135" s="12">
        <f>INT((A135-Config!$C$6)/7)+1</f>
        <v/>
      </c>
      <c r="C135" s="9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4">
        <f>IF(COUNT(C135:P135)=0,"",IFERROR(C135/D135*1000,0))</f>
        <v/>
      </c>
      <c r="R135" s="15">
        <f>IF(COUNT(C135:P135)=0,"",IFERROR(D135/E135,0))</f>
        <v/>
      </c>
      <c r="S135" s="16">
        <f>IF(COUNT(C135:P135)=0,"",IFERROR(F135/D135,0))</f>
        <v/>
      </c>
      <c r="T135" s="14">
        <f>IF(COUNT(C135:P135)=0,"",IFERROR(C135/F135,0))</f>
        <v/>
      </c>
      <c r="U135" s="17">
        <f>IF(COUNT(C135:P135)=0,"",IFERROR(G135/F135,0))</f>
        <v/>
      </c>
      <c r="V135" s="14">
        <f>IF(COUNT(C135:P135)=0,"",IFERROR(C135/G135,0))</f>
        <v/>
      </c>
      <c r="W135" s="18">
        <f>IF(COUNT(C135:P135)=0,"",IFERROR(G135/D135*1000,0))</f>
        <v/>
      </c>
      <c r="X135" s="17">
        <f>IF(COUNT(C135:P135)=0,"",IFERROR(H135/G135,0))</f>
        <v/>
      </c>
      <c r="Y135" s="14">
        <f>IF(COUNT(C135:P135)=0,"",IFERROR(C135/H135,0))</f>
        <v/>
      </c>
      <c r="Z135" s="14">
        <f>IF(COUNT(C135:P135)=0,"",IFERROR(C135/I135,0))</f>
        <v/>
      </c>
      <c r="AA135" s="17">
        <f>IF(COUNT(C135:P135)=0,"",IFERROR(Y135/Q135,0))</f>
        <v/>
      </c>
      <c r="AB135" s="18">
        <f>IF(COUNT(C135:P135)=0,"",IFERROR(H135/D135*1000,0))</f>
        <v/>
      </c>
      <c r="AC135" s="17">
        <f>IF(COUNT(C135:P135)=0,"",IFERROR(J135/H135,0))</f>
        <v/>
      </c>
      <c r="AD135" s="14">
        <f>IF(COUNT(C135:P135)=0,"",IFERROR(C135/J135,0))</f>
        <v/>
      </c>
      <c r="AE135" s="17">
        <f>IF(COUNT(C135:P135)=0,"",IFERROR(K135/H135,0))</f>
        <v/>
      </c>
      <c r="AF135" s="17">
        <f>IF(COUNT(C135:P135)=0,"",IFERROR(L135/H135,0))</f>
        <v/>
      </c>
      <c r="AG135" s="14">
        <f>IF(COUNT(C135:P135)=0,"",IFERROR(C135/K135,0))</f>
        <v/>
      </c>
      <c r="AH135" s="17">
        <f>IF(COUNT(C135:P135)=0,"",IFERROR(M135/K135,0))</f>
        <v/>
      </c>
      <c r="AI135" s="14">
        <f>IF(COUNT(C135:P135)=0,"",IFERROR(C135/M135,0))</f>
        <v/>
      </c>
      <c r="AJ135" s="17">
        <f>IF(COUNT(C135:P135)=0,"",IFERROR(N135/M135,0))</f>
        <v/>
      </c>
      <c r="AK135" s="16">
        <f>IF(COUNT(C135:P135)=0,"",IFERROR(N135/H135,0))</f>
        <v/>
      </c>
      <c r="AL135" s="14">
        <f>IF(COUNT(C135:P135)=0,"",IFERROR(C135/N135,0))</f>
        <v/>
      </c>
      <c r="AM135" s="17">
        <f>IF(COUNT(C135:P135)=0,"",IFERROR(O135/N135,0))</f>
        <v/>
      </c>
      <c r="AN135" s="17">
        <f>IF(COUNT(C135:P135)=0,"",IFERROR(P135/N135,0))</f>
        <v/>
      </c>
      <c r="AO135" s="19">
        <f>IF(COUNT(C135:P135)=0,"",IFERROR(N135*Config!$C$7+O135*Config!$C$8+P135*Config!$C$9,0))</f>
        <v/>
      </c>
      <c r="AP135" s="14">
        <f>IF(COUNT(C135:P135)=0,"",IFERROR(AO135/N135,0))</f>
        <v/>
      </c>
      <c r="AQ135" s="19">
        <f>IF(COUNT(C135:P135)=0,"",IFERROR(AO135*(1-Config!$C$10-Config!$C$11-Config!$C$12),0))</f>
        <v/>
      </c>
      <c r="AR135" s="19">
        <f>IF(COUNT(C135:P135)=0,"",IFERROR(AQ135-C135-Config!$C$13,0))</f>
        <v/>
      </c>
      <c r="AS135" s="20">
        <f>IF(COUNT(C135:P135)=0,"",IFERROR(AQ135/C135,0))</f>
        <v/>
      </c>
      <c r="AT135" s="14">
        <f>IF(COUNT(C135:P135)=0,"",IFERROR(AR135/G135,0))</f>
        <v/>
      </c>
      <c r="AU135" s="20">
        <f>IF(COUNT(C135:P135)=0,"",IFERROR(AT135/V135,0))</f>
        <v/>
      </c>
      <c r="AV135" s="14">
        <f>IF(COUNT(C135:P135)=0,"",IFERROR(AR135/H135,0))</f>
        <v/>
      </c>
    </row>
    <row r="136">
      <c r="A136" s="11">
        <f>Config!$C$6+130</f>
        <v/>
      </c>
      <c r="B136" s="12">
        <f>INT((A136-Config!$C$6)/7)+1</f>
        <v/>
      </c>
      <c r="C136" s="9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4">
        <f>IF(COUNT(C136:P136)=0,"",IFERROR(C136/D136*1000,0))</f>
        <v/>
      </c>
      <c r="R136" s="15">
        <f>IF(COUNT(C136:P136)=0,"",IFERROR(D136/E136,0))</f>
        <v/>
      </c>
      <c r="S136" s="16">
        <f>IF(COUNT(C136:P136)=0,"",IFERROR(F136/D136,0))</f>
        <v/>
      </c>
      <c r="T136" s="14">
        <f>IF(COUNT(C136:P136)=0,"",IFERROR(C136/F136,0))</f>
        <v/>
      </c>
      <c r="U136" s="17">
        <f>IF(COUNT(C136:P136)=0,"",IFERROR(G136/F136,0))</f>
        <v/>
      </c>
      <c r="V136" s="14">
        <f>IF(COUNT(C136:P136)=0,"",IFERROR(C136/G136,0))</f>
        <v/>
      </c>
      <c r="W136" s="18">
        <f>IF(COUNT(C136:P136)=0,"",IFERROR(G136/D136*1000,0))</f>
        <v/>
      </c>
      <c r="X136" s="17">
        <f>IF(COUNT(C136:P136)=0,"",IFERROR(H136/G136,0))</f>
        <v/>
      </c>
      <c r="Y136" s="14">
        <f>IF(COUNT(C136:P136)=0,"",IFERROR(C136/H136,0))</f>
        <v/>
      </c>
      <c r="Z136" s="14">
        <f>IF(COUNT(C136:P136)=0,"",IFERROR(C136/I136,0))</f>
        <v/>
      </c>
      <c r="AA136" s="17">
        <f>IF(COUNT(C136:P136)=0,"",IFERROR(Y136/Q136,0))</f>
        <v/>
      </c>
      <c r="AB136" s="18">
        <f>IF(COUNT(C136:P136)=0,"",IFERROR(H136/D136*1000,0))</f>
        <v/>
      </c>
      <c r="AC136" s="17">
        <f>IF(COUNT(C136:P136)=0,"",IFERROR(J136/H136,0))</f>
        <v/>
      </c>
      <c r="AD136" s="14">
        <f>IF(COUNT(C136:P136)=0,"",IFERROR(C136/J136,0))</f>
        <v/>
      </c>
      <c r="AE136" s="17">
        <f>IF(COUNT(C136:P136)=0,"",IFERROR(K136/H136,0))</f>
        <v/>
      </c>
      <c r="AF136" s="17">
        <f>IF(COUNT(C136:P136)=0,"",IFERROR(L136/H136,0))</f>
        <v/>
      </c>
      <c r="AG136" s="14">
        <f>IF(COUNT(C136:P136)=0,"",IFERROR(C136/K136,0))</f>
        <v/>
      </c>
      <c r="AH136" s="17">
        <f>IF(COUNT(C136:P136)=0,"",IFERROR(M136/K136,0))</f>
        <v/>
      </c>
      <c r="AI136" s="14">
        <f>IF(COUNT(C136:P136)=0,"",IFERROR(C136/M136,0))</f>
        <v/>
      </c>
      <c r="AJ136" s="17">
        <f>IF(COUNT(C136:P136)=0,"",IFERROR(N136/M136,0))</f>
        <v/>
      </c>
      <c r="AK136" s="16">
        <f>IF(COUNT(C136:P136)=0,"",IFERROR(N136/H136,0))</f>
        <v/>
      </c>
      <c r="AL136" s="14">
        <f>IF(COUNT(C136:P136)=0,"",IFERROR(C136/N136,0))</f>
        <v/>
      </c>
      <c r="AM136" s="17">
        <f>IF(COUNT(C136:P136)=0,"",IFERROR(O136/N136,0))</f>
        <v/>
      </c>
      <c r="AN136" s="17">
        <f>IF(COUNT(C136:P136)=0,"",IFERROR(P136/N136,0))</f>
        <v/>
      </c>
      <c r="AO136" s="19">
        <f>IF(COUNT(C136:P136)=0,"",IFERROR(N136*Config!$C$7+O136*Config!$C$8+P136*Config!$C$9,0))</f>
        <v/>
      </c>
      <c r="AP136" s="14">
        <f>IF(COUNT(C136:P136)=0,"",IFERROR(AO136/N136,0))</f>
        <v/>
      </c>
      <c r="AQ136" s="19">
        <f>IF(COUNT(C136:P136)=0,"",IFERROR(AO136*(1-Config!$C$10-Config!$C$11-Config!$C$12),0))</f>
        <v/>
      </c>
      <c r="AR136" s="19">
        <f>IF(COUNT(C136:P136)=0,"",IFERROR(AQ136-C136-Config!$C$13,0))</f>
        <v/>
      </c>
      <c r="AS136" s="20">
        <f>IF(COUNT(C136:P136)=0,"",IFERROR(AQ136/C136,0))</f>
        <v/>
      </c>
      <c r="AT136" s="14">
        <f>IF(COUNT(C136:P136)=0,"",IFERROR(AR136/G136,0))</f>
        <v/>
      </c>
      <c r="AU136" s="20">
        <f>IF(COUNT(C136:P136)=0,"",IFERROR(AT136/V136,0))</f>
        <v/>
      </c>
      <c r="AV136" s="14">
        <f>IF(COUNT(C136:P136)=0,"",IFERROR(AR136/H136,0))</f>
        <v/>
      </c>
    </row>
    <row r="137">
      <c r="A137" s="11">
        <f>Config!$C$6+131</f>
        <v/>
      </c>
      <c r="B137" s="12">
        <f>INT((A137-Config!$C$6)/7)+1</f>
        <v/>
      </c>
      <c r="C137" s="9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4">
        <f>IF(COUNT(C137:P137)=0,"",IFERROR(C137/D137*1000,0))</f>
        <v/>
      </c>
      <c r="R137" s="15">
        <f>IF(COUNT(C137:P137)=0,"",IFERROR(D137/E137,0))</f>
        <v/>
      </c>
      <c r="S137" s="16">
        <f>IF(COUNT(C137:P137)=0,"",IFERROR(F137/D137,0))</f>
        <v/>
      </c>
      <c r="T137" s="14">
        <f>IF(COUNT(C137:P137)=0,"",IFERROR(C137/F137,0))</f>
        <v/>
      </c>
      <c r="U137" s="17">
        <f>IF(COUNT(C137:P137)=0,"",IFERROR(G137/F137,0))</f>
        <v/>
      </c>
      <c r="V137" s="14">
        <f>IF(COUNT(C137:P137)=0,"",IFERROR(C137/G137,0))</f>
        <v/>
      </c>
      <c r="W137" s="18">
        <f>IF(COUNT(C137:P137)=0,"",IFERROR(G137/D137*1000,0))</f>
        <v/>
      </c>
      <c r="X137" s="17">
        <f>IF(COUNT(C137:P137)=0,"",IFERROR(H137/G137,0))</f>
        <v/>
      </c>
      <c r="Y137" s="14">
        <f>IF(COUNT(C137:P137)=0,"",IFERROR(C137/H137,0))</f>
        <v/>
      </c>
      <c r="Z137" s="14">
        <f>IF(COUNT(C137:P137)=0,"",IFERROR(C137/I137,0))</f>
        <v/>
      </c>
      <c r="AA137" s="17">
        <f>IF(COUNT(C137:P137)=0,"",IFERROR(Y137/Q137,0))</f>
        <v/>
      </c>
      <c r="AB137" s="18">
        <f>IF(COUNT(C137:P137)=0,"",IFERROR(H137/D137*1000,0))</f>
        <v/>
      </c>
      <c r="AC137" s="17">
        <f>IF(COUNT(C137:P137)=0,"",IFERROR(J137/H137,0))</f>
        <v/>
      </c>
      <c r="AD137" s="14">
        <f>IF(COUNT(C137:P137)=0,"",IFERROR(C137/J137,0))</f>
        <v/>
      </c>
      <c r="AE137" s="17">
        <f>IF(COUNT(C137:P137)=0,"",IFERROR(K137/H137,0))</f>
        <v/>
      </c>
      <c r="AF137" s="17">
        <f>IF(COUNT(C137:P137)=0,"",IFERROR(L137/H137,0))</f>
        <v/>
      </c>
      <c r="AG137" s="14">
        <f>IF(COUNT(C137:P137)=0,"",IFERROR(C137/K137,0))</f>
        <v/>
      </c>
      <c r="AH137" s="17">
        <f>IF(COUNT(C137:P137)=0,"",IFERROR(M137/K137,0))</f>
        <v/>
      </c>
      <c r="AI137" s="14">
        <f>IF(COUNT(C137:P137)=0,"",IFERROR(C137/M137,0))</f>
        <v/>
      </c>
      <c r="AJ137" s="17">
        <f>IF(COUNT(C137:P137)=0,"",IFERROR(N137/M137,0))</f>
        <v/>
      </c>
      <c r="AK137" s="16">
        <f>IF(COUNT(C137:P137)=0,"",IFERROR(N137/H137,0))</f>
        <v/>
      </c>
      <c r="AL137" s="14">
        <f>IF(COUNT(C137:P137)=0,"",IFERROR(C137/N137,0))</f>
        <v/>
      </c>
      <c r="AM137" s="17">
        <f>IF(COUNT(C137:P137)=0,"",IFERROR(O137/N137,0))</f>
        <v/>
      </c>
      <c r="AN137" s="17">
        <f>IF(COUNT(C137:P137)=0,"",IFERROR(P137/N137,0))</f>
        <v/>
      </c>
      <c r="AO137" s="19">
        <f>IF(COUNT(C137:P137)=0,"",IFERROR(N137*Config!$C$7+O137*Config!$C$8+P137*Config!$C$9,0))</f>
        <v/>
      </c>
      <c r="AP137" s="14">
        <f>IF(COUNT(C137:P137)=0,"",IFERROR(AO137/N137,0))</f>
        <v/>
      </c>
      <c r="AQ137" s="19">
        <f>IF(COUNT(C137:P137)=0,"",IFERROR(AO137*(1-Config!$C$10-Config!$C$11-Config!$C$12),0))</f>
        <v/>
      </c>
      <c r="AR137" s="19">
        <f>IF(COUNT(C137:P137)=0,"",IFERROR(AQ137-C137-Config!$C$13,0))</f>
        <v/>
      </c>
      <c r="AS137" s="20">
        <f>IF(COUNT(C137:P137)=0,"",IFERROR(AQ137/C137,0))</f>
        <v/>
      </c>
      <c r="AT137" s="14">
        <f>IF(COUNT(C137:P137)=0,"",IFERROR(AR137/G137,0))</f>
        <v/>
      </c>
      <c r="AU137" s="20">
        <f>IF(COUNT(C137:P137)=0,"",IFERROR(AT137/V137,0))</f>
        <v/>
      </c>
      <c r="AV137" s="14">
        <f>IF(COUNT(C137:P137)=0,"",IFERROR(AR137/H137,0))</f>
        <v/>
      </c>
    </row>
    <row r="138">
      <c r="A138" s="11">
        <f>Config!$C$6+132</f>
        <v/>
      </c>
      <c r="B138" s="12">
        <f>INT((A138-Config!$C$6)/7)+1</f>
        <v/>
      </c>
      <c r="C138" s="9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4">
        <f>IF(COUNT(C138:P138)=0,"",IFERROR(C138/D138*1000,0))</f>
        <v/>
      </c>
      <c r="R138" s="15">
        <f>IF(COUNT(C138:P138)=0,"",IFERROR(D138/E138,0))</f>
        <v/>
      </c>
      <c r="S138" s="16">
        <f>IF(COUNT(C138:P138)=0,"",IFERROR(F138/D138,0))</f>
        <v/>
      </c>
      <c r="T138" s="14">
        <f>IF(COUNT(C138:P138)=0,"",IFERROR(C138/F138,0))</f>
        <v/>
      </c>
      <c r="U138" s="17">
        <f>IF(COUNT(C138:P138)=0,"",IFERROR(G138/F138,0))</f>
        <v/>
      </c>
      <c r="V138" s="14">
        <f>IF(COUNT(C138:P138)=0,"",IFERROR(C138/G138,0))</f>
        <v/>
      </c>
      <c r="W138" s="18">
        <f>IF(COUNT(C138:P138)=0,"",IFERROR(G138/D138*1000,0))</f>
        <v/>
      </c>
      <c r="X138" s="17">
        <f>IF(COUNT(C138:P138)=0,"",IFERROR(H138/G138,0))</f>
        <v/>
      </c>
      <c r="Y138" s="14">
        <f>IF(COUNT(C138:P138)=0,"",IFERROR(C138/H138,0))</f>
        <v/>
      </c>
      <c r="Z138" s="14">
        <f>IF(COUNT(C138:P138)=0,"",IFERROR(C138/I138,0))</f>
        <v/>
      </c>
      <c r="AA138" s="17">
        <f>IF(COUNT(C138:P138)=0,"",IFERROR(Y138/Q138,0))</f>
        <v/>
      </c>
      <c r="AB138" s="18">
        <f>IF(COUNT(C138:P138)=0,"",IFERROR(H138/D138*1000,0))</f>
        <v/>
      </c>
      <c r="AC138" s="17">
        <f>IF(COUNT(C138:P138)=0,"",IFERROR(J138/H138,0))</f>
        <v/>
      </c>
      <c r="AD138" s="14">
        <f>IF(COUNT(C138:P138)=0,"",IFERROR(C138/J138,0))</f>
        <v/>
      </c>
      <c r="AE138" s="17">
        <f>IF(COUNT(C138:P138)=0,"",IFERROR(K138/H138,0))</f>
        <v/>
      </c>
      <c r="AF138" s="17">
        <f>IF(COUNT(C138:P138)=0,"",IFERROR(L138/H138,0))</f>
        <v/>
      </c>
      <c r="AG138" s="14">
        <f>IF(COUNT(C138:P138)=0,"",IFERROR(C138/K138,0))</f>
        <v/>
      </c>
      <c r="AH138" s="17">
        <f>IF(COUNT(C138:P138)=0,"",IFERROR(M138/K138,0))</f>
        <v/>
      </c>
      <c r="AI138" s="14">
        <f>IF(COUNT(C138:P138)=0,"",IFERROR(C138/M138,0))</f>
        <v/>
      </c>
      <c r="AJ138" s="17">
        <f>IF(COUNT(C138:P138)=0,"",IFERROR(N138/M138,0))</f>
        <v/>
      </c>
      <c r="AK138" s="16">
        <f>IF(COUNT(C138:P138)=0,"",IFERROR(N138/H138,0))</f>
        <v/>
      </c>
      <c r="AL138" s="14">
        <f>IF(COUNT(C138:P138)=0,"",IFERROR(C138/N138,0))</f>
        <v/>
      </c>
      <c r="AM138" s="17">
        <f>IF(COUNT(C138:P138)=0,"",IFERROR(O138/N138,0))</f>
        <v/>
      </c>
      <c r="AN138" s="17">
        <f>IF(COUNT(C138:P138)=0,"",IFERROR(P138/N138,0))</f>
        <v/>
      </c>
      <c r="AO138" s="19">
        <f>IF(COUNT(C138:P138)=0,"",IFERROR(N138*Config!$C$7+O138*Config!$C$8+P138*Config!$C$9,0))</f>
        <v/>
      </c>
      <c r="AP138" s="14">
        <f>IF(COUNT(C138:P138)=0,"",IFERROR(AO138/N138,0))</f>
        <v/>
      </c>
      <c r="AQ138" s="19">
        <f>IF(COUNT(C138:P138)=0,"",IFERROR(AO138*(1-Config!$C$10-Config!$C$11-Config!$C$12),0))</f>
        <v/>
      </c>
      <c r="AR138" s="19">
        <f>IF(COUNT(C138:P138)=0,"",IFERROR(AQ138-C138-Config!$C$13,0))</f>
        <v/>
      </c>
      <c r="AS138" s="20">
        <f>IF(COUNT(C138:P138)=0,"",IFERROR(AQ138/C138,0))</f>
        <v/>
      </c>
      <c r="AT138" s="14">
        <f>IF(COUNT(C138:P138)=0,"",IFERROR(AR138/G138,0))</f>
        <v/>
      </c>
      <c r="AU138" s="20">
        <f>IF(COUNT(C138:P138)=0,"",IFERROR(AT138/V138,0))</f>
        <v/>
      </c>
      <c r="AV138" s="14">
        <f>IF(COUNT(C138:P138)=0,"",IFERROR(AR138/H138,0))</f>
        <v/>
      </c>
    </row>
    <row r="139">
      <c r="A139" s="11">
        <f>Config!$C$6+133</f>
        <v/>
      </c>
      <c r="B139" s="12">
        <f>INT((A139-Config!$C$6)/7)+1</f>
        <v/>
      </c>
      <c r="C139" s="9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4">
        <f>IF(COUNT(C139:P139)=0,"",IFERROR(C139/D139*1000,0))</f>
        <v/>
      </c>
      <c r="R139" s="15">
        <f>IF(COUNT(C139:P139)=0,"",IFERROR(D139/E139,0))</f>
        <v/>
      </c>
      <c r="S139" s="16">
        <f>IF(COUNT(C139:P139)=0,"",IFERROR(F139/D139,0))</f>
        <v/>
      </c>
      <c r="T139" s="14">
        <f>IF(COUNT(C139:P139)=0,"",IFERROR(C139/F139,0))</f>
        <v/>
      </c>
      <c r="U139" s="17">
        <f>IF(COUNT(C139:P139)=0,"",IFERROR(G139/F139,0))</f>
        <v/>
      </c>
      <c r="V139" s="14">
        <f>IF(COUNT(C139:P139)=0,"",IFERROR(C139/G139,0))</f>
        <v/>
      </c>
      <c r="W139" s="18">
        <f>IF(COUNT(C139:P139)=0,"",IFERROR(G139/D139*1000,0))</f>
        <v/>
      </c>
      <c r="X139" s="17">
        <f>IF(COUNT(C139:P139)=0,"",IFERROR(H139/G139,0))</f>
        <v/>
      </c>
      <c r="Y139" s="14">
        <f>IF(COUNT(C139:P139)=0,"",IFERROR(C139/H139,0))</f>
        <v/>
      </c>
      <c r="Z139" s="14">
        <f>IF(COUNT(C139:P139)=0,"",IFERROR(C139/I139,0))</f>
        <v/>
      </c>
      <c r="AA139" s="17">
        <f>IF(COUNT(C139:P139)=0,"",IFERROR(Y139/Q139,0))</f>
        <v/>
      </c>
      <c r="AB139" s="18">
        <f>IF(COUNT(C139:P139)=0,"",IFERROR(H139/D139*1000,0))</f>
        <v/>
      </c>
      <c r="AC139" s="17">
        <f>IF(COUNT(C139:P139)=0,"",IFERROR(J139/H139,0))</f>
        <v/>
      </c>
      <c r="AD139" s="14">
        <f>IF(COUNT(C139:P139)=0,"",IFERROR(C139/J139,0))</f>
        <v/>
      </c>
      <c r="AE139" s="17">
        <f>IF(COUNT(C139:P139)=0,"",IFERROR(K139/H139,0))</f>
        <v/>
      </c>
      <c r="AF139" s="17">
        <f>IF(COUNT(C139:P139)=0,"",IFERROR(L139/H139,0))</f>
        <v/>
      </c>
      <c r="AG139" s="14">
        <f>IF(COUNT(C139:P139)=0,"",IFERROR(C139/K139,0))</f>
        <v/>
      </c>
      <c r="AH139" s="17">
        <f>IF(COUNT(C139:P139)=0,"",IFERROR(M139/K139,0))</f>
        <v/>
      </c>
      <c r="AI139" s="14">
        <f>IF(COUNT(C139:P139)=0,"",IFERROR(C139/M139,0))</f>
        <v/>
      </c>
      <c r="AJ139" s="17">
        <f>IF(COUNT(C139:P139)=0,"",IFERROR(N139/M139,0))</f>
        <v/>
      </c>
      <c r="AK139" s="16">
        <f>IF(COUNT(C139:P139)=0,"",IFERROR(N139/H139,0))</f>
        <v/>
      </c>
      <c r="AL139" s="14">
        <f>IF(COUNT(C139:P139)=0,"",IFERROR(C139/N139,0))</f>
        <v/>
      </c>
      <c r="AM139" s="17">
        <f>IF(COUNT(C139:P139)=0,"",IFERROR(O139/N139,0))</f>
        <v/>
      </c>
      <c r="AN139" s="17">
        <f>IF(COUNT(C139:P139)=0,"",IFERROR(P139/N139,0))</f>
        <v/>
      </c>
      <c r="AO139" s="19">
        <f>IF(COUNT(C139:P139)=0,"",IFERROR(N139*Config!$C$7+O139*Config!$C$8+P139*Config!$C$9,0))</f>
        <v/>
      </c>
      <c r="AP139" s="14">
        <f>IF(COUNT(C139:P139)=0,"",IFERROR(AO139/N139,0))</f>
        <v/>
      </c>
      <c r="AQ139" s="19">
        <f>IF(COUNT(C139:P139)=0,"",IFERROR(AO139*(1-Config!$C$10-Config!$C$11-Config!$C$12),0))</f>
        <v/>
      </c>
      <c r="AR139" s="19">
        <f>IF(COUNT(C139:P139)=0,"",IFERROR(AQ139-C139-Config!$C$13,0))</f>
        <v/>
      </c>
      <c r="AS139" s="20">
        <f>IF(COUNT(C139:P139)=0,"",IFERROR(AQ139/C139,0))</f>
        <v/>
      </c>
      <c r="AT139" s="14">
        <f>IF(COUNT(C139:P139)=0,"",IFERROR(AR139/G139,0))</f>
        <v/>
      </c>
      <c r="AU139" s="20">
        <f>IF(COUNT(C139:P139)=0,"",IFERROR(AT139/V139,0))</f>
        <v/>
      </c>
      <c r="AV139" s="14">
        <f>IF(COUNT(C139:P139)=0,"",IFERROR(AR139/H139,0))</f>
        <v/>
      </c>
    </row>
    <row r="140">
      <c r="A140" s="11">
        <f>Config!$C$6+134</f>
        <v/>
      </c>
      <c r="B140" s="12">
        <f>INT((A140-Config!$C$6)/7)+1</f>
        <v/>
      </c>
      <c r="C140" s="9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4">
        <f>IF(COUNT(C140:P140)=0,"",IFERROR(C140/D140*1000,0))</f>
        <v/>
      </c>
      <c r="R140" s="15">
        <f>IF(COUNT(C140:P140)=0,"",IFERROR(D140/E140,0))</f>
        <v/>
      </c>
      <c r="S140" s="16">
        <f>IF(COUNT(C140:P140)=0,"",IFERROR(F140/D140,0))</f>
        <v/>
      </c>
      <c r="T140" s="14">
        <f>IF(COUNT(C140:P140)=0,"",IFERROR(C140/F140,0))</f>
        <v/>
      </c>
      <c r="U140" s="17">
        <f>IF(COUNT(C140:P140)=0,"",IFERROR(G140/F140,0))</f>
        <v/>
      </c>
      <c r="V140" s="14">
        <f>IF(COUNT(C140:P140)=0,"",IFERROR(C140/G140,0))</f>
        <v/>
      </c>
      <c r="W140" s="18">
        <f>IF(COUNT(C140:P140)=0,"",IFERROR(G140/D140*1000,0))</f>
        <v/>
      </c>
      <c r="X140" s="17">
        <f>IF(COUNT(C140:P140)=0,"",IFERROR(H140/G140,0))</f>
        <v/>
      </c>
      <c r="Y140" s="14">
        <f>IF(COUNT(C140:P140)=0,"",IFERROR(C140/H140,0))</f>
        <v/>
      </c>
      <c r="Z140" s="14">
        <f>IF(COUNT(C140:P140)=0,"",IFERROR(C140/I140,0))</f>
        <v/>
      </c>
      <c r="AA140" s="17">
        <f>IF(COUNT(C140:P140)=0,"",IFERROR(Y140/Q140,0))</f>
        <v/>
      </c>
      <c r="AB140" s="18">
        <f>IF(COUNT(C140:P140)=0,"",IFERROR(H140/D140*1000,0))</f>
        <v/>
      </c>
      <c r="AC140" s="17">
        <f>IF(COUNT(C140:P140)=0,"",IFERROR(J140/H140,0))</f>
        <v/>
      </c>
      <c r="AD140" s="14">
        <f>IF(COUNT(C140:P140)=0,"",IFERROR(C140/J140,0))</f>
        <v/>
      </c>
      <c r="AE140" s="17">
        <f>IF(COUNT(C140:P140)=0,"",IFERROR(K140/H140,0))</f>
        <v/>
      </c>
      <c r="AF140" s="17">
        <f>IF(COUNT(C140:P140)=0,"",IFERROR(L140/H140,0))</f>
        <v/>
      </c>
      <c r="AG140" s="14">
        <f>IF(COUNT(C140:P140)=0,"",IFERROR(C140/K140,0))</f>
        <v/>
      </c>
      <c r="AH140" s="17">
        <f>IF(COUNT(C140:P140)=0,"",IFERROR(M140/K140,0))</f>
        <v/>
      </c>
      <c r="AI140" s="14">
        <f>IF(COUNT(C140:P140)=0,"",IFERROR(C140/M140,0))</f>
        <v/>
      </c>
      <c r="AJ140" s="17">
        <f>IF(COUNT(C140:P140)=0,"",IFERROR(N140/M140,0))</f>
        <v/>
      </c>
      <c r="AK140" s="16">
        <f>IF(COUNT(C140:P140)=0,"",IFERROR(N140/H140,0))</f>
        <v/>
      </c>
      <c r="AL140" s="14">
        <f>IF(COUNT(C140:P140)=0,"",IFERROR(C140/N140,0))</f>
        <v/>
      </c>
      <c r="AM140" s="17">
        <f>IF(COUNT(C140:P140)=0,"",IFERROR(O140/N140,0))</f>
        <v/>
      </c>
      <c r="AN140" s="17">
        <f>IF(COUNT(C140:P140)=0,"",IFERROR(P140/N140,0))</f>
        <v/>
      </c>
      <c r="AO140" s="19">
        <f>IF(COUNT(C140:P140)=0,"",IFERROR(N140*Config!$C$7+O140*Config!$C$8+P140*Config!$C$9,0))</f>
        <v/>
      </c>
      <c r="AP140" s="14">
        <f>IF(COUNT(C140:P140)=0,"",IFERROR(AO140/N140,0))</f>
        <v/>
      </c>
      <c r="AQ140" s="19">
        <f>IF(COUNT(C140:P140)=0,"",IFERROR(AO140*(1-Config!$C$10-Config!$C$11-Config!$C$12),0))</f>
        <v/>
      </c>
      <c r="AR140" s="19">
        <f>IF(COUNT(C140:P140)=0,"",IFERROR(AQ140-C140-Config!$C$13,0))</f>
        <v/>
      </c>
      <c r="AS140" s="20">
        <f>IF(COUNT(C140:P140)=0,"",IFERROR(AQ140/C140,0))</f>
        <v/>
      </c>
      <c r="AT140" s="14">
        <f>IF(COUNT(C140:P140)=0,"",IFERROR(AR140/G140,0))</f>
        <v/>
      </c>
      <c r="AU140" s="20">
        <f>IF(COUNT(C140:P140)=0,"",IFERROR(AT140/V140,0))</f>
        <v/>
      </c>
      <c r="AV140" s="14">
        <f>IF(COUNT(C140:P140)=0,"",IFERROR(AR140/H140,0))</f>
        <v/>
      </c>
    </row>
    <row r="141">
      <c r="A141" s="11">
        <f>Config!$C$6+135</f>
        <v/>
      </c>
      <c r="B141" s="12">
        <f>INT((A141-Config!$C$6)/7)+1</f>
        <v/>
      </c>
      <c r="C141" s="9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4">
        <f>IF(COUNT(C141:P141)=0,"",IFERROR(C141/D141*1000,0))</f>
        <v/>
      </c>
      <c r="R141" s="15">
        <f>IF(COUNT(C141:P141)=0,"",IFERROR(D141/E141,0))</f>
        <v/>
      </c>
      <c r="S141" s="16">
        <f>IF(COUNT(C141:P141)=0,"",IFERROR(F141/D141,0))</f>
        <v/>
      </c>
      <c r="T141" s="14">
        <f>IF(COUNT(C141:P141)=0,"",IFERROR(C141/F141,0))</f>
        <v/>
      </c>
      <c r="U141" s="17">
        <f>IF(COUNT(C141:P141)=0,"",IFERROR(G141/F141,0))</f>
        <v/>
      </c>
      <c r="V141" s="14">
        <f>IF(COUNT(C141:P141)=0,"",IFERROR(C141/G141,0))</f>
        <v/>
      </c>
      <c r="W141" s="18">
        <f>IF(COUNT(C141:P141)=0,"",IFERROR(G141/D141*1000,0))</f>
        <v/>
      </c>
      <c r="X141" s="17">
        <f>IF(COUNT(C141:P141)=0,"",IFERROR(H141/G141,0))</f>
        <v/>
      </c>
      <c r="Y141" s="14">
        <f>IF(COUNT(C141:P141)=0,"",IFERROR(C141/H141,0))</f>
        <v/>
      </c>
      <c r="Z141" s="14">
        <f>IF(COUNT(C141:P141)=0,"",IFERROR(C141/I141,0))</f>
        <v/>
      </c>
      <c r="AA141" s="17">
        <f>IF(COUNT(C141:P141)=0,"",IFERROR(Y141/Q141,0))</f>
        <v/>
      </c>
      <c r="AB141" s="18">
        <f>IF(COUNT(C141:P141)=0,"",IFERROR(H141/D141*1000,0))</f>
        <v/>
      </c>
      <c r="AC141" s="17">
        <f>IF(COUNT(C141:P141)=0,"",IFERROR(J141/H141,0))</f>
        <v/>
      </c>
      <c r="AD141" s="14">
        <f>IF(COUNT(C141:P141)=0,"",IFERROR(C141/J141,0))</f>
        <v/>
      </c>
      <c r="AE141" s="17">
        <f>IF(COUNT(C141:P141)=0,"",IFERROR(K141/H141,0))</f>
        <v/>
      </c>
      <c r="AF141" s="17">
        <f>IF(COUNT(C141:P141)=0,"",IFERROR(L141/H141,0))</f>
        <v/>
      </c>
      <c r="AG141" s="14">
        <f>IF(COUNT(C141:P141)=0,"",IFERROR(C141/K141,0))</f>
        <v/>
      </c>
      <c r="AH141" s="17">
        <f>IF(COUNT(C141:P141)=0,"",IFERROR(M141/K141,0))</f>
        <v/>
      </c>
      <c r="AI141" s="14">
        <f>IF(COUNT(C141:P141)=0,"",IFERROR(C141/M141,0))</f>
        <v/>
      </c>
      <c r="AJ141" s="17">
        <f>IF(COUNT(C141:P141)=0,"",IFERROR(N141/M141,0))</f>
        <v/>
      </c>
      <c r="AK141" s="16">
        <f>IF(COUNT(C141:P141)=0,"",IFERROR(N141/H141,0))</f>
        <v/>
      </c>
      <c r="AL141" s="14">
        <f>IF(COUNT(C141:P141)=0,"",IFERROR(C141/N141,0))</f>
        <v/>
      </c>
      <c r="AM141" s="17">
        <f>IF(COUNT(C141:P141)=0,"",IFERROR(O141/N141,0))</f>
        <v/>
      </c>
      <c r="AN141" s="17">
        <f>IF(COUNT(C141:P141)=0,"",IFERROR(P141/N141,0))</f>
        <v/>
      </c>
      <c r="AO141" s="19">
        <f>IF(COUNT(C141:P141)=0,"",IFERROR(N141*Config!$C$7+O141*Config!$C$8+P141*Config!$C$9,0))</f>
        <v/>
      </c>
      <c r="AP141" s="14">
        <f>IF(COUNT(C141:P141)=0,"",IFERROR(AO141/N141,0))</f>
        <v/>
      </c>
      <c r="AQ141" s="19">
        <f>IF(COUNT(C141:P141)=0,"",IFERROR(AO141*(1-Config!$C$10-Config!$C$11-Config!$C$12),0))</f>
        <v/>
      </c>
      <c r="AR141" s="19">
        <f>IF(COUNT(C141:P141)=0,"",IFERROR(AQ141-C141-Config!$C$13,0))</f>
        <v/>
      </c>
      <c r="AS141" s="20">
        <f>IF(COUNT(C141:P141)=0,"",IFERROR(AQ141/C141,0))</f>
        <v/>
      </c>
      <c r="AT141" s="14">
        <f>IF(COUNT(C141:P141)=0,"",IFERROR(AR141/G141,0))</f>
        <v/>
      </c>
      <c r="AU141" s="20">
        <f>IF(COUNT(C141:P141)=0,"",IFERROR(AT141/V141,0))</f>
        <v/>
      </c>
      <c r="AV141" s="14">
        <f>IF(COUNT(C141:P141)=0,"",IFERROR(AR141/H141,0))</f>
        <v/>
      </c>
    </row>
    <row r="142">
      <c r="A142" s="11">
        <f>Config!$C$6+136</f>
        <v/>
      </c>
      <c r="B142" s="12">
        <f>INT((A142-Config!$C$6)/7)+1</f>
        <v/>
      </c>
      <c r="C142" s="9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4">
        <f>IF(COUNT(C142:P142)=0,"",IFERROR(C142/D142*1000,0))</f>
        <v/>
      </c>
      <c r="R142" s="15">
        <f>IF(COUNT(C142:P142)=0,"",IFERROR(D142/E142,0))</f>
        <v/>
      </c>
      <c r="S142" s="16">
        <f>IF(COUNT(C142:P142)=0,"",IFERROR(F142/D142,0))</f>
        <v/>
      </c>
      <c r="T142" s="14">
        <f>IF(COUNT(C142:P142)=0,"",IFERROR(C142/F142,0))</f>
        <v/>
      </c>
      <c r="U142" s="17">
        <f>IF(COUNT(C142:P142)=0,"",IFERROR(G142/F142,0))</f>
        <v/>
      </c>
      <c r="V142" s="14">
        <f>IF(COUNT(C142:P142)=0,"",IFERROR(C142/G142,0))</f>
        <v/>
      </c>
      <c r="W142" s="18">
        <f>IF(COUNT(C142:P142)=0,"",IFERROR(G142/D142*1000,0))</f>
        <v/>
      </c>
      <c r="X142" s="17">
        <f>IF(COUNT(C142:P142)=0,"",IFERROR(H142/G142,0))</f>
        <v/>
      </c>
      <c r="Y142" s="14">
        <f>IF(COUNT(C142:P142)=0,"",IFERROR(C142/H142,0))</f>
        <v/>
      </c>
      <c r="Z142" s="14">
        <f>IF(COUNT(C142:P142)=0,"",IFERROR(C142/I142,0))</f>
        <v/>
      </c>
      <c r="AA142" s="17">
        <f>IF(COUNT(C142:P142)=0,"",IFERROR(Y142/Q142,0))</f>
        <v/>
      </c>
      <c r="AB142" s="18">
        <f>IF(COUNT(C142:P142)=0,"",IFERROR(H142/D142*1000,0))</f>
        <v/>
      </c>
      <c r="AC142" s="17">
        <f>IF(COUNT(C142:P142)=0,"",IFERROR(J142/H142,0))</f>
        <v/>
      </c>
      <c r="AD142" s="14">
        <f>IF(COUNT(C142:P142)=0,"",IFERROR(C142/J142,0))</f>
        <v/>
      </c>
      <c r="AE142" s="17">
        <f>IF(COUNT(C142:P142)=0,"",IFERROR(K142/H142,0))</f>
        <v/>
      </c>
      <c r="AF142" s="17">
        <f>IF(COUNT(C142:P142)=0,"",IFERROR(L142/H142,0))</f>
        <v/>
      </c>
      <c r="AG142" s="14">
        <f>IF(COUNT(C142:P142)=0,"",IFERROR(C142/K142,0))</f>
        <v/>
      </c>
      <c r="AH142" s="17">
        <f>IF(COUNT(C142:P142)=0,"",IFERROR(M142/K142,0))</f>
        <v/>
      </c>
      <c r="AI142" s="14">
        <f>IF(COUNT(C142:P142)=0,"",IFERROR(C142/M142,0))</f>
        <v/>
      </c>
      <c r="AJ142" s="17">
        <f>IF(COUNT(C142:P142)=0,"",IFERROR(N142/M142,0))</f>
        <v/>
      </c>
      <c r="AK142" s="16">
        <f>IF(COUNT(C142:P142)=0,"",IFERROR(N142/H142,0))</f>
        <v/>
      </c>
      <c r="AL142" s="14">
        <f>IF(COUNT(C142:P142)=0,"",IFERROR(C142/N142,0))</f>
        <v/>
      </c>
      <c r="AM142" s="17">
        <f>IF(COUNT(C142:P142)=0,"",IFERROR(O142/N142,0))</f>
        <v/>
      </c>
      <c r="AN142" s="17">
        <f>IF(COUNT(C142:P142)=0,"",IFERROR(P142/N142,0))</f>
        <v/>
      </c>
      <c r="AO142" s="19">
        <f>IF(COUNT(C142:P142)=0,"",IFERROR(N142*Config!$C$7+O142*Config!$C$8+P142*Config!$C$9,0))</f>
        <v/>
      </c>
      <c r="AP142" s="14">
        <f>IF(COUNT(C142:P142)=0,"",IFERROR(AO142/N142,0))</f>
        <v/>
      </c>
      <c r="AQ142" s="19">
        <f>IF(COUNT(C142:P142)=0,"",IFERROR(AO142*(1-Config!$C$10-Config!$C$11-Config!$C$12),0))</f>
        <v/>
      </c>
      <c r="AR142" s="19">
        <f>IF(COUNT(C142:P142)=0,"",IFERROR(AQ142-C142-Config!$C$13,0))</f>
        <v/>
      </c>
      <c r="AS142" s="20">
        <f>IF(COUNT(C142:P142)=0,"",IFERROR(AQ142/C142,0))</f>
        <v/>
      </c>
      <c r="AT142" s="14">
        <f>IF(COUNT(C142:P142)=0,"",IFERROR(AR142/G142,0))</f>
        <v/>
      </c>
      <c r="AU142" s="20">
        <f>IF(COUNT(C142:P142)=0,"",IFERROR(AT142/V142,0))</f>
        <v/>
      </c>
      <c r="AV142" s="14">
        <f>IF(COUNT(C142:P142)=0,"",IFERROR(AR142/H142,0))</f>
        <v/>
      </c>
    </row>
    <row r="143">
      <c r="A143" s="11">
        <f>Config!$C$6+137</f>
        <v/>
      </c>
      <c r="B143" s="12">
        <f>INT((A143-Config!$C$6)/7)+1</f>
        <v/>
      </c>
      <c r="C143" s="9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4">
        <f>IF(COUNT(C143:P143)=0,"",IFERROR(C143/D143*1000,0))</f>
        <v/>
      </c>
      <c r="R143" s="15">
        <f>IF(COUNT(C143:P143)=0,"",IFERROR(D143/E143,0))</f>
        <v/>
      </c>
      <c r="S143" s="16">
        <f>IF(COUNT(C143:P143)=0,"",IFERROR(F143/D143,0))</f>
        <v/>
      </c>
      <c r="T143" s="14">
        <f>IF(COUNT(C143:P143)=0,"",IFERROR(C143/F143,0))</f>
        <v/>
      </c>
      <c r="U143" s="17">
        <f>IF(COUNT(C143:P143)=0,"",IFERROR(G143/F143,0))</f>
        <v/>
      </c>
      <c r="V143" s="14">
        <f>IF(COUNT(C143:P143)=0,"",IFERROR(C143/G143,0))</f>
        <v/>
      </c>
      <c r="W143" s="18">
        <f>IF(COUNT(C143:P143)=0,"",IFERROR(G143/D143*1000,0))</f>
        <v/>
      </c>
      <c r="X143" s="17">
        <f>IF(COUNT(C143:P143)=0,"",IFERROR(H143/G143,0))</f>
        <v/>
      </c>
      <c r="Y143" s="14">
        <f>IF(COUNT(C143:P143)=0,"",IFERROR(C143/H143,0))</f>
        <v/>
      </c>
      <c r="Z143" s="14">
        <f>IF(COUNT(C143:P143)=0,"",IFERROR(C143/I143,0))</f>
        <v/>
      </c>
      <c r="AA143" s="17">
        <f>IF(COUNT(C143:P143)=0,"",IFERROR(Y143/Q143,0))</f>
        <v/>
      </c>
      <c r="AB143" s="18">
        <f>IF(COUNT(C143:P143)=0,"",IFERROR(H143/D143*1000,0))</f>
        <v/>
      </c>
      <c r="AC143" s="17">
        <f>IF(COUNT(C143:P143)=0,"",IFERROR(J143/H143,0))</f>
        <v/>
      </c>
      <c r="AD143" s="14">
        <f>IF(COUNT(C143:P143)=0,"",IFERROR(C143/J143,0))</f>
        <v/>
      </c>
      <c r="AE143" s="17">
        <f>IF(COUNT(C143:P143)=0,"",IFERROR(K143/H143,0))</f>
        <v/>
      </c>
      <c r="AF143" s="17">
        <f>IF(COUNT(C143:P143)=0,"",IFERROR(L143/H143,0))</f>
        <v/>
      </c>
      <c r="AG143" s="14">
        <f>IF(COUNT(C143:P143)=0,"",IFERROR(C143/K143,0))</f>
        <v/>
      </c>
      <c r="AH143" s="17">
        <f>IF(COUNT(C143:P143)=0,"",IFERROR(M143/K143,0))</f>
        <v/>
      </c>
      <c r="AI143" s="14">
        <f>IF(COUNT(C143:P143)=0,"",IFERROR(C143/M143,0))</f>
        <v/>
      </c>
      <c r="AJ143" s="17">
        <f>IF(COUNT(C143:P143)=0,"",IFERROR(N143/M143,0))</f>
        <v/>
      </c>
      <c r="AK143" s="16">
        <f>IF(COUNT(C143:P143)=0,"",IFERROR(N143/H143,0))</f>
        <v/>
      </c>
      <c r="AL143" s="14">
        <f>IF(COUNT(C143:P143)=0,"",IFERROR(C143/N143,0))</f>
        <v/>
      </c>
      <c r="AM143" s="17">
        <f>IF(COUNT(C143:P143)=0,"",IFERROR(O143/N143,0))</f>
        <v/>
      </c>
      <c r="AN143" s="17">
        <f>IF(COUNT(C143:P143)=0,"",IFERROR(P143/N143,0))</f>
        <v/>
      </c>
      <c r="AO143" s="19">
        <f>IF(COUNT(C143:P143)=0,"",IFERROR(N143*Config!$C$7+O143*Config!$C$8+P143*Config!$C$9,0))</f>
        <v/>
      </c>
      <c r="AP143" s="14">
        <f>IF(COUNT(C143:P143)=0,"",IFERROR(AO143/N143,0))</f>
        <v/>
      </c>
      <c r="AQ143" s="19">
        <f>IF(COUNT(C143:P143)=0,"",IFERROR(AO143*(1-Config!$C$10-Config!$C$11-Config!$C$12),0))</f>
        <v/>
      </c>
      <c r="AR143" s="19">
        <f>IF(COUNT(C143:P143)=0,"",IFERROR(AQ143-C143-Config!$C$13,0))</f>
        <v/>
      </c>
      <c r="AS143" s="20">
        <f>IF(COUNT(C143:P143)=0,"",IFERROR(AQ143/C143,0))</f>
        <v/>
      </c>
      <c r="AT143" s="14">
        <f>IF(COUNT(C143:P143)=0,"",IFERROR(AR143/G143,0))</f>
        <v/>
      </c>
      <c r="AU143" s="20">
        <f>IF(COUNT(C143:P143)=0,"",IFERROR(AT143/V143,0))</f>
        <v/>
      </c>
      <c r="AV143" s="14">
        <f>IF(COUNT(C143:P143)=0,"",IFERROR(AR143/H143,0))</f>
        <v/>
      </c>
    </row>
    <row r="144">
      <c r="A144" s="11">
        <f>Config!$C$6+138</f>
        <v/>
      </c>
      <c r="B144" s="12">
        <f>INT((A144-Config!$C$6)/7)+1</f>
        <v/>
      </c>
      <c r="C144" s="9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4">
        <f>IF(COUNT(C144:P144)=0,"",IFERROR(C144/D144*1000,0))</f>
        <v/>
      </c>
      <c r="R144" s="15">
        <f>IF(COUNT(C144:P144)=0,"",IFERROR(D144/E144,0))</f>
        <v/>
      </c>
      <c r="S144" s="16">
        <f>IF(COUNT(C144:P144)=0,"",IFERROR(F144/D144,0))</f>
        <v/>
      </c>
      <c r="T144" s="14">
        <f>IF(COUNT(C144:P144)=0,"",IFERROR(C144/F144,0))</f>
        <v/>
      </c>
      <c r="U144" s="17">
        <f>IF(COUNT(C144:P144)=0,"",IFERROR(G144/F144,0))</f>
        <v/>
      </c>
      <c r="V144" s="14">
        <f>IF(COUNT(C144:P144)=0,"",IFERROR(C144/G144,0))</f>
        <v/>
      </c>
      <c r="W144" s="18">
        <f>IF(COUNT(C144:P144)=0,"",IFERROR(G144/D144*1000,0))</f>
        <v/>
      </c>
      <c r="X144" s="17">
        <f>IF(COUNT(C144:P144)=0,"",IFERROR(H144/G144,0))</f>
        <v/>
      </c>
      <c r="Y144" s="14">
        <f>IF(COUNT(C144:P144)=0,"",IFERROR(C144/H144,0))</f>
        <v/>
      </c>
      <c r="Z144" s="14">
        <f>IF(COUNT(C144:P144)=0,"",IFERROR(C144/I144,0))</f>
        <v/>
      </c>
      <c r="AA144" s="17">
        <f>IF(COUNT(C144:P144)=0,"",IFERROR(Y144/Q144,0))</f>
        <v/>
      </c>
      <c r="AB144" s="18">
        <f>IF(COUNT(C144:P144)=0,"",IFERROR(H144/D144*1000,0))</f>
        <v/>
      </c>
      <c r="AC144" s="17">
        <f>IF(COUNT(C144:P144)=0,"",IFERROR(J144/H144,0))</f>
        <v/>
      </c>
      <c r="AD144" s="14">
        <f>IF(COUNT(C144:P144)=0,"",IFERROR(C144/J144,0))</f>
        <v/>
      </c>
      <c r="AE144" s="17">
        <f>IF(COUNT(C144:P144)=0,"",IFERROR(K144/H144,0))</f>
        <v/>
      </c>
      <c r="AF144" s="17">
        <f>IF(COUNT(C144:P144)=0,"",IFERROR(L144/H144,0))</f>
        <v/>
      </c>
      <c r="AG144" s="14">
        <f>IF(COUNT(C144:P144)=0,"",IFERROR(C144/K144,0))</f>
        <v/>
      </c>
      <c r="AH144" s="17">
        <f>IF(COUNT(C144:P144)=0,"",IFERROR(M144/K144,0))</f>
        <v/>
      </c>
      <c r="AI144" s="14">
        <f>IF(COUNT(C144:P144)=0,"",IFERROR(C144/M144,0))</f>
        <v/>
      </c>
      <c r="AJ144" s="17">
        <f>IF(COUNT(C144:P144)=0,"",IFERROR(N144/M144,0))</f>
        <v/>
      </c>
      <c r="AK144" s="16">
        <f>IF(COUNT(C144:P144)=0,"",IFERROR(N144/H144,0))</f>
        <v/>
      </c>
      <c r="AL144" s="14">
        <f>IF(COUNT(C144:P144)=0,"",IFERROR(C144/N144,0))</f>
        <v/>
      </c>
      <c r="AM144" s="17">
        <f>IF(COUNT(C144:P144)=0,"",IFERROR(O144/N144,0))</f>
        <v/>
      </c>
      <c r="AN144" s="17">
        <f>IF(COUNT(C144:P144)=0,"",IFERROR(P144/N144,0))</f>
        <v/>
      </c>
      <c r="AO144" s="19">
        <f>IF(COUNT(C144:P144)=0,"",IFERROR(N144*Config!$C$7+O144*Config!$C$8+P144*Config!$C$9,0))</f>
        <v/>
      </c>
      <c r="AP144" s="14">
        <f>IF(COUNT(C144:P144)=0,"",IFERROR(AO144/N144,0))</f>
        <v/>
      </c>
      <c r="AQ144" s="19">
        <f>IF(COUNT(C144:P144)=0,"",IFERROR(AO144*(1-Config!$C$10-Config!$C$11-Config!$C$12),0))</f>
        <v/>
      </c>
      <c r="AR144" s="19">
        <f>IF(COUNT(C144:P144)=0,"",IFERROR(AQ144-C144-Config!$C$13,0))</f>
        <v/>
      </c>
      <c r="AS144" s="20">
        <f>IF(COUNT(C144:P144)=0,"",IFERROR(AQ144/C144,0))</f>
        <v/>
      </c>
      <c r="AT144" s="14">
        <f>IF(COUNT(C144:P144)=0,"",IFERROR(AR144/G144,0))</f>
        <v/>
      </c>
      <c r="AU144" s="20">
        <f>IF(COUNT(C144:P144)=0,"",IFERROR(AT144/V144,0))</f>
        <v/>
      </c>
      <c r="AV144" s="14">
        <f>IF(COUNT(C144:P144)=0,"",IFERROR(AR144/H144,0))</f>
        <v/>
      </c>
    </row>
    <row r="145">
      <c r="A145" s="11">
        <f>Config!$C$6+139</f>
        <v/>
      </c>
      <c r="B145" s="12">
        <f>INT((A145-Config!$C$6)/7)+1</f>
        <v/>
      </c>
      <c r="C145" s="9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4">
        <f>IF(COUNT(C145:P145)=0,"",IFERROR(C145/D145*1000,0))</f>
        <v/>
      </c>
      <c r="R145" s="15">
        <f>IF(COUNT(C145:P145)=0,"",IFERROR(D145/E145,0))</f>
        <v/>
      </c>
      <c r="S145" s="16">
        <f>IF(COUNT(C145:P145)=0,"",IFERROR(F145/D145,0))</f>
        <v/>
      </c>
      <c r="T145" s="14">
        <f>IF(COUNT(C145:P145)=0,"",IFERROR(C145/F145,0))</f>
        <v/>
      </c>
      <c r="U145" s="17">
        <f>IF(COUNT(C145:P145)=0,"",IFERROR(G145/F145,0))</f>
        <v/>
      </c>
      <c r="V145" s="14">
        <f>IF(COUNT(C145:P145)=0,"",IFERROR(C145/G145,0))</f>
        <v/>
      </c>
      <c r="W145" s="18">
        <f>IF(COUNT(C145:P145)=0,"",IFERROR(G145/D145*1000,0))</f>
        <v/>
      </c>
      <c r="X145" s="17">
        <f>IF(COUNT(C145:P145)=0,"",IFERROR(H145/G145,0))</f>
        <v/>
      </c>
      <c r="Y145" s="14">
        <f>IF(COUNT(C145:P145)=0,"",IFERROR(C145/H145,0))</f>
        <v/>
      </c>
      <c r="Z145" s="14">
        <f>IF(COUNT(C145:P145)=0,"",IFERROR(C145/I145,0))</f>
        <v/>
      </c>
      <c r="AA145" s="17">
        <f>IF(COUNT(C145:P145)=0,"",IFERROR(Y145/Q145,0))</f>
        <v/>
      </c>
      <c r="AB145" s="18">
        <f>IF(COUNT(C145:P145)=0,"",IFERROR(H145/D145*1000,0))</f>
        <v/>
      </c>
      <c r="AC145" s="17">
        <f>IF(COUNT(C145:P145)=0,"",IFERROR(J145/H145,0))</f>
        <v/>
      </c>
      <c r="AD145" s="14">
        <f>IF(COUNT(C145:P145)=0,"",IFERROR(C145/J145,0))</f>
        <v/>
      </c>
      <c r="AE145" s="17">
        <f>IF(COUNT(C145:P145)=0,"",IFERROR(K145/H145,0))</f>
        <v/>
      </c>
      <c r="AF145" s="17">
        <f>IF(COUNT(C145:P145)=0,"",IFERROR(L145/H145,0))</f>
        <v/>
      </c>
      <c r="AG145" s="14">
        <f>IF(COUNT(C145:P145)=0,"",IFERROR(C145/K145,0))</f>
        <v/>
      </c>
      <c r="AH145" s="17">
        <f>IF(COUNT(C145:P145)=0,"",IFERROR(M145/K145,0))</f>
        <v/>
      </c>
      <c r="AI145" s="14">
        <f>IF(COUNT(C145:P145)=0,"",IFERROR(C145/M145,0))</f>
        <v/>
      </c>
      <c r="AJ145" s="17">
        <f>IF(COUNT(C145:P145)=0,"",IFERROR(N145/M145,0))</f>
        <v/>
      </c>
      <c r="AK145" s="16">
        <f>IF(COUNT(C145:P145)=0,"",IFERROR(N145/H145,0))</f>
        <v/>
      </c>
      <c r="AL145" s="14">
        <f>IF(COUNT(C145:P145)=0,"",IFERROR(C145/N145,0))</f>
        <v/>
      </c>
      <c r="AM145" s="17">
        <f>IF(COUNT(C145:P145)=0,"",IFERROR(O145/N145,0))</f>
        <v/>
      </c>
      <c r="AN145" s="17">
        <f>IF(COUNT(C145:P145)=0,"",IFERROR(P145/N145,0))</f>
        <v/>
      </c>
      <c r="AO145" s="19">
        <f>IF(COUNT(C145:P145)=0,"",IFERROR(N145*Config!$C$7+O145*Config!$C$8+P145*Config!$C$9,0))</f>
        <v/>
      </c>
      <c r="AP145" s="14">
        <f>IF(COUNT(C145:P145)=0,"",IFERROR(AO145/N145,0))</f>
        <v/>
      </c>
      <c r="AQ145" s="19">
        <f>IF(COUNT(C145:P145)=0,"",IFERROR(AO145*(1-Config!$C$10-Config!$C$11-Config!$C$12),0))</f>
        <v/>
      </c>
      <c r="AR145" s="19">
        <f>IF(COUNT(C145:P145)=0,"",IFERROR(AQ145-C145-Config!$C$13,0))</f>
        <v/>
      </c>
      <c r="AS145" s="20">
        <f>IF(COUNT(C145:P145)=0,"",IFERROR(AQ145/C145,0))</f>
        <v/>
      </c>
      <c r="AT145" s="14">
        <f>IF(COUNT(C145:P145)=0,"",IFERROR(AR145/G145,0))</f>
        <v/>
      </c>
      <c r="AU145" s="20">
        <f>IF(COUNT(C145:P145)=0,"",IFERROR(AT145/V145,0))</f>
        <v/>
      </c>
      <c r="AV145" s="14">
        <f>IF(COUNT(C145:P145)=0,"",IFERROR(AR145/H145,0))</f>
        <v/>
      </c>
    </row>
    <row r="146">
      <c r="A146" s="11">
        <f>Config!$C$6+140</f>
        <v/>
      </c>
      <c r="B146" s="12">
        <f>INT((A146-Config!$C$6)/7)+1</f>
        <v/>
      </c>
      <c r="C146" s="9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4">
        <f>IF(COUNT(C146:P146)=0,"",IFERROR(C146/D146*1000,0))</f>
        <v/>
      </c>
      <c r="R146" s="15">
        <f>IF(COUNT(C146:P146)=0,"",IFERROR(D146/E146,0))</f>
        <v/>
      </c>
      <c r="S146" s="16">
        <f>IF(COUNT(C146:P146)=0,"",IFERROR(F146/D146,0))</f>
        <v/>
      </c>
      <c r="T146" s="14">
        <f>IF(COUNT(C146:P146)=0,"",IFERROR(C146/F146,0))</f>
        <v/>
      </c>
      <c r="U146" s="17">
        <f>IF(COUNT(C146:P146)=0,"",IFERROR(G146/F146,0))</f>
        <v/>
      </c>
      <c r="V146" s="14">
        <f>IF(COUNT(C146:P146)=0,"",IFERROR(C146/G146,0))</f>
        <v/>
      </c>
      <c r="W146" s="18">
        <f>IF(COUNT(C146:P146)=0,"",IFERROR(G146/D146*1000,0))</f>
        <v/>
      </c>
      <c r="X146" s="17">
        <f>IF(COUNT(C146:P146)=0,"",IFERROR(H146/G146,0))</f>
        <v/>
      </c>
      <c r="Y146" s="14">
        <f>IF(COUNT(C146:P146)=0,"",IFERROR(C146/H146,0))</f>
        <v/>
      </c>
      <c r="Z146" s="14">
        <f>IF(COUNT(C146:P146)=0,"",IFERROR(C146/I146,0))</f>
        <v/>
      </c>
      <c r="AA146" s="17">
        <f>IF(COUNT(C146:P146)=0,"",IFERROR(Y146/Q146,0))</f>
        <v/>
      </c>
      <c r="AB146" s="18">
        <f>IF(COUNT(C146:P146)=0,"",IFERROR(H146/D146*1000,0))</f>
        <v/>
      </c>
      <c r="AC146" s="17">
        <f>IF(COUNT(C146:P146)=0,"",IFERROR(J146/H146,0))</f>
        <v/>
      </c>
      <c r="AD146" s="14">
        <f>IF(COUNT(C146:P146)=0,"",IFERROR(C146/J146,0))</f>
        <v/>
      </c>
      <c r="AE146" s="17">
        <f>IF(COUNT(C146:P146)=0,"",IFERROR(K146/H146,0))</f>
        <v/>
      </c>
      <c r="AF146" s="17">
        <f>IF(COUNT(C146:P146)=0,"",IFERROR(L146/H146,0))</f>
        <v/>
      </c>
      <c r="AG146" s="14">
        <f>IF(COUNT(C146:P146)=0,"",IFERROR(C146/K146,0))</f>
        <v/>
      </c>
      <c r="AH146" s="17">
        <f>IF(COUNT(C146:P146)=0,"",IFERROR(M146/K146,0))</f>
        <v/>
      </c>
      <c r="AI146" s="14">
        <f>IF(COUNT(C146:P146)=0,"",IFERROR(C146/M146,0))</f>
        <v/>
      </c>
      <c r="AJ146" s="17">
        <f>IF(COUNT(C146:P146)=0,"",IFERROR(N146/M146,0))</f>
        <v/>
      </c>
      <c r="AK146" s="16">
        <f>IF(COUNT(C146:P146)=0,"",IFERROR(N146/H146,0))</f>
        <v/>
      </c>
      <c r="AL146" s="14">
        <f>IF(COUNT(C146:P146)=0,"",IFERROR(C146/N146,0))</f>
        <v/>
      </c>
      <c r="AM146" s="17">
        <f>IF(COUNT(C146:P146)=0,"",IFERROR(O146/N146,0))</f>
        <v/>
      </c>
      <c r="AN146" s="17">
        <f>IF(COUNT(C146:P146)=0,"",IFERROR(P146/N146,0))</f>
        <v/>
      </c>
      <c r="AO146" s="19">
        <f>IF(COUNT(C146:P146)=0,"",IFERROR(N146*Config!$C$7+O146*Config!$C$8+P146*Config!$C$9,0))</f>
        <v/>
      </c>
      <c r="AP146" s="14">
        <f>IF(COUNT(C146:P146)=0,"",IFERROR(AO146/N146,0))</f>
        <v/>
      </c>
      <c r="AQ146" s="19">
        <f>IF(COUNT(C146:P146)=0,"",IFERROR(AO146*(1-Config!$C$10-Config!$C$11-Config!$C$12),0))</f>
        <v/>
      </c>
      <c r="AR146" s="19">
        <f>IF(COUNT(C146:P146)=0,"",IFERROR(AQ146-C146-Config!$C$13,0))</f>
        <v/>
      </c>
      <c r="AS146" s="20">
        <f>IF(COUNT(C146:P146)=0,"",IFERROR(AQ146/C146,0))</f>
        <v/>
      </c>
      <c r="AT146" s="14">
        <f>IF(COUNT(C146:P146)=0,"",IFERROR(AR146/G146,0))</f>
        <v/>
      </c>
      <c r="AU146" s="20">
        <f>IF(COUNT(C146:P146)=0,"",IFERROR(AT146/V146,0))</f>
        <v/>
      </c>
      <c r="AV146" s="14">
        <f>IF(COUNT(C146:P146)=0,"",IFERROR(AR146/H146,0))</f>
        <v/>
      </c>
    </row>
    <row r="147">
      <c r="A147" s="11">
        <f>Config!$C$6+141</f>
        <v/>
      </c>
      <c r="B147" s="12">
        <f>INT((A147-Config!$C$6)/7)+1</f>
        <v/>
      </c>
      <c r="C147" s="9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4">
        <f>IF(COUNT(C147:P147)=0,"",IFERROR(C147/D147*1000,0))</f>
        <v/>
      </c>
      <c r="R147" s="15">
        <f>IF(COUNT(C147:P147)=0,"",IFERROR(D147/E147,0))</f>
        <v/>
      </c>
      <c r="S147" s="16">
        <f>IF(COUNT(C147:P147)=0,"",IFERROR(F147/D147,0))</f>
        <v/>
      </c>
      <c r="T147" s="14">
        <f>IF(COUNT(C147:P147)=0,"",IFERROR(C147/F147,0))</f>
        <v/>
      </c>
      <c r="U147" s="17">
        <f>IF(COUNT(C147:P147)=0,"",IFERROR(G147/F147,0))</f>
        <v/>
      </c>
      <c r="V147" s="14">
        <f>IF(COUNT(C147:P147)=0,"",IFERROR(C147/G147,0))</f>
        <v/>
      </c>
      <c r="W147" s="18">
        <f>IF(COUNT(C147:P147)=0,"",IFERROR(G147/D147*1000,0))</f>
        <v/>
      </c>
      <c r="X147" s="17">
        <f>IF(COUNT(C147:P147)=0,"",IFERROR(H147/G147,0))</f>
        <v/>
      </c>
      <c r="Y147" s="14">
        <f>IF(COUNT(C147:P147)=0,"",IFERROR(C147/H147,0))</f>
        <v/>
      </c>
      <c r="Z147" s="14">
        <f>IF(COUNT(C147:P147)=0,"",IFERROR(C147/I147,0))</f>
        <v/>
      </c>
      <c r="AA147" s="17">
        <f>IF(COUNT(C147:P147)=0,"",IFERROR(Y147/Q147,0))</f>
        <v/>
      </c>
      <c r="AB147" s="18">
        <f>IF(COUNT(C147:P147)=0,"",IFERROR(H147/D147*1000,0))</f>
        <v/>
      </c>
      <c r="AC147" s="17">
        <f>IF(COUNT(C147:P147)=0,"",IFERROR(J147/H147,0))</f>
        <v/>
      </c>
      <c r="AD147" s="14">
        <f>IF(COUNT(C147:P147)=0,"",IFERROR(C147/J147,0))</f>
        <v/>
      </c>
      <c r="AE147" s="17">
        <f>IF(COUNT(C147:P147)=0,"",IFERROR(K147/H147,0))</f>
        <v/>
      </c>
      <c r="AF147" s="17">
        <f>IF(COUNT(C147:P147)=0,"",IFERROR(L147/H147,0))</f>
        <v/>
      </c>
      <c r="AG147" s="14">
        <f>IF(COUNT(C147:P147)=0,"",IFERROR(C147/K147,0))</f>
        <v/>
      </c>
      <c r="AH147" s="17">
        <f>IF(COUNT(C147:P147)=0,"",IFERROR(M147/K147,0))</f>
        <v/>
      </c>
      <c r="AI147" s="14">
        <f>IF(COUNT(C147:P147)=0,"",IFERROR(C147/M147,0))</f>
        <v/>
      </c>
      <c r="AJ147" s="17">
        <f>IF(COUNT(C147:P147)=0,"",IFERROR(N147/M147,0))</f>
        <v/>
      </c>
      <c r="AK147" s="16">
        <f>IF(COUNT(C147:P147)=0,"",IFERROR(N147/H147,0))</f>
        <v/>
      </c>
      <c r="AL147" s="14">
        <f>IF(COUNT(C147:P147)=0,"",IFERROR(C147/N147,0))</f>
        <v/>
      </c>
      <c r="AM147" s="17">
        <f>IF(COUNT(C147:P147)=0,"",IFERROR(O147/N147,0))</f>
        <v/>
      </c>
      <c r="AN147" s="17">
        <f>IF(COUNT(C147:P147)=0,"",IFERROR(P147/N147,0))</f>
        <v/>
      </c>
      <c r="AO147" s="19">
        <f>IF(COUNT(C147:P147)=0,"",IFERROR(N147*Config!$C$7+O147*Config!$C$8+P147*Config!$C$9,0))</f>
        <v/>
      </c>
      <c r="AP147" s="14">
        <f>IF(COUNT(C147:P147)=0,"",IFERROR(AO147/N147,0))</f>
        <v/>
      </c>
      <c r="AQ147" s="19">
        <f>IF(COUNT(C147:P147)=0,"",IFERROR(AO147*(1-Config!$C$10-Config!$C$11-Config!$C$12),0))</f>
        <v/>
      </c>
      <c r="AR147" s="19">
        <f>IF(COUNT(C147:P147)=0,"",IFERROR(AQ147-C147-Config!$C$13,0))</f>
        <v/>
      </c>
      <c r="AS147" s="20">
        <f>IF(COUNT(C147:P147)=0,"",IFERROR(AQ147/C147,0))</f>
        <v/>
      </c>
      <c r="AT147" s="14">
        <f>IF(COUNT(C147:P147)=0,"",IFERROR(AR147/G147,0))</f>
        <v/>
      </c>
      <c r="AU147" s="20">
        <f>IF(COUNT(C147:P147)=0,"",IFERROR(AT147/V147,0))</f>
        <v/>
      </c>
      <c r="AV147" s="14">
        <f>IF(COUNT(C147:P147)=0,"",IFERROR(AR147/H147,0))</f>
        <v/>
      </c>
    </row>
    <row r="148">
      <c r="A148" s="11">
        <f>Config!$C$6+142</f>
        <v/>
      </c>
      <c r="B148" s="12">
        <f>INT((A148-Config!$C$6)/7)+1</f>
        <v/>
      </c>
      <c r="C148" s="9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4">
        <f>IF(COUNT(C148:P148)=0,"",IFERROR(C148/D148*1000,0))</f>
        <v/>
      </c>
      <c r="R148" s="15">
        <f>IF(COUNT(C148:P148)=0,"",IFERROR(D148/E148,0))</f>
        <v/>
      </c>
      <c r="S148" s="16">
        <f>IF(COUNT(C148:P148)=0,"",IFERROR(F148/D148,0))</f>
        <v/>
      </c>
      <c r="T148" s="14">
        <f>IF(COUNT(C148:P148)=0,"",IFERROR(C148/F148,0))</f>
        <v/>
      </c>
      <c r="U148" s="17">
        <f>IF(COUNT(C148:P148)=0,"",IFERROR(G148/F148,0))</f>
        <v/>
      </c>
      <c r="V148" s="14">
        <f>IF(COUNT(C148:P148)=0,"",IFERROR(C148/G148,0))</f>
        <v/>
      </c>
      <c r="W148" s="18">
        <f>IF(COUNT(C148:P148)=0,"",IFERROR(G148/D148*1000,0))</f>
        <v/>
      </c>
      <c r="X148" s="17">
        <f>IF(COUNT(C148:P148)=0,"",IFERROR(H148/G148,0))</f>
        <v/>
      </c>
      <c r="Y148" s="14">
        <f>IF(COUNT(C148:P148)=0,"",IFERROR(C148/H148,0))</f>
        <v/>
      </c>
      <c r="Z148" s="14">
        <f>IF(COUNT(C148:P148)=0,"",IFERROR(C148/I148,0))</f>
        <v/>
      </c>
      <c r="AA148" s="17">
        <f>IF(COUNT(C148:P148)=0,"",IFERROR(Y148/Q148,0))</f>
        <v/>
      </c>
      <c r="AB148" s="18">
        <f>IF(COUNT(C148:P148)=0,"",IFERROR(H148/D148*1000,0))</f>
        <v/>
      </c>
      <c r="AC148" s="17">
        <f>IF(COUNT(C148:P148)=0,"",IFERROR(J148/H148,0))</f>
        <v/>
      </c>
      <c r="AD148" s="14">
        <f>IF(COUNT(C148:P148)=0,"",IFERROR(C148/J148,0))</f>
        <v/>
      </c>
      <c r="AE148" s="17">
        <f>IF(COUNT(C148:P148)=0,"",IFERROR(K148/H148,0))</f>
        <v/>
      </c>
      <c r="AF148" s="17">
        <f>IF(COUNT(C148:P148)=0,"",IFERROR(L148/H148,0))</f>
        <v/>
      </c>
      <c r="AG148" s="14">
        <f>IF(COUNT(C148:P148)=0,"",IFERROR(C148/K148,0))</f>
        <v/>
      </c>
      <c r="AH148" s="17">
        <f>IF(COUNT(C148:P148)=0,"",IFERROR(M148/K148,0))</f>
        <v/>
      </c>
      <c r="AI148" s="14">
        <f>IF(COUNT(C148:P148)=0,"",IFERROR(C148/M148,0))</f>
        <v/>
      </c>
      <c r="AJ148" s="17">
        <f>IF(COUNT(C148:P148)=0,"",IFERROR(N148/M148,0))</f>
        <v/>
      </c>
      <c r="AK148" s="16">
        <f>IF(COUNT(C148:P148)=0,"",IFERROR(N148/H148,0))</f>
        <v/>
      </c>
      <c r="AL148" s="14">
        <f>IF(COUNT(C148:P148)=0,"",IFERROR(C148/N148,0))</f>
        <v/>
      </c>
      <c r="AM148" s="17">
        <f>IF(COUNT(C148:P148)=0,"",IFERROR(O148/N148,0))</f>
        <v/>
      </c>
      <c r="AN148" s="17">
        <f>IF(COUNT(C148:P148)=0,"",IFERROR(P148/N148,0))</f>
        <v/>
      </c>
      <c r="AO148" s="19">
        <f>IF(COUNT(C148:P148)=0,"",IFERROR(N148*Config!$C$7+O148*Config!$C$8+P148*Config!$C$9,0))</f>
        <v/>
      </c>
      <c r="AP148" s="14">
        <f>IF(COUNT(C148:P148)=0,"",IFERROR(AO148/N148,0))</f>
        <v/>
      </c>
      <c r="AQ148" s="19">
        <f>IF(COUNT(C148:P148)=0,"",IFERROR(AO148*(1-Config!$C$10-Config!$C$11-Config!$C$12),0))</f>
        <v/>
      </c>
      <c r="AR148" s="19">
        <f>IF(COUNT(C148:P148)=0,"",IFERROR(AQ148-C148-Config!$C$13,0))</f>
        <v/>
      </c>
      <c r="AS148" s="20">
        <f>IF(COUNT(C148:P148)=0,"",IFERROR(AQ148/C148,0))</f>
        <v/>
      </c>
      <c r="AT148" s="14">
        <f>IF(COUNT(C148:P148)=0,"",IFERROR(AR148/G148,0))</f>
        <v/>
      </c>
      <c r="AU148" s="20">
        <f>IF(COUNT(C148:P148)=0,"",IFERROR(AT148/V148,0))</f>
        <v/>
      </c>
      <c r="AV148" s="14">
        <f>IF(COUNT(C148:P148)=0,"",IFERROR(AR148/H148,0))</f>
        <v/>
      </c>
    </row>
    <row r="149">
      <c r="A149" s="11">
        <f>Config!$C$6+143</f>
        <v/>
      </c>
      <c r="B149" s="12">
        <f>INT((A149-Config!$C$6)/7)+1</f>
        <v/>
      </c>
      <c r="C149" s="9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4">
        <f>IF(COUNT(C149:P149)=0,"",IFERROR(C149/D149*1000,0))</f>
        <v/>
      </c>
      <c r="R149" s="15">
        <f>IF(COUNT(C149:P149)=0,"",IFERROR(D149/E149,0))</f>
        <v/>
      </c>
      <c r="S149" s="16">
        <f>IF(COUNT(C149:P149)=0,"",IFERROR(F149/D149,0))</f>
        <v/>
      </c>
      <c r="T149" s="14">
        <f>IF(COUNT(C149:P149)=0,"",IFERROR(C149/F149,0))</f>
        <v/>
      </c>
      <c r="U149" s="17">
        <f>IF(COUNT(C149:P149)=0,"",IFERROR(G149/F149,0))</f>
        <v/>
      </c>
      <c r="V149" s="14">
        <f>IF(COUNT(C149:P149)=0,"",IFERROR(C149/G149,0))</f>
        <v/>
      </c>
      <c r="W149" s="18">
        <f>IF(COUNT(C149:P149)=0,"",IFERROR(G149/D149*1000,0))</f>
        <v/>
      </c>
      <c r="X149" s="17">
        <f>IF(COUNT(C149:P149)=0,"",IFERROR(H149/G149,0))</f>
        <v/>
      </c>
      <c r="Y149" s="14">
        <f>IF(COUNT(C149:P149)=0,"",IFERROR(C149/H149,0))</f>
        <v/>
      </c>
      <c r="Z149" s="14">
        <f>IF(COUNT(C149:P149)=0,"",IFERROR(C149/I149,0))</f>
        <v/>
      </c>
      <c r="AA149" s="17">
        <f>IF(COUNT(C149:P149)=0,"",IFERROR(Y149/Q149,0))</f>
        <v/>
      </c>
      <c r="AB149" s="18">
        <f>IF(COUNT(C149:P149)=0,"",IFERROR(H149/D149*1000,0))</f>
        <v/>
      </c>
      <c r="AC149" s="17">
        <f>IF(COUNT(C149:P149)=0,"",IFERROR(J149/H149,0))</f>
        <v/>
      </c>
      <c r="AD149" s="14">
        <f>IF(COUNT(C149:P149)=0,"",IFERROR(C149/J149,0))</f>
        <v/>
      </c>
      <c r="AE149" s="17">
        <f>IF(COUNT(C149:P149)=0,"",IFERROR(K149/H149,0))</f>
        <v/>
      </c>
      <c r="AF149" s="17">
        <f>IF(COUNT(C149:P149)=0,"",IFERROR(L149/H149,0))</f>
        <v/>
      </c>
      <c r="AG149" s="14">
        <f>IF(COUNT(C149:P149)=0,"",IFERROR(C149/K149,0))</f>
        <v/>
      </c>
      <c r="AH149" s="17">
        <f>IF(COUNT(C149:P149)=0,"",IFERROR(M149/K149,0))</f>
        <v/>
      </c>
      <c r="AI149" s="14">
        <f>IF(COUNT(C149:P149)=0,"",IFERROR(C149/M149,0))</f>
        <v/>
      </c>
      <c r="AJ149" s="17">
        <f>IF(COUNT(C149:P149)=0,"",IFERROR(N149/M149,0))</f>
        <v/>
      </c>
      <c r="AK149" s="16">
        <f>IF(COUNT(C149:P149)=0,"",IFERROR(N149/H149,0))</f>
        <v/>
      </c>
      <c r="AL149" s="14">
        <f>IF(COUNT(C149:P149)=0,"",IFERROR(C149/N149,0))</f>
        <v/>
      </c>
      <c r="AM149" s="17">
        <f>IF(COUNT(C149:P149)=0,"",IFERROR(O149/N149,0))</f>
        <v/>
      </c>
      <c r="AN149" s="17">
        <f>IF(COUNT(C149:P149)=0,"",IFERROR(P149/N149,0))</f>
        <v/>
      </c>
      <c r="AO149" s="19">
        <f>IF(COUNT(C149:P149)=0,"",IFERROR(N149*Config!$C$7+O149*Config!$C$8+P149*Config!$C$9,0))</f>
        <v/>
      </c>
      <c r="AP149" s="14">
        <f>IF(COUNT(C149:P149)=0,"",IFERROR(AO149/N149,0))</f>
        <v/>
      </c>
      <c r="AQ149" s="19">
        <f>IF(COUNT(C149:P149)=0,"",IFERROR(AO149*(1-Config!$C$10-Config!$C$11-Config!$C$12),0))</f>
        <v/>
      </c>
      <c r="AR149" s="19">
        <f>IF(COUNT(C149:P149)=0,"",IFERROR(AQ149-C149-Config!$C$13,0))</f>
        <v/>
      </c>
      <c r="AS149" s="20">
        <f>IF(COUNT(C149:P149)=0,"",IFERROR(AQ149/C149,0))</f>
        <v/>
      </c>
      <c r="AT149" s="14">
        <f>IF(COUNT(C149:P149)=0,"",IFERROR(AR149/G149,0))</f>
        <v/>
      </c>
      <c r="AU149" s="20">
        <f>IF(COUNT(C149:P149)=0,"",IFERROR(AT149/V149,0))</f>
        <v/>
      </c>
      <c r="AV149" s="14">
        <f>IF(COUNT(C149:P149)=0,"",IFERROR(AR149/H149,0))</f>
        <v/>
      </c>
    </row>
    <row r="150">
      <c r="A150" s="11">
        <f>Config!$C$6+144</f>
        <v/>
      </c>
      <c r="B150" s="12">
        <f>INT((A150-Config!$C$6)/7)+1</f>
        <v/>
      </c>
      <c r="C150" s="9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4">
        <f>IF(COUNT(C150:P150)=0,"",IFERROR(C150/D150*1000,0))</f>
        <v/>
      </c>
      <c r="R150" s="15">
        <f>IF(COUNT(C150:P150)=0,"",IFERROR(D150/E150,0))</f>
        <v/>
      </c>
      <c r="S150" s="16">
        <f>IF(COUNT(C150:P150)=0,"",IFERROR(F150/D150,0))</f>
        <v/>
      </c>
      <c r="T150" s="14">
        <f>IF(COUNT(C150:P150)=0,"",IFERROR(C150/F150,0))</f>
        <v/>
      </c>
      <c r="U150" s="17">
        <f>IF(COUNT(C150:P150)=0,"",IFERROR(G150/F150,0))</f>
        <v/>
      </c>
      <c r="V150" s="14">
        <f>IF(COUNT(C150:P150)=0,"",IFERROR(C150/G150,0))</f>
        <v/>
      </c>
      <c r="W150" s="18">
        <f>IF(COUNT(C150:P150)=0,"",IFERROR(G150/D150*1000,0))</f>
        <v/>
      </c>
      <c r="X150" s="17">
        <f>IF(COUNT(C150:P150)=0,"",IFERROR(H150/G150,0))</f>
        <v/>
      </c>
      <c r="Y150" s="14">
        <f>IF(COUNT(C150:P150)=0,"",IFERROR(C150/H150,0))</f>
        <v/>
      </c>
      <c r="Z150" s="14">
        <f>IF(COUNT(C150:P150)=0,"",IFERROR(C150/I150,0))</f>
        <v/>
      </c>
      <c r="AA150" s="17">
        <f>IF(COUNT(C150:P150)=0,"",IFERROR(Y150/Q150,0))</f>
        <v/>
      </c>
      <c r="AB150" s="18">
        <f>IF(COUNT(C150:P150)=0,"",IFERROR(H150/D150*1000,0))</f>
        <v/>
      </c>
      <c r="AC150" s="17">
        <f>IF(COUNT(C150:P150)=0,"",IFERROR(J150/H150,0))</f>
        <v/>
      </c>
      <c r="AD150" s="14">
        <f>IF(COUNT(C150:P150)=0,"",IFERROR(C150/J150,0))</f>
        <v/>
      </c>
      <c r="AE150" s="17">
        <f>IF(COUNT(C150:P150)=0,"",IFERROR(K150/H150,0))</f>
        <v/>
      </c>
      <c r="AF150" s="17">
        <f>IF(COUNT(C150:P150)=0,"",IFERROR(L150/H150,0))</f>
        <v/>
      </c>
      <c r="AG150" s="14">
        <f>IF(COUNT(C150:P150)=0,"",IFERROR(C150/K150,0))</f>
        <v/>
      </c>
      <c r="AH150" s="17">
        <f>IF(COUNT(C150:P150)=0,"",IFERROR(M150/K150,0))</f>
        <v/>
      </c>
      <c r="AI150" s="14">
        <f>IF(COUNT(C150:P150)=0,"",IFERROR(C150/M150,0))</f>
        <v/>
      </c>
      <c r="AJ150" s="17">
        <f>IF(COUNT(C150:P150)=0,"",IFERROR(N150/M150,0))</f>
        <v/>
      </c>
      <c r="AK150" s="16">
        <f>IF(COUNT(C150:P150)=0,"",IFERROR(N150/H150,0))</f>
        <v/>
      </c>
      <c r="AL150" s="14">
        <f>IF(COUNT(C150:P150)=0,"",IFERROR(C150/N150,0))</f>
        <v/>
      </c>
      <c r="AM150" s="17">
        <f>IF(COUNT(C150:P150)=0,"",IFERROR(O150/N150,0))</f>
        <v/>
      </c>
      <c r="AN150" s="17">
        <f>IF(COUNT(C150:P150)=0,"",IFERROR(P150/N150,0))</f>
        <v/>
      </c>
      <c r="AO150" s="19">
        <f>IF(COUNT(C150:P150)=0,"",IFERROR(N150*Config!$C$7+O150*Config!$C$8+P150*Config!$C$9,0))</f>
        <v/>
      </c>
      <c r="AP150" s="14">
        <f>IF(COUNT(C150:P150)=0,"",IFERROR(AO150/N150,0))</f>
        <v/>
      </c>
      <c r="AQ150" s="19">
        <f>IF(COUNT(C150:P150)=0,"",IFERROR(AO150*(1-Config!$C$10-Config!$C$11-Config!$C$12),0))</f>
        <v/>
      </c>
      <c r="AR150" s="19">
        <f>IF(COUNT(C150:P150)=0,"",IFERROR(AQ150-C150-Config!$C$13,0))</f>
        <v/>
      </c>
      <c r="AS150" s="20">
        <f>IF(COUNT(C150:P150)=0,"",IFERROR(AQ150/C150,0))</f>
        <v/>
      </c>
      <c r="AT150" s="14">
        <f>IF(COUNT(C150:P150)=0,"",IFERROR(AR150/G150,0))</f>
        <v/>
      </c>
      <c r="AU150" s="20">
        <f>IF(COUNT(C150:P150)=0,"",IFERROR(AT150/V150,0))</f>
        <v/>
      </c>
      <c r="AV150" s="14">
        <f>IF(COUNT(C150:P150)=0,"",IFERROR(AR150/H150,0))</f>
        <v/>
      </c>
    </row>
    <row r="151">
      <c r="A151" s="11">
        <f>Config!$C$6+145</f>
        <v/>
      </c>
      <c r="B151" s="12">
        <f>INT((A151-Config!$C$6)/7)+1</f>
        <v/>
      </c>
      <c r="C151" s="9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4">
        <f>IF(COUNT(C151:P151)=0,"",IFERROR(C151/D151*1000,0))</f>
        <v/>
      </c>
      <c r="R151" s="15">
        <f>IF(COUNT(C151:P151)=0,"",IFERROR(D151/E151,0))</f>
        <v/>
      </c>
      <c r="S151" s="16">
        <f>IF(COUNT(C151:P151)=0,"",IFERROR(F151/D151,0))</f>
        <v/>
      </c>
      <c r="T151" s="14">
        <f>IF(COUNT(C151:P151)=0,"",IFERROR(C151/F151,0))</f>
        <v/>
      </c>
      <c r="U151" s="17">
        <f>IF(COUNT(C151:P151)=0,"",IFERROR(G151/F151,0))</f>
        <v/>
      </c>
      <c r="V151" s="14">
        <f>IF(COUNT(C151:P151)=0,"",IFERROR(C151/G151,0))</f>
        <v/>
      </c>
      <c r="W151" s="18">
        <f>IF(COUNT(C151:P151)=0,"",IFERROR(G151/D151*1000,0))</f>
        <v/>
      </c>
      <c r="X151" s="17">
        <f>IF(COUNT(C151:P151)=0,"",IFERROR(H151/G151,0))</f>
        <v/>
      </c>
      <c r="Y151" s="14">
        <f>IF(COUNT(C151:P151)=0,"",IFERROR(C151/H151,0))</f>
        <v/>
      </c>
      <c r="Z151" s="14">
        <f>IF(COUNT(C151:P151)=0,"",IFERROR(C151/I151,0))</f>
        <v/>
      </c>
      <c r="AA151" s="17">
        <f>IF(COUNT(C151:P151)=0,"",IFERROR(Y151/Q151,0))</f>
        <v/>
      </c>
      <c r="AB151" s="18">
        <f>IF(COUNT(C151:P151)=0,"",IFERROR(H151/D151*1000,0))</f>
        <v/>
      </c>
      <c r="AC151" s="17">
        <f>IF(COUNT(C151:P151)=0,"",IFERROR(J151/H151,0))</f>
        <v/>
      </c>
      <c r="AD151" s="14">
        <f>IF(COUNT(C151:P151)=0,"",IFERROR(C151/J151,0))</f>
        <v/>
      </c>
      <c r="AE151" s="17">
        <f>IF(COUNT(C151:P151)=0,"",IFERROR(K151/H151,0))</f>
        <v/>
      </c>
      <c r="AF151" s="17">
        <f>IF(COUNT(C151:P151)=0,"",IFERROR(L151/H151,0))</f>
        <v/>
      </c>
      <c r="AG151" s="14">
        <f>IF(COUNT(C151:P151)=0,"",IFERROR(C151/K151,0))</f>
        <v/>
      </c>
      <c r="AH151" s="17">
        <f>IF(COUNT(C151:P151)=0,"",IFERROR(M151/K151,0))</f>
        <v/>
      </c>
      <c r="AI151" s="14">
        <f>IF(COUNT(C151:P151)=0,"",IFERROR(C151/M151,0))</f>
        <v/>
      </c>
      <c r="AJ151" s="17">
        <f>IF(COUNT(C151:P151)=0,"",IFERROR(N151/M151,0))</f>
        <v/>
      </c>
      <c r="AK151" s="16">
        <f>IF(COUNT(C151:P151)=0,"",IFERROR(N151/H151,0))</f>
        <v/>
      </c>
      <c r="AL151" s="14">
        <f>IF(COUNT(C151:P151)=0,"",IFERROR(C151/N151,0))</f>
        <v/>
      </c>
      <c r="AM151" s="17">
        <f>IF(COUNT(C151:P151)=0,"",IFERROR(O151/N151,0))</f>
        <v/>
      </c>
      <c r="AN151" s="17">
        <f>IF(COUNT(C151:P151)=0,"",IFERROR(P151/N151,0))</f>
        <v/>
      </c>
      <c r="AO151" s="19">
        <f>IF(COUNT(C151:P151)=0,"",IFERROR(N151*Config!$C$7+O151*Config!$C$8+P151*Config!$C$9,0))</f>
        <v/>
      </c>
      <c r="AP151" s="14">
        <f>IF(COUNT(C151:P151)=0,"",IFERROR(AO151/N151,0))</f>
        <v/>
      </c>
      <c r="AQ151" s="19">
        <f>IF(COUNT(C151:P151)=0,"",IFERROR(AO151*(1-Config!$C$10-Config!$C$11-Config!$C$12),0))</f>
        <v/>
      </c>
      <c r="AR151" s="19">
        <f>IF(COUNT(C151:P151)=0,"",IFERROR(AQ151-C151-Config!$C$13,0))</f>
        <v/>
      </c>
      <c r="AS151" s="20">
        <f>IF(COUNT(C151:P151)=0,"",IFERROR(AQ151/C151,0))</f>
        <v/>
      </c>
      <c r="AT151" s="14">
        <f>IF(COUNT(C151:P151)=0,"",IFERROR(AR151/G151,0))</f>
        <v/>
      </c>
      <c r="AU151" s="20">
        <f>IF(COUNT(C151:P151)=0,"",IFERROR(AT151/V151,0))</f>
        <v/>
      </c>
      <c r="AV151" s="14">
        <f>IF(COUNT(C151:P151)=0,"",IFERROR(AR151/H151,0))</f>
        <v/>
      </c>
    </row>
    <row r="152">
      <c r="A152" s="11">
        <f>Config!$C$6+146</f>
        <v/>
      </c>
      <c r="B152" s="12">
        <f>INT((A152-Config!$C$6)/7)+1</f>
        <v/>
      </c>
      <c r="C152" s="9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4">
        <f>IF(COUNT(C152:P152)=0,"",IFERROR(C152/D152*1000,0))</f>
        <v/>
      </c>
      <c r="R152" s="15">
        <f>IF(COUNT(C152:P152)=0,"",IFERROR(D152/E152,0))</f>
        <v/>
      </c>
      <c r="S152" s="16">
        <f>IF(COUNT(C152:P152)=0,"",IFERROR(F152/D152,0))</f>
        <v/>
      </c>
      <c r="T152" s="14">
        <f>IF(COUNT(C152:P152)=0,"",IFERROR(C152/F152,0))</f>
        <v/>
      </c>
      <c r="U152" s="17">
        <f>IF(COUNT(C152:P152)=0,"",IFERROR(G152/F152,0))</f>
        <v/>
      </c>
      <c r="V152" s="14">
        <f>IF(COUNT(C152:P152)=0,"",IFERROR(C152/G152,0))</f>
        <v/>
      </c>
      <c r="W152" s="18">
        <f>IF(COUNT(C152:P152)=0,"",IFERROR(G152/D152*1000,0))</f>
        <v/>
      </c>
      <c r="X152" s="17">
        <f>IF(COUNT(C152:P152)=0,"",IFERROR(H152/G152,0))</f>
        <v/>
      </c>
      <c r="Y152" s="14">
        <f>IF(COUNT(C152:P152)=0,"",IFERROR(C152/H152,0))</f>
        <v/>
      </c>
      <c r="Z152" s="14">
        <f>IF(COUNT(C152:P152)=0,"",IFERROR(C152/I152,0))</f>
        <v/>
      </c>
      <c r="AA152" s="17">
        <f>IF(COUNT(C152:P152)=0,"",IFERROR(Y152/Q152,0))</f>
        <v/>
      </c>
      <c r="AB152" s="18">
        <f>IF(COUNT(C152:P152)=0,"",IFERROR(H152/D152*1000,0))</f>
        <v/>
      </c>
      <c r="AC152" s="17">
        <f>IF(COUNT(C152:P152)=0,"",IFERROR(J152/H152,0))</f>
        <v/>
      </c>
      <c r="AD152" s="14">
        <f>IF(COUNT(C152:P152)=0,"",IFERROR(C152/J152,0))</f>
        <v/>
      </c>
      <c r="AE152" s="17">
        <f>IF(COUNT(C152:P152)=0,"",IFERROR(K152/H152,0))</f>
        <v/>
      </c>
      <c r="AF152" s="17">
        <f>IF(COUNT(C152:P152)=0,"",IFERROR(L152/H152,0))</f>
        <v/>
      </c>
      <c r="AG152" s="14">
        <f>IF(COUNT(C152:P152)=0,"",IFERROR(C152/K152,0))</f>
        <v/>
      </c>
      <c r="AH152" s="17">
        <f>IF(COUNT(C152:P152)=0,"",IFERROR(M152/K152,0))</f>
        <v/>
      </c>
      <c r="AI152" s="14">
        <f>IF(COUNT(C152:P152)=0,"",IFERROR(C152/M152,0))</f>
        <v/>
      </c>
      <c r="AJ152" s="17">
        <f>IF(COUNT(C152:P152)=0,"",IFERROR(N152/M152,0))</f>
        <v/>
      </c>
      <c r="AK152" s="16">
        <f>IF(COUNT(C152:P152)=0,"",IFERROR(N152/H152,0))</f>
        <v/>
      </c>
      <c r="AL152" s="14">
        <f>IF(COUNT(C152:P152)=0,"",IFERROR(C152/N152,0))</f>
        <v/>
      </c>
      <c r="AM152" s="17">
        <f>IF(COUNT(C152:P152)=0,"",IFERROR(O152/N152,0))</f>
        <v/>
      </c>
      <c r="AN152" s="17">
        <f>IF(COUNT(C152:P152)=0,"",IFERROR(P152/N152,0))</f>
        <v/>
      </c>
      <c r="AO152" s="19">
        <f>IF(COUNT(C152:P152)=0,"",IFERROR(N152*Config!$C$7+O152*Config!$C$8+P152*Config!$C$9,0))</f>
        <v/>
      </c>
      <c r="AP152" s="14">
        <f>IF(COUNT(C152:P152)=0,"",IFERROR(AO152/N152,0))</f>
        <v/>
      </c>
      <c r="AQ152" s="19">
        <f>IF(COUNT(C152:P152)=0,"",IFERROR(AO152*(1-Config!$C$10-Config!$C$11-Config!$C$12),0))</f>
        <v/>
      </c>
      <c r="AR152" s="19">
        <f>IF(COUNT(C152:P152)=0,"",IFERROR(AQ152-C152-Config!$C$13,0))</f>
        <v/>
      </c>
      <c r="AS152" s="20">
        <f>IF(COUNT(C152:P152)=0,"",IFERROR(AQ152/C152,0))</f>
        <v/>
      </c>
      <c r="AT152" s="14">
        <f>IF(COUNT(C152:P152)=0,"",IFERROR(AR152/G152,0))</f>
        <v/>
      </c>
      <c r="AU152" s="20">
        <f>IF(COUNT(C152:P152)=0,"",IFERROR(AT152/V152,0))</f>
        <v/>
      </c>
      <c r="AV152" s="14">
        <f>IF(COUNT(C152:P152)=0,"",IFERROR(AR152/H152,0))</f>
        <v/>
      </c>
    </row>
    <row r="153">
      <c r="A153" s="11">
        <f>Config!$C$6+147</f>
        <v/>
      </c>
      <c r="B153" s="12">
        <f>INT((A153-Config!$C$6)/7)+1</f>
        <v/>
      </c>
      <c r="C153" s="9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4">
        <f>IF(COUNT(C153:P153)=0,"",IFERROR(C153/D153*1000,0))</f>
        <v/>
      </c>
      <c r="R153" s="15">
        <f>IF(COUNT(C153:P153)=0,"",IFERROR(D153/E153,0))</f>
        <v/>
      </c>
      <c r="S153" s="16">
        <f>IF(COUNT(C153:P153)=0,"",IFERROR(F153/D153,0))</f>
        <v/>
      </c>
      <c r="T153" s="14">
        <f>IF(COUNT(C153:P153)=0,"",IFERROR(C153/F153,0))</f>
        <v/>
      </c>
      <c r="U153" s="17">
        <f>IF(COUNT(C153:P153)=0,"",IFERROR(G153/F153,0))</f>
        <v/>
      </c>
      <c r="V153" s="14">
        <f>IF(COUNT(C153:P153)=0,"",IFERROR(C153/G153,0))</f>
        <v/>
      </c>
      <c r="W153" s="18">
        <f>IF(COUNT(C153:P153)=0,"",IFERROR(G153/D153*1000,0))</f>
        <v/>
      </c>
      <c r="X153" s="17">
        <f>IF(COUNT(C153:P153)=0,"",IFERROR(H153/G153,0))</f>
        <v/>
      </c>
      <c r="Y153" s="14">
        <f>IF(COUNT(C153:P153)=0,"",IFERROR(C153/H153,0))</f>
        <v/>
      </c>
      <c r="Z153" s="14">
        <f>IF(COUNT(C153:P153)=0,"",IFERROR(C153/I153,0))</f>
        <v/>
      </c>
      <c r="AA153" s="17">
        <f>IF(COUNT(C153:P153)=0,"",IFERROR(Y153/Q153,0))</f>
        <v/>
      </c>
      <c r="AB153" s="18">
        <f>IF(COUNT(C153:P153)=0,"",IFERROR(H153/D153*1000,0))</f>
        <v/>
      </c>
      <c r="AC153" s="17">
        <f>IF(COUNT(C153:P153)=0,"",IFERROR(J153/H153,0))</f>
        <v/>
      </c>
      <c r="AD153" s="14">
        <f>IF(COUNT(C153:P153)=0,"",IFERROR(C153/J153,0))</f>
        <v/>
      </c>
      <c r="AE153" s="17">
        <f>IF(COUNT(C153:P153)=0,"",IFERROR(K153/H153,0))</f>
        <v/>
      </c>
      <c r="AF153" s="17">
        <f>IF(COUNT(C153:P153)=0,"",IFERROR(L153/H153,0))</f>
        <v/>
      </c>
      <c r="AG153" s="14">
        <f>IF(COUNT(C153:P153)=0,"",IFERROR(C153/K153,0))</f>
        <v/>
      </c>
      <c r="AH153" s="17">
        <f>IF(COUNT(C153:P153)=0,"",IFERROR(M153/K153,0))</f>
        <v/>
      </c>
      <c r="AI153" s="14">
        <f>IF(COUNT(C153:P153)=0,"",IFERROR(C153/M153,0))</f>
        <v/>
      </c>
      <c r="AJ153" s="17">
        <f>IF(COUNT(C153:P153)=0,"",IFERROR(N153/M153,0))</f>
        <v/>
      </c>
      <c r="AK153" s="16">
        <f>IF(COUNT(C153:P153)=0,"",IFERROR(N153/H153,0))</f>
        <v/>
      </c>
      <c r="AL153" s="14">
        <f>IF(COUNT(C153:P153)=0,"",IFERROR(C153/N153,0))</f>
        <v/>
      </c>
      <c r="AM153" s="17">
        <f>IF(COUNT(C153:P153)=0,"",IFERROR(O153/N153,0))</f>
        <v/>
      </c>
      <c r="AN153" s="17">
        <f>IF(COUNT(C153:P153)=0,"",IFERROR(P153/N153,0))</f>
        <v/>
      </c>
      <c r="AO153" s="19">
        <f>IF(COUNT(C153:P153)=0,"",IFERROR(N153*Config!$C$7+O153*Config!$C$8+P153*Config!$C$9,0))</f>
        <v/>
      </c>
      <c r="AP153" s="14">
        <f>IF(COUNT(C153:P153)=0,"",IFERROR(AO153/N153,0))</f>
        <v/>
      </c>
      <c r="AQ153" s="19">
        <f>IF(COUNT(C153:P153)=0,"",IFERROR(AO153*(1-Config!$C$10-Config!$C$11-Config!$C$12),0))</f>
        <v/>
      </c>
      <c r="AR153" s="19">
        <f>IF(COUNT(C153:P153)=0,"",IFERROR(AQ153-C153-Config!$C$13,0))</f>
        <v/>
      </c>
      <c r="AS153" s="20">
        <f>IF(COUNT(C153:P153)=0,"",IFERROR(AQ153/C153,0))</f>
        <v/>
      </c>
      <c r="AT153" s="14">
        <f>IF(COUNT(C153:P153)=0,"",IFERROR(AR153/G153,0))</f>
        <v/>
      </c>
      <c r="AU153" s="20">
        <f>IF(COUNT(C153:P153)=0,"",IFERROR(AT153/V153,0))</f>
        <v/>
      </c>
      <c r="AV153" s="14">
        <f>IF(COUNT(C153:P153)=0,"",IFERROR(AR153/H153,0))</f>
        <v/>
      </c>
    </row>
    <row r="154">
      <c r="A154" s="11">
        <f>Config!$C$6+148</f>
        <v/>
      </c>
      <c r="B154" s="12">
        <f>INT((A154-Config!$C$6)/7)+1</f>
        <v/>
      </c>
      <c r="C154" s="9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4">
        <f>IF(COUNT(C154:P154)=0,"",IFERROR(C154/D154*1000,0))</f>
        <v/>
      </c>
      <c r="R154" s="15">
        <f>IF(COUNT(C154:P154)=0,"",IFERROR(D154/E154,0))</f>
        <v/>
      </c>
      <c r="S154" s="16">
        <f>IF(COUNT(C154:P154)=0,"",IFERROR(F154/D154,0))</f>
        <v/>
      </c>
      <c r="T154" s="14">
        <f>IF(COUNT(C154:P154)=0,"",IFERROR(C154/F154,0))</f>
        <v/>
      </c>
      <c r="U154" s="17">
        <f>IF(COUNT(C154:P154)=0,"",IFERROR(G154/F154,0))</f>
        <v/>
      </c>
      <c r="V154" s="14">
        <f>IF(COUNT(C154:P154)=0,"",IFERROR(C154/G154,0))</f>
        <v/>
      </c>
      <c r="W154" s="18">
        <f>IF(COUNT(C154:P154)=0,"",IFERROR(G154/D154*1000,0))</f>
        <v/>
      </c>
      <c r="X154" s="17">
        <f>IF(COUNT(C154:P154)=0,"",IFERROR(H154/G154,0))</f>
        <v/>
      </c>
      <c r="Y154" s="14">
        <f>IF(COUNT(C154:P154)=0,"",IFERROR(C154/H154,0))</f>
        <v/>
      </c>
      <c r="Z154" s="14">
        <f>IF(COUNT(C154:P154)=0,"",IFERROR(C154/I154,0))</f>
        <v/>
      </c>
      <c r="AA154" s="17">
        <f>IF(COUNT(C154:P154)=0,"",IFERROR(Y154/Q154,0))</f>
        <v/>
      </c>
      <c r="AB154" s="18">
        <f>IF(COUNT(C154:P154)=0,"",IFERROR(H154/D154*1000,0))</f>
        <v/>
      </c>
      <c r="AC154" s="17">
        <f>IF(COUNT(C154:P154)=0,"",IFERROR(J154/H154,0))</f>
        <v/>
      </c>
      <c r="AD154" s="14">
        <f>IF(COUNT(C154:P154)=0,"",IFERROR(C154/J154,0))</f>
        <v/>
      </c>
      <c r="AE154" s="17">
        <f>IF(COUNT(C154:P154)=0,"",IFERROR(K154/H154,0))</f>
        <v/>
      </c>
      <c r="AF154" s="17">
        <f>IF(COUNT(C154:P154)=0,"",IFERROR(L154/H154,0))</f>
        <v/>
      </c>
      <c r="AG154" s="14">
        <f>IF(COUNT(C154:P154)=0,"",IFERROR(C154/K154,0))</f>
        <v/>
      </c>
      <c r="AH154" s="17">
        <f>IF(COUNT(C154:P154)=0,"",IFERROR(M154/K154,0))</f>
        <v/>
      </c>
      <c r="AI154" s="14">
        <f>IF(COUNT(C154:P154)=0,"",IFERROR(C154/M154,0))</f>
        <v/>
      </c>
      <c r="AJ154" s="17">
        <f>IF(COUNT(C154:P154)=0,"",IFERROR(N154/M154,0))</f>
        <v/>
      </c>
      <c r="AK154" s="16">
        <f>IF(COUNT(C154:P154)=0,"",IFERROR(N154/H154,0))</f>
        <v/>
      </c>
      <c r="AL154" s="14">
        <f>IF(COUNT(C154:P154)=0,"",IFERROR(C154/N154,0))</f>
        <v/>
      </c>
      <c r="AM154" s="17">
        <f>IF(COUNT(C154:P154)=0,"",IFERROR(O154/N154,0))</f>
        <v/>
      </c>
      <c r="AN154" s="17">
        <f>IF(COUNT(C154:P154)=0,"",IFERROR(P154/N154,0))</f>
        <v/>
      </c>
      <c r="AO154" s="19">
        <f>IF(COUNT(C154:P154)=0,"",IFERROR(N154*Config!$C$7+O154*Config!$C$8+P154*Config!$C$9,0))</f>
        <v/>
      </c>
      <c r="AP154" s="14">
        <f>IF(COUNT(C154:P154)=0,"",IFERROR(AO154/N154,0))</f>
        <v/>
      </c>
      <c r="AQ154" s="19">
        <f>IF(COUNT(C154:P154)=0,"",IFERROR(AO154*(1-Config!$C$10-Config!$C$11-Config!$C$12),0))</f>
        <v/>
      </c>
      <c r="AR154" s="19">
        <f>IF(COUNT(C154:P154)=0,"",IFERROR(AQ154-C154-Config!$C$13,0))</f>
        <v/>
      </c>
      <c r="AS154" s="20">
        <f>IF(COUNT(C154:P154)=0,"",IFERROR(AQ154/C154,0))</f>
        <v/>
      </c>
      <c r="AT154" s="14">
        <f>IF(COUNT(C154:P154)=0,"",IFERROR(AR154/G154,0))</f>
        <v/>
      </c>
      <c r="AU154" s="20">
        <f>IF(COUNT(C154:P154)=0,"",IFERROR(AT154/V154,0))</f>
        <v/>
      </c>
      <c r="AV154" s="14">
        <f>IF(COUNT(C154:P154)=0,"",IFERROR(AR154/H154,0))</f>
        <v/>
      </c>
    </row>
    <row r="155">
      <c r="A155" s="11">
        <f>Config!$C$6+149</f>
        <v/>
      </c>
      <c r="B155" s="12">
        <f>INT((A155-Config!$C$6)/7)+1</f>
        <v/>
      </c>
      <c r="C155" s="9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4">
        <f>IF(COUNT(C155:P155)=0,"",IFERROR(C155/D155*1000,0))</f>
        <v/>
      </c>
      <c r="R155" s="15">
        <f>IF(COUNT(C155:P155)=0,"",IFERROR(D155/E155,0))</f>
        <v/>
      </c>
      <c r="S155" s="16">
        <f>IF(COUNT(C155:P155)=0,"",IFERROR(F155/D155,0))</f>
        <v/>
      </c>
      <c r="T155" s="14">
        <f>IF(COUNT(C155:P155)=0,"",IFERROR(C155/F155,0))</f>
        <v/>
      </c>
      <c r="U155" s="17">
        <f>IF(COUNT(C155:P155)=0,"",IFERROR(G155/F155,0))</f>
        <v/>
      </c>
      <c r="V155" s="14">
        <f>IF(COUNT(C155:P155)=0,"",IFERROR(C155/G155,0))</f>
        <v/>
      </c>
      <c r="W155" s="18">
        <f>IF(COUNT(C155:P155)=0,"",IFERROR(G155/D155*1000,0))</f>
        <v/>
      </c>
      <c r="X155" s="17">
        <f>IF(COUNT(C155:P155)=0,"",IFERROR(H155/G155,0))</f>
        <v/>
      </c>
      <c r="Y155" s="14">
        <f>IF(COUNT(C155:P155)=0,"",IFERROR(C155/H155,0))</f>
        <v/>
      </c>
      <c r="Z155" s="14">
        <f>IF(COUNT(C155:P155)=0,"",IFERROR(C155/I155,0))</f>
        <v/>
      </c>
      <c r="AA155" s="17">
        <f>IF(COUNT(C155:P155)=0,"",IFERROR(Y155/Q155,0))</f>
        <v/>
      </c>
      <c r="AB155" s="18">
        <f>IF(COUNT(C155:P155)=0,"",IFERROR(H155/D155*1000,0))</f>
        <v/>
      </c>
      <c r="AC155" s="17">
        <f>IF(COUNT(C155:P155)=0,"",IFERROR(J155/H155,0))</f>
        <v/>
      </c>
      <c r="AD155" s="14">
        <f>IF(COUNT(C155:P155)=0,"",IFERROR(C155/J155,0))</f>
        <v/>
      </c>
      <c r="AE155" s="17">
        <f>IF(COUNT(C155:P155)=0,"",IFERROR(K155/H155,0))</f>
        <v/>
      </c>
      <c r="AF155" s="17">
        <f>IF(COUNT(C155:P155)=0,"",IFERROR(L155/H155,0))</f>
        <v/>
      </c>
      <c r="AG155" s="14">
        <f>IF(COUNT(C155:P155)=0,"",IFERROR(C155/K155,0))</f>
        <v/>
      </c>
      <c r="AH155" s="17">
        <f>IF(COUNT(C155:P155)=0,"",IFERROR(M155/K155,0))</f>
        <v/>
      </c>
      <c r="AI155" s="14">
        <f>IF(COUNT(C155:P155)=0,"",IFERROR(C155/M155,0))</f>
        <v/>
      </c>
      <c r="AJ155" s="17">
        <f>IF(COUNT(C155:P155)=0,"",IFERROR(N155/M155,0))</f>
        <v/>
      </c>
      <c r="AK155" s="16">
        <f>IF(COUNT(C155:P155)=0,"",IFERROR(N155/H155,0))</f>
        <v/>
      </c>
      <c r="AL155" s="14">
        <f>IF(COUNT(C155:P155)=0,"",IFERROR(C155/N155,0))</f>
        <v/>
      </c>
      <c r="AM155" s="17">
        <f>IF(COUNT(C155:P155)=0,"",IFERROR(O155/N155,0))</f>
        <v/>
      </c>
      <c r="AN155" s="17">
        <f>IF(COUNT(C155:P155)=0,"",IFERROR(P155/N155,0))</f>
        <v/>
      </c>
      <c r="AO155" s="19">
        <f>IF(COUNT(C155:P155)=0,"",IFERROR(N155*Config!$C$7+O155*Config!$C$8+P155*Config!$C$9,0))</f>
        <v/>
      </c>
      <c r="AP155" s="14">
        <f>IF(COUNT(C155:P155)=0,"",IFERROR(AO155/N155,0))</f>
        <v/>
      </c>
      <c r="AQ155" s="19">
        <f>IF(COUNT(C155:P155)=0,"",IFERROR(AO155*(1-Config!$C$10-Config!$C$11-Config!$C$12),0))</f>
        <v/>
      </c>
      <c r="AR155" s="19">
        <f>IF(COUNT(C155:P155)=0,"",IFERROR(AQ155-C155-Config!$C$13,0))</f>
        <v/>
      </c>
      <c r="AS155" s="20">
        <f>IF(COUNT(C155:P155)=0,"",IFERROR(AQ155/C155,0))</f>
        <v/>
      </c>
      <c r="AT155" s="14">
        <f>IF(COUNT(C155:P155)=0,"",IFERROR(AR155/G155,0))</f>
        <v/>
      </c>
      <c r="AU155" s="20">
        <f>IF(COUNT(C155:P155)=0,"",IFERROR(AT155/V155,0))</f>
        <v/>
      </c>
      <c r="AV155" s="14">
        <f>IF(COUNT(C155:P155)=0,"",IFERROR(AR155/H155,0))</f>
        <v/>
      </c>
    </row>
    <row r="156">
      <c r="A156" s="11">
        <f>Config!$C$6+150</f>
        <v/>
      </c>
      <c r="B156" s="12">
        <f>INT((A156-Config!$C$6)/7)+1</f>
        <v/>
      </c>
      <c r="C156" s="9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4">
        <f>IF(COUNT(C156:P156)=0,"",IFERROR(C156/D156*1000,0))</f>
        <v/>
      </c>
      <c r="R156" s="15">
        <f>IF(COUNT(C156:P156)=0,"",IFERROR(D156/E156,0))</f>
        <v/>
      </c>
      <c r="S156" s="16">
        <f>IF(COUNT(C156:P156)=0,"",IFERROR(F156/D156,0))</f>
        <v/>
      </c>
      <c r="T156" s="14">
        <f>IF(COUNT(C156:P156)=0,"",IFERROR(C156/F156,0))</f>
        <v/>
      </c>
      <c r="U156" s="17">
        <f>IF(COUNT(C156:P156)=0,"",IFERROR(G156/F156,0))</f>
        <v/>
      </c>
      <c r="V156" s="14">
        <f>IF(COUNT(C156:P156)=0,"",IFERROR(C156/G156,0))</f>
        <v/>
      </c>
      <c r="W156" s="18">
        <f>IF(COUNT(C156:P156)=0,"",IFERROR(G156/D156*1000,0))</f>
        <v/>
      </c>
      <c r="X156" s="17">
        <f>IF(COUNT(C156:P156)=0,"",IFERROR(H156/G156,0))</f>
        <v/>
      </c>
      <c r="Y156" s="14">
        <f>IF(COUNT(C156:P156)=0,"",IFERROR(C156/H156,0))</f>
        <v/>
      </c>
      <c r="Z156" s="14">
        <f>IF(COUNT(C156:P156)=0,"",IFERROR(C156/I156,0))</f>
        <v/>
      </c>
      <c r="AA156" s="17">
        <f>IF(COUNT(C156:P156)=0,"",IFERROR(Y156/Q156,0))</f>
        <v/>
      </c>
      <c r="AB156" s="18">
        <f>IF(COUNT(C156:P156)=0,"",IFERROR(H156/D156*1000,0))</f>
        <v/>
      </c>
      <c r="AC156" s="17">
        <f>IF(COUNT(C156:P156)=0,"",IFERROR(J156/H156,0))</f>
        <v/>
      </c>
      <c r="AD156" s="14">
        <f>IF(COUNT(C156:P156)=0,"",IFERROR(C156/J156,0))</f>
        <v/>
      </c>
      <c r="AE156" s="17">
        <f>IF(COUNT(C156:P156)=0,"",IFERROR(K156/H156,0))</f>
        <v/>
      </c>
      <c r="AF156" s="17">
        <f>IF(COUNT(C156:P156)=0,"",IFERROR(L156/H156,0))</f>
        <v/>
      </c>
      <c r="AG156" s="14">
        <f>IF(COUNT(C156:P156)=0,"",IFERROR(C156/K156,0))</f>
        <v/>
      </c>
      <c r="AH156" s="17">
        <f>IF(COUNT(C156:P156)=0,"",IFERROR(M156/K156,0))</f>
        <v/>
      </c>
      <c r="AI156" s="14">
        <f>IF(COUNT(C156:P156)=0,"",IFERROR(C156/M156,0))</f>
        <v/>
      </c>
      <c r="AJ156" s="17">
        <f>IF(COUNT(C156:P156)=0,"",IFERROR(N156/M156,0))</f>
        <v/>
      </c>
      <c r="AK156" s="16">
        <f>IF(COUNT(C156:P156)=0,"",IFERROR(N156/H156,0))</f>
        <v/>
      </c>
      <c r="AL156" s="14">
        <f>IF(COUNT(C156:P156)=0,"",IFERROR(C156/N156,0))</f>
        <v/>
      </c>
      <c r="AM156" s="17">
        <f>IF(COUNT(C156:P156)=0,"",IFERROR(O156/N156,0))</f>
        <v/>
      </c>
      <c r="AN156" s="17">
        <f>IF(COUNT(C156:P156)=0,"",IFERROR(P156/N156,0))</f>
        <v/>
      </c>
      <c r="AO156" s="19">
        <f>IF(COUNT(C156:P156)=0,"",IFERROR(N156*Config!$C$7+O156*Config!$C$8+P156*Config!$C$9,0))</f>
        <v/>
      </c>
      <c r="AP156" s="14">
        <f>IF(COUNT(C156:P156)=0,"",IFERROR(AO156/N156,0))</f>
        <v/>
      </c>
      <c r="AQ156" s="19">
        <f>IF(COUNT(C156:P156)=0,"",IFERROR(AO156*(1-Config!$C$10-Config!$C$11-Config!$C$12),0))</f>
        <v/>
      </c>
      <c r="AR156" s="19">
        <f>IF(COUNT(C156:P156)=0,"",IFERROR(AQ156-C156-Config!$C$13,0))</f>
        <v/>
      </c>
      <c r="AS156" s="20">
        <f>IF(COUNT(C156:P156)=0,"",IFERROR(AQ156/C156,0))</f>
        <v/>
      </c>
      <c r="AT156" s="14">
        <f>IF(COUNT(C156:P156)=0,"",IFERROR(AR156/G156,0))</f>
        <v/>
      </c>
      <c r="AU156" s="20">
        <f>IF(COUNT(C156:P156)=0,"",IFERROR(AT156/V156,0))</f>
        <v/>
      </c>
      <c r="AV156" s="14">
        <f>IF(COUNT(C156:P156)=0,"",IFERROR(AR156/H156,0))</f>
        <v/>
      </c>
    </row>
    <row r="157">
      <c r="A157" s="11">
        <f>Config!$C$6+151</f>
        <v/>
      </c>
      <c r="B157" s="12">
        <f>INT((A157-Config!$C$6)/7)+1</f>
        <v/>
      </c>
      <c r="C157" s="9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4">
        <f>IF(COUNT(C157:P157)=0,"",IFERROR(C157/D157*1000,0))</f>
        <v/>
      </c>
      <c r="R157" s="15">
        <f>IF(COUNT(C157:P157)=0,"",IFERROR(D157/E157,0))</f>
        <v/>
      </c>
      <c r="S157" s="16">
        <f>IF(COUNT(C157:P157)=0,"",IFERROR(F157/D157,0))</f>
        <v/>
      </c>
      <c r="T157" s="14">
        <f>IF(COUNT(C157:P157)=0,"",IFERROR(C157/F157,0))</f>
        <v/>
      </c>
      <c r="U157" s="17">
        <f>IF(COUNT(C157:P157)=0,"",IFERROR(G157/F157,0))</f>
        <v/>
      </c>
      <c r="V157" s="14">
        <f>IF(COUNT(C157:P157)=0,"",IFERROR(C157/G157,0))</f>
        <v/>
      </c>
      <c r="W157" s="18">
        <f>IF(COUNT(C157:P157)=0,"",IFERROR(G157/D157*1000,0))</f>
        <v/>
      </c>
      <c r="X157" s="17">
        <f>IF(COUNT(C157:P157)=0,"",IFERROR(H157/G157,0))</f>
        <v/>
      </c>
      <c r="Y157" s="14">
        <f>IF(COUNT(C157:P157)=0,"",IFERROR(C157/H157,0))</f>
        <v/>
      </c>
      <c r="Z157" s="14">
        <f>IF(COUNT(C157:P157)=0,"",IFERROR(C157/I157,0))</f>
        <v/>
      </c>
      <c r="AA157" s="17">
        <f>IF(COUNT(C157:P157)=0,"",IFERROR(Y157/Q157,0))</f>
        <v/>
      </c>
      <c r="AB157" s="18">
        <f>IF(COUNT(C157:P157)=0,"",IFERROR(H157/D157*1000,0))</f>
        <v/>
      </c>
      <c r="AC157" s="17">
        <f>IF(COUNT(C157:P157)=0,"",IFERROR(J157/H157,0))</f>
        <v/>
      </c>
      <c r="AD157" s="14">
        <f>IF(COUNT(C157:P157)=0,"",IFERROR(C157/J157,0))</f>
        <v/>
      </c>
      <c r="AE157" s="17">
        <f>IF(COUNT(C157:P157)=0,"",IFERROR(K157/H157,0))</f>
        <v/>
      </c>
      <c r="AF157" s="17">
        <f>IF(COUNT(C157:P157)=0,"",IFERROR(L157/H157,0))</f>
        <v/>
      </c>
      <c r="AG157" s="14">
        <f>IF(COUNT(C157:P157)=0,"",IFERROR(C157/K157,0))</f>
        <v/>
      </c>
      <c r="AH157" s="17">
        <f>IF(COUNT(C157:P157)=0,"",IFERROR(M157/K157,0))</f>
        <v/>
      </c>
      <c r="AI157" s="14">
        <f>IF(COUNT(C157:P157)=0,"",IFERROR(C157/M157,0))</f>
        <v/>
      </c>
      <c r="AJ157" s="17">
        <f>IF(COUNT(C157:P157)=0,"",IFERROR(N157/M157,0))</f>
        <v/>
      </c>
      <c r="AK157" s="16">
        <f>IF(COUNT(C157:P157)=0,"",IFERROR(N157/H157,0))</f>
        <v/>
      </c>
      <c r="AL157" s="14">
        <f>IF(COUNT(C157:P157)=0,"",IFERROR(C157/N157,0))</f>
        <v/>
      </c>
      <c r="AM157" s="17">
        <f>IF(COUNT(C157:P157)=0,"",IFERROR(O157/N157,0))</f>
        <v/>
      </c>
      <c r="AN157" s="17">
        <f>IF(COUNT(C157:P157)=0,"",IFERROR(P157/N157,0))</f>
        <v/>
      </c>
      <c r="AO157" s="19">
        <f>IF(COUNT(C157:P157)=0,"",IFERROR(N157*Config!$C$7+O157*Config!$C$8+P157*Config!$C$9,0))</f>
        <v/>
      </c>
      <c r="AP157" s="14">
        <f>IF(COUNT(C157:P157)=0,"",IFERROR(AO157/N157,0))</f>
        <v/>
      </c>
      <c r="AQ157" s="19">
        <f>IF(COUNT(C157:P157)=0,"",IFERROR(AO157*(1-Config!$C$10-Config!$C$11-Config!$C$12),0))</f>
        <v/>
      </c>
      <c r="AR157" s="19">
        <f>IF(COUNT(C157:P157)=0,"",IFERROR(AQ157-C157-Config!$C$13,0))</f>
        <v/>
      </c>
      <c r="AS157" s="20">
        <f>IF(COUNT(C157:P157)=0,"",IFERROR(AQ157/C157,0))</f>
        <v/>
      </c>
      <c r="AT157" s="14">
        <f>IF(COUNT(C157:P157)=0,"",IFERROR(AR157/G157,0))</f>
        <v/>
      </c>
      <c r="AU157" s="20">
        <f>IF(COUNT(C157:P157)=0,"",IFERROR(AT157/V157,0))</f>
        <v/>
      </c>
      <c r="AV157" s="14">
        <f>IF(COUNT(C157:P157)=0,"",IFERROR(AR157/H157,0))</f>
        <v/>
      </c>
    </row>
    <row r="158">
      <c r="A158" s="11">
        <f>Config!$C$6+152</f>
        <v/>
      </c>
      <c r="B158" s="12">
        <f>INT((A158-Config!$C$6)/7)+1</f>
        <v/>
      </c>
      <c r="C158" s="9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4">
        <f>IF(COUNT(C158:P158)=0,"",IFERROR(C158/D158*1000,0))</f>
        <v/>
      </c>
      <c r="R158" s="15">
        <f>IF(COUNT(C158:P158)=0,"",IFERROR(D158/E158,0))</f>
        <v/>
      </c>
      <c r="S158" s="16">
        <f>IF(COUNT(C158:P158)=0,"",IFERROR(F158/D158,0))</f>
        <v/>
      </c>
      <c r="T158" s="14">
        <f>IF(COUNT(C158:P158)=0,"",IFERROR(C158/F158,0))</f>
        <v/>
      </c>
      <c r="U158" s="17">
        <f>IF(COUNT(C158:P158)=0,"",IFERROR(G158/F158,0))</f>
        <v/>
      </c>
      <c r="V158" s="14">
        <f>IF(COUNT(C158:P158)=0,"",IFERROR(C158/G158,0))</f>
        <v/>
      </c>
      <c r="W158" s="18">
        <f>IF(COUNT(C158:P158)=0,"",IFERROR(G158/D158*1000,0))</f>
        <v/>
      </c>
      <c r="X158" s="17">
        <f>IF(COUNT(C158:P158)=0,"",IFERROR(H158/G158,0))</f>
        <v/>
      </c>
      <c r="Y158" s="14">
        <f>IF(COUNT(C158:P158)=0,"",IFERROR(C158/H158,0))</f>
        <v/>
      </c>
      <c r="Z158" s="14">
        <f>IF(COUNT(C158:P158)=0,"",IFERROR(C158/I158,0))</f>
        <v/>
      </c>
      <c r="AA158" s="17">
        <f>IF(COUNT(C158:P158)=0,"",IFERROR(Y158/Q158,0))</f>
        <v/>
      </c>
      <c r="AB158" s="18">
        <f>IF(COUNT(C158:P158)=0,"",IFERROR(H158/D158*1000,0))</f>
        <v/>
      </c>
      <c r="AC158" s="17">
        <f>IF(COUNT(C158:P158)=0,"",IFERROR(J158/H158,0))</f>
        <v/>
      </c>
      <c r="AD158" s="14">
        <f>IF(COUNT(C158:P158)=0,"",IFERROR(C158/J158,0))</f>
        <v/>
      </c>
      <c r="AE158" s="17">
        <f>IF(COUNT(C158:P158)=0,"",IFERROR(K158/H158,0))</f>
        <v/>
      </c>
      <c r="AF158" s="17">
        <f>IF(COUNT(C158:P158)=0,"",IFERROR(L158/H158,0))</f>
        <v/>
      </c>
      <c r="AG158" s="14">
        <f>IF(COUNT(C158:P158)=0,"",IFERROR(C158/K158,0))</f>
        <v/>
      </c>
      <c r="AH158" s="17">
        <f>IF(COUNT(C158:P158)=0,"",IFERROR(M158/K158,0))</f>
        <v/>
      </c>
      <c r="AI158" s="14">
        <f>IF(COUNT(C158:P158)=0,"",IFERROR(C158/M158,0))</f>
        <v/>
      </c>
      <c r="AJ158" s="17">
        <f>IF(COUNT(C158:P158)=0,"",IFERROR(N158/M158,0))</f>
        <v/>
      </c>
      <c r="AK158" s="16">
        <f>IF(COUNT(C158:P158)=0,"",IFERROR(N158/H158,0))</f>
        <v/>
      </c>
      <c r="AL158" s="14">
        <f>IF(COUNT(C158:P158)=0,"",IFERROR(C158/N158,0))</f>
        <v/>
      </c>
      <c r="AM158" s="17">
        <f>IF(COUNT(C158:P158)=0,"",IFERROR(O158/N158,0))</f>
        <v/>
      </c>
      <c r="AN158" s="17">
        <f>IF(COUNT(C158:P158)=0,"",IFERROR(P158/N158,0))</f>
        <v/>
      </c>
      <c r="AO158" s="19">
        <f>IF(COUNT(C158:P158)=0,"",IFERROR(N158*Config!$C$7+O158*Config!$C$8+P158*Config!$C$9,0))</f>
        <v/>
      </c>
      <c r="AP158" s="14">
        <f>IF(COUNT(C158:P158)=0,"",IFERROR(AO158/N158,0))</f>
        <v/>
      </c>
      <c r="AQ158" s="19">
        <f>IF(COUNT(C158:P158)=0,"",IFERROR(AO158*(1-Config!$C$10-Config!$C$11-Config!$C$12),0))</f>
        <v/>
      </c>
      <c r="AR158" s="19">
        <f>IF(COUNT(C158:P158)=0,"",IFERROR(AQ158-C158-Config!$C$13,0))</f>
        <v/>
      </c>
      <c r="AS158" s="20">
        <f>IF(COUNT(C158:P158)=0,"",IFERROR(AQ158/C158,0))</f>
        <v/>
      </c>
      <c r="AT158" s="14">
        <f>IF(COUNT(C158:P158)=0,"",IFERROR(AR158/G158,0))</f>
        <v/>
      </c>
      <c r="AU158" s="20">
        <f>IF(COUNT(C158:P158)=0,"",IFERROR(AT158/V158,0))</f>
        <v/>
      </c>
      <c r="AV158" s="14">
        <f>IF(COUNT(C158:P158)=0,"",IFERROR(AR158/H158,0))</f>
        <v/>
      </c>
    </row>
    <row r="159">
      <c r="A159" s="11">
        <f>Config!$C$6+153</f>
        <v/>
      </c>
      <c r="B159" s="12">
        <f>INT((A159-Config!$C$6)/7)+1</f>
        <v/>
      </c>
      <c r="C159" s="9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4">
        <f>IF(COUNT(C159:P159)=0,"",IFERROR(C159/D159*1000,0))</f>
        <v/>
      </c>
      <c r="R159" s="15">
        <f>IF(COUNT(C159:P159)=0,"",IFERROR(D159/E159,0))</f>
        <v/>
      </c>
      <c r="S159" s="16">
        <f>IF(COUNT(C159:P159)=0,"",IFERROR(F159/D159,0))</f>
        <v/>
      </c>
      <c r="T159" s="14">
        <f>IF(COUNT(C159:P159)=0,"",IFERROR(C159/F159,0))</f>
        <v/>
      </c>
      <c r="U159" s="17">
        <f>IF(COUNT(C159:P159)=0,"",IFERROR(G159/F159,0))</f>
        <v/>
      </c>
      <c r="V159" s="14">
        <f>IF(COUNT(C159:P159)=0,"",IFERROR(C159/G159,0))</f>
        <v/>
      </c>
      <c r="W159" s="18">
        <f>IF(COUNT(C159:P159)=0,"",IFERROR(G159/D159*1000,0))</f>
        <v/>
      </c>
      <c r="X159" s="17">
        <f>IF(COUNT(C159:P159)=0,"",IFERROR(H159/G159,0))</f>
        <v/>
      </c>
      <c r="Y159" s="14">
        <f>IF(COUNT(C159:P159)=0,"",IFERROR(C159/H159,0))</f>
        <v/>
      </c>
      <c r="Z159" s="14">
        <f>IF(COUNT(C159:P159)=0,"",IFERROR(C159/I159,0))</f>
        <v/>
      </c>
      <c r="AA159" s="17">
        <f>IF(COUNT(C159:P159)=0,"",IFERROR(Y159/Q159,0))</f>
        <v/>
      </c>
      <c r="AB159" s="18">
        <f>IF(COUNT(C159:P159)=0,"",IFERROR(H159/D159*1000,0))</f>
        <v/>
      </c>
      <c r="AC159" s="17">
        <f>IF(COUNT(C159:P159)=0,"",IFERROR(J159/H159,0))</f>
        <v/>
      </c>
      <c r="AD159" s="14">
        <f>IF(COUNT(C159:P159)=0,"",IFERROR(C159/J159,0))</f>
        <v/>
      </c>
      <c r="AE159" s="17">
        <f>IF(COUNT(C159:P159)=0,"",IFERROR(K159/H159,0))</f>
        <v/>
      </c>
      <c r="AF159" s="17">
        <f>IF(COUNT(C159:P159)=0,"",IFERROR(L159/H159,0))</f>
        <v/>
      </c>
      <c r="AG159" s="14">
        <f>IF(COUNT(C159:P159)=0,"",IFERROR(C159/K159,0))</f>
        <v/>
      </c>
      <c r="AH159" s="17">
        <f>IF(COUNT(C159:P159)=0,"",IFERROR(M159/K159,0))</f>
        <v/>
      </c>
      <c r="AI159" s="14">
        <f>IF(COUNT(C159:P159)=0,"",IFERROR(C159/M159,0))</f>
        <v/>
      </c>
      <c r="AJ159" s="17">
        <f>IF(COUNT(C159:P159)=0,"",IFERROR(N159/M159,0))</f>
        <v/>
      </c>
      <c r="AK159" s="16">
        <f>IF(COUNT(C159:P159)=0,"",IFERROR(N159/H159,0))</f>
        <v/>
      </c>
      <c r="AL159" s="14">
        <f>IF(COUNT(C159:P159)=0,"",IFERROR(C159/N159,0))</f>
        <v/>
      </c>
      <c r="AM159" s="17">
        <f>IF(COUNT(C159:P159)=0,"",IFERROR(O159/N159,0))</f>
        <v/>
      </c>
      <c r="AN159" s="17">
        <f>IF(COUNT(C159:P159)=0,"",IFERROR(P159/N159,0))</f>
        <v/>
      </c>
      <c r="AO159" s="19">
        <f>IF(COUNT(C159:P159)=0,"",IFERROR(N159*Config!$C$7+O159*Config!$C$8+P159*Config!$C$9,0))</f>
        <v/>
      </c>
      <c r="AP159" s="14">
        <f>IF(COUNT(C159:P159)=0,"",IFERROR(AO159/N159,0))</f>
        <v/>
      </c>
      <c r="AQ159" s="19">
        <f>IF(COUNT(C159:P159)=0,"",IFERROR(AO159*(1-Config!$C$10-Config!$C$11-Config!$C$12),0))</f>
        <v/>
      </c>
      <c r="AR159" s="19">
        <f>IF(COUNT(C159:P159)=0,"",IFERROR(AQ159-C159-Config!$C$13,0))</f>
        <v/>
      </c>
      <c r="AS159" s="20">
        <f>IF(COUNT(C159:P159)=0,"",IFERROR(AQ159/C159,0))</f>
        <v/>
      </c>
      <c r="AT159" s="14">
        <f>IF(COUNT(C159:P159)=0,"",IFERROR(AR159/G159,0))</f>
        <v/>
      </c>
      <c r="AU159" s="20">
        <f>IF(COUNT(C159:P159)=0,"",IFERROR(AT159/V159,0))</f>
        <v/>
      </c>
      <c r="AV159" s="14">
        <f>IF(COUNT(C159:P159)=0,"",IFERROR(AR159/H159,0))</f>
        <v/>
      </c>
    </row>
    <row r="160">
      <c r="A160" s="11">
        <f>Config!$C$6+154</f>
        <v/>
      </c>
      <c r="B160" s="12">
        <f>INT((A160-Config!$C$6)/7)+1</f>
        <v/>
      </c>
      <c r="C160" s="9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4">
        <f>IF(COUNT(C160:P160)=0,"",IFERROR(C160/D160*1000,0))</f>
        <v/>
      </c>
      <c r="R160" s="15">
        <f>IF(COUNT(C160:P160)=0,"",IFERROR(D160/E160,0))</f>
        <v/>
      </c>
      <c r="S160" s="16">
        <f>IF(COUNT(C160:P160)=0,"",IFERROR(F160/D160,0))</f>
        <v/>
      </c>
      <c r="T160" s="14">
        <f>IF(COUNT(C160:P160)=0,"",IFERROR(C160/F160,0))</f>
        <v/>
      </c>
      <c r="U160" s="17">
        <f>IF(COUNT(C160:P160)=0,"",IFERROR(G160/F160,0))</f>
        <v/>
      </c>
      <c r="V160" s="14">
        <f>IF(COUNT(C160:P160)=0,"",IFERROR(C160/G160,0))</f>
        <v/>
      </c>
      <c r="W160" s="18">
        <f>IF(COUNT(C160:P160)=0,"",IFERROR(G160/D160*1000,0))</f>
        <v/>
      </c>
      <c r="X160" s="17">
        <f>IF(COUNT(C160:P160)=0,"",IFERROR(H160/G160,0))</f>
        <v/>
      </c>
      <c r="Y160" s="14">
        <f>IF(COUNT(C160:P160)=0,"",IFERROR(C160/H160,0))</f>
        <v/>
      </c>
      <c r="Z160" s="14">
        <f>IF(COUNT(C160:P160)=0,"",IFERROR(C160/I160,0))</f>
        <v/>
      </c>
      <c r="AA160" s="17">
        <f>IF(COUNT(C160:P160)=0,"",IFERROR(Y160/Q160,0))</f>
        <v/>
      </c>
      <c r="AB160" s="18">
        <f>IF(COUNT(C160:P160)=0,"",IFERROR(H160/D160*1000,0))</f>
        <v/>
      </c>
      <c r="AC160" s="17">
        <f>IF(COUNT(C160:P160)=0,"",IFERROR(J160/H160,0))</f>
        <v/>
      </c>
      <c r="AD160" s="14">
        <f>IF(COUNT(C160:P160)=0,"",IFERROR(C160/J160,0))</f>
        <v/>
      </c>
      <c r="AE160" s="17">
        <f>IF(COUNT(C160:P160)=0,"",IFERROR(K160/H160,0))</f>
        <v/>
      </c>
      <c r="AF160" s="17">
        <f>IF(COUNT(C160:P160)=0,"",IFERROR(L160/H160,0))</f>
        <v/>
      </c>
      <c r="AG160" s="14">
        <f>IF(COUNT(C160:P160)=0,"",IFERROR(C160/K160,0))</f>
        <v/>
      </c>
      <c r="AH160" s="17">
        <f>IF(COUNT(C160:P160)=0,"",IFERROR(M160/K160,0))</f>
        <v/>
      </c>
      <c r="AI160" s="14">
        <f>IF(COUNT(C160:P160)=0,"",IFERROR(C160/M160,0))</f>
        <v/>
      </c>
      <c r="AJ160" s="17">
        <f>IF(COUNT(C160:P160)=0,"",IFERROR(N160/M160,0))</f>
        <v/>
      </c>
      <c r="AK160" s="16">
        <f>IF(COUNT(C160:P160)=0,"",IFERROR(N160/H160,0))</f>
        <v/>
      </c>
      <c r="AL160" s="14">
        <f>IF(COUNT(C160:P160)=0,"",IFERROR(C160/N160,0))</f>
        <v/>
      </c>
      <c r="AM160" s="17">
        <f>IF(COUNT(C160:P160)=0,"",IFERROR(O160/N160,0))</f>
        <v/>
      </c>
      <c r="AN160" s="17">
        <f>IF(COUNT(C160:P160)=0,"",IFERROR(P160/N160,0))</f>
        <v/>
      </c>
      <c r="AO160" s="19">
        <f>IF(COUNT(C160:P160)=0,"",IFERROR(N160*Config!$C$7+O160*Config!$C$8+P160*Config!$C$9,0))</f>
        <v/>
      </c>
      <c r="AP160" s="14">
        <f>IF(COUNT(C160:P160)=0,"",IFERROR(AO160/N160,0))</f>
        <v/>
      </c>
      <c r="AQ160" s="19">
        <f>IF(COUNT(C160:P160)=0,"",IFERROR(AO160*(1-Config!$C$10-Config!$C$11-Config!$C$12),0))</f>
        <v/>
      </c>
      <c r="AR160" s="19">
        <f>IF(COUNT(C160:P160)=0,"",IFERROR(AQ160-C160-Config!$C$13,0))</f>
        <v/>
      </c>
      <c r="AS160" s="20">
        <f>IF(COUNT(C160:P160)=0,"",IFERROR(AQ160/C160,0))</f>
        <v/>
      </c>
      <c r="AT160" s="14">
        <f>IF(COUNT(C160:P160)=0,"",IFERROR(AR160/G160,0))</f>
        <v/>
      </c>
      <c r="AU160" s="20">
        <f>IF(COUNT(C160:P160)=0,"",IFERROR(AT160/V160,0))</f>
        <v/>
      </c>
      <c r="AV160" s="14">
        <f>IF(COUNT(C160:P160)=0,"",IFERROR(AR160/H160,0))</f>
        <v/>
      </c>
    </row>
    <row r="161">
      <c r="A161" s="11">
        <f>Config!$C$6+155</f>
        <v/>
      </c>
      <c r="B161" s="12">
        <f>INT((A161-Config!$C$6)/7)+1</f>
        <v/>
      </c>
      <c r="C161" s="9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4">
        <f>IF(COUNT(C161:P161)=0,"",IFERROR(C161/D161*1000,0))</f>
        <v/>
      </c>
      <c r="R161" s="15">
        <f>IF(COUNT(C161:P161)=0,"",IFERROR(D161/E161,0))</f>
        <v/>
      </c>
      <c r="S161" s="16">
        <f>IF(COUNT(C161:P161)=0,"",IFERROR(F161/D161,0))</f>
        <v/>
      </c>
      <c r="T161" s="14">
        <f>IF(COUNT(C161:P161)=0,"",IFERROR(C161/F161,0))</f>
        <v/>
      </c>
      <c r="U161" s="17">
        <f>IF(COUNT(C161:P161)=0,"",IFERROR(G161/F161,0))</f>
        <v/>
      </c>
      <c r="V161" s="14">
        <f>IF(COUNT(C161:P161)=0,"",IFERROR(C161/G161,0))</f>
        <v/>
      </c>
      <c r="W161" s="18">
        <f>IF(COUNT(C161:P161)=0,"",IFERROR(G161/D161*1000,0))</f>
        <v/>
      </c>
      <c r="X161" s="17">
        <f>IF(COUNT(C161:P161)=0,"",IFERROR(H161/G161,0))</f>
        <v/>
      </c>
      <c r="Y161" s="14">
        <f>IF(COUNT(C161:P161)=0,"",IFERROR(C161/H161,0))</f>
        <v/>
      </c>
      <c r="Z161" s="14">
        <f>IF(COUNT(C161:P161)=0,"",IFERROR(C161/I161,0))</f>
        <v/>
      </c>
      <c r="AA161" s="17">
        <f>IF(COUNT(C161:P161)=0,"",IFERROR(Y161/Q161,0))</f>
        <v/>
      </c>
      <c r="AB161" s="18">
        <f>IF(COUNT(C161:P161)=0,"",IFERROR(H161/D161*1000,0))</f>
        <v/>
      </c>
      <c r="AC161" s="17">
        <f>IF(COUNT(C161:P161)=0,"",IFERROR(J161/H161,0))</f>
        <v/>
      </c>
      <c r="AD161" s="14">
        <f>IF(COUNT(C161:P161)=0,"",IFERROR(C161/J161,0))</f>
        <v/>
      </c>
      <c r="AE161" s="17">
        <f>IF(COUNT(C161:P161)=0,"",IFERROR(K161/H161,0))</f>
        <v/>
      </c>
      <c r="AF161" s="17">
        <f>IF(COUNT(C161:P161)=0,"",IFERROR(L161/H161,0))</f>
        <v/>
      </c>
      <c r="AG161" s="14">
        <f>IF(COUNT(C161:P161)=0,"",IFERROR(C161/K161,0))</f>
        <v/>
      </c>
      <c r="AH161" s="17">
        <f>IF(COUNT(C161:P161)=0,"",IFERROR(M161/K161,0))</f>
        <v/>
      </c>
      <c r="AI161" s="14">
        <f>IF(COUNT(C161:P161)=0,"",IFERROR(C161/M161,0))</f>
        <v/>
      </c>
      <c r="AJ161" s="17">
        <f>IF(COUNT(C161:P161)=0,"",IFERROR(N161/M161,0))</f>
        <v/>
      </c>
      <c r="AK161" s="16">
        <f>IF(COUNT(C161:P161)=0,"",IFERROR(N161/H161,0))</f>
        <v/>
      </c>
      <c r="AL161" s="14">
        <f>IF(COUNT(C161:P161)=0,"",IFERROR(C161/N161,0))</f>
        <v/>
      </c>
      <c r="AM161" s="17">
        <f>IF(COUNT(C161:P161)=0,"",IFERROR(O161/N161,0))</f>
        <v/>
      </c>
      <c r="AN161" s="17">
        <f>IF(COUNT(C161:P161)=0,"",IFERROR(P161/N161,0))</f>
        <v/>
      </c>
      <c r="AO161" s="19">
        <f>IF(COUNT(C161:P161)=0,"",IFERROR(N161*Config!$C$7+O161*Config!$C$8+P161*Config!$C$9,0))</f>
        <v/>
      </c>
      <c r="AP161" s="14">
        <f>IF(COUNT(C161:P161)=0,"",IFERROR(AO161/N161,0))</f>
        <v/>
      </c>
      <c r="AQ161" s="19">
        <f>IF(COUNT(C161:P161)=0,"",IFERROR(AO161*(1-Config!$C$10-Config!$C$11-Config!$C$12),0))</f>
        <v/>
      </c>
      <c r="AR161" s="19">
        <f>IF(COUNT(C161:P161)=0,"",IFERROR(AQ161-C161-Config!$C$13,0))</f>
        <v/>
      </c>
      <c r="AS161" s="20">
        <f>IF(COUNT(C161:P161)=0,"",IFERROR(AQ161/C161,0))</f>
        <v/>
      </c>
      <c r="AT161" s="14">
        <f>IF(COUNT(C161:P161)=0,"",IFERROR(AR161/G161,0))</f>
        <v/>
      </c>
      <c r="AU161" s="20">
        <f>IF(COUNT(C161:P161)=0,"",IFERROR(AT161/V161,0))</f>
        <v/>
      </c>
      <c r="AV161" s="14">
        <f>IF(COUNT(C161:P161)=0,"",IFERROR(AR161/H161,0))</f>
        <v/>
      </c>
    </row>
    <row r="162">
      <c r="A162" s="11">
        <f>Config!$C$6+156</f>
        <v/>
      </c>
      <c r="B162" s="12">
        <f>INT((A162-Config!$C$6)/7)+1</f>
        <v/>
      </c>
      <c r="C162" s="9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4">
        <f>IF(COUNT(C162:P162)=0,"",IFERROR(C162/D162*1000,0))</f>
        <v/>
      </c>
      <c r="R162" s="15">
        <f>IF(COUNT(C162:P162)=0,"",IFERROR(D162/E162,0))</f>
        <v/>
      </c>
      <c r="S162" s="16">
        <f>IF(COUNT(C162:P162)=0,"",IFERROR(F162/D162,0))</f>
        <v/>
      </c>
      <c r="T162" s="14">
        <f>IF(COUNT(C162:P162)=0,"",IFERROR(C162/F162,0))</f>
        <v/>
      </c>
      <c r="U162" s="17">
        <f>IF(COUNT(C162:P162)=0,"",IFERROR(G162/F162,0))</f>
        <v/>
      </c>
      <c r="V162" s="14">
        <f>IF(COUNT(C162:P162)=0,"",IFERROR(C162/G162,0))</f>
        <v/>
      </c>
      <c r="W162" s="18">
        <f>IF(COUNT(C162:P162)=0,"",IFERROR(G162/D162*1000,0))</f>
        <v/>
      </c>
      <c r="X162" s="17">
        <f>IF(COUNT(C162:P162)=0,"",IFERROR(H162/G162,0))</f>
        <v/>
      </c>
      <c r="Y162" s="14">
        <f>IF(COUNT(C162:P162)=0,"",IFERROR(C162/H162,0))</f>
        <v/>
      </c>
      <c r="Z162" s="14">
        <f>IF(COUNT(C162:P162)=0,"",IFERROR(C162/I162,0))</f>
        <v/>
      </c>
      <c r="AA162" s="17">
        <f>IF(COUNT(C162:P162)=0,"",IFERROR(Y162/Q162,0))</f>
        <v/>
      </c>
      <c r="AB162" s="18">
        <f>IF(COUNT(C162:P162)=0,"",IFERROR(H162/D162*1000,0))</f>
        <v/>
      </c>
      <c r="AC162" s="17">
        <f>IF(COUNT(C162:P162)=0,"",IFERROR(J162/H162,0))</f>
        <v/>
      </c>
      <c r="AD162" s="14">
        <f>IF(COUNT(C162:P162)=0,"",IFERROR(C162/J162,0))</f>
        <v/>
      </c>
      <c r="AE162" s="17">
        <f>IF(COUNT(C162:P162)=0,"",IFERROR(K162/H162,0))</f>
        <v/>
      </c>
      <c r="AF162" s="17">
        <f>IF(COUNT(C162:P162)=0,"",IFERROR(L162/H162,0))</f>
        <v/>
      </c>
      <c r="AG162" s="14">
        <f>IF(COUNT(C162:P162)=0,"",IFERROR(C162/K162,0))</f>
        <v/>
      </c>
      <c r="AH162" s="17">
        <f>IF(COUNT(C162:P162)=0,"",IFERROR(M162/K162,0))</f>
        <v/>
      </c>
      <c r="AI162" s="14">
        <f>IF(COUNT(C162:P162)=0,"",IFERROR(C162/M162,0))</f>
        <v/>
      </c>
      <c r="AJ162" s="17">
        <f>IF(COUNT(C162:P162)=0,"",IFERROR(N162/M162,0))</f>
        <v/>
      </c>
      <c r="AK162" s="16">
        <f>IF(COUNT(C162:P162)=0,"",IFERROR(N162/H162,0))</f>
        <v/>
      </c>
      <c r="AL162" s="14">
        <f>IF(COUNT(C162:P162)=0,"",IFERROR(C162/N162,0))</f>
        <v/>
      </c>
      <c r="AM162" s="17">
        <f>IF(COUNT(C162:P162)=0,"",IFERROR(O162/N162,0))</f>
        <v/>
      </c>
      <c r="AN162" s="17">
        <f>IF(COUNT(C162:P162)=0,"",IFERROR(P162/N162,0))</f>
        <v/>
      </c>
      <c r="AO162" s="19">
        <f>IF(COUNT(C162:P162)=0,"",IFERROR(N162*Config!$C$7+O162*Config!$C$8+P162*Config!$C$9,0))</f>
        <v/>
      </c>
      <c r="AP162" s="14">
        <f>IF(COUNT(C162:P162)=0,"",IFERROR(AO162/N162,0))</f>
        <v/>
      </c>
      <c r="AQ162" s="19">
        <f>IF(COUNT(C162:P162)=0,"",IFERROR(AO162*(1-Config!$C$10-Config!$C$11-Config!$C$12),0))</f>
        <v/>
      </c>
      <c r="AR162" s="19">
        <f>IF(COUNT(C162:P162)=0,"",IFERROR(AQ162-C162-Config!$C$13,0))</f>
        <v/>
      </c>
      <c r="AS162" s="20">
        <f>IF(COUNT(C162:P162)=0,"",IFERROR(AQ162/C162,0))</f>
        <v/>
      </c>
      <c r="AT162" s="14">
        <f>IF(COUNT(C162:P162)=0,"",IFERROR(AR162/G162,0))</f>
        <v/>
      </c>
      <c r="AU162" s="20">
        <f>IF(COUNT(C162:P162)=0,"",IFERROR(AT162/V162,0))</f>
        <v/>
      </c>
      <c r="AV162" s="14">
        <f>IF(COUNT(C162:P162)=0,"",IFERROR(AR162/H162,0))</f>
        <v/>
      </c>
    </row>
    <row r="163">
      <c r="A163" s="11">
        <f>Config!$C$6+157</f>
        <v/>
      </c>
      <c r="B163" s="12">
        <f>INT((A163-Config!$C$6)/7)+1</f>
        <v/>
      </c>
      <c r="C163" s="9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4">
        <f>IF(COUNT(C163:P163)=0,"",IFERROR(C163/D163*1000,0))</f>
        <v/>
      </c>
      <c r="R163" s="15">
        <f>IF(COUNT(C163:P163)=0,"",IFERROR(D163/E163,0))</f>
        <v/>
      </c>
      <c r="S163" s="16">
        <f>IF(COUNT(C163:P163)=0,"",IFERROR(F163/D163,0))</f>
        <v/>
      </c>
      <c r="T163" s="14">
        <f>IF(COUNT(C163:P163)=0,"",IFERROR(C163/F163,0))</f>
        <v/>
      </c>
      <c r="U163" s="17">
        <f>IF(COUNT(C163:P163)=0,"",IFERROR(G163/F163,0))</f>
        <v/>
      </c>
      <c r="V163" s="14">
        <f>IF(COUNT(C163:P163)=0,"",IFERROR(C163/G163,0))</f>
        <v/>
      </c>
      <c r="W163" s="18">
        <f>IF(COUNT(C163:P163)=0,"",IFERROR(G163/D163*1000,0))</f>
        <v/>
      </c>
      <c r="X163" s="17">
        <f>IF(COUNT(C163:P163)=0,"",IFERROR(H163/G163,0))</f>
        <v/>
      </c>
      <c r="Y163" s="14">
        <f>IF(COUNT(C163:P163)=0,"",IFERROR(C163/H163,0))</f>
        <v/>
      </c>
      <c r="Z163" s="14">
        <f>IF(COUNT(C163:P163)=0,"",IFERROR(C163/I163,0))</f>
        <v/>
      </c>
      <c r="AA163" s="17">
        <f>IF(COUNT(C163:P163)=0,"",IFERROR(Y163/Q163,0))</f>
        <v/>
      </c>
      <c r="AB163" s="18">
        <f>IF(COUNT(C163:P163)=0,"",IFERROR(H163/D163*1000,0))</f>
        <v/>
      </c>
      <c r="AC163" s="17">
        <f>IF(COUNT(C163:P163)=0,"",IFERROR(J163/H163,0))</f>
        <v/>
      </c>
      <c r="AD163" s="14">
        <f>IF(COUNT(C163:P163)=0,"",IFERROR(C163/J163,0))</f>
        <v/>
      </c>
      <c r="AE163" s="17">
        <f>IF(COUNT(C163:P163)=0,"",IFERROR(K163/H163,0))</f>
        <v/>
      </c>
      <c r="AF163" s="17">
        <f>IF(COUNT(C163:P163)=0,"",IFERROR(L163/H163,0))</f>
        <v/>
      </c>
      <c r="AG163" s="14">
        <f>IF(COUNT(C163:P163)=0,"",IFERROR(C163/K163,0))</f>
        <v/>
      </c>
      <c r="AH163" s="17">
        <f>IF(COUNT(C163:P163)=0,"",IFERROR(M163/K163,0))</f>
        <v/>
      </c>
      <c r="AI163" s="14">
        <f>IF(COUNT(C163:P163)=0,"",IFERROR(C163/M163,0))</f>
        <v/>
      </c>
      <c r="AJ163" s="17">
        <f>IF(COUNT(C163:P163)=0,"",IFERROR(N163/M163,0))</f>
        <v/>
      </c>
      <c r="AK163" s="16">
        <f>IF(COUNT(C163:P163)=0,"",IFERROR(N163/H163,0))</f>
        <v/>
      </c>
      <c r="AL163" s="14">
        <f>IF(COUNT(C163:P163)=0,"",IFERROR(C163/N163,0))</f>
        <v/>
      </c>
      <c r="AM163" s="17">
        <f>IF(COUNT(C163:P163)=0,"",IFERROR(O163/N163,0))</f>
        <v/>
      </c>
      <c r="AN163" s="17">
        <f>IF(COUNT(C163:P163)=0,"",IFERROR(P163/N163,0))</f>
        <v/>
      </c>
      <c r="AO163" s="19">
        <f>IF(COUNT(C163:P163)=0,"",IFERROR(N163*Config!$C$7+O163*Config!$C$8+P163*Config!$C$9,0))</f>
        <v/>
      </c>
      <c r="AP163" s="14">
        <f>IF(COUNT(C163:P163)=0,"",IFERROR(AO163/N163,0))</f>
        <v/>
      </c>
      <c r="AQ163" s="19">
        <f>IF(COUNT(C163:P163)=0,"",IFERROR(AO163*(1-Config!$C$10-Config!$C$11-Config!$C$12),0))</f>
        <v/>
      </c>
      <c r="AR163" s="19">
        <f>IF(COUNT(C163:P163)=0,"",IFERROR(AQ163-C163-Config!$C$13,0))</f>
        <v/>
      </c>
      <c r="AS163" s="20">
        <f>IF(COUNT(C163:P163)=0,"",IFERROR(AQ163/C163,0))</f>
        <v/>
      </c>
      <c r="AT163" s="14">
        <f>IF(COUNT(C163:P163)=0,"",IFERROR(AR163/G163,0))</f>
        <v/>
      </c>
      <c r="AU163" s="20">
        <f>IF(COUNT(C163:P163)=0,"",IFERROR(AT163/V163,0))</f>
        <v/>
      </c>
      <c r="AV163" s="14">
        <f>IF(COUNT(C163:P163)=0,"",IFERROR(AR163/H163,0))</f>
        <v/>
      </c>
    </row>
    <row r="164">
      <c r="A164" s="11">
        <f>Config!$C$6+158</f>
        <v/>
      </c>
      <c r="B164" s="12">
        <f>INT((A164-Config!$C$6)/7)+1</f>
        <v/>
      </c>
      <c r="C164" s="9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4">
        <f>IF(COUNT(C164:P164)=0,"",IFERROR(C164/D164*1000,0))</f>
        <v/>
      </c>
      <c r="R164" s="15">
        <f>IF(COUNT(C164:P164)=0,"",IFERROR(D164/E164,0))</f>
        <v/>
      </c>
      <c r="S164" s="16">
        <f>IF(COUNT(C164:P164)=0,"",IFERROR(F164/D164,0))</f>
        <v/>
      </c>
      <c r="T164" s="14">
        <f>IF(COUNT(C164:P164)=0,"",IFERROR(C164/F164,0))</f>
        <v/>
      </c>
      <c r="U164" s="17">
        <f>IF(COUNT(C164:P164)=0,"",IFERROR(G164/F164,0))</f>
        <v/>
      </c>
      <c r="V164" s="14">
        <f>IF(COUNT(C164:P164)=0,"",IFERROR(C164/G164,0))</f>
        <v/>
      </c>
      <c r="W164" s="18">
        <f>IF(COUNT(C164:P164)=0,"",IFERROR(G164/D164*1000,0))</f>
        <v/>
      </c>
      <c r="X164" s="17">
        <f>IF(COUNT(C164:P164)=0,"",IFERROR(H164/G164,0))</f>
        <v/>
      </c>
      <c r="Y164" s="14">
        <f>IF(COUNT(C164:P164)=0,"",IFERROR(C164/H164,0))</f>
        <v/>
      </c>
      <c r="Z164" s="14">
        <f>IF(COUNT(C164:P164)=0,"",IFERROR(C164/I164,0))</f>
        <v/>
      </c>
      <c r="AA164" s="17">
        <f>IF(COUNT(C164:P164)=0,"",IFERROR(Y164/Q164,0))</f>
        <v/>
      </c>
      <c r="AB164" s="18">
        <f>IF(COUNT(C164:P164)=0,"",IFERROR(H164/D164*1000,0))</f>
        <v/>
      </c>
      <c r="AC164" s="17">
        <f>IF(COUNT(C164:P164)=0,"",IFERROR(J164/H164,0))</f>
        <v/>
      </c>
      <c r="AD164" s="14">
        <f>IF(COUNT(C164:P164)=0,"",IFERROR(C164/J164,0))</f>
        <v/>
      </c>
      <c r="AE164" s="17">
        <f>IF(COUNT(C164:P164)=0,"",IFERROR(K164/H164,0))</f>
        <v/>
      </c>
      <c r="AF164" s="17">
        <f>IF(COUNT(C164:P164)=0,"",IFERROR(L164/H164,0))</f>
        <v/>
      </c>
      <c r="AG164" s="14">
        <f>IF(COUNT(C164:P164)=0,"",IFERROR(C164/K164,0))</f>
        <v/>
      </c>
      <c r="AH164" s="17">
        <f>IF(COUNT(C164:P164)=0,"",IFERROR(M164/K164,0))</f>
        <v/>
      </c>
      <c r="AI164" s="14">
        <f>IF(COUNT(C164:P164)=0,"",IFERROR(C164/M164,0))</f>
        <v/>
      </c>
      <c r="AJ164" s="17">
        <f>IF(COUNT(C164:P164)=0,"",IFERROR(N164/M164,0))</f>
        <v/>
      </c>
      <c r="AK164" s="16">
        <f>IF(COUNT(C164:P164)=0,"",IFERROR(N164/H164,0))</f>
        <v/>
      </c>
      <c r="AL164" s="14">
        <f>IF(COUNT(C164:P164)=0,"",IFERROR(C164/N164,0))</f>
        <v/>
      </c>
      <c r="AM164" s="17">
        <f>IF(COUNT(C164:P164)=0,"",IFERROR(O164/N164,0))</f>
        <v/>
      </c>
      <c r="AN164" s="17">
        <f>IF(COUNT(C164:P164)=0,"",IFERROR(P164/N164,0))</f>
        <v/>
      </c>
      <c r="AO164" s="19">
        <f>IF(COUNT(C164:P164)=0,"",IFERROR(N164*Config!$C$7+O164*Config!$C$8+P164*Config!$C$9,0))</f>
        <v/>
      </c>
      <c r="AP164" s="14">
        <f>IF(COUNT(C164:P164)=0,"",IFERROR(AO164/N164,0))</f>
        <v/>
      </c>
      <c r="AQ164" s="19">
        <f>IF(COUNT(C164:P164)=0,"",IFERROR(AO164*(1-Config!$C$10-Config!$C$11-Config!$C$12),0))</f>
        <v/>
      </c>
      <c r="AR164" s="19">
        <f>IF(COUNT(C164:P164)=0,"",IFERROR(AQ164-C164-Config!$C$13,0))</f>
        <v/>
      </c>
      <c r="AS164" s="20">
        <f>IF(COUNT(C164:P164)=0,"",IFERROR(AQ164/C164,0))</f>
        <v/>
      </c>
      <c r="AT164" s="14">
        <f>IF(COUNT(C164:P164)=0,"",IFERROR(AR164/G164,0))</f>
        <v/>
      </c>
      <c r="AU164" s="20">
        <f>IF(COUNT(C164:P164)=0,"",IFERROR(AT164/V164,0))</f>
        <v/>
      </c>
      <c r="AV164" s="14">
        <f>IF(COUNT(C164:P164)=0,"",IFERROR(AR164/H164,0))</f>
        <v/>
      </c>
    </row>
    <row r="165">
      <c r="A165" s="11">
        <f>Config!$C$6+159</f>
        <v/>
      </c>
      <c r="B165" s="12">
        <f>INT((A165-Config!$C$6)/7)+1</f>
        <v/>
      </c>
      <c r="C165" s="9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4">
        <f>IF(COUNT(C165:P165)=0,"",IFERROR(C165/D165*1000,0))</f>
        <v/>
      </c>
      <c r="R165" s="15">
        <f>IF(COUNT(C165:P165)=0,"",IFERROR(D165/E165,0))</f>
        <v/>
      </c>
      <c r="S165" s="16">
        <f>IF(COUNT(C165:P165)=0,"",IFERROR(F165/D165,0))</f>
        <v/>
      </c>
      <c r="T165" s="14">
        <f>IF(COUNT(C165:P165)=0,"",IFERROR(C165/F165,0))</f>
        <v/>
      </c>
      <c r="U165" s="17">
        <f>IF(COUNT(C165:P165)=0,"",IFERROR(G165/F165,0))</f>
        <v/>
      </c>
      <c r="V165" s="14">
        <f>IF(COUNT(C165:P165)=0,"",IFERROR(C165/G165,0))</f>
        <v/>
      </c>
      <c r="W165" s="18">
        <f>IF(COUNT(C165:P165)=0,"",IFERROR(G165/D165*1000,0))</f>
        <v/>
      </c>
      <c r="X165" s="17">
        <f>IF(COUNT(C165:P165)=0,"",IFERROR(H165/G165,0))</f>
        <v/>
      </c>
      <c r="Y165" s="14">
        <f>IF(COUNT(C165:P165)=0,"",IFERROR(C165/H165,0))</f>
        <v/>
      </c>
      <c r="Z165" s="14">
        <f>IF(COUNT(C165:P165)=0,"",IFERROR(C165/I165,0))</f>
        <v/>
      </c>
      <c r="AA165" s="17">
        <f>IF(COUNT(C165:P165)=0,"",IFERROR(Y165/Q165,0))</f>
        <v/>
      </c>
      <c r="AB165" s="18">
        <f>IF(COUNT(C165:P165)=0,"",IFERROR(H165/D165*1000,0))</f>
        <v/>
      </c>
      <c r="AC165" s="17">
        <f>IF(COUNT(C165:P165)=0,"",IFERROR(J165/H165,0))</f>
        <v/>
      </c>
      <c r="AD165" s="14">
        <f>IF(COUNT(C165:P165)=0,"",IFERROR(C165/J165,0))</f>
        <v/>
      </c>
      <c r="AE165" s="17">
        <f>IF(COUNT(C165:P165)=0,"",IFERROR(K165/H165,0))</f>
        <v/>
      </c>
      <c r="AF165" s="17">
        <f>IF(COUNT(C165:P165)=0,"",IFERROR(L165/H165,0))</f>
        <v/>
      </c>
      <c r="AG165" s="14">
        <f>IF(COUNT(C165:P165)=0,"",IFERROR(C165/K165,0))</f>
        <v/>
      </c>
      <c r="AH165" s="17">
        <f>IF(COUNT(C165:P165)=0,"",IFERROR(M165/K165,0))</f>
        <v/>
      </c>
      <c r="AI165" s="14">
        <f>IF(COUNT(C165:P165)=0,"",IFERROR(C165/M165,0))</f>
        <v/>
      </c>
      <c r="AJ165" s="17">
        <f>IF(COUNT(C165:P165)=0,"",IFERROR(N165/M165,0))</f>
        <v/>
      </c>
      <c r="AK165" s="16">
        <f>IF(COUNT(C165:P165)=0,"",IFERROR(N165/H165,0))</f>
        <v/>
      </c>
      <c r="AL165" s="14">
        <f>IF(COUNT(C165:P165)=0,"",IFERROR(C165/N165,0))</f>
        <v/>
      </c>
      <c r="AM165" s="17">
        <f>IF(COUNT(C165:P165)=0,"",IFERROR(O165/N165,0))</f>
        <v/>
      </c>
      <c r="AN165" s="17">
        <f>IF(COUNT(C165:P165)=0,"",IFERROR(P165/N165,0))</f>
        <v/>
      </c>
      <c r="AO165" s="19">
        <f>IF(COUNT(C165:P165)=0,"",IFERROR(N165*Config!$C$7+O165*Config!$C$8+P165*Config!$C$9,0))</f>
        <v/>
      </c>
      <c r="AP165" s="14">
        <f>IF(COUNT(C165:P165)=0,"",IFERROR(AO165/N165,0))</f>
        <v/>
      </c>
      <c r="AQ165" s="19">
        <f>IF(COUNT(C165:P165)=0,"",IFERROR(AO165*(1-Config!$C$10-Config!$C$11-Config!$C$12),0))</f>
        <v/>
      </c>
      <c r="AR165" s="19">
        <f>IF(COUNT(C165:P165)=0,"",IFERROR(AQ165-C165-Config!$C$13,0))</f>
        <v/>
      </c>
      <c r="AS165" s="20">
        <f>IF(COUNT(C165:P165)=0,"",IFERROR(AQ165/C165,0))</f>
        <v/>
      </c>
      <c r="AT165" s="14">
        <f>IF(COUNT(C165:P165)=0,"",IFERROR(AR165/G165,0))</f>
        <v/>
      </c>
      <c r="AU165" s="20">
        <f>IF(COUNT(C165:P165)=0,"",IFERROR(AT165/V165,0))</f>
        <v/>
      </c>
      <c r="AV165" s="14">
        <f>IF(COUNT(C165:P165)=0,"",IFERROR(AR165/H165,0))</f>
        <v/>
      </c>
    </row>
    <row r="166">
      <c r="A166" s="11">
        <f>Config!$C$6+160</f>
        <v/>
      </c>
      <c r="B166" s="12">
        <f>INT((A166-Config!$C$6)/7)+1</f>
        <v/>
      </c>
      <c r="C166" s="9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4">
        <f>IF(COUNT(C166:P166)=0,"",IFERROR(C166/D166*1000,0))</f>
        <v/>
      </c>
      <c r="R166" s="15">
        <f>IF(COUNT(C166:P166)=0,"",IFERROR(D166/E166,0))</f>
        <v/>
      </c>
      <c r="S166" s="16">
        <f>IF(COUNT(C166:P166)=0,"",IFERROR(F166/D166,0))</f>
        <v/>
      </c>
      <c r="T166" s="14">
        <f>IF(COUNT(C166:P166)=0,"",IFERROR(C166/F166,0))</f>
        <v/>
      </c>
      <c r="U166" s="17">
        <f>IF(COUNT(C166:P166)=0,"",IFERROR(G166/F166,0))</f>
        <v/>
      </c>
      <c r="V166" s="14">
        <f>IF(COUNT(C166:P166)=0,"",IFERROR(C166/G166,0))</f>
        <v/>
      </c>
      <c r="W166" s="18">
        <f>IF(COUNT(C166:P166)=0,"",IFERROR(G166/D166*1000,0))</f>
        <v/>
      </c>
      <c r="X166" s="17">
        <f>IF(COUNT(C166:P166)=0,"",IFERROR(H166/G166,0))</f>
        <v/>
      </c>
      <c r="Y166" s="14">
        <f>IF(COUNT(C166:P166)=0,"",IFERROR(C166/H166,0))</f>
        <v/>
      </c>
      <c r="Z166" s="14">
        <f>IF(COUNT(C166:P166)=0,"",IFERROR(C166/I166,0))</f>
        <v/>
      </c>
      <c r="AA166" s="17">
        <f>IF(COUNT(C166:P166)=0,"",IFERROR(Y166/Q166,0))</f>
        <v/>
      </c>
      <c r="AB166" s="18">
        <f>IF(COUNT(C166:P166)=0,"",IFERROR(H166/D166*1000,0))</f>
        <v/>
      </c>
      <c r="AC166" s="17">
        <f>IF(COUNT(C166:P166)=0,"",IFERROR(J166/H166,0))</f>
        <v/>
      </c>
      <c r="AD166" s="14">
        <f>IF(COUNT(C166:P166)=0,"",IFERROR(C166/J166,0))</f>
        <v/>
      </c>
      <c r="AE166" s="17">
        <f>IF(COUNT(C166:P166)=0,"",IFERROR(K166/H166,0))</f>
        <v/>
      </c>
      <c r="AF166" s="17">
        <f>IF(COUNT(C166:P166)=0,"",IFERROR(L166/H166,0))</f>
        <v/>
      </c>
      <c r="AG166" s="14">
        <f>IF(COUNT(C166:P166)=0,"",IFERROR(C166/K166,0))</f>
        <v/>
      </c>
      <c r="AH166" s="17">
        <f>IF(COUNT(C166:P166)=0,"",IFERROR(M166/K166,0))</f>
        <v/>
      </c>
      <c r="AI166" s="14">
        <f>IF(COUNT(C166:P166)=0,"",IFERROR(C166/M166,0))</f>
        <v/>
      </c>
      <c r="AJ166" s="17">
        <f>IF(COUNT(C166:P166)=0,"",IFERROR(N166/M166,0))</f>
        <v/>
      </c>
      <c r="AK166" s="16">
        <f>IF(COUNT(C166:P166)=0,"",IFERROR(N166/H166,0))</f>
        <v/>
      </c>
      <c r="AL166" s="14">
        <f>IF(COUNT(C166:P166)=0,"",IFERROR(C166/N166,0))</f>
        <v/>
      </c>
      <c r="AM166" s="17">
        <f>IF(COUNT(C166:P166)=0,"",IFERROR(O166/N166,0))</f>
        <v/>
      </c>
      <c r="AN166" s="17">
        <f>IF(COUNT(C166:P166)=0,"",IFERROR(P166/N166,0))</f>
        <v/>
      </c>
      <c r="AO166" s="19">
        <f>IF(COUNT(C166:P166)=0,"",IFERROR(N166*Config!$C$7+O166*Config!$C$8+P166*Config!$C$9,0))</f>
        <v/>
      </c>
      <c r="AP166" s="14">
        <f>IF(COUNT(C166:P166)=0,"",IFERROR(AO166/N166,0))</f>
        <v/>
      </c>
      <c r="AQ166" s="19">
        <f>IF(COUNT(C166:P166)=0,"",IFERROR(AO166*(1-Config!$C$10-Config!$C$11-Config!$C$12),0))</f>
        <v/>
      </c>
      <c r="AR166" s="19">
        <f>IF(COUNT(C166:P166)=0,"",IFERROR(AQ166-C166-Config!$C$13,0))</f>
        <v/>
      </c>
      <c r="AS166" s="20">
        <f>IF(COUNT(C166:P166)=0,"",IFERROR(AQ166/C166,0))</f>
        <v/>
      </c>
      <c r="AT166" s="14">
        <f>IF(COUNT(C166:P166)=0,"",IFERROR(AR166/G166,0))</f>
        <v/>
      </c>
      <c r="AU166" s="20">
        <f>IF(COUNT(C166:P166)=0,"",IFERROR(AT166/V166,0))</f>
        <v/>
      </c>
      <c r="AV166" s="14">
        <f>IF(COUNT(C166:P166)=0,"",IFERROR(AR166/H166,0))</f>
        <v/>
      </c>
    </row>
    <row r="167">
      <c r="A167" s="11">
        <f>Config!$C$6+161</f>
        <v/>
      </c>
      <c r="B167" s="12">
        <f>INT((A167-Config!$C$6)/7)+1</f>
        <v/>
      </c>
      <c r="C167" s="9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4">
        <f>IF(COUNT(C167:P167)=0,"",IFERROR(C167/D167*1000,0))</f>
        <v/>
      </c>
      <c r="R167" s="15">
        <f>IF(COUNT(C167:P167)=0,"",IFERROR(D167/E167,0))</f>
        <v/>
      </c>
      <c r="S167" s="16">
        <f>IF(COUNT(C167:P167)=0,"",IFERROR(F167/D167,0))</f>
        <v/>
      </c>
      <c r="T167" s="14">
        <f>IF(COUNT(C167:P167)=0,"",IFERROR(C167/F167,0))</f>
        <v/>
      </c>
      <c r="U167" s="17">
        <f>IF(COUNT(C167:P167)=0,"",IFERROR(G167/F167,0))</f>
        <v/>
      </c>
      <c r="V167" s="14">
        <f>IF(COUNT(C167:P167)=0,"",IFERROR(C167/G167,0))</f>
        <v/>
      </c>
      <c r="W167" s="18">
        <f>IF(COUNT(C167:P167)=0,"",IFERROR(G167/D167*1000,0))</f>
        <v/>
      </c>
      <c r="X167" s="17">
        <f>IF(COUNT(C167:P167)=0,"",IFERROR(H167/G167,0))</f>
        <v/>
      </c>
      <c r="Y167" s="14">
        <f>IF(COUNT(C167:P167)=0,"",IFERROR(C167/H167,0))</f>
        <v/>
      </c>
      <c r="Z167" s="14">
        <f>IF(COUNT(C167:P167)=0,"",IFERROR(C167/I167,0))</f>
        <v/>
      </c>
      <c r="AA167" s="17">
        <f>IF(COUNT(C167:P167)=0,"",IFERROR(Y167/Q167,0))</f>
        <v/>
      </c>
      <c r="AB167" s="18">
        <f>IF(COUNT(C167:P167)=0,"",IFERROR(H167/D167*1000,0))</f>
        <v/>
      </c>
      <c r="AC167" s="17">
        <f>IF(COUNT(C167:P167)=0,"",IFERROR(J167/H167,0))</f>
        <v/>
      </c>
      <c r="AD167" s="14">
        <f>IF(COUNT(C167:P167)=0,"",IFERROR(C167/J167,0))</f>
        <v/>
      </c>
      <c r="AE167" s="17">
        <f>IF(COUNT(C167:P167)=0,"",IFERROR(K167/H167,0))</f>
        <v/>
      </c>
      <c r="AF167" s="17">
        <f>IF(COUNT(C167:P167)=0,"",IFERROR(L167/H167,0))</f>
        <v/>
      </c>
      <c r="AG167" s="14">
        <f>IF(COUNT(C167:P167)=0,"",IFERROR(C167/K167,0))</f>
        <v/>
      </c>
      <c r="AH167" s="17">
        <f>IF(COUNT(C167:P167)=0,"",IFERROR(M167/K167,0))</f>
        <v/>
      </c>
      <c r="AI167" s="14">
        <f>IF(COUNT(C167:P167)=0,"",IFERROR(C167/M167,0))</f>
        <v/>
      </c>
      <c r="AJ167" s="17">
        <f>IF(COUNT(C167:P167)=0,"",IFERROR(N167/M167,0))</f>
        <v/>
      </c>
      <c r="AK167" s="16">
        <f>IF(COUNT(C167:P167)=0,"",IFERROR(N167/H167,0))</f>
        <v/>
      </c>
      <c r="AL167" s="14">
        <f>IF(COUNT(C167:P167)=0,"",IFERROR(C167/N167,0))</f>
        <v/>
      </c>
      <c r="AM167" s="17">
        <f>IF(COUNT(C167:P167)=0,"",IFERROR(O167/N167,0))</f>
        <v/>
      </c>
      <c r="AN167" s="17">
        <f>IF(COUNT(C167:P167)=0,"",IFERROR(P167/N167,0))</f>
        <v/>
      </c>
      <c r="AO167" s="19">
        <f>IF(COUNT(C167:P167)=0,"",IFERROR(N167*Config!$C$7+O167*Config!$C$8+P167*Config!$C$9,0))</f>
        <v/>
      </c>
      <c r="AP167" s="14">
        <f>IF(COUNT(C167:P167)=0,"",IFERROR(AO167/N167,0))</f>
        <v/>
      </c>
      <c r="AQ167" s="19">
        <f>IF(COUNT(C167:P167)=0,"",IFERROR(AO167*(1-Config!$C$10-Config!$C$11-Config!$C$12),0))</f>
        <v/>
      </c>
      <c r="AR167" s="19">
        <f>IF(COUNT(C167:P167)=0,"",IFERROR(AQ167-C167-Config!$C$13,0))</f>
        <v/>
      </c>
      <c r="AS167" s="20">
        <f>IF(COUNT(C167:P167)=0,"",IFERROR(AQ167/C167,0))</f>
        <v/>
      </c>
      <c r="AT167" s="14">
        <f>IF(COUNT(C167:P167)=0,"",IFERROR(AR167/G167,0))</f>
        <v/>
      </c>
      <c r="AU167" s="20">
        <f>IF(COUNT(C167:P167)=0,"",IFERROR(AT167/V167,0))</f>
        <v/>
      </c>
      <c r="AV167" s="14">
        <f>IF(COUNT(C167:P167)=0,"",IFERROR(AR167/H167,0))</f>
        <v/>
      </c>
    </row>
    <row r="168">
      <c r="A168" s="11">
        <f>Config!$C$6+162</f>
        <v/>
      </c>
      <c r="B168" s="12">
        <f>INT((A168-Config!$C$6)/7)+1</f>
        <v/>
      </c>
      <c r="C168" s="9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4">
        <f>IF(COUNT(C168:P168)=0,"",IFERROR(C168/D168*1000,0))</f>
        <v/>
      </c>
      <c r="R168" s="15">
        <f>IF(COUNT(C168:P168)=0,"",IFERROR(D168/E168,0))</f>
        <v/>
      </c>
      <c r="S168" s="16">
        <f>IF(COUNT(C168:P168)=0,"",IFERROR(F168/D168,0))</f>
        <v/>
      </c>
      <c r="T168" s="14">
        <f>IF(COUNT(C168:P168)=0,"",IFERROR(C168/F168,0))</f>
        <v/>
      </c>
      <c r="U168" s="17">
        <f>IF(COUNT(C168:P168)=0,"",IFERROR(G168/F168,0))</f>
        <v/>
      </c>
      <c r="V168" s="14">
        <f>IF(COUNT(C168:P168)=0,"",IFERROR(C168/G168,0))</f>
        <v/>
      </c>
      <c r="W168" s="18">
        <f>IF(COUNT(C168:P168)=0,"",IFERROR(G168/D168*1000,0))</f>
        <v/>
      </c>
      <c r="X168" s="17">
        <f>IF(COUNT(C168:P168)=0,"",IFERROR(H168/G168,0))</f>
        <v/>
      </c>
      <c r="Y168" s="14">
        <f>IF(COUNT(C168:P168)=0,"",IFERROR(C168/H168,0))</f>
        <v/>
      </c>
      <c r="Z168" s="14">
        <f>IF(COUNT(C168:P168)=0,"",IFERROR(C168/I168,0))</f>
        <v/>
      </c>
      <c r="AA168" s="17">
        <f>IF(COUNT(C168:P168)=0,"",IFERROR(Y168/Q168,0))</f>
        <v/>
      </c>
      <c r="AB168" s="18">
        <f>IF(COUNT(C168:P168)=0,"",IFERROR(H168/D168*1000,0))</f>
        <v/>
      </c>
      <c r="AC168" s="17">
        <f>IF(COUNT(C168:P168)=0,"",IFERROR(J168/H168,0))</f>
        <v/>
      </c>
      <c r="AD168" s="14">
        <f>IF(COUNT(C168:P168)=0,"",IFERROR(C168/J168,0))</f>
        <v/>
      </c>
      <c r="AE168" s="17">
        <f>IF(COUNT(C168:P168)=0,"",IFERROR(K168/H168,0))</f>
        <v/>
      </c>
      <c r="AF168" s="17">
        <f>IF(COUNT(C168:P168)=0,"",IFERROR(L168/H168,0))</f>
        <v/>
      </c>
      <c r="AG168" s="14">
        <f>IF(COUNT(C168:P168)=0,"",IFERROR(C168/K168,0))</f>
        <v/>
      </c>
      <c r="AH168" s="17">
        <f>IF(COUNT(C168:P168)=0,"",IFERROR(M168/K168,0))</f>
        <v/>
      </c>
      <c r="AI168" s="14">
        <f>IF(COUNT(C168:P168)=0,"",IFERROR(C168/M168,0))</f>
        <v/>
      </c>
      <c r="AJ168" s="17">
        <f>IF(COUNT(C168:P168)=0,"",IFERROR(N168/M168,0))</f>
        <v/>
      </c>
      <c r="AK168" s="16">
        <f>IF(COUNT(C168:P168)=0,"",IFERROR(N168/H168,0))</f>
        <v/>
      </c>
      <c r="AL168" s="14">
        <f>IF(COUNT(C168:P168)=0,"",IFERROR(C168/N168,0))</f>
        <v/>
      </c>
      <c r="AM168" s="17">
        <f>IF(COUNT(C168:P168)=0,"",IFERROR(O168/N168,0))</f>
        <v/>
      </c>
      <c r="AN168" s="17">
        <f>IF(COUNT(C168:P168)=0,"",IFERROR(P168/N168,0))</f>
        <v/>
      </c>
      <c r="AO168" s="19">
        <f>IF(COUNT(C168:P168)=0,"",IFERROR(N168*Config!$C$7+O168*Config!$C$8+P168*Config!$C$9,0))</f>
        <v/>
      </c>
      <c r="AP168" s="14">
        <f>IF(COUNT(C168:P168)=0,"",IFERROR(AO168/N168,0))</f>
        <v/>
      </c>
      <c r="AQ168" s="19">
        <f>IF(COUNT(C168:P168)=0,"",IFERROR(AO168*(1-Config!$C$10-Config!$C$11-Config!$C$12),0))</f>
        <v/>
      </c>
      <c r="AR168" s="19">
        <f>IF(COUNT(C168:P168)=0,"",IFERROR(AQ168-C168-Config!$C$13,0))</f>
        <v/>
      </c>
      <c r="AS168" s="20">
        <f>IF(COUNT(C168:P168)=0,"",IFERROR(AQ168/C168,0))</f>
        <v/>
      </c>
      <c r="AT168" s="14">
        <f>IF(COUNT(C168:P168)=0,"",IFERROR(AR168/G168,0))</f>
        <v/>
      </c>
      <c r="AU168" s="20">
        <f>IF(COUNT(C168:P168)=0,"",IFERROR(AT168/V168,0))</f>
        <v/>
      </c>
      <c r="AV168" s="14">
        <f>IF(COUNT(C168:P168)=0,"",IFERROR(AR168/H168,0))</f>
        <v/>
      </c>
    </row>
    <row r="169">
      <c r="A169" s="11">
        <f>Config!$C$6+163</f>
        <v/>
      </c>
      <c r="B169" s="12">
        <f>INT((A169-Config!$C$6)/7)+1</f>
        <v/>
      </c>
      <c r="C169" s="9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4">
        <f>IF(COUNT(C169:P169)=0,"",IFERROR(C169/D169*1000,0))</f>
        <v/>
      </c>
      <c r="R169" s="15">
        <f>IF(COUNT(C169:P169)=0,"",IFERROR(D169/E169,0))</f>
        <v/>
      </c>
      <c r="S169" s="16">
        <f>IF(COUNT(C169:P169)=0,"",IFERROR(F169/D169,0))</f>
        <v/>
      </c>
      <c r="T169" s="14">
        <f>IF(COUNT(C169:P169)=0,"",IFERROR(C169/F169,0))</f>
        <v/>
      </c>
      <c r="U169" s="17">
        <f>IF(COUNT(C169:P169)=0,"",IFERROR(G169/F169,0))</f>
        <v/>
      </c>
      <c r="V169" s="14">
        <f>IF(COUNT(C169:P169)=0,"",IFERROR(C169/G169,0))</f>
        <v/>
      </c>
      <c r="W169" s="18">
        <f>IF(COUNT(C169:P169)=0,"",IFERROR(G169/D169*1000,0))</f>
        <v/>
      </c>
      <c r="X169" s="17">
        <f>IF(COUNT(C169:P169)=0,"",IFERROR(H169/G169,0))</f>
        <v/>
      </c>
      <c r="Y169" s="14">
        <f>IF(COUNT(C169:P169)=0,"",IFERROR(C169/H169,0))</f>
        <v/>
      </c>
      <c r="Z169" s="14">
        <f>IF(COUNT(C169:P169)=0,"",IFERROR(C169/I169,0))</f>
        <v/>
      </c>
      <c r="AA169" s="17">
        <f>IF(COUNT(C169:P169)=0,"",IFERROR(Y169/Q169,0))</f>
        <v/>
      </c>
      <c r="AB169" s="18">
        <f>IF(COUNT(C169:P169)=0,"",IFERROR(H169/D169*1000,0))</f>
        <v/>
      </c>
      <c r="AC169" s="17">
        <f>IF(COUNT(C169:P169)=0,"",IFERROR(J169/H169,0))</f>
        <v/>
      </c>
      <c r="AD169" s="14">
        <f>IF(COUNT(C169:P169)=0,"",IFERROR(C169/J169,0))</f>
        <v/>
      </c>
      <c r="AE169" s="17">
        <f>IF(COUNT(C169:P169)=0,"",IFERROR(K169/H169,0))</f>
        <v/>
      </c>
      <c r="AF169" s="17">
        <f>IF(COUNT(C169:P169)=0,"",IFERROR(L169/H169,0))</f>
        <v/>
      </c>
      <c r="AG169" s="14">
        <f>IF(COUNT(C169:P169)=0,"",IFERROR(C169/K169,0))</f>
        <v/>
      </c>
      <c r="AH169" s="17">
        <f>IF(COUNT(C169:P169)=0,"",IFERROR(M169/K169,0))</f>
        <v/>
      </c>
      <c r="AI169" s="14">
        <f>IF(COUNT(C169:P169)=0,"",IFERROR(C169/M169,0))</f>
        <v/>
      </c>
      <c r="AJ169" s="17">
        <f>IF(COUNT(C169:P169)=0,"",IFERROR(N169/M169,0))</f>
        <v/>
      </c>
      <c r="AK169" s="16">
        <f>IF(COUNT(C169:P169)=0,"",IFERROR(N169/H169,0))</f>
        <v/>
      </c>
      <c r="AL169" s="14">
        <f>IF(COUNT(C169:P169)=0,"",IFERROR(C169/N169,0))</f>
        <v/>
      </c>
      <c r="AM169" s="17">
        <f>IF(COUNT(C169:P169)=0,"",IFERROR(O169/N169,0))</f>
        <v/>
      </c>
      <c r="AN169" s="17">
        <f>IF(COUNT(C169:P169)=0,"",IFERROR(P169/N169,0))</f>
        <v/>
      </c>
      <c r="AO169" s="19">
        <f>IF(COUNT(C169:P169)=0,"",IFERROR(N169*Config!$C$7+O169*Config!$C$8+P169*Config!$C$9,0))</f>
        <v/>
      </c>
      <c r="AP169" s="14">
        <f>IF(COUNT(C169:P169)=0,"",IFERROR(AO169/N169,0))</f>
        <v/>
      </c>
      <c r="AQ169" s="19">
        <f>IF(COUNT(C169:P169)=0,"",IFERROR(AO169*(1-Config!$C$10-Config!$C$11-Config!$C$12),0))</f>
        <v/>
      </c>
      <c r="AR169" s="19">
        <f>IF(COUNT(C169:P169)=0,"",IFERROR(AQ169-C169-Config!$C$13,0))</f>
        <v/>
      </c>
      <c r="AS169" s="20">
        <f>IF(COUNT(C169:P169)=0,"",IFERROR(AQ169/C169,0))</f>
        <v/>
      </c>
      <c r="AT169" s="14">
        <f>IF(COUNT(C169:P169)=0,"",IFERROR(AR169/G169,0))</f>
        <v/>
      </c>
      <c r="AU169" s="20">
        <f>IF(COUNT(C169:P169)=0,"",IFERROR(AT169/V169,0))</f>
        <v/>
      </c>
      <c r="AV169" s="14">
        <f>IF(COUNT(C169:P169)=0,"",IFERROR(AR169/H169,0))</f>
        <v/>
      </c>
    </row>
    <row r="170">
      <c r="A170" s="11">
        <f>Config!$C$6+164</f>
        <v/>
      </c>
      <c r="B170" s="12">
        <f>INT((A170-Config!$C$6)/7)+1</f>
        <v/>
      </c>
      <c r="C170" s="9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4">
        <f>IF(COUNT(C170:P170)=0,"",IFERROR(C170/D170*1000,0))</f>
        <v/>
      </c>
      <c r="R170" s="15">
        <f>IF(COUNT(C170:P170)=0,"",IFERROR(D170/E170,0))</f>
        <v/>
      </c>
      <c r="S170" s="16">
        <f>IF(COUNT(C170:P170)=0,"",IFERROR(F170/D170,0))</f>
        <v/>
      </c>
      <c r="T170" s="14">
        <f>IF(COUNT(C170:P170)=0,"",IFERROR(C170/F170,0))</f>
        <v/>
      </c>
      <c r="U170" s="17">
        <f>IF(COUNT(C170:P170)=0,"",IFERROR(G170/F170,0))</f>
        <v/>
      </c>
      <c r="V170" s="14">
        <f>IF(COUNT(C170:P170)=0,"",IFERROR(C170/G170,0))</f>
        <v/>
      </c>
      <c r="W170" s="18">
        <f>IF(COUNT(C170:P170)=0,"",IFERROR(G170/D170*1000,0))</f>
        <v/>
      </c>
      <c r="X170" s="17">
        <f>IF(COUNT(C170:P170)=0,"",IFERROR(H170/G170,0))</f>
        <v/>
      </c>
      <c r="Y170" s="14">
        <f>IF(COUNT(C170:P170)=0,"",IFERROR(C170/H170,0))</f>
        <v/>
      </c>
      <c r="Z170" s="14">
        <f>IF(COUNT(C170:P170)=0,"",IFERROR(C170/I170,0))</f>
        <v/>
      </c>
      <c r="AA170" s="17">
        <f>IF(COUNT(C170:P170)=0,"",IFERROR(Y170/Q170,0))</f>
        <v/>
      </c>
      <c r="AB170" s="18">
        <f>IF(COUNT(C170:P170)=0,"",IFERROR(H170/D170*1000,0))</f>
        <v/>
      </c>
      <c r="AC170" s="17">
        <f>IF(COUNT(C170:P170)=0,"",IFERROR(J170/H170,0))</f>
        <v/>
      </c>
      <c r="AD170" s="14">
        <f>IF(COUNT(C170:P170)=0,"",IFERROR(C170/J170,0))</f>
        <v/>
      </c>
      <c r="AE170" s="17">
        <f>IF(COUNT(C170:P170)=0,"",IFERROR(K170/H170,0))</f>
        <v/>
      </c>
      <c r="AF170" s="17">
        <f>IF(COUNT(C170:P170)=0,"",IFERROR(L170/H170,0))</f>
        <v/>
      </c>
      <c r="AG170" s="14">
        <f>IF(COUNT(C170:P170)=0,"",IFERROR(C170/K170,0))</f>
        <v/>
      </c>
      <c r="AH170" s="17">
        <f>IF(COUNT(C170:P170)=0,"",IFERROR(M170/K170,0))</f>
        <v/>
      </c>
      <c r="AI170" s="14">
        <f>IF(COUNT(C170:P170)=0,"",IFERROR(C170/M170,0))</f>
        <v/>
      </c>
      <c r="AJ170" s="17">
        <f>IF(COUNT(C170:P170)=0,"",IFERROR(N170/M170,0))</f>
        <v/>
      </c>
      <c r="AK170" s="16">
        <f>IF(COUNT(C170:P170)=0,"",IFERROR(N170/H170,0))</f>
        <v/>
      </c>
      <c r="AL170" s="14">
        <f>IF(COUNT(C170:P170)=0,"",IFERROR(C170/N170,0))</f>
        <v/>
      </c>
      <c r="AM170" s="17">
        <f>IF(COUNT(C170:P170)=0,"",IFERROR(O170/N170,0))</f>
        <v/>
      </c>
      <c r="AN170" s="17">
        <f>IF(COUNT(C170:P170)=0,"",IFERROR(P170/N170,0))</f>
        <v/>
      </c>
      <c r="AO170" s="19">
        <f>IF(COUNT(C170:P170)=0,"",IFERROR(N170*Config!$C$7+O170*Config!$C$8+P170*Config!$C$9,0))</f>
        <v/>
      </c>
      <c r="AP170" s="14">
        <f>IF(COUNT(C170:P170)=0,"",IFERROR(AO170/N170,0))</f>
        <v/>
      </c>
      <c r="AQ170" s="19">
        <f>IF(COUNT(C170:P170)=0,"",IFERROR(AO170*(1-Config!$C$10-Config!$C$11-Config!$C$12),0))</f>
        <v/>
      </c>
      <c r="AR170" s="19">
        <f>IF(COUNT(C170:P170)=0,"",IFERROR(AQ170-C170-Config!$C$13,0))</f>
        <v/>
      </c>
      <c r="AS170" s="20">
        <f>IF(COUNT(C170:P170)=0,"",IFERROR(AQ170/C170,0))</f>
        <v/>
      </c>
      <c r="AT170" s="14">
        <f>IF(COUNT(C170:P170)=0,"",IFERROR(AR170/G170,0))</f>
        <v/>
      </c>
      <c r="AU170" s="20">
        <f>IF(COUNT(C170:P170)=0,"",IFERROR(AT170/V170,0))</f>
        <v/>
      </c>
      <c r="AV170" s="14">
        <f>IF(COUNT(C170:P170)=0,"",IFERROR(AR170/H170,0))</f>
        <v/>
      </c>
    </row>
    <row r="171">
      <c r="A171" s="11">
        <f>Config!$C$6+165</f>
        <v/>
      </c>
      <c r="B171" s="12">
        <f>INT((A171-Config!$C$6)/7)+1</f>
        <v/>
      </c>
      <c r="C171" s="9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4">
        <f>IF(COUNT(C171:P171)=0,"",IFERROR(C171/D171*1000,0))</f>
        <v/>
      </c>
      <c r="R171" s="15">
        <f>IF(COUNT(C171:P171)=0,"",IFERROR(D171/E171,0))</f>
        <v/>
      </c>
      <c r="S171" s="16">
        <f>IF(COUNT(C171:P171)=0,"",IFERROR(F171/D171,0))</f>
        <v/>
      </c>
      <c r="T171" s="14">
        <f>IF(COUNT(C171:P171)=0,"",IFERROR(C171/F171,0))</f>
        <v/>
      </c>
      <c r="U171" s="17">
        <f>IF(COUNT(C171:P171)=0,"",IFERROR(G171/F171,0))</f>
        <v/>
      </c>
      <c r="V171" s="14">
        <f>IF(COUNT(C171:P171)=0,"",IFERROR(C171/G171,0))</f>
        <v/>
      </c>
      <c r="W171" s="18">
        <f>IF(COUNT(C171:P171)=0,"",IFERROR(G171/D171*1000,0))</f>
        <v/>
      </c>
      <c r="X171" s="17">
        <f>IF(COUNT(C171:P171)=0,"",IFERROR(H171/G171,0))</f>
        <v/>
      </c>
      <c r="Y171" s="14">
        <f>IF(COUNT(C171:P171)=0,"",IFERROR(C171/H171,0))</f>
        <v/>
      </c>
      <c r="Z171" s="14">
        <f>IF(COUNT(C171:P171)=0,"",IFERROR(C171/I171,0))</f>
        <v/>
      </c>
      <c r="AA171" s="17">
        <f>IF(COUNT(C171:P171)=0,"",IFERROR(Y171/Q171,0))</f>
        <v/>
      </c>
      <c r="AB171" s="18">
        <f>IF(COUNT(C171:P171)=0,"",IFERROR(H171/D171*1000,0))</f>
        <v/>
      </c>
      <c r="AC171" s="17">
        <f>IF(COUNT(C171:P171)=0,"",IFERROR(J171/H171,0))</f>
        <v/>
      </c>
      <c r="AD171" s="14">
        <f>IF(COUNT(C171:P171)=0,"",IFERROR(C171/J171,0))</f>
        <v/>
      </c>
      <c r="AE171" s="17">
        <f>IF(COUNT(C171:P171)=0,"",IFERROR(K171/H171,0))</f>
        <v/>
      </c>
      <c r="AF171" s="17">
        <f>IF(COUNT(C171:P171)=0,"",IFERROR(L171/H171,0))</f>
        <v/>
      </c>
      <c r="AG171" s="14">
        <f>IF(COUNT(C171:P171)=0,"",IFERROR(C171/K171,0))</f>
        <v/>
      </c>
      <c r="AH171" s="17">
        <f>IF(COUNT(C171:P171)=0,"",IFERROR(M171/K171,0))</f>
        <v/>
      </c>
      <c r="AI171" s="14">
        <f>IF(COUNT(C171:P171)=0,"",IFERROR(C171/M171,0))</f>
        <v/>
      </c>
      <c r="AJ171" s="17">
        <f>IF(COUNT(C171:P171)=0,"",IFERROR(N171/M171,0))</f>
        <v/>
      </c>
      <c r="AK171" s="16">
        <f>IF(COUNT(C171:P171)=0,"",IFERROR(N171/H171,0))</f>
        <v/>
      </c>
      <c r="AL171" s="14">
        <f>IF(COUNT(C171:P171)=0,"",IFERROR(C171/N171,0))</f>
        <v/>
      </c>
      <c r="AM171" s="17">
        <f>IF(COUNT(C171:P171)=0,"",IFERROR(O171/N171,0))</f>
        <v/>
      </c>
      <c r="AN171" s="17">
        <f>IF(COUNT(C171:P171)=0,"",IFERROR(P171/N171,0))</f>
        <v/>
      </c>
      <c r="AO171" s="19">
        <f>IF(COUNT(C171:P171)=0,"",IFERROR(N171*Config!$C$7+O171*Config!$C$8+P171*Config!$C$9,0))</f>
        <v/>
      </c>
      <c r="AP171" s="14">
        <f>IF(COUNT(C171:P171)=0,"",IFERROR(AO171/N171,0))</f>
        <v/>
      </c>
      <c r="AQ171" s="19">
        <f>IF(COUNT(C171:P171)=0,"",IFERROR(AO171*(1-Config!$C$10-Config!$C$11-Config!$C$12),0))</f>
        <v/>
      </c>
      <c r="AR171" s="19">
        <f>IF(COUNT(C171:P171)=0,"",IFERROR(AQ171-C171-Config!$C$13,0))</f>
        <v/>
      </c>
      <c r="AS171" s="20">
        <f>IF(COUNT(C171:P171)=0,"",IFERROR(AQ171/C171,0))</f>
        <v/>
      </c>
      <c r="AT171" s="14">
        <f>IF(COUNT(C171:P171)=0,"",IFERROR(AR171/G171,0))</f>
        <v/>
      </c>
      <c r="AU171" s="20">
        <f>IF(COUNT(C171:P171)=0,"",IFERROR(AT171/V171,0))</f>
        <v/>
      </c>
      <c r="AV171" s="14">
        <f>IF(COUNT(C171:P171)=0,"",IFERROR(AR171/H171,0))</f>
        <v/>
      </c>
    </row>
    <row r="172">
      <c r="A172" s="11">
        <f>Config!$C$6+166</f>
        <v/>
      </c>
      <c r="B172" s="12">
        <f>INT((A172-Config!$C$6)/7)+1</f>
        <v/>
      </c>
      <c r="C172" s="9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4">
        <f>IF(COUNT(C172:P172)=0,"",IFERROR(C172/D172*1000,0))</f>
        <v/>
      </c>
      <c r="R172" s="15">
        <f>IF(COUNT(C172:P172)=0,"",IFERROR(D172/E172,0))</f>
        <v/>
      </c>
      <c r="S172" s="16">
        <f>IF(COUNT(C172:P172)=0,"",IFERROR(F172/D172,0))</f>
        <v/>
      </c>
      <c r="T172" s="14">
        <f>IF(COUNT(C172:P172)=0,"",IFERROR(C172/F172,0))</f>
        <v/>
      </c>
      <c r="U172" s="17">
        <f>IF(COUNT(C172:P172)=0,"",IFERROR(G172/F172,0))</f>
        <v/>
      </c>
      <c r="V172" s="14">
        <f>IF(COUNT(C172:P172)=0,"",IFERROR(C172/G172,0))</f>
        <v/>
      </c>
      <c r="W172" s="18">
        <f>IF(COUNT(C172:P172)=0,"",IFERROR(G172/D172*1000,0))</f>
        <v/>
      </c>
      <c r="X172" s="17">
        <f>IF(COUNT(C172:P172)=0,"",IFERROR(H172/G172,0))</f>
        <v/>
      </c>
      <c r="Y172" s="14">
        <f>IF(COUNT(C172:P172)=0,"",IFERROR(C172/H172,0))</f>
        <v/>
      </c>
      <c r="Z172" s="14">
        <f>IF(COUNT(C172:P172)=0,"",IFERROR(C172/I172,0))</f>
        <v/>
      </c>
      <c r="AA172" s="17">
        <f>IF(COUNT(C172:P172)=0,"",IFERROR(Y172/Q172,0))</f>
        <v/>
      </c>
      <c r="AB172" s="18">
        <f>IF(COUNT(C172:P172)=0,"",IFERROR(H172/D172*1000,0))</f>
        <v/>
      </c>
      <c r="AC172" s="17">
        <f>IF(COUNT(C172:P172)=0,"",IFERROR(J172/H172,0))</f>
        <v/>
      </c>
      <c r="AD172" s="14">
        <f>IF(COUNT(C172:P172)=0,"",IFERROR(C172/J172,0))</f>
        <v/>
      </c>
      <c r="AE172" s="17">
        <f>IF(COUNT(C172:P172)=0,"",IFERROR(K172/H172,0))</f>
        <v/>
      </c>
      <c r="AF172" s="17">
        <f>IF(COUNT(C172:P172)=0,"",IFERROR(L172/H172,0))</f>
        <v/>
      </c>
      <c r="AG172" s="14">
        <f>IF(COUNT(C172:P172)=0,"",IFERROR(C172/K172,0))</f>
        <v/>
      </c>
      <c r="AH172" s="17">
        <f>IF(COUNT(C172:P172)=0,"",IFERROR(M172/K172,0))</f>
        <v/>
      </c>
      <c r="AI172" s="14">
        <f>IF(COUNT(C172:P172)=0,"",IFERROR(C172/M172,0))</f>
        <v/>
      </c>
      <c r="AJ172" s="17">
        <f>IF(COUNT(C172:P172)=0,"",IFERROR(N172/M172,0))</f>
        <v/>
      </c>
      <c r="AK172" s="16">
        <f>IF(COUNT(C172:P172)=0,"",IFERROR(N172/H172,0))</f>
        <v/>
      </c>
      <c r="AL172" s="14">
        <f>IF(COUNT(C172:P172)=0,"",IFERROR(C172/N172,0))</f>
        <v/>
      </c>
      <c r="AM172" s="17">
        <f>IF(COUNT(C172:P172)=0,"",IFERROR(O172/N172,0))</f>
        <v/>
      </c>
      <c r="AN172" s="17">
        <f>IF(COUNT(C172:P172)=0,"",IFERROR(P172/N172,0))</f>
        <v/>
      </c>
      <c r="AO172" s="19">
        <f>IF(COUNT(C172:P172)=0,"",IFERROR(N172*Config!$C$7+O172*Config!$C$8+P172*Config!$C$9,0))</f>
        <v/>
      </c>
      <c r="AP172" s="14">
        <f>IF(COUNT(C172:P172)=0,"",IFERROR(AO172/N172,0))</f>
        <v/>
      </c>
      <c r="AQ172" s="19">
        <f>IF(COUNT(C172:P172)=0,"",IFERROR(AO172*(1-Config!$C$10-Config!$C$11-Config!$C$12),0))</f>
        <v/>
      </c>
      <c r="AR172" s="19">
        <f>IF(COUNT(C172:P172)=0,"",IFERROR(AQ172-C172-Config!$C$13,0))</f>
        <v/>
      </c>
      <c r="AS172" s="20">
        <f>IF(COUNT(C172:P172)=0,"",IFERROR(AQ172/C172,0))</f>
        <v/>
      </c>
      <c r="AT172" s="14">
        <f>IF(COUNT(C172:P172)=0,"",IFERROR(AR172/G172,0))</f>
        <v/>
      </c>
      <c r="AU172" s="20">
        <f>IF(COUNT(C172:P172)=0,"",IFERROR(AT172/V172,0))</f>
        <v/>
      </c>
      <c r="AV172" s="14">
        <f>IF(COUNT(C172:P172)=0,"",IFERROR(AR172/H172,0))</f>
        <v/>
      </c>
    </row>
    <row r="173">
      <c r="A173" s="11">
        <f>Config!$C$6+167</f>
        <v/>
      </c>
      <c r="B173" s="12">
        <f>INT((A173-Config!$C$6)/7)+1</f>
        <v/>
      </c>
      <c r="C173" s="9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4">
        <f>IF(COUNT(C173:P173)=0,"",IFERROR(C173/D173*1000,0))</f>
        <v/>
      </c>
      <c r="R173" s="15">
        <f>IF(COUNT(C173:P173)=0,"",IFERROR(D173/E173,0))</f>
        <v/>
      </c>
      <c r="S173" s="16">
        <f>IF(COUNT(C173:P173)=0,"",IFERROR(F173/D173,0))</f>
        <v/>
      </c>
      <c r="T173" s="14">
        <f>IF(COUNT(C173:P173)=0,"",IFERROR(C173/F173,0))</f>
        <v/>
      </c>
      <c r="U173" s="17">
        <f>IF(COUNT(C173:P173)=0,"",IFERROR(G173/F173,0))</f>
        <v/>
      </c>
      <c r="V173" s="14">
        <f>IF(COUNT(C173:P173)=0,"",IFERROR(C173/G173,0))</f>
        <v/>
      </c>
      <c r="W173" s="18">
        <f>IF(COUNT(C173:P173)=0,"",IFERROR(G173/D173*1000,0))</f>
        <v/>
      </c>
      <c r="X173" s="17">
        <f>IF(COUNT(C173:P173)=0,"",IFERROR(H173/G173,0))</f>
        <v/>
      </c>
      <c r="Y173" s="14">
        <f>IF(COUNT(C173:P173)=0,"",IFERROR(C173/H173,0))</f>
        <v/>
      </c>
      <c r="Z173" s="14">
        <f>IF(COUNT(C173:P173)=0,"",IFERROR(C173/I173,0))</f>
        <v/>
      </c>
      <c r="AA173" s="17">
        <f>IF(COUNT(C173:P173)=0,"",IFERROR(Y173/Q173,0))</f>
        <v/>
      </c>
      <c r="AB173" s="18">
        <f>IF(COUNT(C173:P173)=0,"",IFERROR(H173/D173*1000,0))</f>
        <v/>
      </c>
      <c r="AC173" s="17">
        <f>IF(COUNT(C173:P173)=0,"",IFERROR(J173/H173,0))</f>
        <v/>
      </c>
      <c r="AD173" s="14">
        <f>IF(COUNT(C173:P173)=0,"",IFERROR(C173/J173,0))</f>
        <v/>
      </c>
      <c r="AE173" s="17">
        <f>IF(COUNT(C173:P173)=0,"",IFERROR(K173/H173,0))</f>
        <v/>
      </c>
      <c r="AF173" s="17">
        <f>IF(COUNT(C173:P173)=0,"",IFERROR(L173/H173,0))</f>
        <v/>
      </c>
      <c r="AG173" s="14">
        <f>IF(COUNT(C173:P173)=0,"",IFERROR(C173/K173,0))</f>
        <v/>
      </c>
      <c r="AH173" s="17">
        <f>IF(COUNT(C173:P173)=0,"",IFERROR(M173/K173,0))</f>
        <v/>
      </c>
      <c r="AI173" s="14">
        <f>IF(COUNT(C173:P173)=0,"",IFERROR(C173/M173,0))</f>
        <v/>
      </c>
      <c r="AJ173" s="17">
        <f>IF(COUNT(C173:P173)=0,"",IFERROR(N173/M173,0))</f>
        <v/>
      </c>
      <c r="AK173" s="16">
        <f>IF(COUNT(C173:P173)=0,"",IFERROR(N173/H173,0))</f>
        <v/>
      </c>
      <c r="AL173" s="14">
        <f>IF(COUNT(C173:P173)=0,"",IFERROR(C173/N173,0))</f>
        <v/>
      </c>
      <c r="AM173" s="17">
        <f>IF(COUNT(C173:P173)=0,"",IFERROR(O173/N173,0))</f>
        <v/>
      </c>
      <c r="AN173" s="17">
        <f>IF(COUNT(C173:P173)=0,"",IFERROR(P173/N173,0))</f>
        <v/>
      </c>
      <c r="AO173" s="19">
        <f>IF(COUNT(C173:P173)=0,"",IFERROR(N173*Config!$C$7+O173*Config!$C$8+P173*Config!$C$9,0))</f>
        <v/>
      </c>
      <c r="AP173" s="14">
        <f>IF(COUNT(C173:P173)=0,"",IFERROR(AO173/N173,0))</f>
        <v/>
      </c>
      <c r="AQ173" s="19">
        <f>IF(COUNT(C173:P173)=0,"",IFERROR(AO173*(1-Config!$C$10-Config!$C$11-Config!$C$12),0))</f>
        <v/>
      </c>
      <c r="AR173" s="19">
        <f>IF(COUNT(C173:P173)=0,"",IFERROR(AQ173-C173-Config!$C$13,0))</f>
        <v/>
      </c>
      <c r="AS173" s="20">
        <f>IF(COUNT(C173:P173)=0,"",IFERROR(AQ173/C173,0))</f>
        <v/>
      </c>
      <c r="AT173" s="14">
        <f>IF(COUNT(C173:P173)=0,"",IFERROR(AR173/G173,0))</f>
        <v/>
      </c>
      <c r="AU173" s="20">
        <f>IF(COUNT(C173:P173)=0,"",IFERROR(AT173/V173,0))</f>
        <v/>
      </c>
      <c r="AV173" s="14">
        <f>IF(COUNT(C173:P173)=0,"",IFERROR(AR173/H173,0))</f>
        <v/>
      </c>
    </row>
    <row r="174">
      <c r="A174" s="11">
        <f>Config!$C$6+168</f>
        <v/>
      </c>
      <c r="B174" s="12">
        <f>INT((A174-Config!$C$6)/7)+1</f>
        <v/>
      </c>
      <c r="C174" s="9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4">
        <f>IF(COUNT(C174:P174)=0,"",IFERROR(C174/D174*1000,0))</f>
        <v/>
      </c>
      <c r="R174" s="15">
        <f>IF(COUNT(C174:P174)=0,"",IFERROR(D174/E174,0))</f>
        <v/>
      </c>
      <c r="S174" s="16">
        <f>IF(COUNT(C174:P174)=0,"",IFERROR(F174/D174,0))</f>
        <v/>
      </c>
      <c r="T174" s="14">
        <f>IF(COUNT(C174:P174)=0,"",IFERROR(C174/F174,0))</f>
        <v/>
      </c>
      <c r="U174" s="17">
        <f>IF(COUNT(C174:P174)=0,"",IFERROR(G174/F174,0))</f>
        <v/>
      </c>
      <c r="V174" s="14">
        <f>IF(COUNT(C174:P174)=0,"",IFERROR(C174/G174,0))</f>
        <v/>
      </c>
      <c r="W174" s="18">
        <f>IF(COUNT(C174:P174)=0,"",IFERROR(G174/D174*1000,0))</f>
        <v/>
      </c>
      <c r="X174" s="17">
        <f>IF(COUNT(C174:P174)=0,"",IFERROR(H174/G174,0))</f>
        <v/>
      </c>
      <c r="Y174" s="14">
        <f>IF(COUNT(C174:P174)=0,"",IFERROR(C174/H174,0))</f>
        <v/>
      </c>
      <c r="Z174" s="14">
        <f>IF(COUNT(C174:P174)=0,"",IFERROR(C174/I174,0))</f>
        <v/>
      </c>
      <c r="AA174" s="17">
        <f>IF(COUNT(C174:P174)=0,"",IFERROR(Y174/Q174,0))</f>
        <v/>
      </c>
      <c r="AB174" s="18">
        <f>IF(COUNT(C174:P174)=0,"",IFERROR(H174/D174*1000,0))</f>
        <v/>
      </c>
      <c r="AC174" s="17">
        <f>IF(COUNT(C174:P174)=0,"",IFERROR(J174/H174,0))</f>
        <v/>
      </c>
      <c r="AD174" s="14">
        <f>IF(COUNT(C174:P174)=0,"",IFERROR(C174/J174,0))</f>
        <v/>
      </c>
      <c r="AE174" s="17">
        <f>IF(COUNT(C174:P174)=0,"",IFERROR(K174/H174,0))</f>
        <v/>
      </c>
      <c r="AF174" s="17">
        <f>IF(COUNT(C174:P174)=0,"",IFERROR(L174/H174,0))</f>
        <v/>
      </c>
      <c r="AG174" s="14">
        <f>IF(COUNT(C174:P174)=0,"",IFERROR(C174/K174,0))</f>
        <v/>
      </c>
      <c r="AH174" s="17">
        <f>IF(COUNT(C174:P174)=0,"",IFERROR(M174/K174,0))</f>
        <v/>
      </c>
      <c r="AI174" s="14">
        <f>IF(COUNT(C174:P174)=0,"",IFERROR(C174/M174,0))</f>
        <v/>
      </c>
      <c r="AJ174" s="17">
        <f>IF(COUNT(C174:P174)=0,"",IFERROR(N174/M174,0))</f>
        <v/>
      </c>
      <c r="AK174" s="16">
        <f>IF(COUNT(C174:P174)=0,"",IFERROR(N174/H174,0))</f>
        <v/>
      </c>
      <c r="AL174" s="14">
        <f>IF(COUNT(C174:P174)=0,"",IFERROR(C174/N174,0))</f>
        <v/>
      </c>
      <c r="AM174" s="17">
        <f>IF(COUNT(C174:P174)=0,"",IFERROR(O174/N174,0))</f>
        <v/>
      </c>
      <c r="AN174" s="17">
        <f>IF(COUNT(C174:P174)=0,"",IFERROR(P174/N174,0))</f>
        <v/>
      </c>
      <c r="AO174" s="19">
        <f>IF(COUNT(C174:P174)=0,"",IFERROR(N174*Config!$C$7+O174*Config!$C$8+P174*Config!$C$9,0))</f>
        <v/>
      </c>
      <c r="AP174" s="14">
        <f>IF(COUNT(C174:P174)=0,"",IFERROR(AO174/N174,0))</f>
        <v/>
      </c>
      <c r="AQ174" s="19">
        <f>IF(COUNT(C174:P174)=0,"",IFERROR(AO174*(1-Config!$C$10-Config!$C$11-Config!$C$12),0))</f>
        <v/>
      </c>
      <c r="AR174" s="19">
        <f>IF(COUNT(C174:P174)=0,"",IFERROR(AQ174-C174-Config!$C$13,0))</f>
        <v/>
      </c>
      <c r="AS174" s="20">
        <f>IF(COUNT(C174:P174)=0,"",IFERROR(AQ174/C174,0))</f>
        <v/>
      </c>
      <c r="AT174" s="14">
        <f>IF(COUNT(C174:P174)=0,"",IFERROR(AR174/G174,0))</f>
        <v/>
      </c>
      <c r="AU174" s="20">
        <f>IF(COUNT(C174:P174)=0,"",IFERROR(AT174/V174,0))</f>
        <v/>
      </c>
      <c r="AV174" s="14">
        <f>IF(COUNT(C174:P174)=0,"",IFERROR(AR174/H174,0))</f>
        <v/>
      </c>
    </row>
    <row r="175">
      <c r="A175" s="11">
        <f>Config!$C$6+169</f>
        <v/>
      </c>
      <c r="B175" s="12">
        <f>INT((A175-Config!$C$6)/7)+1</f>
        <v/>
      </c>
      <c r="C175" s="9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4">
        <f>IF(COUNT(C175:P175)=0,"",IFERROR(C175/D175*1000,0))</f>
        <v/>
      </c>
      <c r="R175" s="15">
        <f>IF(COUNT(C175:P175)=0,"",IFERROR(D175/E175,0))</f>
        <v/>
      </c>
      <c r="S175" s="16">
        <f>IF(COUNT(C175:P175)=0,"",IFERROR(F175/D175,0))</f>
        <v/>
      </c>
      <c r="T175" s="14">
        <f>IF(COUNT(C175:P175)=0,"",IFERROR(C175/F175,0))</f>
        <v/>
      </c>
      <c r="U175" s="17">
        <f>IF(COUNT(C175:P175)=0,"",IFERROR(G175/F175,0))</f>
        <v/>
      </c>
      <c r="V175" s="14">
        <f>IF(COUNT(C175:P175)=0,"",IFERROR(C175/G175,0))</f>
        <v/>
      </c>
      <c r="W175" s="18">
        <f>IF(COUNT(C175:P175)=0,"",IFERROR(G175/D175*1000,0))</f>
        <v/>
      </c>
      <c r="X175" s="17">
        <f>IF(COUNT(C175:P175)=0,"",IFERROR(H175/G175,0))</f>
        <v/>
      </c>
      <c r="Y175" s="14">
        <f>IF(COUNT(C175:P175)=0,"",IFERROR(C175/H175,0))</f>
        <v/>
      </c>
      <c r="Z175" s="14">
        <f>IF(COUNT(C175:P175)=0,"",IFERROR(C175/I175,0))</f>
        <v/>
      </c>
      <c r="AA175" s="17">
        <f>IF(COUNT(C175:P175)=0,"",IFERROR(Y175/Q175,0))</f>
        <v/>
      </c>
      <c r="AB175" s="18">
        <f>IF(COUNT(C175:P175)=0,"",IFERROR(H175/D175*1000,0))</f>
        <v/>
      </c>
      <c r="AC175" s="17">
        <f>IF(COUNT(C175:P175)=0,"",IFERROR(J175/H175,0))</f>
        <v/>
      </c>
      <c r="AD175" s="14">
        <f>IF(COUNT(C175:P175)=0,"",IFERROR(C175/J175,0))</f>
        <v/>
      </c>
      <c r="AE175" s="17">
        <f>IF(COUNT(C175:P175)=0,"",IFERROR(K175/H175,0))</f>
        <v/>
      </c>
      <c r="AF175" s="17">
        <f>IF(COUNT(C175:P175)=0,"",IFERROR(L175/H175,0))</f>
        <v/>
      </c>
      <c r="AG175" s="14">
        <f>IF(COUNT(C175:P175)=0,"",IFERROR(C175/K175,0))</f>
        <v/>
      </c>
      <c r="AH175" s="17">
        <f>IF(COUNT(C175:P175)=0,"",IFERROR(M175/K175,0))</f>
        <v/>
      </c>
      <c r="AI175" s="14">
        <f>IF(COUNT(C175:P175)=0,"",IFERROR(C175/M175,0))</f>
        <v/>
      </c>
      <c r="AJ175" s="17">
        <f>IF(COUNT(C175:P175)=0,"",IFERROR(N175/M175,0))</f>
        <v/>
      </c>
      <c r="AK175" s="16">
        <f>IF(COUNT(C175:P175)=0,"",IFERROR(N175/H175,0))</f>
        <v/>
      </c>
      <c r="AL175" s="14">
        <f>IF(COUNT(C175:P175)=0,"",IFERROR(C175/N175,0))</f>
        <v/>
      </c>
      <c r="AM175" s="17">
        <f>IF(COUNT(C175:P175)=0,"",IFERROR(O175/N175,0))</f>
        <v/>
      </c>
      <c r="AN175" s="17">
        <f>IF(COUNT(C175:P175)=0,"",IFERROR(P175/N175,0))</f>
        <v/>
      </c>
      <c r="AO175" s="19">
        <f>IF(COUNT(C175:P175)=0,"",IFERROR(N175*Config!$C$7+O175*Config!$C$8+P175*Config!$C$9,0))</f>
        <v/>
      </c>
      <c r="AP175" s="14">
        <f>IF(COUNT(C175:P175)=0,"",IFERROR(AO175/N175,0))</f>
        <v/>
      </c>
      <c r="AQ175" s="19">
        <f>IF(COUNT(C175:P175)=0,"",IFERROR(AO175*(1-Config!$C$10-Config!$C$11-Config!$C$12),0))</f>
        <v/>
      </c>
      <c r="AR175" s="19">
        <f>IF(COUNT(C175:P175)=0,"",IFERROR(AQ175-C175-Config!$C$13,0))</f>
        <v/>
      </c>
      <c r="AS175" s="20">
        <f>IF(COUNT(C175:P175)=0,"",IFERROR(AQ175/C175,0))</f>
        <v/>
      </c>
      <c r="AT175" s="14">
        <f>IF(COUNT(C175:P175)=0,"",IFERROR(AR175/G175,0))</f>
        <v/>
      </c>
      <c r="AU175" s="20">
        <f>IF(COUNT(C175:P175)=0,"",IFERROR(AT175/V175,0))</f>
        <v/>
      </c>
      <c r="AV175" s="14">
        <f>IF(COUNT(C175:P175)=0,"",IFERROR(AR175/H175,0))</f>
        <v/>
      </c>
    </row>
    <row r="176">
      <c r="A176" s="11">
        <f>Config!$C$6+170</f>
        <v/>
      </c>
      <c r="B176" s="12">
        <f>INT((A176-Config!$C$6)/7)+1</f>
        <v/>
      </c>
      <c r="C176" s="9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4">
        <f>IF(COUNT(C176:P176)=0,"",IFERROR(C176/D176*1000,0))</f>
        <v/>
      </c>
      <c r="R176" s="15">
        <f>IF(COUNT(C176:P176)=0,"",IFERROR(D176/E176,0))</f>
        <v/>
      </c>
      <c r="S176" s="16">
        <f>IF(COUNT(C176:P176)=0,"",IFERROR(F176/D176,0))</f>
        <v/>
      </c>
      <c r="T176" s="14">
        <f>IF(COUNT(C176:P176)=0,"",IFERROR(C176/F176,0))</f>
        <v/>
      </c>
      <c r="U176" s="17">
        <f>IF(COUNT(C176:P176)=0,"",IFERROR(G176/F176,0))</f>
        <v/>
      </c>
      <c r="V176" s="14">
        <f>IF(COUNT(C176:P176)=0,"",IFERROR(C176/G176,0))</f>
        <v/>
      </c>
      <c r="W176" s="18">
        <f>IF(COUNT(C176:P176)=0,"",IFERROR(G176/D176*1000,0))</f>
        <v/>
      </c>
      <c r="X176" s="17">
        <f>IF(COUNT(C176:P176)=0,"",IFERROR(H176/G176,0))</f>
        <v/>
      </c>
      <c r="Y176" s="14">
        <f>IF(COUNT(C176:P176)=0,"",IFERROR(C176/H176,0))</f>
        <v/>
      </c>
      <c r="Z176" s="14">
        <f>IF(COUNT(C176:P176)=0,"",IFERROR(C176/I176,0))</f>
        <v/>
      </c>
      <c r="AA176" s="17">
        <f>IF(COUNT(C176:P176)=0,"",IFERROR(Y176/Q176,0))</f>
        <v/>
      </c>
      <c r="AB176" s="18">
        <f>IF(COUNT(C176:P176)=0,"",IFERROR(H176/D176*1000,0))</f>
        <v/>
      </c>
      <c r="AC176" s="17">
        <f>IF(COUNT(C176:P176)=0,"",IFERROR(J176/H176,0))</f>
        <v/>
      </c>
      <c r="AD176" s="14">
        <f>IF(COUNT(C176:P176)=0,"",IFERROR(C176/J176,0))</f>
        <v/>
      </c>
      <c r="AE176" s="17">
        <f>IF(COUNT(C176:P176)=0,"",IFERROR(K176/H176,0))</f>
        <v/>
      </c>
      <c r="AF176" s="17">
        <f>IF(COUNT(C176:P176)=0,"",IFERROR(L176/H176,0))</f>
        <v/>
      </c>
      <c r="AG176" s="14">
        <f>IF(COUNT(C176:P176)=0,"",IFERROR(C176/K176,0))</f>
        <v/>
      </c>
      <c r="AH176" s="17">
        <f>IF(COUNT(C176:P176)=0,"",IFERROR(M176/K176,0))</f>
        <v/>
      </c>
      <c r="AI176" s="14">
        <f>IF(COUNT(C176:P176)=0,"",IFERROR(C176/M176,0))</f>
        <v/>
      </c>
      <c r="AJ176" s="17">
        <f>IF(COUNT(C176:P176)=0,"",IFERROR(N176/M176,0))</f>
        <v/>
      </c>
      <c r="AK176" s="16">
        <f>IF(COUNT(C176:P176)=0,"",IFERROR(N176/H176,0))</f>
        <v/>
      </c>
      <c r="AL176" s="14">
        <f>IF(COUNT(C176:P176)=0,"",IFERROR(C176/N176,0))</f>
        <v/>
      </c>
      <c r="AM176" s="17">
        <f>IF(COUNT(C176:P176)=0,"",IFERROR(O176/N176,0))</f>
        <v/>
      </c>
      <c r="AN176" s="17">
        <f>IF(COUNT(C176:P176)=0,"",IFERROR(P176/N176,0))</f>
        <v/>
      </c>
      <c r="AO176" s="19">
        <f>IF(COUNT(C176:P176)=0,"",IFERROR(N176*Config!$C$7+O176*Config!$C$8+P176*Config!$C$9,0))</f>
        <v/>
      </c>
      <c r="AP176" s="14">
        <f>IF(COUNT(C176:P176)=0,"",IFERROR(AO176/N176,0))</f>
        <v/>
      </c>
      <c r="AQ176" s="19">
        <f>IF(COUNT(C176:P176)=0,"",IFERROR(AO176*(1-Config!$C$10-Config!$C$11-Config!$C$12),0))</f>
        <v/>
      </c>
      <c r="AR176" s="19">
        <f>IF(COUNT(C176:P176)=0,"",IFERROR(AQ176-C176-Config!$C$13,0))</f>
        <v/>
      </c>
      <c r="AS176" s="20">
        <f>IF(COUNT(C176:P176)=0,"",IFERROR(AQ176/C176,0))</f>
        <v/>
      </c>
      <c r="AT176" s="14">
        <f>IF(COUNT(C176:P176)=0,"",IFERROR(AR176/G176,0))</f>
        <v/>
      </c>
      <c r="AU176" s="20">
        <f>IF(COUNT(C176:P176)=0,"",IFERROR(AT176/V176,0))</f>
        <v/>
      </c>
      <c r="AV176" s="14">
        <f>IF(COUNT(C176:P176)=0,"",IFERROR(AR176/H176,0))</f>
        <v/>
      </c>
    </row>
    <row r="177">
      <c r="A177" s="11">
        <f>Config!$C$6+171</f>
        <v/>
      </c>
      <c r="B177" s="12">
        <f>INT((A177-Config!$C$6)/7)+1</f>
        <v/>
      </c>
      <c r="C177" s="9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4">
        <f>IF(COUNT(C177:P177)=0,"",IFERROR(C177/D177*1000,0))</f>
        <v/>
      </c>
      <c r="R177" s="15">
        <f>IF(COUNT(C177:P177)=0,"",IFERROR(D177/E177,0))</f>
        <v/>
      </c>
      <c r="S177" s="16">
        <f>IF(COUNT(C177:P177)=0,"",IFERROR(F177/D177,0))</f>
        <v/>
      </c>
      <c r="T177" s="14">
        <f>IF(COUNT(C177:P177)=0,"",IFERROR(C177/F177,0))</f>
        <v/>
      </c>
      <c r="U177" s="17">
        <f>IF(COUNT(C177:P177)=0,"",IFERROR(G177/F177,0))</f>
        <v/>
      </c>
      <c r="V177" s="14">
        <f>IF(COUNT(C177:P177)=0,"",IFERROR(C177/G177,0))</f>
        <v/>
      </c>
      <c r="W177" s="18">
        <f>IF(COUNT(C177:P177)=0,"",IFERROR(G177/D177*1000,0))</f>
        <v/>
      </c>
      <c r="X177" s="17">
        <f>IF(COUNT(C177:P177)=0,"",IFERROR(H177/G177,0))</f>
        <v/>
      </c>
      <c r="Y177" s="14">
        <f>IF(COUNT(C177:P177)=0,"",IFERROR(C177/H177,0))</f>
        <v/>
      </c>
      <c r="Z177" s="14">
        <f>IF(COUNT(C177:P177)=0,"",IFERROR(C177/I177,0))</f>
        <v/>
      </c>
      <c r="AA177" s="17">
        <f>IF(COUNT(C177:P177)=0,"",IFERROR(Y177/Q177,0))</f>
        <v/>
      </c>
      <c r="AB177" s="18">
        <f>IF(COUNT(C177:P177)=0,"",IFERROR(H177/D177*1000,0))</f>
        <v/>
      </c>
      <c r="AC177" s="17">
        <f>IF(COUNT(C177:P177)=0,"",IFERROR(J177/H177,0))</f>
        <v/>
      </c>
      <c r="AD177" s="14">
        <f>IF(COUNT(C177:P177)=0,"",IFERROR(C177/J177,0))</f>
        <v/>
      </c>
      <c r="AE177" s="17">
        <f>IF(COUNT(C177:P177)=0,"",IFERROR(K177/H177,0))</f>
        <v/>
      </c>
      <c r="AF177" s="17">
        <f>IF(COUNT(C177:P177)=0,"",IFERROR(L177/H177,0))</f>
        <v/>
      </c>
      <c r="AG177" s="14">
        <f>IF(COUNT(C177:P177)=0,"",IFERROR(C177/K177,0))</f>
        <v/>
      </c>
      <c r="AH177" s="17">
        <f>IF(COUNT(C177:P177)=0,"",IFERROR(M177/K177,0))</f>
        <v/>
      </c>
      <c r="AI177" s="14">
        <f>IF(COUNT(C177:P177)=0,"",IFERROR(C177/M177,0))</f>
        <v/>
      </c>
      <c r="AJ177" s="17">
        <f>IF(COUNT(C177:P177)=0,"",IFERROR(N177/M177,0))</f>
        <v/>
      </c>
      <c r="AK177" s="16">
        <f>IF(COUNT(C177:P177)=0,"",IFERROR(N177/H177,0))</f>
        <v/>
      </c>
      <c r="AL177" s="14">
        <f>IF(COUNT(C177:P177)=0,"",IFERROR(C177/N177,0))</f>
        <v/>
      </c>
      <c r="AM177" s="17">
        <f>IF(COUNT(C177:P177)=0,"",IFERROR(O177/N177,0))</f>
        <v/>
      </c>
      <c r="AN177" s="17">
        <f>IF(COUNT(C177:P177)=0,"",IFERROR(P177/N177,0))</f>
        <v/>
      </c>
      <c r="AO177" s="19">
        <f>IF(COUNT(C177:P177)=0,"",IFERROR(N177*Config!$C$7+O177*Config!$C$8+P177*Config!$C$9,0))</f>
        <v/>
      </c>
      <c r="AP177" s="14">
        <f>IF(COUNT(C177:P177)=0,"",IFERROR(AO177/N177,0))</f>
        <v/>
      </c>
      <c r="AQ177" s="19">
        <f>IF(COUNT(C177:P177)=0,"",IFERROR(AO177*(1-Config!$C$10-Config!$C$11-Config!$C$12),0))</f>
        <v/>
      </c>
      <c r="AR177" s="19">
        <f>IF(COUNT(C177:P177)=0,"",IFERROR(AQ177-C177-Config!$C$13,0))</f>
        <v/>
      </c>
      <c r="AS177" s="20">
        <f>IF(COUNT(C177:P177)=0,"",IFERROR(AQ177/C177,0))</f>
        <v/>
      </c>
      <c r="AT177" s="14">
        <f>IF(COUNT(C177:P177)=0,"",IFERROR(AR177/G177,0))</f>
        <v/>
      </c>
      <c r="AU177" s="20">
        <f>IF(COUNT(C177:P177)=0,"",IFERROR(AT177/V177,0))</f>
        <v/>
      </c>
      <c r="AV177" s="14">
        <f>IF(COUNT(C177:P177)=0,"",IFERROR(AR177/H177,0))</f>
        <v/>
      </c>
    </row>
    <row r="178">
      <c r="A178" s="11">
        <f>Config!$C$6+172</f>
        <v/>
      </c>
      <c r="B178" s="12">
        <f>INT((A178-Config!$C$6)/7)+1</f>
        <v/>
      </c>
      <c r="C178" s="9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4">
        <f>IF(COUNT(C178:P178)=0,"",IFERROR(C178/D178*1000,0))</f>
        <v/>
      </c>
      <c r="R178" s="15">
        <f>IF(COUNT(C178:P178)=0,"",IFERROR(D178/E178,0))</f>
        <v/>
      </c>
      <c r="S178" s="16">
        <f>IF(COUNT(C178:P178)=0,"",IFERROR(F178/D178,0))</f>
        <v/>
      </c>
      <c r="T178" s="14">
        <f>IF(COUNT(C178:P178)=0,"",IFERROR(C178/F178,0))</f>
        <v/>
      </c>
      <c r="U178" s="17">
        <f>IF(COUNT(C178:P178)=0,"",IFERROR(G178/F178,0))</f>
        <v/>
      </c>
      <c r="V178" s="14">
        <f>IF(COUNT(C178:P178)=0,"",IFERROR(C178/G178,0))</f>
        <v/>
      </c>
      <c r="W178" s="18">
        <f>IF(COUNT(C178:P178)=0,"",IFERROR(G178/D178*1000,0))</f>
        <v/>
      </c>
      <c r="X178" s="17">
        <f>IF(COUNT(C178:P178)=0,"",IFERROR(H178/G178,0))</f>
        <v/>
      </c>
      <c r="Y178" s="14">
        <f>IF(COUNT(C178:P178)=0,"",IFERROR(C178/H178,0))</f>
        <v/>
      </c>
      <c r="Z178" s="14">
        <f>IF(COUNT(C178:P178)=0,"",IFERROR(C178/I178,0))</f>
        <v/>
      </c>
      <c r="AA178" s="17">
        <f>IF(COUNT(C178:P178)=0,"",IFERROR(Y178/Q178,0))</f>
        <v/>
      </c>
      <c r="AB178" s="18">
        <f>IF(COUNT(C178:P178)=0,"",IFERROR(H178/D178*1000,0))</f>
        <v/>
      </c>
      <c r="AC178" s="17">
        <f>IF(COUNT(C178:P178)=0,"",IFERROR(J178/H178,0))</f>
        <v/>
      </c>
      <c r="AD178" s="14">
        <f>IF(COUNT(C178:P178)=0,"",IFERROR(C178/J178,0))</f>
        <v/>
      </c>
      <c r="AE178" s="17">
        <f>IF(COUNT(C178:P178)=0,"",IFERROR(K178/H178,0))</f>
        <v/>
      </c>
      <c r="AF178" s="17">
        <f>IF(COUNT(C178:P178)=0,"",IFERROR(L178/H178,0))</f>
        <v/>
      </c>
      <c r="AG178" s="14">
        <f>IF(COUNT(C178:P178)=0,"",IFERROR(C178/K178,0))</f>
        <v/>
      </c>
      <c r="AH178" s="17">
        <f>IF(COUNT(C178:P178)=0,"",IFERROR(M178/K178,0))</f>
        <v/>
      </c>
      <c r="AI178" s="14">
        <f>IF(COUNT(C178:P178)=0,"",IFERROR(C178/M178,0))</f>
        <v/>
      </c>
      <c r="AJ178" s="17">
        <f>IF(COUNT(C178:P178)=0,"",IFERROR(N178/M178,0))</f>
        <v/>
      </c>
      <c r="AK178" s="16">
        <f>IF(COUNT(C178:P178)=0,"",IFERROR(N178/H178,0))</f>
        <v/>
      </c>
      <c r="AL178" s="14">
        <f>IF(COUNT(C178:P178)=0,"",IFERROR(C178/N178,0))</f>
        <v/>
      </c>
      <c r="AM178" s="17">
        <f>IF(COUNT(C178:P178)=0,"",IFERROR(O178/N178,0))</f>
        <v/>
      </c>
      <c r="AN178" s="17">
        <f>IF(COUNT(C178:P178)=0,"",IFERROR(P178/N178,0))</f>
        <v/>
      </c>
      <c r="AO178" s="19">
        <f>IF(COUNT(C178:P178)=0,"",IFERROR(N178*Config!$C$7+O178*Config!$C$8+P178*Config!$C$9,0))</f>
        <v/>
      </c>
      <c r="AP178" s="14">
        <f>IF(COUNT(C178:P178)=0,"",IFERROR(AO178/N178,0))</f>
        <v/>
      </c>
      <c r="AQ178" s="19">
        <f>IF(COUNT(C178:P178)=0,"",IFERROR(AO178*(1-Config!$C$10-Config!$C$11-Config!$C$12),0))</f>
        <v/>
      </c>
      <c r="AR178" s="19">
        <f>IF(COUNT(C178:P178)=0,"",IFERROR(AQ178-C178-Config!$C$13,0))</f>
        <v/>
      </c>
      <c r="AS178" s="20">
        <f>IF(COUNT(C178:P178)=0,"",IFERROR(AQ178/C178,0))</f>
        <v/>
      </c>
      <c r="AT178" s="14">
        <f>IF(COUNT(C178:P178)=0,"",IFERROR(AR178/G178,0))</f>
        <v/>
      </c>
      <c r="AU178" s="20">
        <f>IF(COUNT(C178:P178)=0,"",IFERROR(AT178/V178,0))</f>
        <v/>
      </c>
      <c r="AV178" s="14">
        <f>IF(COUNT(C178:P178)=0,"",IFERROR(AR178/H178,0))</f>
        <v/>
      </c>
    </row>
    <row r="179">
      <c r="A179" s="11">
        <f>Config!$C$6+173</f>
        <v/>
      </c>
      <c r="B179" s="12">
        <f>INT((A179-Config!$C$6)/7)+1</f>
        <v/>
      </c>
      <c r="C179" s="9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4">
        <f>IF(COUNT(C179:P179)=0,"",IFERROR(C179/D179*1000,0))</f>
        <v/>
      </c>
      <c r="R179" s="15">
        <f>IF(COUNT(C179:P179)=0,"",IFERROR(D179/E179,0))</f>
        <v/>
      </c>
      <c r="S179" s="16">
        <f>IF(COUNT(C179:P179)=0,"",IFERROR(F179/D179,0))</f>
        <v/>
      </c>
      <c r="T179" s="14">
        <f>IF(COUNT(C179:P179)=0,"",IFERROR(C179/F179,0))</f>
        <v/>
      </c>
      <c r="U179" s="17">
        <f>IF(COUNT(C179:P179)=0,"",IFERROR(G179/F179,0))</f>
        <v/>
      </c>
      <c r="V179" s="14">
        <f>IF(COUNT(C179:P179)=0,"",IFERROR(C179/G179,0))</f>
        <v/>
      </c>
      <c r="W179" s="18">
        <f>IF(COUNT(C179:P179)=0,"",IFERROR(G179/D179*1000,0))</f>
        <v/>
      </c>
      <c r="X179" s="17">
        <f>IF(COUNT(C179:P179)=0,"",IFERROR(H179/G179,0))</f>
        <v/>
      </c>
      <c r="Y179" s="14">
        <f>IF(COUNT(C179:P179)=0,"",IFERROR(C179/H179,0))</f>
        <v/>
      </c>
      <c r="Z179" s="14">
        <f>IF(COUNT(C179:P179)=0,"",IFERROR(C179/I179,0))</f>
        <v/>
      </c>
      <c r="AA179" s="17">
        <f>IF(COUNT(C179:P179)=0,"",IFERROR(Y179/Q179,0))</f>
        <v/>
      </c>
      <c r="AB179" s="18">
        <f>IF(COUNT(C179:P179)=0,"",IFERROR(H179/D179*1000,0))</f>
        <v/>
      </c>
      <c r="AC179" s="17">
        <f>IF(COUNT(C179:P179)=0,"",IFERROR(J179/H179,0))</f>
        <v/>
      </c>
      <c r="AD179" s="14">
        <f>IF(COUNT(C179:P179)=0,"",IFERROR(C179/J179,0))</f>
        <v/>
      </c>
      <c r="AE179" s="17">
        <f>IF(COUNT(C179:P179)=0,"",IFERROR(K179/H179,0))</f>
        <v/>
      </c>
      <c r="AF179" s="17">
        <f>IF(COUNT(C179:P179)=0,"",IFERROR(L179/H179,0))</f>
        <v/>
      </c>
      <c r="AG179" s="14">
        <f>IF(COUNT(C179:P179)=0,"",IFERROR(C179/K179,0))</f>
        <v/>
      </c>
      <c r="AH179" s="17">
        <f>IF(COUNT(C179:P179)=0,"",IFERROR(M179/K179,0))</f>
        <v/>
      </c>
      <c r="AI179" s="14">
        <f>IF(COUNT(C179:P179)=0,"",IFERROR(C179/M179,0))</f>
        <v/>
      </c>
      <c r="AJ179" s="17">
        <f>IF(COUNT(C179:P179)=0,"",IFERROR(N179/M179,0))</f>
        <v/>
      </c>
      <c r="AK179" s="16">
        <f>IF(COUNT(C179:P179)=0,"",IFERROR(N179/H179,0))</f>
        <v/>
      </c>
      <c r="AL179" s="14">
        <f>IF(COUNT(C179:P179)=0,"",IFERROR(C179/N179,0))</f>
        <v/>
      </c>
      <c r="AM179" s="17">
        <f>IF(COUNT(C179:P179)=0,"",IFERROR(O179/N179,0))</f>
        <v/>
      </c>
      <c r="AN179" s="17">
        <f>IF(COUNT(C179:P179)=0,"",IFERROR(P179/N179,0))</f>
        <v/>
      </c>
      <c r="AO179" s="19">
        <f>IF(COUNT(C179:P179)=0,"",IFERROR(N179*Config!$C$7+O179*Config!$C$8+P179*Config!$C$9,0))</f>
        <v/>
      </c>
      <c r="AP179" s="14">
        <f>IF(COUNT(C179:P179)=0,"",IFERROR(AO179/N179,0))</f>
        <v/>
      </c>
      <c r="AQ179" s="19">
        <f>IF(COUNT(C179:P179)=0,"",IFERROR(AO179*(1-Config!$C$10-Config!$C$11-Config!$C$12),0))</f>
        <v/>
      </c>
      <c r="AR179" s="19">
        <f>IF(COUNT(C179:P179)=0,"",IFERROR(AQ179-C179-Config!$C$13,0))</f>
        <v/>
      </c>
      <c r="AS179" s="20">
        <f>IF(COUNT(C179:P179)=0,"",IFERROR(AQ179/C179,0))</f>
        <v/>
      </c>
      <c r="AT179" s="14">
        <f>IF(COUNT(C179:P179)=0,"",IFERROR(AR179/G179,0))</f>
        <v/>
      </c>
      <c r="AU179" s="20">
        <f>IF(COUNT(C179:P179)=0,"",IFERROR(AT179/V179,0))</f>
        <v/>
      </c>
      <c r="AV179" s="14">
        <f>IF(COUNT(C179:P179)=0,"",IFERROR(AR179/H179,0))</f>
        <v/>
      </c>
    </row>
    <row r="180">
      <c r="A180" s="11">
        <f>Config!$C$6+174</f>
        <v/>
      </c>
      <c r="B180" s="12">
        <f>INT((A180-Config!$C$6)/7)+1</f>
        <v/>
      </c>
      <c r="C180" s="9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4">
        <f>IF(COUNT(C180:P180)=0,"",IFERROR(C180/D180*1000,0))</f>
        <v/>
      </c>
      <c r="R180" s="15">
        <f>IF(COUNT(C180:P180)=0,"",IFERROR(D180/E180,0))</f>
        <v/>
      </c>
      <c r="S180" s="16">
        <f>IF(COUNT(C180:P180)=0,"",IFERROR(F180/D180,0))</f>
        <v/>
      </c>
      <c r="T180" s="14">
        <f>IF(COUNT(C180:P180)=0,"",IFERROR(C180/F180,0))</f>
        <v/>
      </c>
      <c r="U180" s="17">
        <f>IF(COUNT(C180:P180)=0,"",IFERROR(G180/F180,0))</f>
        <v/>
      </c>
      <c r="V180" s="14">
        <f>IF(COUNT(C180:P180)=0,"",IFERROR(C180/G180,0))</f>
        <v/>
      </c>
      <c r="W180" s="18">
        <f>IF(COUNT(C180:P180)=0,"",IFERROR(G180/D180*1000,0))</f>
        <v/>
      </c>
      <c r="X180" s="17">
        <f>IF(COUNT(C180:P180)=0,"",IFERROR(H180/G180,0))</f>
        <v/>
      </c>
      <c r="Y180" s="14">
        <f>IF(COUNT(C180:P180)=0,"",IFERROR(C180/H180,0))</f>
        <v/>
      </c>
      <c r="Z180" s="14">
        <f>IF(COUNT(C180:P180)=0,"",IFERROR(C180/I180,0))</f>
        <v/>
      </c>
      <c r="AA180" s="17">
        <f>IF(COUNT(C180:P180)=0,"",IFERROR(Y180/Q180,0))</f>
        <v/>
      </c>
      <c r="AB180" s="18">
        <f>IF(COUNT(C180:P180)=0,"",IFERROR(H180/D180*1000,0))</f>
        <v/>
      </c>
      <c r="AC180" s="17">
        <f>IF(COUNT(C180:P180)=0,"",IFERROR(J180/H180,0))</f>
        <v/>
      </c>
      <c r="AD180" s="14">
        <f>IF(COUNT(C180:P180)=0,"",IFERROR(C180/J180,0))</f>
        <v/>
      </c>
      <c r="AE180" s="17">
        <f>IF(COUNT(C180:P180)=0,"",IFERROR(K180/H180,0))</f>
        <v/>
      </c>
      <c r="AF180" s="17">
        <f>IF(COUNT(C180:P180)=0,"",IFERROR(L180/H180,0))</f>
        <v/>
      </c>
      <c r="AG180" s="14">
        <f>IF(COUNT(C180:P180)=0,"",IFERROR(C180/K180,0))</f>
        <v/>
      </c>
      <c r="AH180" s="17">
        <f>IF(COUNT(C180:P180)=0,"",IFERROR(M180/K180,0))</f>
        <v/>
      </c>
      <c r="AI180" s="14">
        <f>IF(COUNT(C180:P180)=0,"",IFERROR(C180/M180,0))</f>
        <v/>
      </c>
      <c r="AJ180" s="17">
        <f>IF(COUNT(C180:P180)=0,"",IFERROR(N180/M180,0))</f>
        <v/>
      </c>
      <c r="AK180" s="16">
        <f>IF(COUNT(C180:P180)=0,"",IFERROR(N180/H180,0))</f>
        <v/>
      </c>
      <c r="AL180" s="14">
        <f>IF(COUNT(C180:P180)=0,"",IFERROR(C180/N180,0))</f>
        <v/>
      </c>
      <c r="AM180" s="17">
        <f>IF(COUNT(C180:P180)=0,"",IFERROR(O180/N180,0))</f>
        <v/>
      </c>
      <c r="AN180" s="17">
        <f>IF(COUNT(C180:P180)=0,"",IFERROR(P180/N180,0))</f>
        <v/>
      </c>
      <c r="AO180" s="19">
        <f>IF(COUNT(C180:P180)=0,"",IFERROR(N180*Config!$C$7+O180*Config!$C$8+P180*Config!$C$9,0))</f>
        <v/>
      </c>
      <c r="AP180" s="14">
        <f>IF(COUNT(C180:P180)=0,"",IFERROR(AO180/N180,0))</f>
        <v/>
      </c>
      <c r="AQ180" s="19">
        <f>IF(COUNT(C180:P180)=0,"",IFERROR(AO180*(1-Config!$C$10-Config!$C$11-Config!$C$12),0))</f>
        <v/>
      </c>
      <c r="AR180" s="19">
        <f>IF(COUNT(C180:P180)=0,"",IFERROR(AQ180-C180-Config!$C$13,0))</f>
        <v/>
      </c>
      <c r="AS180" s="20">
        <f>IF(COUNT(C180:P180)=0,"",IFERROR(AQ180/C180,0))</f>
        <v/>
      </c>
      <c r="AT180" s="14">
        <f>IF(COUNT(C180:P180)=0,"",IFERROR(AR180/G180,0))</f>
        <v/>
      </c>
      <c r="AU180" s="20">
        <f>IF(COUNT(C180:P180)=0,"",IFERROR(AT180/V180,0))</f>
        <v/>
      </c>
      <c r="AV180" s="14">
        <f>IF(COUNT(C180:P180)=0,"",IFERROR(AR180/H180,0))</f>
        <v/>
      </c>
    </row>
    <row r="181">
      <c r="A181" s="11">
        <f>Config!$C$6+175</f>
        <v/>
      </c>
      <c r="B181" s="12">
        <f>INT((A181-Config!$C$6)/7)+1</f>
        <v/>
      </c>
      <c r="C181" s="9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4">
        <f>IF(COUNT(C181:P181)=0,"",IFERROR(C181/D181*1000,0))</f>
        <v/>
      </c>
      <c r="R181" s="15">
        <f>IF(COUNT(C181:P181)=0,"",IFERROR(D181/E181,0))</f>
        <v/>
      </c>
      <c r="S181" s="16">
        <f>IF(COUNT(C181:P181)=0,"",IFERROR(F181/D181,0))</f>
        <v/>
      </c>
      <c r="T181" s="14">
        <f>IF(COUNT(C181:P181)=0,"",IFERROR(C181/F181,0))</f>
        <v/>
      </c>
      <c r="U181" s="17">
        <f>IF(COUNT(C181:P181)=0,"",IFERROR(G181/F181,0))</f>
        <v/>
      </c>
      <c r="V181" s="14">
        <f>IF(COUNT(C181:P181)=0,"",IFERROR(C181/G181,0))</f>
        <v/>
      </c>
      <c r="W181" s="18">
        <f>IF(COUNT(C181:P181)=0,"",IFERROR(G181/D181*1000,0))</f>
        <v/>
      </c>
      <c r="X181" s="17">
        <f>IF(COUNT(C181:P181)=0,"",IFERROR(H181/G181,0))</f>
        <v/>
      </c>
      <c r="Y181" s="14">
        <f>IF(COUNT(C181:P181)=0,"",IFERROR(C181/H181,0))</f>
        <v/>
      </c>
      <c r="Z181" s="14">
        <f>IF(COUNT(C181:P181)=0,"",IFERROR(C181/I181,0))</f>
        <v/>
      </c>
      <c r="AA181" s="17">
        <f>IF(COUNT(C181:P181)=0,"",IFERROR(Y181/Q181,0))</f>
        <v/>
      </c>
      <c r="AB181" s="18">
        <f>IF(COUNT(C181:P181)=0,"",IFERROR(H181/D181*1000,0))</f>
        <v/>
      </c>
      <c r="AC181" s="17">
        <f>IF(COUNT(C181:P181)=0,"",IFERROR(J181/H181,0))</f>
        <v/>
      </c>
      <c r="AD181" s="14">
        <f>IF(COUNT(C181:P181)=0,"",IFERROR(C181/J181,0))</f>
        <v/>
      </c>
      <c r="AE181" s="17">
        <f>IF(COUNT(C181:P181)=0,"",IFERROR(K181/H181,0))</f>
        <v/>
      </c>
      <c r="AF181" s="17">
        <f>IF(COUNT(C181:P181)=0,"",IFERROR(L181/H181,0))</f>
        <v/>
      </c>
      <c r="AG181" s="14">
        <f>IF(COUNT(C181:P181)=0,"",IFERROR(C181/K181,0))</f>
        <v/>
      </c>
      <c r="AH181" s="17">
        <f>IF(COUNT(C181:P181)=0,"",IFERROR(M181/K181,0))</f>
        <v/>
      </c>
      <c r="AI181" s="14">
        <f>IF(COUNT(C181:P181)=0,"",IFERROR(C181/M181,0))</f>
        <v/>
      </c>
      <c r="AJ181" s="17">
        <f>IF(COUNT(C181:P181)=0,"",IFERROR(N181/M181,0))</f>
        <v/>
      </c>
      <c r="AK181" s="16">
        <f>IF(COUNT(C181:P181)=0,"",IFERROR(N181/H181,0))</f>
        <v/>
      </c>
      <c r="AL181" s="14">
        <f>IF(COUNT(C181:P181)=0,"",IFERROR(C181/N181,0))</f>
        <v/>
      </c>
      <c r="AM181" s="17">
        <f>IF(COUNT(C181:P181)=0,"",IFERROR(O181/N181,0))</f>
        <v/>
      </c>
      <c r="AN181" s="17">
        <f>IF(COUNT(C181:P181)=0,"",IFERROR(P181/N181,0))</f>
        <v/>
      </c>
      <c r="AO181" s="19">
        <f>IF(COUNT(C181:P181)=0,"",IFERROR(N181*Config!$C$7+O181*Config!$C$8+P181*Config!$C$9,0))</f>
        <v/>
      </c>
      <c r="AP181" s="14">
        <f>IF(COUNT(C181:P181)=0,"",IFERROR(AO181/N181,0))</f>
        <v/>
      </c>
      <c r="AQ181" s="19">
        <f>IF(COUNT(C181:P181)=0,"",IFERROR(AO181*(1-Config!$C$10-Config!$C$11-Config!$C$12),0))</f>
        <v/>
      </c>
      <c r="AR181" s="19">
        <f>IF(COUNT(C181:P181)=0,"",IFERROR(AQ181-C181-Config!$C$13,0))</f>
        <v/>
      </c>
      <c r="AS181" s="20">
        <f>IF(COUNT(C181:P181)=0,"",IFERROR(AQ181/C181,0))</f>
        <v/>
      </c>
      <c r="AT181" s="14">
        <f>IF(COUNT(C181:P181)=0,"",IFERROR(AR181/G181,0))</f>
        <v/>
      </c>
      <c r="AU181" s="20">
        <f>IF(COUNT(C181:P181)=0,"",IFERROR(AT181/V181,0))</f>
        <v/>
      </c>
      <c r="AV181" s="14">
        <f>IF(COUNT(C181:P181)=0,"",IFERROR(AR181/H181,0))</f>
        <v/>
      </c>
    </row>
    <row r="182">
      <c r="A182" s="11">
        <f>Config!$C$6+176</f>
        <v/>
      </c>
      <c r="B182" s="12">
        <f>INT((A182-Config!$C$6)/7)+1</f>
        <v/>
      </c>
      <c r="C182" s="9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4">
        <f>IF(COUNT(C182:P182)=0,"",IFERROR(C182/D182*1000,0))</f>
        <v/>
      </c>
      <c r="R182" s="15">
        <f>IF(COUNT(C182:P182)=0,"",IFERROR(D182/E182,0))</f>
        <v/>
      </c>
      <c r="S182" s="16">
        <f>IF(COUNT(C182:P182)=0,"",IFERROR(F182/D182,0))</f>
        <v/>
      </c>
      <c r="T182" s="14">
        <f>IF(COUNT(C182:P182)=0,"",IFERROR(C182/F182,0))</f>
        <v/>
      </c>
      <c r="U182" s="17">
        <f>IF(COUNT(C182:P182)=0,"",IFERROR(G182/F182,0))</f>
        <v/>
      </c>
      <c r="V182" s="14">
        <f>IF(COUNT(C182:P182)=0,"",IFERROR(C182/G182,0))</f>
        <v/>
      </c>
      <c r="W182" s="18">
        <f>IF(COUNT(C182:P182)=0,"",IFERROR(G182/D182*1000,0))</f>
        <v/>
      </c>
      <c r="X182" s="17">
        <f>IF(COUNT(C182:P182)=0,"",IFERROR(H182/G182,0))</f>
        <v/>
      </c>
      <c r="Y182" s="14">
        <f>IF(COUNT(C182:P182)=0,"",IFERROR(C182/H182,0))</f>
        <v/>
      </c>
      <c r="Z182" s="14">
        <f>IF(COUNT(C182:P182)=0,"",IFERROR(C182/I182,0))</f>
        <v/>
      </c>
      <c r="AA182" s="17">
        <f>IF(COUNT(C182:P182)=0,"",IFERROR(Y182/Q182,0))</f>
        <v/>
      </c>
      <c r="AB182" s="18">
        <f>IF(COUNT(C182:P182)=0,"",IFERROR(H182/D182*1000,0))</f>
        <v/>
      </c>
      <c r="AC182" s="17">
        <f>IF(COUNT(C182:P182)=0,"",IFERROR(J182/H182,0))</f>
        <v/>
      </c>
      <c r="AD182" s="14">
        <f>IF(COUNT(C182:P182)=0,"",IFERROR(C182/J182,0))</f>
        <v/>
      </c>
      <c r="AE182" s="17">
        <f>IF(COUNT(C182:P182)=0,"",IFERROR(K182/H182,0))</f>
        <v/>
      </c>
      <c r="AF182" s="17">
        <f>IF(COUNT(C182:P182)=0,"",IFERROR(L182/H182,0))</f>
        <v/>
      </c>
      <c r="AG182" s="14">
        <f>IF(COUNT(C182:P182)=0,"",IFERROR(C182/K182,0))</f>
        <v/>
      </c>
      <c r="AH182" s="17">
        <f>IF(COUNT(C182:P182)=0,"",IFERROR(M182/K182,0))</f>
        <v/>
      </c>
      <c r="AI182" s="14">
        <f>IF(COUNT(C182:P182)=0,"",IFERROR(C182/M182,0))</f>
        <v/>
      </c>
      <c r="AJ182" s="17">
        <f>IF(COUNT(C182:P182)=0,"",IFERROR(N182/M182,0))</f>
        <v/>
      </c>
      <c r="AK182" s="16">
        <f>IF(COUNT(C182:P182)=0,"",IFERROR(N182/H182,0))</f>
        <v/>
      </c>
      <c r="AL182" s="14">
        <f>IF(COUNT(C182:P182)=0,"",IFERROR(C182/N182,0))</f>
        <v/>
      </c>
      <c r="AM182" s="17">
        <f>IF(COUNT(C182:P182)=0,"",IFERROR(O182/N182,0))</f>
        <v/>
      </c>
      <c r="AN182" s="17">
        <f>IF(COUNT(C182:P182)=0,"",IFERROR(P182/N182,0))</f>
        <v/>
      </c>
      <c r="AO182" s="19">
        <f>IF(COUNT(C182:P182)=0,"",IFERROR(N182*Config!$C$7+O182*Config!$C$8+P182*Config!$C$9,0))</f>
        <v/>
      </c>
      <c r="AP182" s="14">
        <f>IF(COUNT(C182:P182)=0,"",IFERROR(AO182/N182,0))</f>
        <v/>
      </c>
      <c r="AQ182" s="19">
        <f>IF(COUNT(C182:P182)=0,"",IFERROR(AO182*(1-Config!$C$10-Config!$C$11-Config!$C$12),0))</f>
        <v/>
      </c>
      <c r="AR182" s="19">
        <f>IF(COUNT(C182:P182)=0,"",IFERROR(AQ182-C182-Config!$C$13,0))</f>
        <v/>
      </c>
      <c r="AS182" s="20">
        <f>IF(COUNT(C182:P182)=0,"",IFERROR(AQ182/C182,0))</f>
        <v/>
      </c>
      <c r="AT182" s="14">
        <f>IF(COUNT(C182:P182)=0,"",IFERROR(AR182/G182,0))</f>
        <v/>
      </c>
      <c r="AU182" s="20">
        <f>IF(COUNT(C182:P182)=0,"",IFERROR(AT182/V182,0))</f>
        <v/>
      </c>
      <c r="AV182" s="14">
        <f>IF(COUNT(C182:P182)=0,"",IFERROR(AR182/H182,0))</f>
        <v/>
      </c>
    </row>
    <row r="183">
      <c r="A183" s="11">
        <f>Config!$C$6+177</f>
        <v/>
      </c>
      <c r="B183" s="12">
        <f>INT((A183-Config!$C$6)/7)+1</f>
        <v/>
      </c>
      <c r="C183" s="9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4">
        <f>IF(COUNT(C183:P183)=0,"",IFERROR(C183/D183*1000,0))</f>
        <v/>
      </c>
      <c r="R183" s="15">
        <f>IF(COUNT(C183:P183)=0,"",IFERROR(D183/E183,0))</f>
        <v/>
      </c>
      <c r="S183" s="16">
        <f>IF(COUNT(C183:P183)=0,"",IFERROR(F183/D183,0))</f>
        <v/>
      </c>
      <c r="T183" s="14">
        <f>IF(COUNT(C183:P183)=0,"",IFERROR(C183/F183,0))</f>
        <v/>
      </c>
      <c r="U183" s="17">
        <f>IF(COUNT(C183:P183)=0,"",IFERROR(G183/F183,0))</f>
        <v/>
      </c>
      <c r="V183" s="14">
        <f>IF(COUNT(C183:P183)=0,"",IFERROR(C183/G183,0))</f>
        <v/>
      </c>
      <c r="W183" s="18">
        <f>IF(COUNT(C183:P183)=0,"",IFERROR(G183/D183*1000,0))</f>
        <v/>
      </c>
      <c r="X183" s="17">
        <f>IF(COUNT(C183:P183)=0,"",IFERROR(H183/G183,0))</f>
        <v/>
      </c>
      <c r="Y183" s="14">
        <f>IF(COUNT(C183:P183)=0,"",IFERROR(C183/H183,0))</f>
        <v/>
      </c>
      <c r="Z183" s="14">
        <f>IF(COUNT(C183:P183)=0,"",IFERROR(C183/I183,0))</f>
        <v/>
      </c>
      <c r="AA183" s="17">
        <f>IF(COUNT(C183:P183)=0,"",IFERROR(Y183/Q183,0))</f>
        <v/>
      </c>
      <c r="AB183" s="18">
        <f>IF(COUNT(C183:P183)=0,"",IFERROR(H183/D183*1000,0))</f>
        <v/>
      </c>
      <c r="AC183" s="17">
        <f>IF(COUNT(C183:P183)=0,"",IFERROR(J183/H183,0))</f>
        <v/>
      </c>
      <c r="AD183" s="14">
        <f>IF(COUNT(C183:P183)=0,"",IFERROR(C183/J183,0))</f>
        <v/>
      </c>
      <c r="AE183" s="17">
        <f>IF(COUNT(C183:P183)=0,"",IFERROR(K183/H183,0))</f>
        <v/>
      </c>
      <c r="AF183" s="17">
        <f>IF(COUNT(C183:P183)=0,"",IFERROR(L183/H183,0))</f>
        <v/>
      </c>
      <c r="AG183" s="14">
        <f>IF(COUNT(C183:P183)=0,"",IFERROR(C183/K183,0))</f>
        <v/>
      </c>
      <c r="AH183" s="17">
        <f>IF(COUNT(C183:P183)=0,"",IFERROR(M183/K183,0))</f>
        <v/>
      </c>
      <c r="AI183" s="14">
        <f>IF(COUNT(C183:P183)=0,"",IFERROR(C183/M183,0))</f>
        <v/>
      </c>
      <c r="AJ183" s="17">
        <f>IF(COUNT(C183:P183)=0,"",IFERROR(N183/M183,0))</f>
        <v/>
      </c>
      <c r="AK183" s="16">
        <f>IF(COUNT(C183:P183)=0,"",IFERROR(N183/H183,0))</f>
        <v/>
      </c>
      <c r="AL183" s="14">
        <f>IF(COUNT(C183:P183)=0,"",IFERROR(C183/N183,0))</f>
        <v/>
      </c>
      <c r="AM183" s="17">
        <f>IF(COUNT(C183:P183)=0,"",IFERROR(O183/N183,0))</f>
        <v/>
      </c>
      <c r="AN183" s="17">
        <f>IF(COUNT(C183:P183)=0,"",IFERROR(P183/N183,0))</f>
        <v/>
      </c>
      <c r="AO183" s="19">
        <f>IF(COUNT(C183:P183)=0,"",IFERROR(N183*Config!$C$7+O183*Config!$C$8+P183*Config!$C$9,0))</f>
        <v/>
      </c>
      <c r="AP183" s="14">
        <f>IF(COUNT(C183:P183)=0,"",IFERROR(AO183/N183,0))</f>
        <v/>
      </c>
      <c r="AQ183" s="19">
        <f>IF(COUNT(C183:P183)=0,"",IFERROR(AO183*(1-Config!$C$10-Config!$C$11-Config!$C$12),0))</f>
        <v/>
      </c>
      <c r="AR183" s="19">
        <f>IF(COUNT(C183:P183)=0,"",IFERROR(AQ183-C183-Config!$C$13,0))</f>
        <v/>
      </c>
      <c r="AS183" s="20">
        <f>IF(COUNT(C183:P183)=0,"",IFERROR(AQ183/C183,0))</f>
        <v/>
      </c>
      <c r="AT183" s="14">
        <f>IF(COUNT(C183:P183)=0,"",IFERROR(AR183/G183,0))</f>
        <v/>
      </c>
      <c r="AU183" s="20">
        <f>IF(COUNT(C183:P183)=0,"",IFERROR(AT183/V183,0))</f>
        <v/>
      </c>
      <c r="AV183" s="14">
        <f>IF(COUNT(C183:P183)=0,"",IFERROR(AR183/H183,0))</f>
        <v/>
      </c>
    </row>
    <row r="184">
      <c r="A184" s="11">
        <f>Config!$C$6+178</f>
        <v/>
      </c>
      <c r="B184" s="12">
        <f>INT((A184-Config!$C$6)/7)+1</f>
        <v/>
      </c>
      <c r="C184" s="9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4">
        <f>IF(COUNT(C184:P184)=0,"",IFERROR(C184/D184*1000,0))</f>
        <v/>
      </c>
      <c r="R184" s="15">
        <f>IF(COUNT(C184:P184)=0,"",IFERROR(D184/E184,0))</f>
        <v/>
      </c>
      <c r="S184" s="16">
        <f>IF(COUNT(C184:P184)=0,"",IFERROR(F184/D184,0))</f>
        <v/>
      </c>
      <c r="T184" s="14">
        <f>IF(COUNT(C184:P184)=0,"",IFERROR(C184/F184,0))</f>
        <v/>
      </c>
      <c r="U184" s="17">
        <f>IF(COUNT(C184:P184)=0,"",IFERROR(G184/F184,0))</f>
        <v/>
      </c>
      <c r="V184" s="14">
        <f>IF(COUNT(C184:P184)=0,"",IFERROR(C184/G184,0))</f>
        <v/>
      </c>
      <c r="W184" s="18">
        <f>IF(COUNT(C184:P184)=0,"",IFERROR(G184/D184*1000,0))</f>
        <v/>
      </c>
      <c r="X184" s="17">
        <f>IF(COUNT(C184:P184)=0,"",IFERROR(H184/G184,0))</f>
        <v/>
      </c>
      <c r="Y184" s="14">
        <f>IF(COUNT(C184:P184)=0,"",IFERROR(C184/H184,0))</f>
        <v/>
      </c>
      <c r="Z184" s="14">
        <f>IF(COUNT(C184:P184)=0,"",IFERROR(C184/I184,0))</f>
        <v/>
      </c>
      <c r="AA184" s="17">
        <f>IF(COUNT(C184:P184)=0,"",IFERROR(Y184/Q184,0))</f>
        <v/>
      </c>
      <c r="AB184" s="18">
        <f>IF(COUNT(C184:P184)=0,"",IFERROR(H184/D184*1000,0))</f>
        <v/>
      </c>
      <c r="AC184" s="17">
        <f>IF(COUNT(C184:P184)=0,"",IFERROR(J184/H184,0))</f>
        <v/>
      </c>
      <c r="AD184" s="14">
        <f>IF(COUNT(C184:P184)=0,"",IFERROR(C184/J184,0))</f>
        <v/>
      </c>
      <c r="AE184" s="17">
        <f>IF(COUNT(C184:P184)=0,"",IFERROR(K184/H184,0))</f>
        <v/>
      </c>
      <c r="AF184" s="17">
        <f>IF(COUNT(C184:P184)=0,"",IFERROR(L184/H184,0))</f>
        <v/>
      </c>
      <c r="AG184" s="14">
        <f>IF(COUNT(C184:P184)=0,"",IFERROR(C184/K184,0))</f>
        <v/>
      </c>
      <c r="AH184" s="17">
        <f>IF(COUNT(C184:P184)=0,"",IFERROR(M184/K184,0))</f>
        <v/>
      </c>
      <c r="AI184" s="14">
        <f>IF(COUNT(C184:P184)=0,"",IFERROR(C184/M184,0))</f>
        <v/>
      </c>
      <c r="AJ184" s="17">
        <f>IF(COUNT(C184:P184)=0,"",IFERROR(N184/M184,0))</f>
        <v/>
      </c>
      <c r="AK184" s="16">
        <f>IF(COUNT(C184:P184)=0,"",IFERROR(N184/H184,0))</f>
        <v/>
      </c>
      <c r="AL184" s="14">
        <f>IF(COUNT(C184:P184)=0,"",IFERROR(C184/N184,0))</f>
        <v/>
      </c>
      <c r="AM184" s="17">
        <f>IF(COUNT(C184:P184)=0,"",IFERROR(O184/N184,0))</f>
        <v/>
      </c>
      <c r="AN184" s="17">
        <f>IF(COUNT(C184:P184)=0,"",IFERROR(P184/N184,0))</f>
        <v/>
      </c>
      <c r="AO184" s="19">
        <f>IF(COUNT(C184:P184)=0,"",IFERROR(N184*Config!$C$7+O184*Config!$C$8+P184*Config!$C$9,0))</f>
        <v/>
      </c>
      <c r="AP184" s="14">
        <f>IF(COUNT(C184:P184)=0,"",IFERROR(AO184/N184,0))</f>
        <v/>
      </c>
      <c r="AQ184" s="19">
        <f>IF(COUNT(C184:P184)=0,"",IFERROR(AO184*(1-Config!$C$10-Config!$C$11-Config!$C$12),0))</f>
        <v/>
      </c>
      <c r="AR184" s="19">
        <f>IF(COUNT(C184:P184)=0,"",IFERROR(AQ184-C184-Config!$C$13,0))</f>
        <v/>
      </c>
      <c r="AS184" s="20">
        <f>IF(COUNT(C184:P184)=0,"",IFERROR(AQ184/C184,0))</f>
        <v/>
      </c>
      <c r="AT184" s="14">
        <f>IF(COUNT(C184:P184)=0,"",IFERROR(AR184/G184,0))</f>
        <v/>
      </c>
      <c r="AU184" s="20">
        <f>IF(COUNT(C184:P184)=0,"",IFERROR(AT184/V184,0))</f>
        <v/>
      </c>
      <c r="AV184" s="14">
        <f>IF(COUNT(C184:P184)=0,"",IFERROR(AR184/H184,0))</f>
        <v/>
      </c>
    </row>
    <row r="185">
      <c r="A185" s="11">
        <f>Config!$C$6+179</f>
        <v/>
      </c>
      <c r="B185" s="12">
        <f>INT((A185-Config!$C$6)/7)+1</f>
        <v/>
      </c>
      <c r="C185" s="9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4">
        <f>IF(COUNT(C185:P185)=0,"",IFERROR(C185/D185*1000,0))</f>
        <v/>
      </c>
      <c r="R185" s="15">
        <f>IF(COUNT(C185:P185)=0,"",IFERROR(D185/E185,0))</f>
        <v/>
      </c>
      <c r="S185" s="16">
        <f>IF(COUNT(C185:P185)=0,"",IFERROR(F185/D185,0))</f>
        <v/>
      </c>
      <c r="T185" s="14">
        <f>IF(COUNT(C185:P185)=0,"",IFERROR(C185/F185,0))</f>
        <v/>
      </c>
      <c r="U185" s="17">
        <f>IF(COUNT(C185:P185)=0,"",IFERROR(G185/F185,0))</f>
        <v/>
      </c>
      <c r="V185" s="14">
        <f>IF(COUNT(C185:P185)=0,"",IFERROR(C185/G185,0))</f>
        <v/>
      </c>
      <c r="W185" s="18">
        <f>IF(COUNT(C185:P185)=0,"",IFERROR(G185/D185*1000,0))</f>
        <v/>
      </c>
      <c r="X185" s="17">
        <f>IF(COUNT(C185:P185)=0,"",IFERROR(H185/G185,0))</f>
        <v/>
      </c>
      <c r="Y185" s="14">
        <f>IF(COUNT(C185:P185)=0,"",IFERROR(C185/H185,0))</f>
        <v/>
      </c>
      <c r="Z185" s="14">
        <f>IF(COUNT(C185:P185)=0,"",IFERROR(C185/I185,0))</f>
        <v/>
      </c>
      <c r="AA185" s="17">
        <f>IF(COUNT(C185:P185)=0,"",IFERROR(Y185/Q185,0))</f>
        <v/>
      </c>
      <c r="AB185" s="18">
        <f>IF(COUNT(C185:P185)=0,"",IFERROR(H185/D185*1000,0))</f>
        <v/>
      </c>
      <c r="AC185" s="17">
        <f>IF(COUNT(C185:P185)=0,"",IFERROR(J185/H185,0))</f>
        <v/>
      </c>
      <c r="AD185" s="14">
        <f>IF(COUNT(C185:P185)=0,"",IFERROR(C185/J185,0))</f>
        <v/>
      </c>
      <c r="AE185" s="17">
        <f>IF(COUNT(C185:P185)=0,"",IFERROR(K185/H185,0))</f>
        <v/>
      </c>
      <c r="AF185" s="17">
        <f>IF(COUNT(C185:P185)=0,"",IFERROR(L185/H185,0))</f>
        <v/>
      </c>
      <c r="AG185" s="14">
        <f>IF(COUNT(C185:P185)=0,"",IFERROR(C185/K185,0))</f>
        <v/>
      </c>
      <c r="AH185" s="17">
        <f>IF(COUNT(C185:P185)=0,"",IFERROR(M185/K185,0))</f>
        <v/>
      </c>
      <c r="AI185" s="14">
        <f>IF(COUNT(C185:P185)=0,"",IFERROR(C185/M185,0))</f>
        <v/>
      </c>
      <c r="AJ185" s="17">
        <f>IF(COUNT(C185:P185)=0,"",IFERROR(N185/M185,0))</f>
        <v/>
      </c>
      <c r="AK185" s="16">
        <f>IF(COUNT(C185:P185)=0,"",IFERROR(N185/H185,0))</f>
        <v/>
      </c>
      <c r="AL185" s="14">
        <f>IF(COUNT(C185:P185)=0,"",IFERROR(C185/N185,0))</f>
        <v/>
      </c>
      <c r="AM185" s="17">
        <f>IF(COUNT(C185:P185)=0,"",IFERROR(O185/N185,0))</f>
        <v/>
      </c>
      <c r="AN185" s="17">
        <f>IF(COUNT(C185:P185)=0,"",IFERROR(P185/N185,0))</f>
        <v/>
      </c>
      <c r="AO185" s="19">
        <f>IF(COUNT(C185:P185)=0,"",IFERROR(N185*Config!$C$7+O185*Config!$C$8+P185*Config!$C$9,0))</f>
        <v/>
      </c>
      <c r="AP185" s="14">
        <f>IF(COUNT(C185:P185)=0,"",IFERROR(AO185/N185,0))</f>
        <v/>
      </c>
      <c r="AQ185" s="19">
        <f>IF(COUNT(C185:P185)=0,"",IFERROR(AO185*(1-Config!$C$10-Config!$C$11-Config!$C$12),0))</f>
        <v/>
      </c>
      <c r="AR185" s="19">
        <f>IF(COUNT(C185:P185)=0,"",IFERROR(AQ185-C185-Config!$C$13,0))</f>
        <v/>
      </c>
      <c r="AS185" s="20">
        <f>IF(COUNT(C185:P185)=0,"",IFERROR(AQ185/C185,0))</f>
        <v/>
      </c>
      <c r="AT185" s="14">
        <f>IF(COUNT(C185:P185)=0,"",IFERROR(AR185/G185,0))</f>
        <v/>
      </c>
      <c r="AU185" s="20">
        <f>IF(COUNT(C185:P185)=0,"",IFERROR(AT185/V185,0))</f>
        <v/>
      </c>
      <c r="AV185" s="14">
        <f>IF(COUNT(C185:P185)=0,"",IFERROR(AR185/H185,0))</f>
        <v/>
      </c>
    </row>
    <row r="186">
      <c r="A186" s="11">
        <f>Config!$C$6+180</f>
        <v/>
      </c>
      <c r="B186" s="12">
        <f>INT((A186-Config!$C$6)/7)+1</f>
        <v/>
      </c>
      <c r="C186" s="9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4">
        <f>IF(COUNT(C186:P186)=0,"",IFERROR(C186/D186*1000,0))</f>
        <v/>
      </c>
      <c r="R186" s="15">
        <f>IF(COUNT(C186:P186)=0,"",IFERROR(D186/E186,0))</f>
        <v/>
      </c>
      <c r="S186" s="16">
        <f>IF(COUNT(C186:P186)=0,"",IFERROR(F186/D186,0))</f>
        <v/>
      </c>
      <c r="T186" s="14">
        <f>IF(COUNT(C186:P186)=0,"",IFERROR(C186/F186,0))</f>
        <v/>
      </c>
      <c r="U186" s="17">
        <f>IF(COUNT(C186:P186)=0,"",IFERROR(G186/F186,0))</f>
        <v/>
      </c>
      <c r="V186" s="14">
        <f>IF(COUNT(C186:P186)=0,"",IFERROR(C186/G186,0))</f>
        <v/>
      </c>
      <c r="W186" s="18">
        <f>IF(COUNT(C186:P186)=0,"",IFERROR(G186/D186*1000,0))</f>
        <v/>
      </c>
      <c r="X186" s="17">
        <f>IF(COUNT(C186:P186)=0,"",IFERROR(H186/G186,0))</f>
        <v/>
      </c>
      <c r="Y186" s="14">
        <f>IF(COUNT(C186:P186)=0,"",IFERROR(C186/H186,0))</f>
        <v/>
      </c>
      <c r="Z186" s="14">
        <f>IF(COUNT(C186:P186)=0,"",IFERROR(C186/I186,0))</f>
        <v/>
      </c>
      <c r="AA186" s="17">
        <f>IF(COUNT(C186:P186)=0,"",IFERROR(Y186/Q186,0))</f>
        <v/>
      </c>
      <c r="AB186" s="18">
        <f>IF(COUNT(C186:P186)=0,"",IFERROR(H186/D186*1000,0))</f>
        <v/>
      </c>
      <c r="AC186" s="17">
        <f>IF(COUNT(C186:P186)=0,"",IFERROR(J186/H186,0))</f>
        <v/>
      </c>
      <c r="AD186" s="14">
        <f>IF(COUNT(C186:P186)=0,"",IFERROR(C186/J186,0))</f>
        <v/>
      </c>
      <c r="AE186" s="17">
        <f>IF(COUNT(C186:P186)=0,"",IFERROR(K186/H186,0))</f>
        <v/>
      </c>
      <c r="AF186" s="17">
        <f>IF(COUNT(C186:P186)=0,"",IFERROR(L186/H186,0))</f>
        <v/>
      </c>
      <c r="AG186" s="14">
        <f>IF(COUNT(C186:P186)=0,"",IFERROR(C186/K186,0))</f>
        <v/>
      </c>
      <c r="AH186" s="17">
        <f>IF(COUNT(C186:P186)=0,"",IFERROR(M186/K186,0))</f>
        <v/>
      </c>
      <c r="AI186" s="14">
        <f>IF(COUNT(C186:P186)=0,"",IFERROR(C186/M186,0))</f>
        <v/>
      </c>
      <c r="AJ186" s="17">
        <f>IF(COUNT(C186:P186)=0,"",IFERROR(N186/M186,0))</f>
        <v/>
      </c>
      <c r="AK186" s="16">
        <f>IF(COUNT(C186:P186)=0,"",IFERROR(N186/H186,0))</f>
        <v/>
      </c>
      <c r="AL186" s="14">
        <f>IF(COUNT(C186:P186)=0,"",IFERROR(C186/N186,0))</f>
        <v/>
      </c>
      <c r="AM186" s="17">
        <f>IF(COUNT(C186:P186)=0,"",IFERROR(O186/N186,0))</f>
        <v/>
      </c>
      <c r="AN186" s="17">
        <f>IF(COUNT(C186:P186)=0,"",IFERROR(P186/N186,0))</f>
        <v/>
      </c>
      <c r="AO186" s="19">
        <f>IF(COUNT(C186:P186)=0,"",IFERROR(N186*Config!$C$7+O186*Config!$C$8+P186*Config!$C$9,0))</f>
        <v/>
      </c>
      <c r="AP186" s="14">
        <f>IF(COUNT(C186:P186)=0,"",IFERROR(AO186/N186,0))</f>
        <v/>
      </c>
      <c r="AQ186" s="19">
        <f>IF(COUNT(C186:P186)=0,"",IFERROR(AO186*(1-Config!$C$10-Config!$C$11-Config!$C$12),0))</f>
        <v/>
      </c>
      <c r="AR186" s="19">
        <f>IF(COUNT(C186:P186)=0,"",IFERROR(AQ186-C186-Config!$C$13,0))</f>
        <v/>
      </c>
      <c r="AS186" s="20">
        <f>IF(COUNT(C186:P186)=0,"",IFERROR(AQ186/C186,0))</f>
        <v/>
      </c>
      <c r="AT186" s="14">
        <f>IF(COUNT(C186:P186)=0,"",IFERROR(AR186/G186,0))</f>
        <v/>
      </c>
      <c r="AU186" s="20">
        <f>IF(COUNT(C186:P186)=0,"",IFERROR(AT186/V186,0))</f>
        <v/>
      </c>
      <c r="AV186" s="14">
        <f>IF(COUNT(C186:P186)=0,"",IFERROR(AR186/H186,0))</f>
        <v/>
      </c>
    </row>
    <row r="187">
      <c r="A187" s="11">
        <f>Config!$C$6+181</f>
        <v/>
      </c>
      <c r="B187" s="12">
        <f>INT((A187-Config!$C$6)/7)+1</f>
        <v/>
      </c>
      <c r="C187" s="9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4">
        <f>IF(COUNT(C187:P187)=0,"",IFERROR(C187/D187*1000,0))</f>
        <v/>
      </c>
      <c r="R187" s="15">
        <f>IF(COUNT(C187:P187)=0,"",IFERROR(D187/E187,0))</f>
        <v/>
      </c>
      <c r="S187" s="16">
        <f>IF(COUNT(C187:P187)=0,"",IFERROR(F187/D187,0))</f>
        <v/>
      </c>
      <c r="T187" s="14">
        <f>IF(COUNT(C187:P187)=0,"",IFERROR(C187/F187,0))</f>
        <v/>
      </c>
      <c r="U187" s="17">
        <f>IF(COUNT(C187:P187)=0,"",IFERROR(G187/F187,0))</f>
        <v/>
      </c>
      <c r="V187" s="14">
        <f>IF(COUNT(C187:P187)=0,"",IFERROR(C187/G187,0))</f>
        <v/>
      </c>
      <c r="W187" s="18">
        <f>IF(COUNT(C187:P187)=0,"",IFERROR(G187/D187*1000,0))</f>
        <v/>
      </c>
      <c r="X187" s="17">
        <f>IF(COUNT(C187:P187)=0,"",IFERROR(H187/G187,0))</f>
        <v/>
      </c>
      <c r="Y187" s="14">
        <f>IF(COUNT(C187:P187)=0,"",IFERROR(C187/H187,0))</f>
        <v/>
      </c>
      <c r="Z187" s="14">
        <f>IF(COUNT(C187:P187)=0,"",IFERROR(C187/I187,0))</f>
        <v/>
      </c>
      <c r="AA187" s="17">
        <f>IF(COUNT(C187:P187)=0,"",IFERROR(Y187/Q187,0))</f>
        <v/>
      </c>
      <c r="AB187" s="18">
        <f>IF(COUNT(C187:P187)=0,"",IFERROR(H187/D187*1000,0))</f>
        <v/>
      </c>
      <c r="AC187" s="17">
        <f>IF(COUNT(C187:P187)=0,"",IFERROR(J187/H187,0))</f>
        <v/>
      </c>
      <c r="AD187" s="14">
        <f>IF(COUNT(C187:P187)=0,"",IFERROR(C187/J187,0))</f>
        <v/>
      </c>
      <c r="AE187" s="17">
        <f>IF(COUNT(C187:P187)=0,"",IFERROR(K187/H187,0))</f>
        <v/>
      </c>
      <c r="AF187" s="17">
        <f>IF(COUNT(C187:P187)=0,"",IFERROR(L187/H187,0))</f>
        <v/>
      </c>
      <c r="AG187" s="14">
        <f>IF(COUNT(C187:P187)=0,"",IFERROR(C187/K187,0))</f>
        <v/>
      </c>
      <c r="AH187" s="17">
        <f>IF(COUNT(C187:P187)=0,"",IFERROR(M187/K187,0))</f>
        <v/>
      </c>
      <c r="AI187" s="14">
        <f>IF(COUNT(C187:P187)=0,"",IFERROR(C187/M187,0))</f>
        <v/>
      </c>
      <c r="AJ187" s="17">
        <f>IF(COUNT(C187:P187)=0,"",IFERROR(N187/M187,0))</f>
        <v/>
      </c>
      <c r="AK187" s="16">
        <f>IF(COUNT(C187:P187)=0,"",IFERROR(N187/H187,0))</f>
        <v/>
      </c>
      <c r="AL187" s="14">
        <f>IF(COUNT(C187:P187)=0,"",IFERROR(C187/N187,0))</f>
        <v/>
      </c>
      <c r="AM187" s="17">
        <f>IF(COUNT(C187:P187)=0,"",IFERROR(O187/N187,0))</f>
        <v/>
      </c>
      <c r="AN187" s="17">
        <f>IF(COUNT(C187:P187)=0,"",IFERROR(P187/N187,0))</f>
        <v/>
      </c>
      <c r="AO187" s="19">
        <f>IF(COUNT(C187:P187)=0,"",IFERROR(N187*Config!$C$7+O187*Config!$C$8+P187*Config!$C$9,0))</f>
        <v/>
      </c>
      <c r="AP187" s="14">
        <f>IF(COUNT(C187:P187)=0,"",IFERROR(AO187/N187,0))</f>
        <v/>
      </c>
      <c r="AQ187" s="19">
        <f>IF(COUNT(C187:P187)=0,"",IFERROR(AO187*(1-Config!$C$10-Config!$C$11-Config!$C$12),0))</f>
        <v/>
      </c>
      <c r="AR187" s="19">
        <f>IF(COUNT(C187:P187)=0,"",IFERROR(AQ187-C187-Config!$C$13,0))</f>
        <v/>
      </c>
      <c r="AS187" s="20">
        <f>IF(COUNT(C187:P187)=0,"",IFERROR(AQ187/C187,0))</f>
        <v/>
      </c>
      <c r="AT187" s="14">
        <f>IF(COUNT(C187:P187)=0,"",IFERROR(AR187/G187,0))</f>
        <v/>
      </c>
      <c r="AU187" s="20">
        <f>IF(COUNT(C187:P187)=0,"",IFERROR(AT187/V187,0))</f>
        <v/>
      </c>
      <c r="AV187" s="14">
        <f>IF(COUNT(C187:P187)=0,"",IFERROR(AR187/H187,0))</f>
        <v/>
      </c>
    </row>
    <row r="188">
      <c r="A188" s="11">
        <f>Config!$C$6+182</f>
        <v/>
      </c>
      <c r="B188" s="12">
        <f>INT((A188-Config!$C$6)/7)+1</f>
        <v/>
      </c>
      <c r="C188" s="9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4">
        <f>IF(COUNT(C188:P188)=0,"",IFERROR(C188/D188*1000,0))</f>
        <v/>
      </c>
      <c r="R188" s="15">
        <f>IF(COUNT(C188:P188)=0,"",IFERROR(D188/E188,0))</f>
        <v/>
      </c>
      <c r="S188" s="16">
        <f>IF(COUNT(C188:P188)=0,"",IFERROR(F188/D188,0))</f>
        <v/>
      </c>
      <c r="T188" s="14">
        <f>IF(COUNT(C188:P188)=0,"",IFERROR(C188/F188,0))</f>
        <v/>
      </c>
      <c r="U188" s="17">
        <f>IF(COUNT(C188:P188)=0,"",IFERROR(G188/F188,0))</f>
        <v/>
      </c>
      <c r="V188" s="14">
        <f>IF(COUNT(C188:P188)=0,"",IFERROR(C188/G188,0))</f>
        <v/>
      </c>
      <c r="W188" s="18">
        <f>IF(COUNT(C188:P188)=0,"",IFERROR(G188/D188*1000,0))</f>
        <v/>
      </c>
      <c r="X188" s="17">
        <f>IF(COUNT(C188:P188)=0,"",IFERROR(H188/G188,0))</f>
        <v/>
      </c>
      <c r="Y188" s="14">
        <f>IF(COUNT(C188:P188)=0,"",IFERROR(C188/H188,0))</f>
        <v/>
      </c>
      <c r="Z188" s="14">
        <f>IF(COUNT(C188:P188)=0,"",IFERROR(C188/I188,0))</f>
        <v/>
      </c>
      <c r="AA188" s="17">
        <f>IF(COUNT(C188:P188)=0,"",IFERROR(Y188/Q188,0))</f>
        <v/>
      </c>
      <c r="AB188" s="18">
        <f>IF(COUNT(C188:P188)=0,"",IFERROR(H188/D188*1000,0))</f>
        <v/>
      </c>
      <c r="AC188" s="17">
        <f>IF(COUNT(C188:P188)=0,"",IFERROR(J188/H188,0))</f>
        <v/>
      </c>
      <c r="AD188" s="14">
        <f>IF(COUNT(C188:P188)=0,"",IFERROR(C188/J188,0))</f>
        <v/>
      </c>
      <c r="AE188" s="17">
        <f>IF(COUNT(C188:P188)=0,"",IFERROR(K188/H188,0))</f>
        <v/>
      </c>
      <c r="AF188" s="17">
        <f>IF(COUNT(C188:P188)=0,"",IFERROR(L188/H188,0))</f>
        <v/>
      </c>
      <c r="AG188" s="14">
        <f>IF(COUNT(C188:P188)=0,"",IFERROR(C188/K188,0))</f>
        <v/>
      </c>
      <c r="AH188" s="17">
        <f>IF(COUNT(C188:P188)=0,"",IFERROR(M188/K188,0))</f>
        <v/>
      </c>
      <c r="AI188" s="14">
        <f>IF(COUNT(C188:P188)=0,"",IFERROR(C188/M188,0))</f>
        <v/>
      </c>
      <c r="AJ188" s="17">
        <f>IF(COUNT(C188:P188)=0,"",IFERROR(N188/M188,0))</f>
        <v/>
      </c>
      <c r="AK188" s="16">
        <f>IF(COUNT(C188:P188)=0,"",IFERROR(N188/H188,0))</f>
        <v/>
      </c>
      <c r="AL188" s="14">
        <f>IF(COUNT(C188:P188)=0,"",IFERROR(C188/N188,0))</f>
        <v/>
      </c>
      <c r="AM188" s="17">
        <f>IF(COUNT(C188:P188)=0,"",IFERROR(O188/N188,0))</f>
        <v/>
      </c>
      <c r="AN188" s="17">
        <f>IF(COUNT(C188:P188)=0,"",IFERROR(P188/N188,0))</f>
        <v/>
      </c>
      <c r="AO188" s="19">
        <f>IF(COUNT(C188:P188)=0,"",IFERROR(N188*Config!$C$7+O188*Config!$C$8+P188*Config!$C$9,0))</f>
        <v/>
      </c>
      <c r="AP188" s="14">
        <f>IF(COUNT(C188:P188)=0,"",IFERROR(AO188/N188,0))</f>
        <v/>
      </c>
      <c r="AQ188" s="19">
        <f>IF(COUNT(C188:P188)=0,"",IFERROR(AO188*(1-Config!$C$10-Config!$C$11-Config!$C$12),0))</f>
        <v/>
      </c>
      <c r="AR188" s="19">
        <f>IF(COUNT(C188:P188)=0,"",IFERROR(AQ188-C188-Config!$C$13,0))</f>
        <v/>
      </c>
      <c r="AS188" s="20">
        <f>IF(COUNT(C188:P188)=0,"",IFERROR(AQ188/C188,0))</f>
        <v/>
      </c>
      <c r="AT188" s="14">
        <f>IF(COUNT(C188:P188)=0,"",IFERROR(AR188/G188,0))</f>
        <v/>
      </c>
      <c r="AU188" s="20">
        <f>IF(COUNT(C188:P188)=0,"",IFERROR(AT188/V188,0))</f>
        <v/>
      </c>
      <c r="AV188" s="14">
        <f>IF(COUNT(C188:P188)=0,"",IFERROR(AR188/H188,0))</f>
        <v/>
      </c>
    </row>
    <row r="189">
      <c r="A189" s="11">
        <f>Config!$C$6+183</f>
        <v/>
      </c>
      <c r="B189" s="12">
        <f>INT((A189-Config!$C$6)/7)+1</f>
        <v/>
      </c>
      <c r="C189" s="9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4">
        <f>IF(COUNT(C189:P189)=0,"",IFERROR(C189/D189*1000,0))</f>
        <v/>
      </c>
      <c r="R189" s="15">
        <f>IF(COUNT(C189:P189)=0,"",IFERROR(D189/E189,0))</f>
        <v/>
      </c>
      <c r="S189" s="16">
        <f>IF(COUNT(C189:P189)=0,"",IFERROR(F189/D189,0))</f>
        <v/>
      </c>
      <c r="T189" s="14">
        <f>IF(COUNT(C189:P189)=0,"",IFERROR(C189/F189,0))</f>
        <v/>
      </c>
      <c r="U189" s="17">
        <f>IF(COUNT(C189:P189)=0,"",IFERROR(G189/F189,0))</f>
        <v/>
      </c>
      <c r="V189" s="14">
        <f>IF(COUNT(C189:P189)=0,"",IFERROR(C189/G189,0))</f>
        <v/>
      </c>
      <c r="W189" s="18">
        <f>IF(COUNT(C189:P189)=0,"",IFERROR(G189/D189*1000,0))</f>
        <v/>
      </c>
      <c r="X189" s="17">
        <f>IF(COUNT(C189:P189)=0,"",IFERROR(H189/G189,0))</f>
        <v/>
      </c>
      <c r="Y189" s="14">
        <f>IF(COUNT(C189:P189)=0,"",IFERROR(C189/H189,0))</f>
        <v/>
      </c>
      <c r="Z189" s="14">
        <f>IF(COUNT(C189:P189)=0,"",IFERROR(C189/I189,0))</f>
        <v/>
      </c>
      <c r="AA189" s="17">
        <f>IF(COUNT(C189:P189)=0,"",IFERROR(Y189/Q189,0))</f>
        <v/>
      </c>
      <c r="AB189" s="18">
        <f>IF(COUNT(C189:P189)=0,"",IFERROR(H189/D189*1000,0))</f>
        <v/>
      </c>
      <c r="AC189" s="17">
        <f>IF(COUNT(C189:P189)=0,"",IFERROR(J189/H189,0))</f>
        <v/>
      </c>
      <c r="AD189" s="14">
        <f>IF(COUNT(C189:P189)=0,"",IFERROR(C189/J189,0))</f>
        <v/>
      </c>
      <c r="AE189" s="17">
        <f>IF(COUNT(C189:P189)=0,"",IFERROR(K189/H189,0))</f>
        <v/>
      </c>
      <c r="AF189" s="17">
        <f>IF(COUNT(C189:P189)=0,"",IFERROR(L189/H189,0))</f>
        <v/>
      </c>
      <c r="AG189" s="14">
        <f>IF(COUNT(C189:P189)=0,"",IFERROR(C189/K189,0))</f>
        <v/>
      </c>
      <c r="AH189" s="17">
        <f>IF(COUNT(C189:P189)=0,"",IFERROR(M189/K189,0))</f>
        <v/>
      </c>
      <c r="AI189" s="14">
        <f>IF(COUNT(C189:P189)=0,"",IFERROR(C189/M189,0))</f>
        <v/>
      </c>
      <c r="AJ189" s="17">
        <f>IF(COUNT(C189:P189)=0,"",IFERROR(N189/M189,0))</f>
        <v/>
      </c>
      <c r="AK189" s="16">
        <f>IF(COUNT(C189:P189)=0,"",IFERROR(N189/H189,0))</f>
        <v/>
      </c>
      <c r="AL189" s="14">
        <f>IF(COUNT(C189:P189)=0,"",IFERROR(C189/N189,0))</f>
        <v/>
      </c>
      <c r="AM189" s="17">
        <f>IF(COUNT(C189:P189)=0,"",IFERROR(O189/N189,0))</f>
        <v/>
      </c>
      <c r="AN189" s="17">
        <f>IF(COUNT(C189:P189)=0,"",IFERROR(P189/N189,0))</f>
        <v/>
      </c>
      <c r="AO189" s="19">
        <f>IF(COUNT(C189:P189)=0,"",IFERROR(N189*Config!$C$7+O189*Config!$C$8+P189*Config!$C$9,0))</f>
        <v/>
      </c>
      <c r="AP189" s="14">
        <f>IF(COUNT(C189:P189)=0,"",IFERROR(AO189/N189,0))</f>
        <v/>
      </c>
      <c r="AQ189" s="19">
        <f>IF(COUNT(C189:P189)=0,"",IFERROR(AO189*(1-Config!$C$10-Config!$C$11-Config!$C$12),0))</f>
        <v/>
      </c>
      <c r="AR189" s="19">
        <f>IF(COUNT(C189:P189)=0,"",IFERROR(AQ189-C189-Config!$C$13,0))</f>
        <v/>
      </c>
      <c r="AS189" s="20">
        <f>IF(COUNT(C189:P189)=0,"",IFERROR(AQ189/C189,0))</f>
        <v/>
      </c>
      <c r="AT189" s="14">
        <f>IF(COUNT(C189:P189)=0,"",IFERROR(AR189/G189,0))</f>
        <v/>
      </c>
      <c r="AU189" s="20">
        <f>IF(COUNT(C189:P189)=0,"",IFERROR(AT189/V189,0))</f>
        <v/>
      </c>
      <c r="AV189" s="14">
        <f>IF(COUNT(C189:P189)=0,"",IFERROR(AR189/H189,0))</f>
        <v/>
      </c>
    </row>
    <row r="190">
      <c r="A190" s="11">
        <f>Config!$C$6+184</f>
        <v/>
      </c>
      <c r="B190" s="12">
        <f>INT((A190-Config!$C$6)/7)+1</f>
        <v/>
      </c>
      <c r="C190" s="9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4">
        <f>IF(COUNT(C190:P190)=0,"",IFERROR(C190/D190*1000,0))</f>
        <v/>
      </c>
      <c r="R190" s="15">
        <f>IF(COUNT(C190:P190)=0,"",IFERROR(D190/E190,0))</f>
        <v/>
      </c>
      <c r="S190" s="16">
        <f>IF(COUNT(C190:P190)=0,"",IFERROR(F190/D190,0))</f>
        <v/>
      </c>
      <c r="T190" s="14">
        <f>IF(COUNT(C190:P190)=0,"",IFERROR(C190/F190,0))</f>
        <v/>
      </c>
      <c r="U190" s="17">
        <f>IF(COUNT(C190:P190)=0,"",IFERROR(G190/F190,0))</f>
        <v/>
      </c>
      <c r="V190" s="14">
        <f>IF(COUNT(C190:P190)=0,"",IFERROR(C190/G190,0))</f>
        <v/>
      </c>
      <c r="W190" s="18">
        <f>IF(COUNT(C190:P190)=0,"",IFERROR(G190/D190*1000,0))</f>
        <v/>
      </c>
      <c r="X190" s="17">
        <f>IF(COUNT(C190:P190)=0,"",IFERROR(H190/G190,0))</f>
        <v/>
      </c>
      <c r="Y190" s="14">
        <f>IF(COUNT(C190:P190)=0,"",IFERROR(C190/H190,0))</f>
        <v/>
      </c>
      <c r="Z190" s="14">
        <f>IF(COUNT(C190:P190)=0,"",IFERROR(C190/I190,0))</f>
        <v/>
      </c>
      <c r="AA190" s="17">
        <f>IF(COUNT(C190:P190)=0,"",IFERROR(Y190/Q190,0))</f>
        <v/>
      </c>
      <c r="AB190" s="18">
        <f>IF(COUNT(C190:P190)=0,"",IFERROR(H190/D190*1000,0))</f>
        <v/>
      </c>
      <c r="AC190" s="17">
        <f>IF(COUNT(C190:P190)=0,"",IFERROR(J190/H190,0))</f>
        <v/>
      </c>
      <c r="AD190" s="14">
        <f>IF(COUNT(C190:P190)=0,"",IFERROR(C190/J190,0))</f>
        <v/>
      </c>
      <c r="AE190" s="17">
        <f>IF(COUNT(C190:P190)=0,"",IFERROR(K190/H190,0))</f>
        <v/>
      </c>
      <c r="AF190" s="17">
        <f>IF(COUNT(C190:P190)=0,"",IFERROR(L190/H190,0))</f>
        <v/>
      </c>
      <c r="AG190" s="14">
        <f>IF(COUNT(C190:P190)=0,"",IFERROR(C190/K190,0))</f>
        <v/>
      </c>
      <c r="AH190" s="17">
        <f>IF(COUNT(C190:P190)=0,"",IFERROR(M190/K190,0))</f>
        <v/>
      </c>
      <c r="AI190" s="14">
        <f>IF(COUNT(C190:P190)=0,"",IFERROR(C190/M190,0))</f>
        <v/>
      </c>
      <c r="AJ190" s="17">
        <f>IF(COUNT(C190:P190)=0,"",IFERROR(N190/M190,0))</f>
        <v/>
      </c>
      <c r="AK190" s="16">
        <f>IF(COUNT(C190:P190)=0,"",IFERROR(N190/H190,0))</f>
        <v/>
      </c>
      <c r="AL190" s="14">
        <f>IF(COUNT(C190:P190)=0,"",IFERROR(C190/N190,0))</f>
        <v/>
      </c>
      <c r="AM190" s="17">
        <f>IF(COUNT(C190:P190)=0,"",IFERROR(O190/N190,0))</f>
        <v/>
      </c>
      <c r="AN190" s="17">
        <f>IF(COUNT(C190:P190)=0,"",IFERROR(P190/N190,0))</f>
        <v/>
      </c>
      <c r="AO190" s="19">
        <f>IF(COUNT(C190:P190)=0,"",IFERROR(N190*Config!$C$7+O190*Config!$C$8+P190*Config!$C$9,0))</f>
        <v/>
      </c>
      <c r="AP190" s="14">
        <f>IF(COUNT(C190:P190)=0,"",IFERROR(AO190/N190,0))</f>
        <v/>
      </c>
      <c r="AQ190" s="19">
        <f>IF(COUNT(C190:P190)=0,"",IFERROR(AO190*(1-Config!$C$10-Config!$C$11-Config!$C$12),0))</f>
        <v/>
      </c>
      <c r="AR190" s="19">
        <f>IF(COUNT(C190:P190)=0,"",IFERROR(AQ190-C190-Config!$C$13,0))</f>
        <v/>
      </c>
      <c r="AS190" s="20">
        <f>IF(COUNT(C190:P190)=0,"",IFERROR(AQ190/C190,0))</f>
        <v/>
      </c>
      <c r="AT190" s="14">
        <f>IF(COUNT(C190:P190)=0,"",IFERROR(AR190/G190,0))</f>
        <v/>
      </c>
      <c r="AU190" s="20">
        <f>IF(COUNT(C190:P190)=0,"",IFERROR(AT190/V190,0))</f>
        <v/>
      </c>
      <c r="AV190" s="14">
        <f>IF(COUNT(C190:P190)=0,"",IFERROR(AR190/H190,0))</f>
        <v/>
      </c>
    </row>
    <row r="191">
      <c r="A191" s="11">
        <f>Config!$C$6+185</f>
        <v/>
      </c>
      <c r="B191" s="12">
        <f>INT((A191-Config!$C$6)/7)+1</f>
        <v/>
      </c>
      <c r="C191" s="9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4">
        <f>IF(COUNT(C191:P191)=0,"",IFERROR(C191/D191*1000,0))</f>
        <v/>
      </c>
      <c r="R191" s="15">
        <f>IF(COUNT(C191:P191)=0,"",IFERROR(D191/E191,0))</f>
        <v/>
      </c>
      <c r="S191" s="16">
        <f>IF(COUNT(C191:P191)=0,"",IFERROR(F191/D191,0))</f>
        <v/>
      </c>
      <c r="T191" s="14">
        <f>IF(COUNT(C191:P191)=0,"",IFERROR(C191/F191,0))</f>
        <v/>
      </c>
      <c r="U191" s="17">
        <f>IF(COUNT(C191:P191)=0,"",IFERROR(G191/F191,0))</f>
        <v/>
      </c>
      <c r="V191" s="14">
        <f>IF(COUNT(C191:P191)=0,"",IFERROR(C191/G191,0))</f>
        <v/>
      </c>
      <c r="W191" s="18">
        <f>IF(COUNT(C191:P191)=0,"",IFERROR(G191/D191*1000,0))</f>
        <v/>
      </c>
      <c r="X191" s="17">
        <f>IF(COUNT(C191:P191)=0,"",IFERROR(H191/G191,0))</f>
        <v/>
      </c>
      <c r="Y191" s="14">
        <f>IF(COUNT(C191:P191)=0,"",IFERROR(C191/H191,0))</f>
        <v/>
      </c>
      <c r="Z191" s="14">
        <f>IF(COUNT(C191:P191)=0,"",IFERROR(C191/I191,0))</f>
        <v/>
      </c>
      <c r="AA191" s="17">
        <f>IF(COUNT(C191:P191)=0,"",IFERROR(Y191/Q191,0))</f>
        <v/>
      </c>
      <c r="AB191" s="18">
        <f>IF(COUNT(C191:P191)=0,"",IFERROR(H191/D191*1000,0))</f>
        <v/>
      </c>
      <c r="AC191" s="17">
        <f>IF(COUNT(C191:P191)=0,"",IFERROR(J191/H191,0))</f>
        <v/>
      </c>
      <c r="AD191" s="14">
        <f>IF(COUNT(C191:P191)=0,"",IFERROR(C191/J191,0))</f>
        <v/>
      </c>
      <c r="AE191" s="17">
        <f>IF(COUNT(C191:P191)=0,"",IFERROR(K191/H191,0))</f>
        <v/>
      </c>
      <c r="AF191" s="17">
        <f>IF(COUNT(C191:P191)=0,"",IFERROR(L191/H191,0))</f>
        <v/>
      </c>
      <c r="AG191" s="14">
        <f>IF(COUNT(C191:P191)=0,"",IFERROR(C191/K191,0))</f>
        <v/>
      </c>
      <c r="AH191" s="17">
        <f>IF(COUNT(C191:P191)=0,"",IFERROR(M191/K191,0))</f>
        <v/>
      </c>
      <c r="AI191" s="14">
        <f>IF(COUNT(C191:P191)=0,"",IFERROR(C191/M191,0))</f>
        <v/>
      </c>
      <c r="AJ191" s="17">
        <f>IF(COUNT(C191:P191)=0,"",IFERROR(N191/M191,0))</f>
        <v/>
      </c>
      <c r="AK191" s="16">
        <f>IF(COUNT(C191:P191)=0,"",IFERROR(N191/H191,0))</f>
        <v/>
      </c>
      <c r="AL191" s="14">
        <f>IF(COUNT(C191:P191)=0,"",IFERROR(C191/N191,0))</f>
        <v/>
      </c>
      <c r="AM191" s="17">
        <f>IF(COUNT(C191:P191)=0,"",IFERROR(O191/N191,0))</f>
        <v/>
      </c>
      <c r="AN191" s="17">
        <f>IF(COUNT(C191:P191)=0,"",IFERROR(P191/N191,0))</f>
        <v/>
      </c>
      <c r="AO191" s="19">
        <f>IF(COUNT(C191:P191)=0,"",IFERROR(N191*Config!$C$7+O191*Config!$C$8+P191*Config!$C$9,0))</f>
        <v/>
      </c>
      <c r="AP191" s="14">
        <f>IF(COUNT(C191:P191)=0,"",IFERROR(AO191/N191,0))</f>
        <v/>
      </c>
      <c r="AQ191" s="19">
        <f>IF(COUNT(C191:P191)=0,"",IFERROR(AO191*(1-Config!$C$10-Config!$C$11-Config!$C$12),0))</f>
        <v/>
      </c>
      <c r="AR191" s="19">
        <f>IF(COUNT(C191:P191)=0,"",IFERROR(AQ191-C191-Config!$C$13,0))</f>
        <v/>
      </c>
      <c r="AS191" s="20">
        <f>IF(COUNT(C191:P191)=0,"",IFERROR(AQ191/C191,0))</f>
        <v/>
      </c>
      <c r="AT191" s="14">
        <f>IF(COUNT(C191:P191)=0,"",IFERROR(AR191/G191,0))</f>
        <v/>
      </c>
      <c r="AU191" s="20">
        <f>IF(COUNT(C191:P191)=0,"",IFERROR(AT191/V191,0))</f>
        <v/>
      </c>
      <c r="AV191" s="14">
        <f>IF(COUNT(C191:P191)=0,"",IFERROR(AR191/H191,0))</f>
        <v/>
      </c>
    </row>
    <row r="192">
      <c r="A192" s="11">
        <f>Config!$C$6+186</f>
        <v/>
      </c>
      <c r="B192" s="12">
        <f>INT((A192-Config!$C$6)/7)+1</f>
        <v/>
      </c>
      <c r="C192" s="9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4">
        <f>IF(COUNT(C192:P192)=0,"",IFERROR(C192/D192*1000,0))</f>
        <v/>
      </c>
      <c r="R192" s="15">
        <f>IF(COUNT(C192:P192)=0,"",IFERROR(D192/E192,0))</f>
        <v/>
      </c>
      <c r="S192" s="16">
        <f>IF(COUNT(C192:P192)=0,"",IFERROR(F192/D192,0))</f>
        <v/>
      </c>
      <c r="T192" s="14">
        <f>IF(COUNT(C192:P192)=0,"",IFERROR(C192/F192,0))</f>
        <v/>
      </c>
      <c r="U192" s="17">
        <f>IF(COUNT(C192:P192)=0,"",IFERROR(G192/F192,0))</f>
        <v/>
      </c>
      <c r="V192" s="14">
        <f>IF(COUNT(C192:P192)=0,"",IFERROR(C192/G192,0))</f>
        <v/>
      </c>
      <c r="W192" s="18">
        <f>IF(COUNT(C192:P192)=0,"",IFERROR(G192/D192*1000,0))</f>
        <v/>
      </c>
      <c r="X192" s="17">
        <f>IF(COUNT(C192:P192)=0,"",IFERROR(H192/G192,0))</f>
        <v/>
      </c>
      <c r="Y192" s="14">
        <f>IF(COUNT(C192:P192)=0,"",IFERROR(C192/H192,0))</f>
        <v/>
      </c>
      <c r="Z192" s="14">
        <f>IF(COUNT(C192:P192)=0,"",IFERROR(C192/I192,0))</f>
        <v/>
      </c>
      <c r="AA192" s="17">
        <f>IF(COUNT(C192:P192)=0,"",IFERROR(Y192/Q192,0))</f>
        <v/>
      </c>
      <c r="AB192" s="18">
        <f>IF(COUNT(C192:P192)=0,"",IFERROR(H192/D192*1000,0))</f>
        <v/>
      </c>
      <c r="AC192" s="17">
        <f>IF(COUNT(C192:P192)=0,"",IFERROR(J192/H192,0))</f>
        <v/>
      </c>
      <c r="AD192" s="14">
        <f>IF(COUNT(C192:P192)=0,"",IFERROR(C192/J192,0))</f>
        <v/>
      </c>
      <c r="AE192" s="17">
        <f>IF(COUNT(C192:P192)=0,"",IFERROR(K192/H192,0))</f>
        <v/>
      </c>
      <c r="AF192" s="17">
        <f>IF(COUNT(C192:P192)=0,"",IFERROR(L192/H192,0))</f>
        <v/>
      </c>
      <c r="AG192" s="14">
        <f>IF(COUNT(C192:P192)=0,"",IFERROR(C192/K192,0))</f>
        <v/>
      </c>
      <c r="AH192" s="17">
        <f>IF(COUNT(C192:P192)=0,"",IFERROR(M192/K192,0))</f>
        <v/>
      </c>
      <c r="AI192" s="14">
        <f>IF(COUNT(C192:P192)=0,"",IFERROR(C192/M192,0))</f>
        <v/>
      </c>
      <c r="AJ192" s="17">
        <f>IF(COUNT(C192:P192)=0,"",IFERROR(N192/M192,0))</f>
        <v/>
      </c>
      <c r="AK192" s="16">
        <f>IF(COUNT(C192:P192)=0,"",IFERROR(N192/H192,0))</f>
        <v/>
      </c>
      <c r="AL192" s="14">
        <f>IF(COUNT(C192:P192)=0,"",IFERROR(C192/N192,0))</f>
        <v/>
      </c>
      <c r="AM192" s="17">
        <f>IF(COUNT(C192:P192)=0,"",IFERROR(O192/N192,0))</f>
        <v/>
      </c>
      <c r="AN192" s="17">
        <f>IF(COUNT(C192:P192)=0,"",IFERROR(P192/N192,0))</f>
        <v/>
      </c>
      <c r="AO192" s="19">
        <f>IF(COUNT(C192:P192)=0,"",IFERROR(N192*Config!$C$7+O192*Config!$C$8+P192*Config!$C$9,0))</f>
        <v/>
      </c>
      <c r="AP192" s="14">
        <f>IF(COUNT(C192:P192)=0,"",IFERROR(AO192/N192,0))</f>
        <v/>
      </c>
      <c r="AQ192" s="19">
        <f>IF(COUNT(C192:P192)=0,"",IFERROR(AO192*(1-Config!$C$10-Config!$C$11-Config!$C$12),0))</f>
        <v/>
      </c>
      <c r="AR192" s="19">
        <f>IF(COUNT(C192:P192)=0,"",IFERROR(AQ192-C192-Config!$C$13,0))</f>
        <v/>
      </c>
      <c r="AS192" s="20">
        <f>IF(COUNT(C192:P192)=0,"",IFERROR(AQ192/C192,0))</f>
        <v/>
      </c>
      <c r="AT192" s="14">
        <f>IF(COUNT(C192:P192)=0,"",IFERROR(AR192/G192,0))</f>
        <v/>
      </c>
      <c r="AU192" s="20">
        <f>IF(COUNT(C192:P192)=0,"",IFERROR(AT192/V192,0))</f>
        <v/>
      </c>
      <c r="AV192" s="14">
        <f>IF(COUNT(C192:P192)=0,"",IFERROR(AR192/H192,0))</f>
        <v/>
      </c>
    </row>
    <row r="193">
      <c r="A193" s="11">
        <f>Config!$C$6+187</f>
        <v/>
      </c>
      <c r="B193" s="12">
        <f>INT((A193-Config!$C$6)/7)+1</f>
        <v/>
      </c>
      <c r="C193" s="9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4">
        <f>IF(COUNT(C193:P193)=0,"",IFERROR(C193/D193*1000,0))</f>
        <v/>
      </c>
      <c r="R193" s="15">
        <f>IF(COUNT(C193:P193)=0,"",IFERROR(D193/E193,0))</f>
        <v/>
      </c>
      <c r="S193" s="16">
        <f>IF(COUNT(C193:P193)=0,"",IFERROR(F193/D193,0))</f>
        <v/>
      </c>
      <c r="T193" s="14">
        <f>IF(COUNT(C193:P193)=0,"",IFERROR(C193/F193,0))</f>
        <v/>
      </c>
      <c r="U193" s="17">
        <f>IF(COUNT(C193:P193)=0,"",IFERROR(G193/F193,0))</f>
        <v/>
      </c>
      <c r="V193" s="14">
        <f>IF(COUNT(C193:P193)=0,"",IFERROR(C193/G193,0))</f>
        <v/>
      </c>
      <c r="W193" s="18">
        <f>IF(COUNT(C193:P193)=0,"",IFERROR(G193/D193*1000,0))</f>
        <v/>
      </c>
      <c r="X193" s="17">
        <f>IF(COUNT(C193:P193)=0,"",IFERROR(H193/G193,0))</f>
        <v/>
      </c>
      <c r="Y193" s="14">
        <f>IF(COUNT(C193:P193)=0,"",IFERROR(C193/H193,0))</f>
        <v/>
      </c>
      <c r="Z193" s="14">
        <f>IF(COUNT(C193:P193)=0,"",IFERROR(C193/I193,0))</f>
        <v/>
      </c>
      <c r="AA193" s="17">
        <f>IF(COUNT(C193:P193)=0,"",IFERROR(Y193/Q193,0))</f>
        <v/>
      </c>
      <c r="AB193" s="18">
        <f>IF(COUNT(C193:P193)=0,"",IFERROR(H193/D193*1000,0))</f>
        <v/>
      </c>
      <c r="AC193" s="17">
        <f>IF(COUNT(C193:P193)=0,"",IFERROR(J193/H193,0))</f>
        <v/>
      </c>
      <c r="AD193" s="14">
        <f>IF(COUNT(C193:P193)=0,"",IFERROR(C193/J193,0))</f>
        <v/>
      </c>
      <c r="AE193" s="17">
        <f>IF(COUNT(C193:P193)=0,"",IFERROR(K193/H193,0))</f>
        <v/>
      </c>
      <c r="AF193" s="17">
        <f>IF(COUNT(C193:P193)=0,"",IFERROR(L193/H193,0))</f>
        <v/>
      </c>
      <c r="AG193" s="14">
        <f>IF(COUNT(C193:P193)=0,"",IFERROR(C193/K193,0))</f>
        <v/>
      </c>
      <c r="AH193" s="17">
        <f>IF(COUNT(C193:P193)=0,"",IFERROR(M193/K193,0))</f>
        <v/>
      </c>
      <c r="AI193" s="14">
        <f>IF(COUNT(C193:P193)=0,"",IFERROR(C193/M193,0))</f>
        <v/>
      </c>
      <c r="AJ193" s="17">
        <f>IF(COUNT(C193:P193)=0,"",IFERROR(N193/M193,0))</f>
        <v/>
      </c>
      <c r="AK193" s="16">
        <f>IF(COUNT(C193:P193)=0,"",IFERROR(N193/H193,0))</f>
        <v/>
      </c>
      <c r="AL193" s="14">
        <f>IF(COUNT(C193:P193)=0,"",IFERROR(C193/N193,0))</f>
        <v/>
      </c>
      <c r="AM193" s="17">
        <f>IF(COUNT(C193:P193)=0,"",IFERROR(O193/N193,0))</f>
        <v/>
      </c>
      <c r="AN193" s="17">
        <f>IF(COUNT(C193:P193)=0,"",IFERROR(P193/N193,0))</f>
        <v/>
      </c>
      <c r="AO193" s="19">
        <f>IF(COUNT(C193:P193)=0,"",IFERROR(N193*Config!$C$7+O193*Config!$C$8+P193*Config!$C$9,0))</f>
        <v/>
      </c>
      <c r="AP193" s="14">
        <f>IF(COUNT(C193:P193)=0,"",IFERROR(AO193/N193,0))</f>
        <v/>
      </c>
      <c r="AQ193" s="19">
        <f>IF(COUNT(C193:P193)=0,"",IFERROR(AO193*(1-Config!$C$10-Config!$C$11-Config!$C$12),0))</f>
        <v/>
      </c>
      <c r="AR193" s="19">
        <f>IF(COUNT(C193:P193)=0,"",IFERROR(AQ193-C193-Config!$C$13,0))</f>
        <v/>
      </c>
      <c r="AS193" s="20">
        <f>IF(COUNT(C193:P193)=0,"",IFERROR(AQ193/C193,0))</f>
        <v/>
      </c>
      <c r="AT193" s="14">
        <f>IF(COUNT(C193:P193)=0,"",IFERROR(AR193/G193,0))</f>
        <v/>
      </c>
      <c r="AU193" s="20">
        <f>IF(COUNT(C193:P193)=0,"",IFERROR(AT193/V193,0))</f>
        <v/>
      </c>
      <c r="AV193" s="14">
        <f>IF(COUNT(C193:P193)=0,"",IFERROR(AR193/H193,0))</f>
        <v/>
      </c>
    </row>
    <row r="194">
      <c r="A194" s="11">
        <f>Config!$C$6+188</f>
        <v/>
      </c>
      <c r="B194" s="12">
        <f>INT((A194-Config!$C$6)/7)+1</f>
        <v/>
      </c>
      <c r="C194" s="9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4">
        <f>IF(COUNT(C194:P194)=0,"",IFERROR(C194/D194*1000,0))</f>
        <v/>
      </c>
      <c r="R194" s="15">
        <f>IF(COUNT(C194:P194)=0,"",IFERROR(D194/E194,0))</f>
        <v/>
      </c>
      <c r="S194" s="16">
        <f>IF(COUNT(C194:P194)=0,"",IFERROR(F194/D194,0))</f>
        <v/>
      </c>
      <c r="T194" s="14">
        <f>IF(COUNT(C194:P194)=0,"",IFERROR(C194/F194,0))</f>
        <v/>
      </c>
      <c r="U194" s="17">
        <f>IF(COUNT(C194:P194)=0,"",IFERROR(G194/F194,0))</f>
        <v/>
      </c>
      <c r="V194" s="14">
        <f>IF(COUNT(C194:P194)=0,"",IFERROR(C194/G194,0))</f>
        <v/>
      </c>
      <c r="W194" s="18">
        <f>IF(COUNT(C194:P194)=0,"",IFERROR(G194/D194*1000,0))</f>
        <v/>
      </c>
      <c r="X194" s="17">
        <f>IF(COUNT(C194:P194)=0,"",IFERROR(H194/G194,0))</f>
        <v/>
      </c>
      <c r="Y194" s="14">
        <f>IF(COUNT(C194:P194)=0,"",IFERROR(C194/H194,0))</f>
        <v/>
      </c>
      <c r="Z194" s="14">
        <f>IF(COUNT(C194:P194)=0,"",IFERROR(C194/I194,0))</f>
        <v/>
      </c>
      <c r="AA194" s="17">
        <f>IF(COUNT(C194:P194)=0,"",IFERROR(Y194/Q194,0))</f>
        <v/>
      </c>
      <c r="AB194" s="18">
        <f>IF(COUNT(C194:P194)=0,"",IFERROR(H194/D194*1000,0))</f>
        <v/>
      </c>
      <c r="AC194" s="17">
        <f>IF(COUNT(C194:P194)=0,"",IFERROR(J194/H194,0))</f>
        <v/>
      </c>
      <c r="AD194" s="14">
        <f>IF(COUNT(C194:P194)=0,"",IFERROR(C194/J194,0))</f>
        <v/>
      </c>
      <c r="AE194" s="17">
        <f>IF(COUNT(C194:P194)=0,"",IFERROR(K194/H194,0))</f>
        <v/>
      </c>
      <c r="AF194" s="17">
        <f>IF(COUNT(C194:P194)=0,"",IFERROR(L194/H194,0))</f>
        <v/>
      </c>
      <c r="AG194" s="14">
        <f>IF(COUNT(C194:P194)=0,"",IFERROR(C194/K194,0))</f>
        <v/>
      </c>
      <c r="AH194" s="17">
        <f>IF(COUNT(C194:P194)=0,"",IFERROR(M194/K194,0))</f>
        <v/>
      </c>
      <c r="AI194" s="14">
        <f>IF(COUNT(C194:P194)=0,"",IFERROR(C194/M194,0))</f>
        <v/>
      </c>
      <c r="AJ194" s="17">
        <f>IF(COUNT(C194:P194)=0,"",IFERROR(N194/M194,0))</f>
        <v/>
      </c>
      <c r="AK194" s="16">
        <f>IF(COUNT(C194:P194)=0,"",IFERROR(N194/H194,0))</f>
        <v/>
      </c>
      <c r="AL194" s="14">
        <f>IF(COUNT(C194:P194)=0,"",IFERROR(C194/N194,0))</f>
        <v/>
      </c>
      <c r="AM194" s="17">
        <f>IF(COUNT(C194:P194)=0,"",IFERROR(O194/N194,0))</f>
        <v/>
      </c>
      <c r="AN194" s="17">
        <f>IF(COUNT(C194:P194)=0,"",IFERROR(P194/N194,0))</f>
        <v/>
      </c>
      <c r="AO194" s="19">
        <f>IF(COUNT(C194:P194)=0,"",IFERROR(N194*Config!$C$7+O194*Config!$C$8+P194*Config!$C$9,0))</f>
        <v/>
      </c>
      <c r="AP194" s="14">
        <f>IF(COUNT(C194:P194)=0,"",IFERROR(AO194/N194,0))</f>
        <v/>
      </c>
      <c r="AQ194" s="19">
        <f>IF(COUNT(C194:P194)=0,"",IFERROR(AO194*(1-Config!$C$10-Config!$C$11-Config!$C$12),0))</f>
        <v/>
      </c>
      <c r="AR194" s="19">
        <f>IF(COUNT(C194:P194)=0,"",IFERROR(AQ194-C194-Config!$C$13,0))</f>
        <v/>
      </c>
      <c r="AS194" s="20">
        <f>IF(COUNT(C194:P194)=0,"",IFERROR(AQ194/C194,0))</f>
        <v/>
      </c>
      <c r="AT194" s="14">
        <f>IF(COUNT(C194:P194)=0,"",IFERROR(AR194/G194,0))</f>
        <v/>
      </c>
      <c r="AU194" s="20">
        <f>IF(COUNT(C194:P194)=0,"",IFERROR(AT194/V194,0))</f>
        <v/>
      </c>
      <c r="AV194" s="14">
        <f>IF(COUNT(C194:P194)=0,"",IFERROR(AR194/H194,0))</f>
        <v/>
      </c>
    </row>
    <row r="195">
      <c r="A195" s="11">
        <f>Config!$C$6+189</f>
        <v/>
      </c>
      <c r="B195" s="12">
        <f>INT((A195-Config!$C$6)/7)+1</f>
        <v/>
      </c>
      <c r="C195" s="9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4">
        <f>IF(COUNT(C195:P195)=0,"",IFERROR(C195/D195*1000,0))</f>
        <v/>
      </c>
      <c r="R195" s="15">
        <f>IF(COUNT(C195:P195)=0,"",IFERROR(D195/E195,0))</f>
        <v/>
      </c>
      <c r="S195" s="16">
        <f>IF(COUNT(C195:P195)=0,"",IFERROR(F195/D195,0))</f>
        <v/>
      </c>
      <c r="T195" s="14">
        <f>IF(COUNT(C195:P195)=0,"",IFERROR(C195/F195,0))</f>
        <v/>
      </c>
      <c r="U195" s="17">
        <f>IF(COUNT(C195:P195)=0,"",IFERROR(G195/F195,0))</f>
        <v/>
      </c>
      <c r="V195" s="14">
        <f>IF(COUNT(C195:P195)=0,"",IFERROR(C195/G195,0))</f>
        <v/>
      </c>
      <c r="W195" s="18">
        <f>IF(COUNT(C195:P195)=0,"",IFERROR(G195/D195*1000,0))</f>
        <v/>
      </c>
      <c r="X195" s="17">
        <f>IF(COUNT(C195:P195)=0,"",IFERROR(H195/G195,0))</f>
        <v/>
      </c>
      <c r="Y195" s="14">
        <f>IF(COUNT(C195:P195)=0,"",IFERROR(C195/H195,0))</f>
        <v/>
      </c>
      <c r="Z195" s="14">
        <f>IF(COUNT(C195:P195)=0,"",IFERROR(C195/I195,0))</f>
        <v/>
      </c>
      <c r="AA195" s="17">
        <f>IF(COUNT(C195:P195)=0,"",IFERROR(Y195/Q195,0))</f>
        <v/>
      </c>
      <c r="AB195" s="18">
        <f>IF(COUNT(C195:P195)=0,"",IFERROR(H195/D195*1000,0))</f>
        <v/>
      </c>
      <c r="AC195" s="17">
        <f>IF(COUNT(C195:P195)=0,"",IFERROR(J195/H195,0))</f>
        <v/>
      </c>
      <c r="AD195" s="14">
        <f>IF(COUNT(C195:P195)=0,"",IFERROR(C195/J195,0))</f>
        <v/>
      </c>
      <c r="AE195" s="17">
        <f>IF(COUNT(C195:P195)=0,"",IFERROR(K195/H195,0))</f>
        <v/>
      </c>
      <c r="AF195" s="17">
        <f>IF(COUNT(C195:P195)=0,"",IFERROR(L195/H195,0))</f>
        <v/>
      </c>
      <c r="AG195" s="14">
        <f>IF(COUNT(C195:P195)=0,"",IFERROR(C195/K195,0))</f>
        <v/>
      </c>
      <c r="AH195" s="17">
        <f>IF(COUNT(C195:P195)=0,"",IFERROR(M195/K195,0))</f>
        <v/>
      </c>
      <c r="AI195" s="14">
        <f>IF(COUNT(C195:P195)=0,"",IFERROR(C195/M195,0))</f>
        <v/>
      </c>
      <c r="AJ195" s="17">
        <f>IF(COUNT(C195:P195)=0,"",IFERROR(N195/M195,0))</f>
        <v/>
      </c>
      <c r="AK195" s="16">
        <f>IF(COUNT(C195:P195)=0,"",IFERROR(N195/H195,0))</f>
        <v/>
      </c>
      <c r="AL195" s="14">
        <f>IF(COUNT(C195:P195)=0,"",IFERROR(C195/N195,0))</f>
        <v/>
      </c>
      <c r="AM195" s="17">
        <f>IF(COUNT(C195:P195)=0,"",IFERROR(O195/N195,0))</f>
        <v/>
      </c>
      <c r="AN195" s="17">
        <f>IF(COUNT(C195:P195)=0,"",IFERROR(P195/N195,0))</f>
        <v/>
      </c>
      <c r="AO195" s="19">
        <f>IF(COUNT(C195:P195)=0,"",IFERROR(N195*Config!$C$7+O195*Config!$C$8+P195*Config!$C$9,0))</f>
        <v/>
      </c>
      <c r="AP195" s="14">
        <f>IF(COUNT(C195:P195)=0,"",IFERROR(AO195/N195,0))</f>
        <v/>
      </c>
      <c r="AQ195" s="19">
        <f>IF(COUNT(C195:P195)=0,"",IFERROR(AO195*(1-Config!$C$10-Config!$C$11-Config!$C$12),0))</f>
        <v/>
      </c>
      <c r="AR195" s="19">
        <f>IF(COUNT(C195:P195)=0,"",IFERROR(AQ195-C195-Config!$C$13,0))</f>
        <v/>
      </c>
      <c r="AS195" s="20">
        <f>IF(COUNT(C195:P195)=0,"",IFERROR(AQ195/C195,0))</f>
        <v/>
      </c>
      <c r="AT195" s="14">
        <f>IF(COUNT(C195:P195)=0,"",IFERROR(AR195/G195,0))</f>
        <v/>
      </c>
      <c r="AU195" s="20">
        <f>IF(COUNT(C195:P195)=0,"",IFERROR(AT195/V195,0))</f>
        <v/>
      </c>
      <c r="AV195" s="14">
        <f>IF(COUNT(C195:P195)=0,"",IFERROR(AR195/H195,0))</f>
        <v/>
      </c>
    </row>
    <row r="196">
      <c r="A196" s="11">
        <f>Config!$C$6+190</f>
        <v/>
      </c>
      <c r="B196" s="12">
        <f>INT((A196-Config!$C$6)/7)+1</f>
        <v/>
      </c>
      <c r="C196" s="9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4">
        <f>IF(COUNT(C196:P196)=0,"",IFERROR(C196/D196*1000,0))</f>
        <v/>
      </c>
      <c r="R196" s="15">
        <f>IF(COUNT(C196:P196)=0,"",IFERROR(D196/E196,0))</f>
        <v/>
      </c>
      <c r="S196" s="16">
        <f>IF(COUNT(C196:P196)=0,"",IFERROR(F196/D196,0))</f>
        <v/>
      </c>
      <c r="T196" s="14">
        <f>IF(COUNT(C196:P196)=0,"",IFERROR(C196/F196,0))</f>
        <v/>
      </c>
      <c r="U196" s="17">
        <f>IF(COUNT(C196:P196)=0,"",IFERROR(G196/F196,0))</f>
        <v/>
      </c>
      <c r="V196" s="14">
        <f>IF(COUNT(C196:P196)=0,"",IFERROR(C196/G196,0))</f>
        <v/>
      </c>
      <c r="W196" s="18">
        <f>IF(COUNT(C196:P196)=0,"",IFERROR(G196/D196*1000,0))</f>
        <v/>
      </c>
      <c r="X196" s="17">
        <f>IF(COUNT(C196:P196)=0,"",IFERROR(H196/G196,0))</f>
        <v/>
      </c>
      <c r="Y196" s="14">
        <f>IF(COUNT(C196:P196)=0,"",IFERROR(C196/H196,0))</f>
        <v/>
      </c>
      <c r="Z196" s="14">
        <f>IF(COUNT(C196:P196)=0,"",IFERROR(C196/I196,0))</f>
        <v/>
      </c>
      <c r="AA196" s="17">
        <f>IF(COUNT(C196:P196)=0,"",IFERROR(Y196/Q196,0))</f>
        <v/>
      </c>
      <c r="AB196" s="18">
        <f>IF(COUNT(C196:P196)=0,"",IFERROR(H196/D196*1000,0))</f>
        <v/>
      </c>
      <c r="AC196" s="17">
        <f>IF(COUNT(C196:P196)=0,"",IFERROR(J196/H196,0))</f>
        <v/>
      </c>
      <c r="AD196" s="14">
        <f>IF(COUNT(C196:P196)=0,"",IFERROR(C196/J196,0))</f>
        <v/>
      </c>
      <c r="AE196" s="17">
        <f>IF(COUNT(C196:P196)=0,"",IFERROR(K196/H196,0))</f>
        <v/>
      </c>
      <c r="AF196" s="17">
        <f>IF(COUNT(C196:P196)=0,"",IFERROR(L196/H196,0))</f>
        <v/>
      </c>
      <c r="AG196" s="14">
        <f>IF(COUNT(C196:P196)=0,"",IFERROR(C196/K196,0))</f>
        <v/>
      </c>
      <c r="AH196" s="17">
        <f>IF(COUNT(C196:P196)=0,"",IFERROR(M196/K196,0))</f>
        <v/>
      </c>
      <c r="AI196" s="14">
        <f>IF(COUNT(C196:P196)=0,"",IFERROR(C196/M196,0))</f>
        <v/>
      </c>
      <c r="AJ196" s="17">
        <f>IF(COUNT(C196:P196)=0,"",IFERROR(N196/M196,0))</f>
        <v/>
      </c>
      <c r="AK196" s="16">
        <f>IF(COUNT(C196:P196)=0,"",IFERROR(N196/H196,0))</f>
        <v/>
      </c>
      <c r="AL196" s="14">
        <f>IF(COUNT(C196:P196)=0,"",IFERROR(C196/N196,0))</f>
        <v/>
      </c>
      <c r="AM196" s="17">
        <f>IF(COUNT(C196:P196)=0,"",IFERROR(O196/N196,0))</f>
        <v/>
      </c>
      <c r="AN196" s="17">
        <f>IF(COUNT(C196:P196)=0,"",IFERROR(P196/N196,0))</f>
        <v/>
      </c>
      <c r="AO196" s="19">
        <f>IF(COUNT(C196:P196)=0,"",IFERROR(N196*Config!$C$7+O196*Config!$C$8+P196*Config!$C$9,0))</f>
        <v/>
      </c>
      <c r="AP196" s="14">
        <f>IF(COUNT(C196:P196)=0,"",IFERROR(AO196/N196,0))</f>
        <v/>
      </c>
      <c r="AQ196" s="19">
        <f>IF(COUNT(C196:P196)=0,"",IFERROR(AO196*(1-Config!$C$10-Config!$C$11-Config!$C$12),0))</f>
        <v/>
      </c>
      <c r="AR196" s="19">
        <f>IF(COUNT(C196:P196)=0,"",IFERROR(AQ196-C196-Config!$C$13,0))</f>
        <v/>
      </c>
      <c r="AS196" s="20">
        <f>IF(COUNT(C196:P196)=0,"",IFERROR(AQ196/C196,0))</f>
        <v/>
      </c>
      <c r="AT196" s="14">
        <f>IF(COUNT(C196:P196)=0,"",IFERROR(AR196/G196,0))</f>
        <v/>
      </c>
      <c r="AU196" s="20">
        <f>IF(COUNT(C196:P196)=0,"",IFERROR(AT196/V196,0))</f>
        <v/>
      </c>
      <c r="AV196" s="14">
        <f>IF(COUNT(C196:P196)=0,"",IFERROR(AR196/H196,0))</f>
        <v/>
      </c>
    </row>
    <row r="197">
      <c r="A197" s="11">
        <f>Config!$C$6+191</f>
        <v/>
      </c>
      <c r="B197" s="12">
        <f>INT((A197-Config!$C$6)/7)+1</f>
        <v/>
      </c>
      <c r="C197" s="9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4">
        <f>IF(COUNT(C197:P197)=0,"",IFERROR(C197/D197*1000,0))</f>
        <v/>
      </c>
      <c r="R197" s="15">
        <f>IF(COUNT(C197:P197)=0,"",IFERROR(D197/E197,0))</f>
        <v/>
      </c>
      <c r="S197" s="16">
        <f>IF(COUNT(C197:P197)=0,"",IFERROR(F197/D197,0))</f>
        <v/>
      </c>
      <c r="T197" s="14">
        <f>IF(COUNT(C197:P197)=0,"",IFERROR(C197/F197,0))</f>
        <v/>
      </c>
      <c r="U197" s="17">
        <f>IF(COUNT(C197:P197)=0,"",IFERROR(G197/F197,0))</f>
        <v/>
      </c>
      <c r="V197" s="14">
        <f>IF(COUNT(C197:P197)=0,"",IFERROR(C197/G197,0))</f>
        <v/>
      </c>
      <c r="W197" s="18">
        <f>IF(COUNT(C197:P197)=0,"",IFERROR(G197/D197*1000,0))</f>
        <v/>
      </c>
      <c r="X197" s="17">
        <f>IF(COUNT(C197:P197)=0,"",IFERROR(H197/G197,0))</f>
        <v/>
      </c>
      <c r="Y197" s="14">
        <f>IF(COUNT(C197:P197)=0,"",IFERROR(C197/H197,0))</f>
        <v/>
      </c>
      <c r="Z197" s="14">
        <f>IF(COUNT(C197:P197)=0,"",IFERROR(C197/I197,0))</f>
        <v/>
      </c>
      <c r="AA197" s="17">
        <f>IF(COUNT(C197:P197)=0,"",IFERROR(Y197/Q197,0))</f>
        <v/>
      </c>
      <c r="AB197" s="18">
        <f>IF(COUNT(C197:P197)=0,"",IFERROR(H197/D197*1000,0))</f>
        <v/>
      </c>
      <c r="AC197" s="17">
        <f>IF(COUNT(C197:P197)=0,"",IFERROR(J197/H197,0))</f>
        <v/>
      </c>
      <c r="AD197" s="14">
        <f>IF(COUNT(C197:P197)=0,"",IFERROR(C197/J197,0))</f>
        <v/>
      </c>
      <c r="AE197" s="17">
        <f>IF(COUNT(C197:P197)=0,"",IFERROR(K197/H197,0))</f>
        <v/>
      </c>
      <c r="AF197" s="17">
        <f>IF(COUNT(C197:P197)=0,"",IFERROR(L197/H197,0))</f>
        <v/>
      </c>
      <c r="AG197" s="14">
        <f>IF(COUNT(C197:P197)=0,"",IFERROR(C197/K197,0))</f>
        <v/>
      </c>
      <c r="AH197" s="17">
        <f>IF(COUNT(C197:P197)=0,"",IFERROR(M197/K197,0))</f>
        <v/>
      </c>
      <c r="AI197" s="14">
        <f>IF(COUNT(C197:P197)=0,"",IFERROR(C197/M197,0))</f>
        <v/>
      </c>
      <c r="AJ197" s="17">
        <f>IF(COUNT(C197:P197)=0,"",IFERROR(N197/M197,0))</f>
        <v/>
      </c>
      <c r="AK197" s="16">
        <f>IF(COUNT(C197:P197)=0,"",IFERROR(N197/H197,0))</f>
        <v/>
      </c>
      <c r="AL197" s="14">
        <f>IF(COUNT(C197:P197)=0,"",IFERROR(C197/N197,0))</f>
        <v/>
      </c>
      <c r="AM197" s="17">
        <f>IF(COUNT(C197:P197)=0,"",IFERROR(O197/N197,0))</f>
        <v/>
      </c>
      <c r="AN197" s="17">
        <f>IF(COUNT(C197:P197)=0,"",IFERROR(P197/N197,0))</f>
        <v/>
      </c>
      <c r="AO197" s="19">
        <f>IF(COUNT(C197:P197)=0,"",IFERROR(N197*Config!$C$7+O197*Config!$C$8+P197*Config!$C$9,0))</f>
        <v/>
      </c>
      <c r="AP197" s="14">
        <f>IF(COUNT(C197:P197)=0,"",IFERROR(AO197/N197,0))</f>
        <v/>
      </c>
      <c r="AQ197" s="19">
        <f>IF(COUNT(C197:P197)=0,"",IFERROR(AO197*(1-Config!$C$10-Config!$C$11-Config!$C$12),0))</f>
        <v/>
      </c>
      <c r="AR197" s="19">
        <f>IF(COUNT(C197:P197)=0,"",IFERROR(AQ197-C197-Config!$C$13,0))</f>
        <v/>
      </c>
      <c r="AS197" s="20">
        <f>IF(COUNT(C197:P197)=0,"",IFERROR(AQ197/C197,0))</f>
        <v/>
      </c>
      <c r="AT197" s="14">
        <f>IF(COUNT(C197:P197)=0,"",IFERROR(AR197/G197,0))</f>
        <v/>
      </c>
      <c r="AU197" s="20">
        <f>IF(COUNT(C197:P197)=0,"",IFERROR(AT197/V197,0))</f>
        <v/>
      </c>
      <c r="AV197" s="14">
        <f>IF(COUNT(C197:P197)=0,"",IFERROR(AR197/H197,0))</f>
        <v/>
      </c>
    </row>
    <row r="198">
      <c r="A198" s="11">
        <f>Config!$C$6+192</f>
        <v/>
      </c>
      <c r="B198" s="12">
        <f>INT((A198-Config!$C$6)/7)+1</f>
        <v/>
      </c>
      <c r="C198" s="9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4">
        <f>IF(COUNT(C198:P198)=0,"",IFERROR(C198/D198*1000,0))</f>
        <v/>
      </c>
      <c r="R198" s="15">
        <f>IF(COUNT(C198:P198)=0,"",IFERROR(D198/E198,0))</f>
        <v/>
      </c>
      <c r="S198" s="16">
        <f>IF(COUNT(C198:P198)=0,"",IFERROR(F198/D198,0))</f>
        <v/>
      </c>
      <c r="T198" s="14">
        <f>IF(COUNT(C198:P198)=0,"",IFERROR(C198/F198,0))</f>
        <v/>
      </c>
      <c r="U198" s="17">
        <f>IF(COUNT(C198:P198)=0,"",IFERROR(G198/F198,0))</f>
        <v/>
      </c>
      <c r="V198" s="14">
        <f>IF(COUNT(C198:P198)=0,"",IFERROR(C198/G198,0))</f>
        <v/>
      </c>
      <c r="W198" s="18">
        <f>IF(COUNT(C198:P198)=0,"",IFERROR(G198/D198*1000,0))</f>
        <v/>
      </c>
      <c r="X198" s="17">
        <f>IF(COUNT(C198:P198)=0,"",IFERROR(H198/G198,0))</f>
        <v/>
      </c>
      <c r="Y198" s="14">
        <f>IF(COUNT(C198:P198)=0,"",IFERROR(C198/H198,0))</f>
        <v/>
      </c>
      <c r="Z198" s="14">
        <f>IF(COUNT(C198:P198)=0,"",IFERROR(C198/I198,0))</f>
        <v/>
      </c>
      <c r="AA198" s="17">
        <f>IF(COUNT(C198:P198)=0,"",IFERROR(Y198/Q198,0))</f>
        <v/>
      </c>
      <c r="AB198" s="18">
        <f>IF(COUNT(C198:P198)=0,"",IFERROR(H198/D198*1000,0))</f>
        <v/>
      </c>
      <c r="AC198" s="17">
        <f>IF(COUNT(C198:P198)=0,"",IFERROR(J198/H198,0))</f>
        <v/>
      </c>
      <c r="AD198" s="14">
        <f>IF(COUNT(C198:P198)=0,"",IFERROR(C198/J198,0))</f>
        <v/>
      </c>
      <c r="AE198" s="17">
        <f>IF(COUNT(C198:P198)=0,"",IFERROR(K198/H198,0))</f>
        <v/>
      </c>
      <c r="AF198" s="17">
        <f>IF(COUNT(C198:P198)=0,"",IFERROR(L198/H198,0))</f>
        <v/>
      </c>
      <c r="AG198" s="14">
        <f>IF(COUNT(C198:P198)=0,"",IFERROR(C198/K198,0))</f>
        <v/>
      </c>
      <c r="AH198" s="17">
        <f>IF(COUNT(C198:P198)=0,"",IFERROR(M198/K198,0))</f>
        <v/>
      </c>
      <c r="AI198" s="14">
        <f>IF(COUNT(C198:P198)=0,"",IFERROR(C198/M198,0))</f>
        <v/>
      </c>
      <c r="AJ198" s="17">
        <f>IF(COUNT(C198:P198)=0,"",IFERROR(N198/M198,0))</f>
        <v/>
      </c>
      <c r="AK198" s="16">
        <f>IF(COUNT(C198:P198)=0,"",IFERROR(N198/H198,0))</f>
        <v/>
      </c>
      <c r="AL198" s="14">
        <f>IF(COUNT(C198:P198)=0,"",IFERROR(C198/N198,0))</f>
        <v/>
      </c>
      <c r="AM198" s="17">
        <f>IF(COUNT(C198:P198)=0,"",IFERROR(O198/N198,0))</f>
        <v/>
      </c>
      <c r="AN198" s="17">
        <f>IF(COUNT(C198:P198)=0,"",IFERROR(P198/N198,0))</f>
        <v/>
      </c>
      <c r="AO198" s="19">
        <f>IF(COUNT(C198:P198)=0,"",IFERROR(N198*Config!$C$7+O198*Config!$C$8+P198*Config!$C$9,0))</f>
        <v/>
      </c>
      <c r="AP198" s="14">
        <f>IF(COUNT(C198:P198)=0,"",IFERROR(AO198/N198,0))</f>
        <v/>
      </c>
      <c r="AQ198" s="19">
        <f>IF(COUNT(C198:P198)=0,"",IFERROR(AO198*(1-Config!$C$10-Config!$C$11-Config!$C$12),0))</f>
        <v/>
      </c>
      <c r="AR198" s="19">
        <f>IF(COUNT(C198:P198)=0,"",IFERROR(AQ198-C198-Config!$C$13,0))</f>
        <v/>
      </c>
      <c r="AS198" s="20">
        <f>IF(COUNT(C198:P198)=0,"",IFERROR(AQ198/C198,0))</f>
        <v/>
      </c>
      <c r="AT198" s="14">
        <f>IF(COUNT(C198:P198)=0,"",IFERROR(AR198/G198,0))</f>
        <v/>
      </c>
      <c r="AU198" s="20">
        <f>IF(COUNT(C198:P198)=0,"",IFERROR(AT198/V198,0))</f>
        <v/>
      </c>
      <c r="AV198" s="14">
        <f>IF(COUNT(C198:P198)=0,"",IFERROR(AR198/H198,0))</f>
        <v/>
      </c>
    </row>
    <row r="199">
      <c r="A199" s="11">
        <f>Config!$C$6+193</f>
        <v/>
      </c>
      <c r="B199" s="12">
        <f>INT((A199-Config!$C$6)/7)+1</f>
        <v/>
      </c>
      <c r="C199" s="9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4">
        <f>IF(COUNT(C199:P199)=0,"",IFERROR(C199/D199*1000,0))</f>
        <v/>
      </c>
      <c r="R199" s="15">
        <f>IF(COUNT(C199:P199)=0,"",IFERROR(D199/E199,0))</f>
        <v/>
      </c>
      <c r="S199" s="16">
        <f>IF(COUNT(C199:P199)=0,"",IFERROR(F199/D199,0))</f>
        <v/>
      </c>
      <c r="T199" s="14">
        <f>IF(COUNT(C199:P199)=0,"",IFERROR(C199/F199,0))</f>
        <v/>
      </c>
      <c r="U199" s="17">
        <f>IF(COUNT(C199:P199)=0,"",IFERROR(G199/F199,0))</f>
        <v/>
      </c>
      <c r="V199" s="14">
        <f>IF(COUNT(C199:P199)=0,"",IFERROR(C199/G199,0))</f>
        <v/>
      </c>
      <c r="W199" s="18">
        <f>IF(COUNT(C199:P199)=0,"",IFERROR(G199/D199*1000,0))</f>
        <v/>
      </c>
      <c r="X199" s="17">
        <f>IF(COUNT(C199:P199)=0,"",IFERROR(H199/G199,0))</f>
        <v/>
      </c>
      <c r="Y199" s="14">
        <f>IF(COUNT(C199:P199)=0,"",IFERROR(C199/H199,0))</f>
        <v/>
      </c>
      <c r="Z199" s="14">
        <f>IF(COUNT(C199:P199)=0,"",IFERROR(C199/I199,0))</f>
        <v/>
      </c>
      <c r="AA199" s="17">
        <f>IF(COUNT(C199:P199)=0,"",IFERROR(Y199/Q199,0))</f>
        <v/>
      </c>
      <c r="AB199" s="18">
        <f>IF(COUNT(C199:P199)=0,"",IFERROR(H199/D199*1000,0))</f>
        <v/>
      </c>
      <c r="AC199" s="17">
        <f>IF(COUNT(C199:P199)=0,"",IFERROR(J199/H199,0))</f>
        <v/>
      </c>
      <c r="AD199" s="14">
        <f>IF(COUNT(C199:P199)=0,"",IFERROR(C199/J199,0))</f>
        <v/>
      </c>
      <c r="AE199" s="17">
        <f>IF(COUNT(C199:P199)=0,"",IFERROR(K199/H199,0))</f>
        <v/>
      </c>
      <c r="AF199" s="17">
        <f>IF(COUNT(C199:P199)=0,"",IFERROR(L199/H199,0))</f>
        <v/>
      </c>
      <c r="AG199" s="14">
        <f>IF(COUNT(C199:P199)=0,"",IFERROR(C199/K199,0))</f>
        <v/>
      </c>
      <c r="AH199" s="17">
        <f>IF(COUNT(C199:P199)=0,"",IFERROR(M199/K199,0))</f>
        <v/>
      </c>
      <c r="AI199" s="14">
        <f>IF(COUNT(C199:P199)=0,"",IFERROR(C199/M199,0))</f>
        <v/>
      </c>
      <c r="AJ199" s="17">
        <f>IF(COUNT(C199:P199)=0,"",IFERROR(N199/M199,0))</f>
        <v/>
      </c>
      <c r="AK199" s="16">
        <f>IF(COUNT(C199:P199)=0,"",IFERROR(N199/H199,0))</f>
        <v/>
      </c>
      <c r="AL199" s="14">
        <f>IF(COUNT(C199:P199)=0,"",IFERROR(C199/N199,0))</f>
        <v/>
      </c>
      <c r="AM199" s="17">
        <f>IF(COUNT(C199:P199)=0,"",IFERROR(O199/N199,0))</f>
        <v/>
      </c>
      <c r="AN199" s="17">
        <f>IF(COUNT(C199:P199)=0,"",IFERROR(P199/N199,0))</f>
        <v/>
      </c>
      <c r="AO199" s="19">
        <f>IF(COUNT(C199:P199)=0,"",IFERROR(N199*Config!$C$7+O199*Config!$C$8+P199*Config!$C$9,0))</f>
        <v/>
      </c>
      <c r="AP199" s="14">
        <f>IF(COUNT(C199:P199)=0,"",IFERROR(AO199/N199,0))</f>
        <v/>
      </c>
      <c r="AQ199" s="19">
        <f>IF(COUNT(C199:P199)=0,"",IFERROR(AO199*(1-Config!$C$10-Config!$C$11-Config!$C$12),0))</f>
        <v/>
      </c>
      <c r="AR199" s="19">
        <f>IF(COUNT(C199:P199)=0,"",IFERROR(AQ199-C199-Config!$C$13,0))</f>
        <v/>
      </c>
      <c r="AS199" s="20">
        <f>IF(COUNT(C199:P199)=0,"",IFERROR(AQ199/C199,0))</f>
        <v/>
      </c>
      <c r="AT199" s="14">
        <f>IF(COUNT(C199:P199)=0,"",IFERROR(AR199/G199,0))</f>
        <v/>
      </c>
      <c r="AU199" s="20">
        <f>IF(COUNT(C199:P199)=0,"",IFERROR(AT199/V199,0))</f>
        <v/>
      </c>
      <c r="AV199" s="14">
        <f>IF(COUNT(C199:P199)=0,"",IFERROR(AR199/H199,0))</f>
        <v/>
      </c>
    </row>
    <row r="200">
      <c r="A200" s="11">
        <f>Config!$C$6+194</f>
        <v/>
      </c>
      <c r="B200" s="12">
        <f>INT((A200-Config!$C$6)/7)+1</f>
        <v/>
      </c>
      <c r="C200" s="9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4">
        <f>IF(COUNT(C200:P200)=0,"",IFERROR(C200/D200*1000,0))</f>
        <v/>
      </c>
      <c r="R200" s="15">
        <f>IF(COUNT(C200:P200)=0,"",IFERROR(D200/E200,0))</f>
        <v/>
      </c>
      <c r="S200" s="16">
        <f>IF(COUNT(C200:P200)=0,"",IFERROR(F200/D200,0))</f>
        <v/>
      </c>
      <c r="T200" s="14">
        <f>IF(COUNT(C200:P200)=0,"",IFERROR(C200/F200,0))</f>
        <v/>
      </c>
      <c r="U200" s="17">
        <f>IF(COUNT(C200:P200)=0,"",IFERROR(G200/F200,0))</f>
        <v/>
      </c>
      <c r="V200" s="14">
        <f>IF(COUNT(C200:P200)=0,"",IFERROR(C200/G200,0))</f>
        <v/>
      </c>
      <c r="W200" s="18">
        <f>IF(COUNT(C200:P200)=0,"",IFERROR(G200/D200*1000,0))</f>
        <v/>
      </c>
      <c r="X200" s="17">
        <f>IF(COUNT(C200:P200)=0,"",IFERROR(H200/G200,0))</f>
        <v/>
      </c>
      <c r="Y200" s="14">
        <f>IF(COUNT(C200:P200)=0,"",IFERROR(C200/H200,0))</f>
        <v/>
      </c>
      <c r="Z200" s="14">
        <f>IF(COUNT(C200:P200)=0,"",IFERROR(C200/I200,0))</f>
        <v/>
      </c>
      <c r="AA200" s="17">
        <f>IF(COUNT(C200:P200)=0,"",IFERROR(Y200/Q200,0))</f>
        <v/>
      </c>
      <c r="AB200" s="18">
        <f>IF(COUNT(C200:P200)=0,"",IFERROR(H200/D200*1000,0))</f>
        <v/>
      </c>
      <c r="AC200" s="17">
        <f>IF(COUNT(C200:P200)=0,"",IFERROR(J200/H200,0))</f>
        <v/>
      </c>
      <c r="AD200" s="14">
        <f>IF(COUNT(C200:P200)=0,"",IFERROR(C200/J200,0))</f>
        <v/>
      </c>
      <c r="AE200" s="17">
        <f>IF(COUNT(C200:P200)=0,"",IFERROR(K200/H200,0))</f>
        <v/>
      </c>
      <c r="AF200" s="17">
        <f>IF(COUNT(C200:P200)=0,"",IFERROR(L200/H200,0))</f>
        <v/>
      </c>
      <c r="AG200" s="14">
        <f>IF(COUNT(C200:P200)=0,"",IFERROR(C200/K200,0))</f>
        <v/>
      </c>
      <c r="AH200" s="17">
        <f>IF(COUNT(C200:P200)=0,"",IFERROR(M200/K200,0))</f>
        <v/>
      </c>
      <c r="AI200" s="14">
        <f>IF(COUNT(C200:P200)=0,"",IFERROR(C200/M200,0))</f>
        <v/>
      </c>
      <c r="AJ200" s="17">
        <f>IF(COUNT(C200:P200)=0,"",IFERROR(N200/M200,0))</f>
        <v/>
      </c>
      <c r="AK200" s="16">
        <f>IF(COUNT(C200:P200)=0,"",IFERROR(N200/H200,0))</f>
        <v/>
      </c>
      <c r="AL200" s="14">
        <f>IF(COUNT(C200:P200)=0,"",IFERROR(C200/N200,0))</f>
        <v/>
      </c>
      <c r="AM200" s="17">
        <f>IF(COUNT(C200:P200)=0,"",IFERROR(O200/N200,0))</f>
        <v/>
      </c>
      <c r="AN200" s="17">
        <f>IF(COUNT(C200:P200)=0,"",IFERROR(P200/N200,0))</f>
        <v/>
      </c>
      <c r="AO200" s="19">
        <f>IF(COUNT(C200:P200)=0,"",IFERROR(N200*Config!$C$7+O200*Config!$C$8+P200*Config!$C$9,0))</f>
        <v/>
      </c>
      <c r="AP200" s="14">
        <f>IF(COUNT(C200:P200)=0,"",IFERROR(AO200/N200,0))</f>
        <v/>
      </c>
      <c r="AQ200" s="19">
        <f>IF(COUNT(C200:P200)=0,"",IFERROR(AO200*(1-Config!$C$10-Config!$C$11-Config!$C$12),0))</f>
        <v/>
      </c>
      <c r="AR200" s="19">
        <f>IF(COUNT(C200:P200)=0,"",IFERROR(AQ200-C200-Config!$C$13,0))</f>
        <v/>
      </c>
      <c r="AS200" s="20">
        <f>IF(COUNT(C200:P200)=0,"",IFERROR(AQ200/C200,0))</f>
        <v/>
      </c>
      <c r="AT200" s="14">
        <f>IF(COUNT(C200:P200)=0,"",IFERROR(AR200/G200,0))</f>
        <v/>
      </c>
      <c r="AU200" s="20">
        <f>IF(COUNT(C200:P200)=0,"",IFERROR(AT200/V200,0))</f>
        <v/>
      </c>
      <c r="AV200" s="14">
        <f>IF(COUNT(C200:P200)=0,"",IFERROR(AR200/H200,0))</f>
        <v/>
      </c>
    </row>
    <row r="201">
      <c r="A201" s="11">
        <f>Config!$C$6+195</f>
        <v/>
      </c>
      <c r="B201" s="12">
        <f>INT((A201-Config!$C$6)/7)+1</f>
        <v/>
      </c>
      <c r="C201" s="9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4">
        <f>IF(COUNT(C201:P201)=0,"",IFERROR(C201/D201*1000,0))</f>
        <v/>
      </c>
      <c r="R201" s="15">
        <f>IF(COUNT(C201:P201)=0,"",IFERROR(D201/E201,0))</f>
        <v/>
      </c>
      <c r="S201" s="16">
        <f>IF(COUNT(C201:P201)=0,"",IFERROR(F201/D201,0))</f>
        <v/>
      </c>
      <c r="T201" s="14">
        <f>IF(COUNT(C201:P201)=0,"",IFERROR(C201/F201,0))</f>
        <v/>
      </c>
      <c r="U201" s="17">
        <f>IF(COUNT(C201:P201)=0,"",IFERROR(G201/F201,0))</f>
        <v/>
      </c>
      <c r="V201" s="14">
        <f>IF(COUNT(C201:P201)=0,"",IFERROR(C201/G201,0))</f>
        <v/>
      </c>
      <c r="W201" s="18">
        <f>IF(COUNT(C201:P201)=0,"",IFERROR(G201/D201*1000,0))</f>
        <v/>
      </c>
      <c r="X201" s="17">
        <f>IF(COUNT(C201:P201)=0,"",IFERROR(H201/G201,0))</f>
        <v/>
      </c>
      <c r="Y201" s="14">
        <f>IF(COUNT(C201:P201)=0,"",IFERROR(C201/H201,0))</f>
        <v/>
      </c>
      <c r="Z201" s="14">
        <f>IF(COUNT(C201:P201)=0,"",IFERROR(C201/I201,0))</f>
        <v/>
      </c>
      <c r="AA201" s="17">
        <f>IF(COUNT(C201:P201)=0,"",IFERROR(Y201/Q201,0))</f>
        <v/>
      </c>
      <c r="AB201" s="18">
        <f>IF(COUNT(C201:P201)=0,"",IFERROR(H201/D201*1000,0))</f>
        <v/>
      </c>
      <c r="AC201" s="17">
        <f>IF(COUNT(C201:P201)=0,"",IFERROR(J201/H201,0))</f>
        <v/>
      </c>
      <c r="AD201" s="14">
        <f>IF(COUNT(C201:P201)=0,"",IFERROR(C201/J201,0))</f>
        <v/>
      </c>
      <c r="AE201" s="17">
        <f>IF(COUNT(C201:P201)=0,"",IFERROR(K201/H201,0))</f>
        <v/>
      </c>
      <c r="AF201" s="17">
        <f>IF(COUNT(C201:P201)=0,"",IFERROR(L201/H201,0))</f>
        <v/>
      </c>
      <c r="AG201" s="14">
        <f>IF(COUNT(C201:P201)=0,"",IFERROR(C201/K201,0))</f>
        <v/>
      </c>
      <c r="AH201" s="17">
        <f>IF(COUNT(C201:P201)=0,"",IFERROR(M201/K201,0))</f>
        <v/>
      </c>
      <c r="AI201" s="14">
        <f>IF(COUNT(C201:P201)=0,"",IFERROR(C201/M201,0))</f>
        <v/>
      </c>
      <c r="AJ201" s="17">
        <f>IF(COUNT(C201:P201)=0,"",IFERROR(N201/M201,0))</f>
        <v/>
      </c>
      <c r="AK201" s="16">
        <f>IF(COUNT(C201:P201)=0,"",IFERROR(N201/H201,0))</f>
        <v/>
      </c>
      <c r="AL201" s="14">
        <f>IF(COUNT(C201:P201)=0,"",IFERROR(C201/N201,0))</f>
        <v/>
      </c>
      <c r="AM201" s="17">
        <f>IF(COUNT(C201:P201)=0,"",IFERROR(O201/N201,0))</f>
        <v/>
      </c>
      <c r="AN201" s="17">
        <f>IF(COUNT(C201:P201)=0,"",IFERROR(P201/N201,0))</f>
        <v/>
      </c>
      <c r="AO201" s="19">
        <f>IF(COUNT(C201:P201)=0,"",IFERROR(N201*Config!$C$7+O201*Config!$C$8+P201*Config!$C$9,0))</f>
        <v/>
      </c>
      <c r="AP201" s="14">
        <f>IF(COUNT(C201:P201)=0,"",IFERROR(AO201/N201,0))</f>
        <v/>
      </c>
      <c r="AQ201" s="19">
        <f>IF(COUNT(C201:P201)=0,"",IFERROR(AO201*(1-Config!$C$10-Config!$C$11-Config!$C$12),0))</f>
        <v/>
      </c>
      <c r="AR201" s="19">
        <f>IF(COUNT(C201:P201)=0,"",IFERROR(AQ201-C201-Config!$C$13,0))</f>
        <v/>
      </c>
      <c r="AS201" s="20">
        <f>IF(COUNT(C201:P201)=0,"",IFERROR(AQ201/C201,0))</f>
        <v/>
      </c>
      <c r="AT201" s="14">
        <f>IF(COUNT(C201:P201)=0,"",IFERROR(AR201/G201,0))</f>
        <v/>
      </c>
      <c r="AU201" s="20">
        <f>IF(COUNT(C201:P201)=0,"",IFERROR(AT201/V201,0))</f>
        <v/>
      </c>
      <c r="AV201" s="14">
        <f>IF(COUNT(C201:P201)=0,"",IFERROR(AR201/H201,0))</f>
        <v/>
      </c>
    </row>
    <row r="202">
      <c r="A202" s="11">
        <f>Config!$C$6+196</f>
        <v/>
      </c>
      <c r="B202" s="12">
        <f>INT((A202-Config!$C$6)/7)+1</f>
        <v/>
      </c>
      <c r="C202" s="9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4">
        <f>IF(COUNT(C202:P202)=0,"",IFERROR(C202/D202*1000,0))</f>
        <v/>
      </c>
      <c r="R202" s="15">
        <f>IF(COUNT(C202:P202)=0,"",IFERROR(D202/E202,0))</f>
        <v/>
      </c>
      <c r="S202" s="16">
        <f>IF(COUNT(C202:P202)=0,"",IFERROR(F202/D202,0))</f>
        <v/>
      </c>
      <c r="T202" s="14">
        <f>IF(COUNT(C202:P202)=0,"",IFERROR(C202/F202,0))</f>
        <v/>
      </c>
      <c r="U202" s="17">
        <f>IF(COUNT(C202:P202)=0,"",IFERROR(G202/F202,0))</f>
        <v/>
      </c>
      <c r="V202" s="14">
        <f>IF(COUNT(C202:P202)=0,"",IFERROR(C202/G202,0))</f>
        <v/>
      </c>
      <c r="W202" s="18">
        <f>IF(COUNT(C202:P202)=0,"",IFERROR(G202/D202*1000,0))</f>
        <v/>
      </c>
      <c r="X202" s="17">
        <f>IF(COUNT(C202:P202)=0,"",IFERROR(H202/G202,0))</f>
        <v/>
      </c>
      <c r="Y202" s="14">
        <f>IF(COUNT(C202:P202)=0,"",IFERROR(C202/H202,0))</f>
        <v/>
      </c>
      <c r="Z202" s="14">
        <f>IF(COUNT(C202:P202)=0,"",IFERROR(C202/I202,0))</f>
        <v/>
      </c>
      <c r="AA202" s="17">
        <f>IF(COUNT(C202:P202)=0,"",IFERROR(Y202/Q202,0))</f>
        <v/>
      </c>
      <c r="AB202" s="18">
        <f>IF(COUNT(C202:P202)=0,"",IFERROR(H202/D202*1000,0))</f>
        <v/>
      </c>
      <c r="AC202" s="17">
        <f>IF(COUNT(C202:P202)=0,"",IFERROR(J202/H202,0))</f>
        <v/>
      </c>
      <c r="AD202" s="14">
        <f>IF(COUNT(C202:P202)=0,"",IFERROR(C202/J202,0))</f>
        <v/>
      </c>
      <c r="AE202" s="17">
        <f>IF(COUNT(C202:P202)=0,"",IFERROR(K202/H202,0))</f>
        <v/>
      </c>
      <c r="AF202" s="17">
        <f>IF(COUNT(C202:P202)=0,"",IFERROR(L202/H202,0))</f>
        <v/>
      </c>
      <c r="AG202" s="14">
        <f>IF(COUNT(C202:P202)=0,"",IFERROR(C202/K202,0))</f>
        <v/>
      </c>
      <c r="AH202" s="17">
        <f>IF(COUNT(C202:P202)=0,"",IFERROR(M202/K202,0))</f>
        <v/>
      </c>
      <c r="AI202" s="14">
        <f>IF(COUNT(C202:P202)=0,"",IFERROR(C202/M202,0))</f>
        <v/>
      </c>
      <c r="AJ202" s="17">
        <f>IF(COUNT(C202:P202)=0,"",IFERROR(N202/M202,0))</f>
        <v/>
      </c>
      <c r="AK202" s="16">
        <f>IF(COUNT(C202:P202)=0,"",IFERROR(N202/H202,0))</f>
        <v/>
      </c>
      <c r="AL202" s="14">
        <f>IF(COUNT(C202:P202)=0,"",IFERROR(C202/N202,0))</f>
        <v/>
      </c>
      <c r="AM202" s="17">
        <f>IF(COUNT(C202:P202)=0,"",IFERROR(O202/N202,0))</f>
        <v/>
      </c>
      <c r="AN202" s="17">
        <f>IF(COUNT(C202:P202)=0,"",IFERROR(P202/N202,0))</f>
        <v/>
      </c>
      <c r="AO202" s="19">
        <f>IF(COUNT(C202:P202)=0,"",IFERROR(N202*Config!$C$7+O202*Config!$C$8+P202*Config!$C$9,0))</f>
        <v/>
      </c>
      <c r="AP202" s="14">
        <f>IF(COUNT(C202:P202)=0,"",IFERROR(AO202/N202,0))</f>
        <v/>
      </c>
      <c r="AQ202" s="19">
        <f>IF(COUNT(C202:P202)=0,"",IFERROR(AO202*(1-Config!$C$10-Config!$C$11-Config!$C$12),0))</f>
        <v/>
      </c>
      <c r="AR202" s="19">
        <f>IF(COUNT(C202:P202)=0,"",IFERROR(AQ202-C202-Config!$C$13,0))</f>
        <v/>
      </c>
      <c r="AS202" s="20">
        <f>IF(COUNT(C202:P202)=0,"",IFERROR(AQ202/C202,0))</f>
        <v/>
      </c>
      <c r="AT202" s="14">
        <f>IF(COUNT(C202:P202)=0,"",IFERROR(AR202/G202,0))</f>
        <v/>
      </c>
      <c r="AU202" s="20">
        <f>IF(COUNT(C202:P202)=0,"",IFERROR(AT202/V202,0))</f>
        <v/>
      </c>
      <c r="AV202" s="14">
        <f>IF(COUNT(C202:P202)=0,"",IFERROR(AR202/H202,0))</f>
        <v/>
      </c>
    </row>
    <row r="203">
      <c r="A203" s="11">
        <f>Config!$C$6+197</f>
        <v/>
      </c>
      <c r="B203" s="12">
        <f>INT((A203-Config!$C$6)/7)+1</f>
        <v/>
      </c>
      <c r="C203" s="9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4">
        <f>IF(COUNT(C203:P203)=0,"",IFERROR(C203/D203*1000,0))</f>
        <v/>
      </c>
      <c r="R203" s="15">
        <f>IF(COUNT(C203:P203)=0,"",IFERROR(D203/E203,0))</f>
        <v/>
      </c>
      <c r="S203" s="16">
        <f>IF(COUNT(C203:P203)=0,"",IFERROR(F203/D203,0))</f>
        <v/>
      </c>
      <c r="T203" s="14">
        <f>IF(COUNT(C203:P203)=0,"",IFERROR(C203/F203,0))</f>
        <v/>
      </c>
      <c r="U203" s="17">
        <f>IF(COUNT(C203:P203)=0,"",IFERROR(G203/F203,0))</f>
        <v/>
      </c>
      <c r="V203" s="14">
        <f>IF(COUNT(C203:P203)=0,"",IFERROR(C203/G203,0))</f>
        <v/>
      </c>
      <c r="W203" s="18">
        <f>IF(COUNT(C203:P203)=0,"",IFERROR(G203/D203*1000,0))</f>
        <v/>
      </c>
      <c r="X203" s="17">
        <f>IF(COUNT(C203:P203)=0,"",IFERROR(H203/G203,0))</f>
        <v/>
      </c>
      <c r="Y203" s="14">
        <f>IF(COUNT(C203:P203)=0,"",IFERROR(C203/H203,0))</f>
        <v/>
      </c>
      <c r="Z203" s="14">
        <f>IF(COUNT(C203:P203)=0,"",IFERROR(C203/I203,0))</f>
        <v/>
      </c>
      <c r="AA203" s="17">
        <f>IF(COUNT(C203:P203)=0,"",IFERROR(Y203/Q203,0))</f>
        <v/>
      </c>
      <c r="AB203" s="18">
        <f>IF(COUNT(C203:P203)=0,"",IFERROR(H203/D203*1000,0))</f>
        <v/>
      </c>
      <c r="AC203" s="17">
        <f>IF(COUNT(C203:P203)=0,"",IFERROR(J203/H203,0))</f>
        <v/>
      </c>
      <c r="AD203" s="14">
        <f>IF(COUNT(C203:P203)=0,"",IFERROR(C203/J203,0))</f>
        <v/>
      </c>
      <c r="AE203" s="17">
        <f>IF(COUNT(C203:P203)=0,"",IFERROR(K203/H203,0))</f>
        <v/>
      </c>
      <c r="AF203" s="17">
        <f>IF(COUNT(C203:P203)=0,"",IFERROR(L203/H203,0))</f>
        <v/>
      </c>
      <c r="AG203" s="14">
        <f>IF(COUNT(C203:P203)=0,"",IFERROR(C203/K203,0))</f>
        <v/>
      </c>
      <c r="AH203" s="17">
        <f>IF(COUNT(C203:P203)=0,"",IFERROR(M203/K203,0))</f>
        <v/>
      </c>
      <c r="AI203" s="14">
        <f>IF(COUNT(C203:P203)=0,"",IFERROR(C203/M203,0))</f>
        <v/>
      </c>
      <c r="AJ203" s="17">
        <f>IF(COUNT(C203:P203)=0,"",IFERROR(N203/M203,0))</f>
        <v/>
      </c>
      <c r="AK203" s="16">
        <f>IF(COUNT(C203:P203)=0,"",IFERROR(N203/H203,0))</f>
        <v/>
      </c>
      <c r="AL203" s="14">
        <f>IF(COUNT(C203:P203)=0,"",IFERROR(C203/N203,0))</f>
        <v/>
      </c>
      <c r="AM203" s="17">
        <f>IF(COUNT(C203:P203)=0,"",IFERROR(O203/N203,0))</f>
        <v/>
      </c>
      <c r="AN203" s="17">
        <f>IF(COUNT(C203:P203)=0,"",IFERROR(P203/N203,0))</f>
        <v/>
      </c>
      <c r="AO203" s="19">
        <f>IF(COUNT(C203:P203)=0,"",IFERROR(N203*Config!$C$7+O203*Config!$C$8+P203*Config!$C$9,0))</f>
        <v/>
      </c>
      <c r="AP203" s="14">
        <f>IF(COUNT(C203:P203)=0,"",IFERROR(AO203/N203,0))</f>
        <v/>
      </c>
      <c r="AQ203" s="19">
        <f>IF(COUNT(C203:P203)=0,"",IFERROR(AO203*(1-Config!$C$10-Config!$C$11-Config!$C$12),0))</f>
        <v/>
      </c>
      <c r="AR203" s="19">
        <f>IF(COUNT(C203:P203)=0,"",IFERROR(AQ203-C203-Config!$C$13,0))</f>
        <v/>
      </c>
      <c r="AS203" s="20">
        <f>IF(COUNT(C203:P203)=0,"",IFERROR(AQ203/C203,0))</f>
        <v/>
      </c>
      <c r="AT203" s="14">
        <f>IF(COUNT(C203:P203)=0,"",IFERROR(AR203/G203,0))</f>
        <v/>
      </c>
      <c r="AU203" s="20">
        <f>IF(COUNT(C203:P203)=0,"",IFERROR(AT203/V203,0))</f>
        <v/>
      </c>
      <c r="AV203" s="14">
        <f>IF(COUNT(C203:P203)=0,"",IFERROR(AR203/H203,0))</f>
        <v/>
      </c>
    </row>
    <row r="204">
      <c r="A204" s="11">
        <f>Config!$C$6+198</f>
        <v/>
      </c>
      <c r="B204" s="12">
        <f>INT((A204-Config!$C$6)/7)+1</f>
        <v/>
      </c>
      <c r="C204" s="9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4">
        <f>IF(COUNT(C204:P204)=0,"",IFERROR(C204/D204*1000,0))</f>
        <v/>
      </c>
      <c r="R204" s="15">
        <f>IF(COUNT(C204:P204)=0,"",IFERROR(D204/E204,0))</f>
        <v/>
      </c>
      <c r="S204" s="16">
        <f>IF(COUNT(C204:P204)=0,"",IFERROR(F204/D204,0))</f>
        <v/>
      </c>
      <c r="T204" s="14">
        <f>IF(COUNT(C204:P204)=0,"",IFERROR(C204/F204,0))</f>
        <v/>
      </c>
      <c r="U204" s="17">
        <f>IF(COUNT(C204:P204)=0,"",IFERROR(G204/F204,0))</f>
        <v/>
      </c>
      <c r="V204" s="14">
        <f>IF(COUNT(C204:P204)=0,"",IFERROR(C204/G204,0))</f>
        <v/>
      </c>
      <c r="W204" s="18">
        <f>IF(COUNT(C204:P204)=0,"",IFERROR(G204/D204*1000,0))</f>
        <v/>
      </c>
      <c r="X204" s="17">
        <f>IF(COUNT(C204:P204)=0,"",IFERROR(H204/G204,0))</f>
        <v/>
      </c>
      <c r="Y204" s="14">
        <f>IF(COUNT(C204:P204)=0,"",IFERROR(C204/H204,0))</f>
        <v/>
      </c>
      <c r="Z204" s="14">
        <f>IF(COUNT(C204:P204)=0,"",IFERROR(C204/I204,0))</f>
        <v/>
      </c>
      <c r="AA204" s="17">
        <f>IF(COUNT(C204:P204)=0,"",IFERROR(Y204/Q204,0))</f>
        <v/>
      </c>
      <c r="AB204" s="18">
        <f>IF(COUNT(C204:P204)=0,"",IFERROR(H204/D204*1000,0))</f>
        <v/>
      </c>
      <c r="AC204" s="17">
        <f>IF(COUNT(C204:P204)=0,"",IFERROR(J204/H204,0))</f>
        <v/>
      </c>
      <c r="AD204" s="14">
        <f>IF(COUNT(C204:P204)=0,"",IFERROR(C204/J204,0))</f>
        <v/>
      </c>
      <c r="AE204" s="17">
        <f>IF(COUNT(C204:P204)=0,"",IFERROR(K204/H204,0))</f>
        <v/>
      </c>
      <c r="AF204" s="17">
        <f>IF(COUNT(C204:P204)=0,"",IFERROR(L204/H204,0))</f>
        <v/>
      </c>
      <c r="AG204" s="14">
        <f>IF(COUNT(C204:P204)=0,"",IFERROR(C204/K204,0))</f>
        <v/>
      </c>
      <c r="AH204" s="17">
        <f>IF(COUNT(C204:P204)=0,"",IFERROR(M204/K204,0))</f>
        <v/>
      </c>
      <c r="AI204" s="14">
        <f>IF(COUNT(C204:P204)=0,"",IFERROR(C204/M204,0))</f>
        <v/>
      </c>
      <c r="AJ204" s="17">
        <f>IF(COUNT(C204:P204)=0,"",IFERROR(N204/M204,0))</f>
        <v/>
      </c>
      <c r="AK204" s="16">
        <f>IF(COUNT(C204:P204)=0,"",IFERROR(N204/H204,0))</f>
        <v/>
      </c>
      <c r="AL204" s="14">
        <f>IF(COUNT(C204:P204)=0,"",IFERROR(C204/N204,0))</f>
        <v/>
      </c>
      <c r="AM204" s="17">
        <f>IF(COUNT(C204:P204)=0,"",IFERROR(O204/N204,0))</f>
        <v/>
      </c>
      <c r="AN204" s="17">
        <f>IF(COUNT(C204:P204)=0,"",IFERROR(P204/N204,0))</f>
        <v/>
      </c>
      <c r="AO204" s="19">
        <f>IF(COUNT(C204:P204)=0,"",IFERROR(N204*Config!$C$7+O204*Config!$C$8+P204*Config!$C$9,0))</f>
        <v/>
      </c>
      <c r="AP204" s="14">
        <f>IF(COUNT(C204:P204)=0,"",IFERROR(AO204/N204,0))</f>
        <v/>
      </c>
      <c r="AQ204" s="19">
        <f>IF(COUNT(C204:P204)=0,"",IFERROR(AO204*(1-Config!$C$10-Config!$C$11-Config!$C$12),0))</f>
        <v/>
      </c>
      <c r="AR204" s="19">
        <f>IF(COUNT(C204:P204)=0,"",IFERROR(AQ204-C204-Config!$C$13,0))</f>
        <v/>
      </c>
      <c r="AS204" s="20">
        <f>IF(COUNT(C204:P204)=0,"",IFERROR(AQ204/C204,0))</f>
        <v/>
      </c>
      <c r="AT204" s="14">
        <f>IF(COUNT(C204:P204)=0,"",IFERROR(AR204/G204,0))</f>
        <v/>
      </c>
      <c r="AU204" s="20">
        <f>IF(COUNT(C204:P204)=0,"",IFERROR(AT204/V204,0))</f>
        <v/>
      </c>
      <c r="AV204" s="14">
        <f>IF(COUNT(C204:P204)=0,"",IFERROR(AR204/H204,0))</f>
        <v/>
      </c>
    </row>
    <row r="205">
      <c r="A205" s="11">
        <f>Config!$C$6+199</f>
        <v/>
      </c>
      <c r="B205" s="12">
        <f>INT((A205-Config!$C$6)/7)+1</f>
        <v/>
      </c>
      <c r="C205" s="9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4">
        <f>IF(COUNT(C205:P205)=0,"",IFERROR(C205/D205*1000,0))</f>
        <v/>
      </c>
      <c r="R205" s="15">
        <f>IF(COUNT(C205:P205)=0,"",IFERROR(D205/E205,0))</f>
        <v/>
      </c>
      <c r="S205" s="16">
        <f>IF(COUNT(C205:P205)=0,"",IFERROR(F205/D205,0))</f>
        <v/>
      </c>
      <c r="T205" s="14">
        <f>IF(COUNT(C205:P205)=0,"",IFERROR(C205/F205,0))</f>
        <v/>
      </c>
      <c r="U205" s="17">
        <f>IF(COUNT(C205:P205)=0,"",IFERROR(G205/F205,0))</f>
        <v/>
      </c>
      <c r="V205" s="14">
        <f>IF(COUNT(C205:P205)=0,"",IFERROR(C205/G205,0))</f>
        <v/>
      </c>
      <c r="W205" s="18">
        <f>IF(COUNT(C205:P205)=0,"",IFERROR(G205/D205*1000,0))</f>
        <v/>
      </c>
      <c r="X205" s="17">
        <f>IF(COUNT(C205:P205)=0,"",IFERROR(H205/G205,0))</f>
        <v/>
      </c>
      <c r="Y205" s="14">
        <f>IF(COUNT(C205:P205)=0,"",IFERROR(C205/H205,0))</f>
        <v/>
      </c>
      <c r="Z205" s="14">
        <f>IF(COUNT(C205:P205)=0,"",IFERROR(C205/I205,0))</f>
        <v/>
      </c>
      <c r="AA205" s="17">
        <f>IF(COUNT(C205:P205)=0,"",IFERROR(Y205/Q205,0))</f>
        <v/>
      </c>
      <c r="AB205" s="18">
        <f>IF(COUNT(C205:P205)=0,"",IFERROR(H205/D205*1000,0))</f>
        <v/>
      </c>
      <c r="AC205" s="17">
        <f>IF(COUNT(C205:P205)=0,"",IFERROR(J205/H205,0))</f>
        <v/>
      </c>
      <c r="AD205" s="14">
        <f>IF(COUNT(C205:P205)=0,"",IFERROR(C205/J205,0))</f>
        <v/>
      </c>
      <c r="AE205" s="17">
        <f>IF(COUNT(C205:P205)=0,"",IFERROR(K205/H205,0))</f>
        <v/>
      </c>
      <c r="AF205" s="17">
        <f>IF(COUNT(C205:P205)=0,"",IFERROR(L205/H205,0))</f>
        <v/>
      </c>
      <c r="AG205" s="14">
        <f>IF(COUNT(C205:P205)=0,"",IFERROR(C205/K205,0))</f>
        <v/>
      </c>
      <c r="AH205" s="17">
        <f>IF(COUNT(C205:P205)=0,"",IFERROR(M205/K205,0))</f>
        <v/>
      </c>
      <c r="AI205" s="14">
        <f>IF(COUNT(C205:P205)=0,"",IFERROR(C205/M205,0))</f>
        <v/>
      </c>
      <c r="AJ205" s="17">
        <f>IF(COUNT(C205:P205)=0,"",IFERROR(N205/M205,0))</f>
        <v/>
      </c>
      <c r="AK205" s="16">
        <f>IF(COUNT(C205:P205)=0,"",IFERROR(N205/H205,0))</f>
        <v/>
      </c>
      <c r="AL205" s="14">
        <f>IF(COUNT(C205:P205)=0,"",IFERROR(C205/N205,0))</f>
        <v/>
      </c>
      <c r="AM205" s="17">
        <f>IF(COUNT(C205:P205)=0,"",IFERROR(O205/N205,0))</f>
        <v/>
      </c>
      <c r="AN205" s="17">
        <f>IF(COUNT(C205:P205)=0,"",IFERROR(P205/N205,0))</f>
        <v/>
      </c>
      <c r="AO205" s="19">
        <f>IF(COUNT(C205:P205)=0,"",IFERROR(N205*Config!$C$7+O205*Config!$C$8+P205*Config!$C$9,0))</f>
        <v/>
      </c>
      <c r="AP205" s="14">
        <f>IF(COUNT(C205:P205)=0,"",IFERROR(AO205/N205,0))</f>
        <v/>
      </c>
      <c r="AQ205" s="19">
        <f>IF(COUNT(C205:P205)=0,"",IFERROR(AO205*(1-Config!$C$10-Config!$C$11-Config!$C$12),0))</f>
        <v/>
      </c>
      <c r="AR205" s="19">
        <f>IF(COUNT(C205:P205)=0,"",IFERROR(AQ205-C205-Config!$C$13,0))</f>
        <v/>
      </c>
      <c r="AS205" s="20">
        <f>IF(COUNT(C205:P205)=0,"",IFERROR(AQ205/C205,0))</f>
        <v/>
      </c>
      <c r="AT205" s="14">
        <f>IF(COUNT(C205:P205)=0,"",IFERROR(AR205/G205,0))</f>
        <v/>
      </c>
      <c r="AU205" s="20">
        <f>IF(COUNT(C205:P205)=0,"",IFERROR(AT205/V205,0))</f>
        <v/>
      </c>
      <c r="AV205" s="14">
        <f>IF(COUNT(C205:P205)=0,"",IFERROR(AR205/H205,0))</f>
        <v/>
      </c>
    </row>
    <row r="206">
      <c r="A206" s="11">
        <f>Config!$C$6+200</f>
        <v/>
      </c>
      <c r="B206" s="12">
        <f>INT((A206-Config!$C$6)/7)+1</f>
        <v/>
      </c>
      <c r="C206" s="9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4">
        <f>IF(COUNT(C206:P206)=0,"",IFERROR(C206/D206*1000,0))</f>
        <v/>
      </c>
      <c r="R206" s="15">
        <f>IF(COUNT(C206:P206)=0,"",IFERROR(D206/E206,0))</f>
        <v/>
      </c>
      <c r="S206" s="16">
        <f>IF(COUNT(C206:P206)=0,"",IFERROR(F206/D206,0))</f>
        <v/>
      </c>
      <c r="T206" s="14">
        <f>IF(COUNT(C206:P206)=0,"",IFERROR(C206/F206,0))</f>
        <v/>
      </c>
      <c r="U206" s="17">
        <f>IF(COUNT(C206:P206)=0,"",IFERROR(G206/F206,0))</f>
        <v/>
      </c>
      <c r="V206" s="14">
        <f>IF(COUNT(C206:P206)=0,"",IFERROR(C206/G206,0))</f>
        <v/>
      </c>
      <c r="W206" s="18">
        <f>IF(COUNT(C206:P206)=0,"",IFERROR(G206/D206*1000,0))</f>
        <v/>
      </c>
      <c r="X206" s="17">
        <f>IF(COUNT(C206:P206)=0,"",IFERROR(H206/G206,0))</f>
        <v/>
      </c>
      <c r="Y206" s="14">
        <f>IF(COUNT(C206:P206)=0,"",IFERROR(C206/H206,0))</f>
        <v/>
      </c>
      <c r="Z206" s="14">
        <f>IF(COUNT(C206:P206)=0,"",IFERROR(C206/I206,0))</f>
        <v/>
      </c>
      <c r="AA206" s="17">
        <f>IF(COUNT(C206:P206)=0,"",IFERROR(Y206/Q206,0))</f>
        <v/>
      </c>
      <c r="AB206" s="18">
        <f>IF(COUNT(C206:P206)=0,"",IFERROR(H206/D206*1000,0))</f>
        <v/>
      </c>
      <c r="AC206" s="17">
        <f>IF(COUNT(C206:P206)=0,"",IFERROR(J206/H206,0))</f>
        <v/>
      </c>
      <c r="AD206" s="14">
        <f>IF(COUNT(C206:P206)=0,"",IFERROR(C206/J206,0))</f>
        <v/>
      </c>
      <c r="AE206" s="17">
        <f>IF(COUNT(C206:P206)=0,"",IFERROR(K206/H206,0))</f>
        <v/>
      </c>
      <c r="AF206" s="17">
        <f>IF(COUNT(C206:P206)=0,"",IFERROR(L206/H206,0))</f>
        <v/>
      </c>
      <c r="AG206" s="14">
        <f>IF(COUNT(C206:P206)=0,"",IFERROR(C206/K206,0))</f>
        <v/>
      </c>
      <c r="AH206" s="17">
        <f>IF(COUNT(C206:P206)=0,"",IFERROR(M206/K206,0))</f>
        <v/>
      </c>
      <c r="AI206" s="14">
        <f>IF(COUNT(C206:P206)=0,"",IFERROR(C206/M206,0))</f>
        <v/>
      </c>
      <c r="AJ206" s="17">
        <f>IF(COUNT(C206:P206)=0,"",IFERROR(N206/M206,0))</f>
        <v/>
      </c>
      <c r="AK206" s="16">
        <f>IF(COUNT(C206:P206)=0,"",IFERROR(N206/H206,0))</f>
        <v/>
      </c>
      <c r="AL206" s="14">
        <f>IF(COUNT(C206:P206)=0,"",IFERROR(C206/N206,0))</f>
        <v/>
      </c>
      <c r="AM206" s="17">
        <f>IF(COUNT(C206:P206)=0,"",IFERROR(O206/N206,0))</f>
        <v/>
      </c>
      <c r="AN206" s="17">
        <f>IF(COUNT(C206:P206)=0,"",IFERROR(P206/N206,0))</f>
        <v/>
      </c>
      <c r="AO206" s="19">
        <f>IF(COUNT(C206:P206)=0,"",IFERROR(N206*Config!$C$7+O206*Config!$C$8+P206*Config!$C$9,0))</f>
        <v/>
      </c>
      <c r="AP206" s="14">
        <f>IF(COUNT(C206:P206)=0,"",IFERROR(AO206/N206,0))</f>
        <v/>
      </c>
      <c r="AQ206" s="19">
        <f>IF(COUNT(C206:P206)=0,"",IFERROR(AO206*(1-Config!$C$10-Config!$C$11-Config!$C$12),0))</f>
        <v/>
      </c>
      <c r="AR206" s="19">
        <f>IF(COUNT(C206:P206)=0,"",IFERROR(AQ206-C206-Config!$C$13,0))</f>
        <v/>
      </c>
      <c r="AS206" s="20">
        <f>IF(COUNT(C206:P206)=0,"",IFERROR(AQ206/C206,0))</f>
        <v/>
      </c>
      <c r="AT206" s="14">
        <f>IF(COUNT(C206:P206)=0,"",IFERROR(AR206/G206,0))</f>
        <v/>
      </c>
      <c r="AU206" s="20">
        <f>IF(COUNT(C206:P206)=0,"",IFERROR(AT206/V206,0))</f>
        <v/>
      </c>
      <c r="AV206" s="14">
        <f>IF(COUNT(C206:P206)=0,"",IFERROR(AR206/H206,0))</f>
        <v/>
      </c>
    </row>
    <row r="207">
      <c r="A207" s="11">
        <f>Config!$C$6+201</f>
        <v/>
      </c>
      <c r="B207" s="12">
        <f>INT((A207-Config!$C$6)/7)+1</f>
        <v/>
      </c>
      <c r="C207" s="9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4">
        <f>IF(COUNT(C207:P207)=0,"",IFERROR(C207/D207*1000,0))</f>
        <v/>
      </c>
      <c r="R207" s="15">
        <f>IF(COUNT(C207:P207)=0,"",IFERROR(D207/E207,0))</f>
        <v/>
      </c>
      <c r="S207" s="16">
        <f>IF(COUNT(C207:P207)=0,"",IFERROR(F207/D207,0))</f>
        <v/>
      </c>
      <c r="T207" s="14">
        <f>IF(COUNT(C207:P207)=0,"",IFERROR(C207/F207,0))</f>
        <v/>
      </c>
      <c r="U207" s="17">
        <f>IF(COUNT(C207:P207)=0,"",IFERROR(G207/F207,0))</f>
        <v/>
      </c>
      <c r="V207" s="14">
        <f>IF(COUNT(C207:P207)=0,"",IFERROR(C207/G207,0))</f>
        <v/>
      </c>
      <c r="W207" s="18">
        <f>IF(COUNT(C207:P207)=0,"",IFERROR(G207/D207*1000,0))</f>
        <v/>
      </c>
      <c r="X207" s="17">
        <f>IF(COUNT(C207:P207)=0,"",IFERROR(H207/G207,0))</f>
        <v/>
      </c>
      <c r="Y207" s="14">
        <f>IF(COUNT(C207:P207)=0,"",IFERROR(C207/H207,0))</f>
        <v/>
      </c>
      <c r="Z207" s="14">
        <f>IF(COUNT(C207:P207)=0,"",IFERROR(C207/I207,0))</f>
        <v/>
      </c>
      <c r="AA207" s="17">
        <f>IF(COUNT(C207:P207)=0,"",IFERROR(Y207/Q207,0))</f>
        <v/>
      </c>
      <c r="AB207" s="18">
        <f>IF(COUNT(C207:P207)=0,"",IFERROR(H207/D207*1000,0))</f>
        <v/>
      </c>
      <c r="AC207" s="17">
        <f>IF(COUNT(C207:P207)=0,"",IFERROR(J207/H207,0))</f>
        <v/>
      </c>
      <c r="AD207" s="14">
        <f>IF(COUNT(C207:P207)=0,"",IFERROR(C207/J207,0))</f>
        <v/>
      </c>
      <c r="AE207" s="17">
        <f>IF(COUNT(C207:P207)=0,"",IFERROR(K207/H207,0))</f>
        <v/>
      </c>
      <c r="AF207" s="17">
        <f>IF(COUNT(C207:P207)=0,"",IFERROR(L207/H207,0))</f>
        <v/>
      </c>
      <c r="AG207" s="14">
        <f>IF(COUNT(C207:P207)=0,"",IFERROR(C207/K207,0))</f>
        <v/>
      </c>
      <c r="AH207" s="17">
        <f>IF(COUNT(C207:P207)=0,"",IFERROR(M207/K207,0))</f>
        <v/>
      </c>
      <c r="AI207" s="14">
        <f>IF(COUNT(C207:P207)=0,"",IFERROR(C207/M207,0))</f>
        <v/>
      </c>
      <c r="AJ207" s="17">
        <f>IF(COUNT(C207:P207)=0,"",IFERROR(N207/M207,0))</f>
        <v/>
      </c>
      <c r="AK207" s="16">
        <f>IF(COUNT(C207:P207)=0,"",IFERROR(N207/H207,0))</f>
        <v/>
      </c>
      <c r="AL207" s="14">
        <f>IF(COUNT(C207:P207)=0,"",IFERROR(C207/N207,0))</f>
        <v/>
      </c>
      <c r="AM207" s="17">
        <f>IF(COUNT(C207:P207)=0,"",IFERROR(O207/N207,0))</f>
        <v/>
      </c>
      <c r="AN207" s="17">
        <f>IF(COUNT(C207:P207)=0,"",IFERROR(P207/N207,0))</f>
        <v/>
      </c>
      <c r="AO207" s="19">
        <f>IF(COUNT(C207:P207)=0,"",IFERROR(N207*Config!$C$7+O207*Config!$C$8+P207*Config!$C$9,0))</f>
        <v/>
      </c>
      <c r="AP207" s="14">
        <f>IF(COUNT(C207:P207)=0,"",IFERROR(AO207/N207,0))</f>
        <v/>
      </c>
      <c r="AQ207" s="19">
        <f>IF(COUNT(C207:P207)=0,"",IFERROR(AO207*(1-Config!$C$10-Config!$C$11-Config!$C$12),0))</f>
        <v/>
      </c>
      <c r="AR207" s="19">
        <f>IF(COUNT(C207:P207)=0,"",IFERROR(AQ207-C207-Config!$C$13,0))</f>
        <v/>
      </c>
      <c r="AS207" s="20">
        <f>IF(COUNT(C207:P207)=0,"",IFERROR(AQ207/C207,0))</f>
        <v/>
      </c>
      <c r="AT207" s="14">
        <f>IF(COUNT(C207:P207)=0,"",IFERROR(AR207/G207,0))</f>
        <v/>
      </c>
      <c r="AU207" s="20">
        <f>IF(COUNT(C207:P207)=0,"",IFERROR(AT207/V207,0))</f>
        <v/>
      </c>
      <c r="AV207" s="14">
        <f>IF(COUNT(C207:P207)=0,"",IFERROR(AR207/H207,0))</f>
        <v/>
      </c>
    </row>
    <row r="208">
      <c r="A208" s="11">
        <f>Config!$C$6+202</f>
        <v/>
      </c>
      <c r="B208" s="12">
        <f>INT((A208-Config!$C$6)/7)+1</f>
        <v/>
      </c>
      <c r="C208" s="9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4">
        <f>IF(COUNT(C208:P208)=0,"",IFERROR(C208/D208*1000,0))</f>
        <v/>
      </c>
      <c r="R208" s="15">
        <f>IF(COUNT(C208:P208)=0,"",IFERROR(D208/E208,0))</f>
        <v/>
      </c>
      <c r="S208" s="16">
        <f>IF(COUNT(C208:P208)=0,"",IFERROR(F208/D208,0))</f>
        <v/>
      </c>
      <c r="T208" s="14">
        <f>IF(COUNT(C208:P208)=0,"",IFERROR(C208/F208,0))</f>
        <v/>
      </c>
      <c r="U208" s="17">
        <f>IF(COUNT(C208:P208)=0,"",IFERROR(G208/F208,0))</f>
        <v/>
      </c>
      <c r="V208" s="14">
        <f>IF(COUNT(C208:P208)=0,"",IFERROR(C208/G208,0))</f>
        <v/>
      </c>
      <c r="W208" s="18">
        <f>IF(COUNT(C208:P208)=0,"",IFERROR(G208/D208*1000,0))</f>
        <v/>
      </c>
      <c r="X208" s="17">
        <f>IF(COUNT(C208:P208)=0,"",IFERROR(H208/G208,0))</f>
        <v/>
      </c>
      <c r="Y208" s="14">
        <f>IF(COUNT(C208:P208)=0,"",IFERROR(C208/H208,0))</f>
        <v/>
      </c>
      <c r="Z208" s="14">
        <f>IF(COUNT(C208:P208)=0,"",IFERROR(C208/I208,0))</f>
        <v/>
      </c>
      <c r="AA208" s="17">
        <f>IF(COUNT(C208:P208)=0,"",IFERROR(Y208/Q208,0))</f>
        <v/>
      </c>
      <c r="AB208" s="18">
        <f>IF(COUNT(C208:P208)=0,"",IFERROR(H208/D208*1000,0))</f>
        <v/>
      </c>
      <c r="AC208" s="17">
        <f>IF(COUNT(C208:P208)=0,"",IFERROR(J208/H208,0))</f>
        <v/>
      </c>
      <c r="AD208" s="14">
        <f>IF(COUNT(C208:P208)=0,"",IFERROR(C208/J208,0))</f>
        <v/>
      </c>
      <c r="AE208" s="17">
        <f>IF(COUNT(C208:P208)=0,"",IFERROR(K208/H208,0))</f>
        <v/>
      </c>
      <c r="AF208" s="17">
        <f>IF(COUNT(C208:P208)=0,"",IFERROR(L208/H208,0))</f>
        <v/>
      </c>
      <c r="AG208" s="14">
        <f>IF(COUNT(C208:P208)=0,"",IFERROR(C208/K208,0))</f>
        <v/>
      </c>
      <c r="AH208" s="17">
        <f>IF(COUNT(C208:P208)=0,"",IFERROR(M208/K208,0))</f>
        <v/>
      </c>
      <c r="AI208" s="14">
        <f>IF(COUNT(C208:P208)=0,"",IFERROR(C208/M208,0))</f>
        <v/>
      </c>
      <c r="AJ208" s="17">
        <f>IF(COUNT(C208:P208)=0,"",IFERROR(N208/M208,0))</f>
        <v/>
      </c>
      <c r="AK208" s="16">
        <f>IF(COUNT(C208:P208)=0,"",IFERROR(N208/H208,0))</f>
        <v/>
      </c>
      <c r="AL208" s="14">
        <f>IF(COUNT(C208:P208)=0,"",IFERROR(C208/N208,0))</f>
        <v/>
      </c>
      <c r="AM208" s="17">
        <f>IF(COUNT(C208:P208)=0,"",IFERROR(O208/N208,0))</f>
        <v/>
      </c>
      <c r="AN208" s="17">
        <f>IF(COUNT(C208:P208)=0,"",IFERROR(P208/N208,0))</f>
        <v/>
      </c>
      <c r="AO208" s="19">
        <f>IF(COUNT(C208:P208)=0,"",IFERROR(N208*Config!$C$7+O208*Config!$C$8+P208*Config!$C$9,0))</f>
        <v/>
      </c>
      <c r="AP208" s="14">
        <f>IF(COUNT(C208:P208)=0,"",IFERROR(AO208/N208,0))</f>
        <v/>
      </c>
      <c r="AQ208" s="19">
        <f>IF(COUNT(C208:P208)=0,"",IFERROR(AO208*(1-Config!$C$10-Config!$C$11-Config!$C$12),0))</f>
        <v/>
      </c>
      <c r="AR208" s="19">
        <f>IF(COUNT(C208:P208)=0,"",IFERROR(AQ208-C208-Config!$C$13,0))</f>
        <v/>
      </c>
      <c r="AS208" s="20">
        <f>IF(COUNT(C208:P208)=0,"",IFERROR(AQ208/C208,0))</f>
        <v/>
      </c>
      <c r="AT208" s="14">
        <f>IF(COUNT(C208:P208)=0,"",IFERROR(AR208/G208,0))</f>
        <v/>
      </c>
      <c r="AU208" s="20">
        <f>IF(COUNT(C208:P208)=0,"",IFERROR(AT208/V208,0))</f>
        <v/>
      </c>
      <c r="AV208" s="14">
        <f>IF(COUNT(C208:P208)=0,"",IFERROR(AR208/H208,0))</f>
        <v/>
      </c>
    </row>
    <row r="209">
      <c r="A209" s="11">
        <f>Config!$C$6+203</f>
        <v/>
      </c>
      <c r="B209" s="12">
        <f>INT((A209-Config!$C$6)/7)+1</f>
        <v/>
      </c>
      <c r="C209" s="9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4">
        <f>IF(COUNT(C209:P209)=0,"",IFERROR(C209/D209*1000,0))</f>
        <v/>
      </c>
      <c r="R209" s="15">
        <f>IF(COUNT(C209:P209)=0,"",IFERROR(D209/E209,0))</f>
        <v/>
      </c>
      <c r="S209" s="16">
        <f>IF(COUNT(C209:P209)=0,"",IFERROR(F209/D209,0))</f>
        <v/>
      </c>
      <c r="T209" s="14">
        <f>IF(COUNT(C209:P209)=0,"",IFERROR(C209/F209,0))</f>
        <v/>
      </c>
      <c r="U209" s="17">
        <f>IF(COUNT(C209:P209)=0,"",IFERROR(G209/F209,0))</f>
        <v/>
      </c>
      <c r="V209" s="14">
        <f>IF(COUNT(C209:P209)=0,"",IFERROR(C209/G209,0))</f>
        <v/>
      </c>
      <c r="W209" s="18">
        <f>IF(COUNT(C209:P209)=0,"",IFERROR(G209/D209*1000,0))</f>
        <v/>
      </c>
      <c r="X209" s="17">
        <f>IF(COUNT(C209:P209)=0,"",IFERROR(H209/G209,0))</f>
        <v/>
      </c>
      <c r="Y209" s="14">
        <f>IF(COUNT(C209:P209)=0,"",IFERROR(C209/H209,0))</f>
        <v/>
      </c>
      <c r="Z209" s="14">
        <f>IF(COUNT(C209:P209)=0,"",IFERROR(C209/I209,0))</f>
        <v/>
      </c>
      <c r="AA209" s="17">
        <f>IF(COUNT(C209:P209)=0,"",IFERROR(Y209/Q209,0))</f>
        <v/>
      </c>
      <c r="AB209" s="18">
        <f>IF(COUNT(C209:P209)=0,"",IFERROR(H209/D209*1000,0))</f>
        <v/>
      </c>
      <c r="AC209" s="17">
        <f>IF(COUNT(C209:P209)=0,"",IFERROR(J209/H209,0))</f>
        <v/>
      </c>
      <c r="AD209" s="14">
        <f>IF(COUNT(C209:P209)=0,"",IFERROR(C209/J209,0))</f>
        <v/>
      </c>
      <c r="AE209" s="17">
        <f>IF(COUNT(C209:P209)=0,"",IFERROR(K209/H209,0))</f>
        <v/>
      </c>
      <c r="AF209" s="17">
        <f>IF(COUNT(C209:P209)=0,"",IFERROR(L209/H209,0))</f>
        <v/>
      </c>
      <c r="AG209" s="14">
        <f>IF(COUNT(C209:P209)=0,"",IFERROR(C209/K209,0))</f>
        <v/>
      </c>
      <c r="AH209" s="17">
        <f>IF(COUNT(C209:P209)=0,"",IFERROR(M209/K209,0))</f>
        <v/>
      </c>
      <c r="AI209" s="14">
        <f>IF(COUNT(C209:P209)=0,"",IFERROR(C209/M209,0))</f>
        <v/>
      </c>
      <c r="AJ209" s="17">
        <f>IF(COUNT(C209:P209)=0,"",IFERROR(N209/M209,0))</f>
        <v/>
      </c>
      <c r="AK209" s="16">
        <f>IF(COUNT(C209:P209)=0,"",IFERROR(N209/H209,0))</f>
        <v/>
      </c>
      <c r="AL209" s="14">
        <f>IF(COUNT(C209:P209)=0,"",IFERROR(C209/N209,0))</f>
        <v/>
      </c>
      <c r="AM209" s="17">
        <f>IF(COUNT(C209:P209)=0,"",IFERROR(O209/N209,0))</f>
        <v/>
      </c>
      <c r="AN209" s="17">
        <f>IF(COUNT(C209:P209)=0,"",IFERROR(P209/N209,0))</f>
        <v/>
      </c>
      <c r="AO209" s="19">
        <f>IF(COUNT(C209:P209)=0,"",IFERROR(N209*Config!$C$7+O209*Config!$C$8+P209*Config!$C$9,0))</f>
        <v/>
      </c>
      <c r="AP209" s="14">
        <f>IF(COUNT(C209:P209)=0,"",IFERROR(AO209/N209,0))</f>
        <v/>
      </c>
      <c r="AQ209" s="19">
        <f>IF(COUNT(C209:P209)=0,"",IFERROR(AO209*(1-Config!$C$10-Config!$C$11-Config!$C$12),0))</f>
        <v/>
      </c>
      <c r="AR209" s="19">
        <f>IF(COUNT(C209:P209)=0,"",IFERROR(AQ209-C209-Config!$C$13,0))</f>
        <v/>
      </c>
      <c r="AS209" s="20">
        <f>IF(COUNT(C209:P209)=0,"",IFERROR(AQ209/C209,0))</f>
        <v/>
      </c>
      <c r="AT209" s="14">
        <f>IF(COUNT(C209:P209)=0,"",IFERROR(AR209/G209,0))</f>
        <v/>
      </c>
      <c r="AU209" s="20">
        <f>IF(COUNT(C209:P209)=0,"",IFERROR(AT209/V209,0))</f>
        <v/>
      </c>
      <c r="AV209" s="14">
        <f>IF(COUNT(C209:P209)=0,"",IFERROR(AR209/H209,0))</f>
        <v/>
      </c>
    </row>
    <row r="210">
      <c r="A210" s="11">
        <f>Config!$C$6+204</f>
        <v/>
      </c>
      <c r="B210" s="12">
        <f>INT((A210-Config!$C$6)/7)+1</f>
        <v/>
      </c>
      <c r="C210" s="9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4">
        <f>IF(COUNT(C210:P210)=0,"",IFERROR(C210/D210*1000,0))</f>
        <v/>
      </c>
      <c r="R210" s="15">
        <f>IF(COUNT(C210:P210)=0,"",IFERROR(D210/E210,0))</f>
        <v/>
      </c>
      <c r="S210" s="16">
        <f>IF(COUNT(C210:P210)=0,"",IFERROR(F210/D210,0))</f>
        <v/>
      </c>
      <c r="T210" s="14">
        <f>IF(COUNT(C210:P210)=0,"",IFERROR(C210/F210,0))</f>
        <v/>
      </c>
      <c r="U210" s="17">
        <f>IF(COUNT(C210:P210)=0,"",IFERROR(G210/F210,0))</f>
        <v/>
      </c>
      <c r="V210" s="14">
        <f>IF(COUNT(C210:P210)=0,"",IFERROR(C210/G210,0))</f>
        <v/>
      </c>
      <c r="W210" s="18">
        <f>IF(COUNT(C210:P210)=0,"",IFERROR(G210/D210*1000,0))</f>
        <v/>
      </c>
      <c r="X210" s="17">
        <f>IF(COUNT(C210:P210)=0,"",IFERROR(H210/G210,0))</f>
        <v/>
      </c>
      <c r="Y210" s="14">
        <f>IF(COUNT(C210:P210)=0,"",IFERROR(C210/H210,0))</f>
        <v/>
      </c>
      <c r="Z210" s="14">
        <f>IF(COUNT(C210:P210)=0,"",IFERROR(C210/I210,0))</f>
        <v/>
      </c>
      <c r="AA210" s="17">
        <f>IF(COUNT(C210:P210)=0,"",IFERROR(Y210/Q210,0))</f>
        <v/>
      </c>
      <c r="AB210" s="18">
        <f>IF(COUNT(C210:P210)=0,"",IFERROR(H210/D210*1000,0))</f>
        <v/>
      </c>
      <c r="AC210" s="17">
        <f>IF(COUNT(C210:P210)=0,"",IFERROR(J210/H210,0))</f>
        <v/>
      </c>
      <c r="AD210" s="14">
        <f>IF(COUNT(C210:P210)=0,"",IFERROR(C210/J210,0))</f>
        <v/>
      </c>
      <c r="AE210" s="17">
        <f>IF(COUNT(C210:P210)=0,"",IFERROR(K210/H210,0))</f>
        <v/>
      </c>
      <c r="AF210" s="17">
        <f>IF(COUNT(C210:P210)=0,"",IFERROR(L210/H210,0))</f>
        <v/>
      </c>
      <c r="AG210" s="14">
        <f>IF(COUNT(C210:P210)=0,"",IFERROR(C210/K210,0))</f>
        <v/>
      </c>
      <c r="AH210" s="17">
        <f>IF(COUNT(C210:P210)=0,"",IFERROR(M210/K210,0))</f>
        <v/>
      </c>
      <c r="AI210" s="14">
        <f>IF(COUNT(C210:P210)=0,"",IFERROR(C210/M210,0))</f>
        <v/>
      </c>
      <c r="AJ210" s="17">
        <f>IF(COUNT(C210:P210)=0,"",IFERROR(N210/M210,0))</f>
        <v/>
      </c>
      <c r="AK210" s="16">
        <f>IF(COUNT(C210:P210)=0,"",IFERROR(N210/H210,0))</f>
        <v/>
      </c>
      <c r="AL210" s="14">
        <f>IF(COUNT(C210:P210)=0,"",IFERROR(C210/N210,0))</f>
        <v/>
      </c>
      <c r="AM210" s="17">
        <f>IF(COUNT(C210:P210)=0,"",IFERROR(O210/N210,0))</f>
        <v/>
      </c>
      <c r="AN210" s="17">
        <f>IF(COUNT(C210:P210)=0,"",IFERROR(P210/N210,0))</f>
        <v/>
      </c>
      <c r="AO210" s="19">
        <f>IF(COUNT(C210:P210)=0,"",IFERROR(N210*Config!$C$7+O210*Config!$C$8+P210*Config!$C$9,0))</f>
        <v/>
      </c>
      <c r="AP210" s="14">
        <f>IF(COUNT(C210:P210)=0,"",IFERROR(AO210/N210,0))</f>
        <v/>
      </c>
      <c r="AQ210" s="19">
        <f>IF(COUNT(C210:P210)=0,"",IFERROR(AO210*(1-Config!$C$10-Config!$C$11-Config!$C$12),0))</f>
        <v/>
      </c>
      <c r="AR210" s="19">
        <f>IF(COUNT(C210:P210)=0,"",IFERROR(AQ210-C210-Config!$C$13,0))</f>
        <v/>
      </c>
      <c r="AS210" s="20">
        <f>IF(COUNT(C210:P210)=0,"",IFERROR(AQ210/C210,0))</f>
        <v/>
      </c>
      <c r="AT210" s="14">
        <f>IF(COUNT(C210:P210)=0,"",IFERROR(AR210/G210,0))</f>
        <v/>
      </c>
      <c r="AU210" s="20">
        <f>IF(COUNT(C210:P210)=0,"",IFERROR(AT210/V210,0))</f>
        <v/>
      </c>
      <c r="AV210" s="14">
        <f>IF(COUNT(C210:P210)=0,"",IFERROR(AR210/H210,0))</f>
        <v/>
      </c>
    </row>
    <row r="211">
      <c r="A211" s="11">
        <f>Config!$C$6+205</f>
        <v/>
      </c>
      <c r="B211" s="12">
        <f>INT((A211-Config!$C$6)/7)+1</f>
        <v/>
      </c>
      <c r="C211" s="9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4">
        <f>IF(COUNT(C211:P211)=0,"",IFERROR(C211/D211*1000,0))</f>
        <v/>
      </c>
      <c r="R211" s="15">
        <f>IF(COUNT(C211:P211)=0,"",IFERROR(D211/E211,0))</f>
        <v/>
      </c>
      <c r="S211" s="16">
        <f>IF(COUNT(C211:P211)=0,"",IFERROR(F211/D211,0))</f>
        <v/>
      </c>
      <c r="T211" s="14">
        <f>IF(COUNT(C211:P211)=0,"",IFERROR(C211/F211,0))</f>
        <v/>
      </c>
      <c r="U211" s="17">
        <f>IF(COUNT(C211:P211)=0,"",IFERROR(G211/F211,0))</f>
        <v/>
      </c>
      <c r="V211" s="14">
        <f>IF(COUNT(C211:P211)=0,"",IFERROR(C211/G211,0))</f>
        <v/>
      </c>
      <c r="W211" s="18">
        <f>IF(COUNT(C211:P211)=0,"",IFERROR(G211/D211*1000,0))</f>
        <v/>
      </c>
      <c r="X211" s="17">
        <f>IF(COUNT(C211:P211)=0,"",IFERROR(H211/G211,0))</f>
        <v/>
      </c>
      <c r="Y211" s="14">
        <f>IF(COUNT(C211:P211)=0,"",IFERROR(C211/H211,0))</f>
        <v/>
      </c>
      <c r="Z211" s="14">
        <f>IF(COUNT(C211:P211)=0,"",IFERROR(C211/I211,0))</f>
        <v/>
      </c>
      <c r="AA211" s="17">
        <f>IF(COUNT(C211:P211)=0,"",IFERROR(Y211/Q211,0))</f>
        <v/>
      </c>
      <c r="AB211" s="18">
        <f>IF(COUNT(C211:P211)=0,"",IFERROR(H211/D211*1000,0))</f>
        <v/>
      </c>
      <c r="AC211" s="17">
        <f>IF(COUNT(C211:P211)=0,"",IFERROR(J211/H211,0))</f>
        <v/>
      </c>
      <c r="AD211" s="14">
        <f>IF(COUNT(C211:P211)=0,"",IFERROR(C211/J211,0))</f>
        <v/>
      </c>
      <c r="AE211" s="17">
        <f>IF(COUNT(C211:P211)=0,"",IFERROR(K211/H211,0))</f>
        <v/>
      </c>
      <c r="AF211" s="17">
        <f>IF(COUNT(C211:P211)=0,"",IFERROR(L211/H211,0))</f>
        <v/>
      </c>
      <c r="AG211" s="14">
        <f>IF(COUNT(C211:P211)=0,"",IFERROR(C211/K211,0))</f>
        <v/>
      </c>
      <c r="AH211" s="17">
        <f>IF(COUNT(C211:P211)=0,"",IFERROR(M211/K211,0))</f>
        <v/>
      </c>
      <c r="AI211" s="14">
        <f>IF(COUNT(C211:P211)=0,"",IFERROR(C211/M211,0))</f>
        <v/>
      </c>
      <c r="AJ211" s="17">
        <f>IF(COUNT(C211:P211)=0,"",IFERROR(N211/M211,0))</f>
        <v/>
      </c>
      <c r="AK211" s="16">
        <f>IF(COUNT(C211:P211)=0,"",IFERROR(N211/H211,0))</f>
        <v/>
      </c>
      <c r="AL211" s="14">
        <f>IF(COUNT(C211:P211)=0,"",IFERROR(C211/N211,0))</f>
        <v/>
      </c>
      <c r="AM211" s="17">
        <f>IF(COUNT(C211:P211)=0,"",IFERROR(O211/N211,0))</f>
        <v/>
      </c>
      <c r="AN211" s="17">
        <f>IF(COUNT(C211:P211)=0,"",IFERROR(P211/N211,0))</f>
        <v/>
      </c>
      <c r="AO211" s="19">
        <f>IF(COUNT(C211:P211)=0,"",IFERROR(N211*Config!$C$7+O211*Config!$C$8+P211*Config!$C$9,0))</f>
        <v/>
      </c>
      <c r="AP211" s="14">
        <f>IF(COUNT(C211:P211)=0,"",IFERROR(AO211/N211,0))</f>
        <v/>
      </c>
      <c r="AQ211" s="19">
        <f>IF(COUNT(C211:P211)=0,"",IFERROR(AO211*(1-Config!$C$10-Config!$C$11-Config!$C$12),0))</f>
        <v/>
      </c>
      <c r="AR211" s="19">
        <f>IF(COUNT(C211:P211)=0,"",IFERROR(AQ211-C211-Config!$C$13,0))</f>
        <v/>
      </c>
      <c r="AS211" s="20">
        <f>IF(COUNT(C211:P211)=0,"",IFERROR(AQ211/C211,0))</f>
        <v/>
      </c>
      <c r="AT211" s="14">
        <f>IF(COUNT(C211:P211)=0,"",IFERROR(AR211/G211,0))</f>
        <v/>
      </c>
      <c r="AU211" s="20">
        <f>IF(COUNT(C211:P211)=0,"",IFERROR(AT211/V211,0))</f>
        <v/>
      </c>
      <c r="AV211" s="14">
        <f>IF(COUNT(C211:P211)=0,"",IFERROR(AR211/H211,0))</f>
        <v/>
      </c>
    </row>
    <row r="212">
      <c r="A212" s="11">
        <f>Config!$C$6+206</f>
        <v/>
      </c>
      <c r="B212" s="12">
        <f>INT((A212-Config!$C$6)/7)+1</f>
        <v/>
      </c>
      <c r="C212" s="9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4">
        <f>IF(COUNT(C212:P212)=0,"",IFERROR(C212/D212*1000,0))</f>
        <v/>
      </c>
      <c r="R212" s="15">
        <f>IF(COUNT(C212:P212)=0,"",IFERROR(D212/E212,0))</f>
        <v/>
      </c>
      <c r="S212" s="16">
        <f>IF(COUNT(C212:P212)=0,"",IFERROR(F212/D212,0))</f>
        <v/>
      </c>
      <c r="T212" s="14">
        <f>IF(COUNT(C212:P212)=0,"",IFERROR(C212/F212,0))</f>
        <v/>
      </c>
      <c r="U212" s="17">
        <f>IF(COUNT(C212:P212)=0,"",IFERROR(G212/F212,0))</f>
        <v/>
      </c>
      <c r="V212" s="14">
        <f>IF(COUNT(C212:P212)=0,"",IFERROR(C212/G212,0))</f>
        <v/>
      </c>
      <c r="W212" s="18">
        <f>IF(COUNT(C212:P212)=0,"",IFERROR(G212/D212*1000,0))</f>
        <v/>
      </c>
      <c r="X212" s="17">
        <f>IF(COUNT(C212:P212)=0,"",IFERROR(H212/G212,0))</f>
        <v/>
      </c>
      <c r="Y212" s="14">
        <f>IF(COUNT(C212:P212)=0,"",IFERROR(C212/H212,0))</f>
        <v/>
      </c>
      <c r="Z212" s="14">
        <f>IF(COUNT(C212:P212)=0,"",IFERROR(C212/I212,0))</f>
        <v/>
      </c>
      <c r="AA212" s="17">
        <f>IF(COUNT(C212:P212)=0,"",IFERROR(Y212/Q212,0))</f>
        <v/>
      </c>
      <c r="AB212" s="18">
        <f>IF(COUNT(C212:P212)=0,"",IFERROR(H212/D212*1000,0))</f>
        <v/>
      </c>
      <c r="AC212" s="17">
        <f>IF(COUNT(C212:P212)=0,"",IFERROR(J212/H212,0))</f>
        <v/>
      </c>
      <c r="AD212" s="14">
        <f>IF(COUNT(C212:P212)=0,"",IFERROR(C212/J212,0))</f>
        <v/>
      </c>
      <c r="AE212" s="17">
        <f>IF(COUNT(C212:P212)=0,"",IFERROR(K212/H212,0))</f>
        <v/>
      </c>
      <c r="AF212" s="17">
        <f>IF(COUNT(C212:P212)=0,"",IFERROR(L212/H212,0))</f>
        <v/>
      </c>
      <c r="AG212" s="14">
        <f>IF(COUNT(C212:P212)=0,"",IFERROR(C212/K212,0))</f>
        <v/>
      </c>
      <c r="AH212" s="17">
        <f>IF(COUNT(C212:P212)=0,"",IFERROR(M212/K212,0))</f>
        <v/>
      </c>
      <c r="AI212" s="14">
        <f>IF(COUNT(C212:P212)=0,"",IFERROR(C212/M212,0))</f>
        <v/>
      </c>
      <c r="AJ212" s="17">
        <f>IF(COUNT(C212:P212)=0,"",IFERROR(N212/M212,0))</f>
        <v/>
      </c>
      <c r="AK212" s="16">
        <f>IF(COUNT(C212:P212)=0,"",IFERROR(N212/H212,0))</f>
        <v/>
      </c>
      <c r="AL212" s="14">
        <f>IF(COUNT(C212:P212)=0,"",IFERROR(C212/N212,0))</f>
        <v/>
      </c>
      <c r="AM212" s="17">
        <f>IF(COUNT(C212:P212)=0,"",IFERROR(O212/N212,0))</f>
        <v/>
      </c>
      <c r="AN212" s="17">
        <f>IF(COUNT(C212:P212)=0,"",IFERROR(P212/N212,0))</f>
        <v/>
      </c>
      <c r="AO212" s="19">
        <f>IF(COUNT(C212:P212)=0,"",IFERROR(N212*Config!$C$7+O212*Config!$C$8+P212*Config!$C$9,0))</f>
        <v/>
      </c>
      <c r="AP212" s="14">
        <f>IF(COUNT(C212:P212)=0,"",IFERROR(AO212/N212,0))</f>
        <v/>
      </c>
      <c r="AQ212" s="19">
        <f>IF(COUNT(C212:P212)=0,"",IFERROR(AO212*(1-Config!$C$10-Config!$C$11-Config!$C$12),0))</f>
        <v/>
      </c>
      <c r="AR212" s="19">
        <f>IF(COUNT(C212:P212)=0,"",IFERROR(AQ212-C212-Config!$C$13,0))</f>
        <v/>
      </c>
      <c r="AS212" s="20">
        <f>IF(COUNT(C212:P212)=0,"",IFERROR(AQ212/C212,0))</f>
        <v/>
      </c>
      <c r="AT212" s="14">
        <f>IF(COUNT(C212:P212)=0,"",IFERROR(AR212/G212,0))</f>
        <v/>
      </c>
      <c r="AU212" s="20">
        <f>IF(COUNT(C212:P212)=0,"",IFERROR(AT212/V212,0))</f>
        <v/>
      </c>
      <c r="AV212" s="14">
        <f>IF(COUNT(C212:P212)=0,"",IFERROR(AR212/H212,0))</f>
        <v/>
      </c>
    </row>
    <row r="213">
      <c r="A213" s="11">
        <f>Config!$C$6+207</f>
        <v/>
      </c>
      <c r="B213" s="12">
        <f>INT((A213-Config!$C$6)/7)+1</f>
        <v/>
      </c>
      <c r="C213" s="9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4">
        <f>IF(COUNT(C213:P213)=0,"",IFERROR(C213/D213*1000,0))</f>
        <v/>
      </c>
      <c r="R213" s="15">
        <f>IF(COUNT(C213:P213)=0,"",IFERROR(D213/E213,0))</f>
        <v/>
      </c>
      <c r="S213" s="16">
        <f>IF(COUNT(C213:P213)=0,"",IFERROR(F213/D213,0))</f>
        <v/>
      </c>
      <c r="T213" s="14">
        <f>IF(COUNT(C213:P213)=0,"",IFERROR(C213/F213,0))</f>
        <v/>
      </c>
      <c r="U213" s="17">
        <f>IF(COUNT(C213:P213)=0,"",IFERROR(G213/F213,0))</f>
        <v/>
      </c>
      <c r="V213" s="14">
        <f>IF(COUNT(C213:P213)=0,"",IFERROR(C213/G213,0))</f>
        <v/>
      </c>
      <c r="W213" s="18">
        <f>IF(COUNT(C213:P213)=0,"",IFERROR(G213/D213*1000,0))</f>
        <v/>
      </c>
      <c r="X213" s="17">
        <f>IF(COUNT(C213:P213)=0,"",IFERROR(H213/G213,0))</f>
        <v/>
      </c>
      <c r="Y213" s="14">
        <f>IF(COUNT(C213:P213)=0,"",IFERROR(C213/H213,0))</f>
        <v/>
      </c>
      <c r="Z213" s="14">
        <f>IF(COUNT(C213:P213)=0,"",IFERROR(C213/I213,0))</f>
        <v/>
      </c>
      <c r="AA213" s="17">
        <f>IF(COUNT(C213:P213)=0,"",IFERROR(Y213/Q213,0))</f>
        <v/>
      </c>
      <c r="AB213" s="18">
        <f>IF(COUNT(C213:P213)=0,"",IFERROR(H213/D213*1000,0))</f>
        <v/>
      </c>
      <c r="AC213" s="17">
        <f>IF(COUNT(C213:P213)=0,"",IFERROR(J213/H213,0))</f>
        <v/>
      </c>
      <c r="AD213" s="14">
        <f>IF(COUNT(C213:P213)=0,"",IFERROR(C213/J213,0))</f>
        <v/>
      </c>
      <c r="AE213" s="17">
        <f>IF(COUNT(C213:P213)=0,"",IFERROR(K213/H213,0))</f>
        <v/>
      </c>
      <c r="AF213" s="17">
        <f>IF(COUNT(C213:P213)=0,"",IFERROR(L213/H213,0))</f>
        <v/>
      </c>
      <c r="AG213" s="14">
        <f>IF(COUNT(C213:P213)=0,"",IFERROR(C213/K213,0))</f>
        <v/>
      </c>
      <c r="AH213" s="17">
        <f>IF(COUNT(C213:P213)=0,"",IFERROR(M213/K213,0))</f>
        <v/>
      </c>
      <c r="AI213" s="14">
        <f>IF(COUNT(C213:P213)=0,"",IFERROR(C213/M213,0))</f>
        <v/>
      </c>
      <c r="AJ213" s="17">
        <f>IF(COUNT(C213:P213)=0,"",IFERROR(N213/M213,0))</f>
        <v/>
      </c>
      <c r="AK213" s="16">
        <f>IF(COUNT(C213:P213)=0,"",IFERROR(N213/H213,0))</f>
        <v/>
      </c>
      <c r="AL213" s="14">
        <f>IF(COUNT(C213:P213)=0,"",IFERROR(C213/N213,0))</f>
        <v/>
      </c>
      <c r="AM213" s="17">
        <f>IF(COUNT(C213:P213)=0,"",IFERROR(O213/N213,0))</f>
        <v/>
      </c>
      <c r="AN213" s="17">
        <f>IF(COUNT(C213:P213)=0,"",IFERROR(P213/N213,0))</f>
        <v/>
      </c>
      <c r="AO213" s="19">
        <f>IF(COUNT(C213:P213)=0,"",IFERROR(N213*Config!$C$7+O213*Config!$C$8+P213*Config!$C$9,0))</f>
        <v/>
      </c>
      <c r="AP213" s="14">
        <f>IF(COUNT(C213:P213)=0,"",IFERROR(AO213/N213,0))</f>
        <v/>
      </c>
      <c r="AQ213" s="19">
        <f>IF(COUNT(C213:P213)=0,"",IFERROR(AO213*(1-Config!$C$10-Config!$C$11-Config!$C$12),0))</f>
        <v/>
      </c>
      <c r="AR213" s="19">
        <f>IF(COUNT(C213:P213)=0,"",IFERROR(AQ213-C213-Config!$C$13,0))</f>
        <v/>
      </c>
      <c r="AS213" s="20">
        <f>IF(COUNT(C213:P213)=0,"",IFERROR(AQ213/C213,0))</f>
        <v/>
      </c>
      <c r="AT213" s="14">
        <f>IF(COUNT(C213:P213)=0,"",IFERROR(AR213/G213,0))</f>
        <v/>
      </c>
      <c r="AU213" s="20">
        <f>IF(COUNT(C213:P213)=0,"",IFERROR(AT213/V213,0))</f>
        <v/>
      </c>
      <c r="AV213" s="14">
        <f>IF(COUNT(C213:P213)=0,"",IFERROR(AR213/H213,0))</f>
        <v/>
      </c>
    </row>
    <row r="214">
      <c r="A214" s="11">
        <f>Config!$C$6+208</f>
        <v/>
      </c>
      <c r="B214" s="12">
        <f>INT((A214-Config!$C$6)/7)+1</f>
        <v/>
      </c>
      <c r="C214" s="9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4">
        <f>IF(COUNT(C214:P214)=0,"",IFERROR(C214/D214*1000,0))</f>
        <v/>
      </c>
      <c r="R214" s="15">
        <f>IF(COUNT(C214:P214)=0,"",IFERROR(D214/E214,0))</f>
        <v/>
      </c>
      <c r="S214" s="16">
        <f>IF(COUNT(C214:P214)=0,"",IFERROR(F214/D214,0))</f>
        <v/>
      </c>
      <c r="T214" s="14">
        <f>IF(COUNT(C214:P214)=0,"",IFERROR(C214/F214,0))</f>
        <v/>
      </c>
      <c r="U214" s="17">
        <f>IF(COUNT(C214:P214)=0,"",IFERROR(G214/F214,0))</f>
        <v/>
      </c>
      <c r="V214" s="14">
        <f>IF(COUNT(C214:P214)=0,"",IFERROR(C214/G214,0))</f>
        <v/>
      </c>
      <c r="W214" s="18">
        <f>IF(COUNT(C214:P214)=0,"",IFERROR(G214/D214*1000,0))</f>
        <v/>
      </c>
      <c r="X214" s="17">
        <f>IF(COUNT(C214:P214)=0,"",IFERROR(H214/G214,0))</f>
        <v/>
      </c>
      <c r="Y214" s="14">
        <f>IF(COUNT(C214:P214)=0,"",IFERROR(C214/H214,0))</f>
        <v/>
      </c>
      <c r="Z214" s="14">
        <f>IF(COUNT(C214:P214)=0,"",IFERROR(C214/I214,0))</f>
        <v/>
      </c>
      <c r="AA214" s="17">
        <f>IF(COUNT(C214:P214)=0,"",IFERROR(Y214/Q214,0))</f>
        <v/>
      </c>
      <c r="AB214" s="18">
        <f>IF(COUNT(C214:P214)=0,"",IFERROR(H214/D214*1000,0))</f>
        <v/>
      </c>
      <c r="AC214" s="17">
        <f>IF(COUNT(C214:P214)=0,"",IFERROR(J214/H214,0))</f>
        <v/>
      </c>
      <c r="AD214" s="14">
        <f>IF(COUNT(C214:P214)=0,"",IFERROR(C214/J214,0))</f>
        <v/>
      </c>
      <c r="AE214" s="17">
        <f>IF(COUNT(C214:P214)=0,"",IFERROR(K214/H214,0))</f>
        <v/>
      </c>
      <c r="AF214" s="17">
        <f>IF(COUNT(C214:P214)=0,"",IFERROR(L214/H214,0))</f>
        <v/>
      </c>
      <c r="AG214" s="14">
        <f>IF(COUNT(C214:P214)=0,"",IFERROR(C214/K214,0))</f>
        <v/>
      </c>
      <c r="AH214" s="17">
        <f>IF(COUNT(C214:P214)=0,"",IFERROR(M214/K214,0))</f>
        <v/>
      </c>
      <c r="AI214" s="14">
        <f>IF(COUNT(C214:P214)=0,"",IFERROR(C214/M214,0))</f>
        <v/>
      </c>
      <c r="AJ214" s="17">
        <f>IF(COUNT(C214:P214)=0,"",IFERROR(N214/M214,0))</f>
        <v/>
      </c>
      <c r="AK214" s="16">
        <f>IF(COUNT(C214:P214)=0,"",IFERROR(N214/H214,0))</f>
        <v/>
      </c>
      <c r="AL214" s="14">
        <f>IF(COUNT(C214:P214)=0,"",IFERROR(C214/N214,0))</f>
        <v/>
      </c>
      <c r="AM214" s="17">
        <f>IF(COUNT(C214:P214)=0,"",IFERROR(O214/N214,0))</f>
        <v/>
      </c>
      <c r="AN214" s="17">
        <f>IF(COUNT(C214:P214)=0,"",IFERROR(P214/N214,0))</f>
        <v/>
      </c>
      <c r="AO214" s="19">
        <f>IF(COUNT(C214:P214)=0,"",IFERROR(N214*Config!$C$7+O214*Config!$C$8+P214*Config!$C$9,0))</f>
        <v/>
      </c>
      <c r="AP214" s="14">
        <f>IF(COUNT(C214:P214)=0,"",IFERROR(AO214/N214,0))</f>
        <v/>
      </c>
      <c r="AQ214" s="19">
        <f>IF(COUNT(C214:P214)=0,"",IFERROR(AO214*(1-Config!$C$10-Config!$C$11-Config!$C$12),0))</f>
        <v/>
      </c>
      <c r="AR214" s="19">
        <f>IF(COUNT(C214:P214)=0,"",IFERROR(AQ214-C214-Config!$C$13,0))</f>
        <v/>
      </c>
      <c r="AS214" s="20">
        <f>IF(COUNT(C214:P214)=0,"",IFERROR(AQ214/C214,0))</f>
        <v/>
      </c>
      <c r="AT214" s="14">
        <f>IF(COUNT(C214:P214)=0,"",IFERROR(AR214/G214,0))</f>
        <v/>
      </c>
      <c r="AU214" s="20">
        <f>IF(COUNT(C214:P214)=0,"",IFERROR(AT214/V214,0))</f>
        <v/>
      </c>
      <c r="AV214" s="14">
        <f>IF(COUNT(C214:P214)=0,"",IFERROR(AR214/H214,0))</f>
        <v/>
      </c>
    </row>
    <row r="215">
      <c r="A215" s="11">
        <f>Config!$C$6+209</f>
        <v/>
      </c>
      <c r="B215" s="12">
        <f>INT((A215-Config!$C$6)/7)+1</f>
        <v/>
      </c>
      <c r="C215" s="9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4">
        <f>IF(COUNT(C215:P215)=0,"",IFERROR(C215/D215*1000,0))</f>
        <v/>
      </c>
      <c r="R215" s="15">
        <f>IF(COUNT(C215:P215)=0,"",IFERROR(D215/E215,0))</f>
        <v/>
      </c>
      <c r="S215" s="16">
        <f>IF(COUNT(C215:P215)=0,"",IFERROR(F215/D215,0))</f>
        <v/>
      </c>
      <c r="T215" s="14">
        <f>IF(COUNT(C215:P215)=0,"",IFERROR(C215/F215,0))</f>
        <v/>
      </c>
      <c r="U215" s="17">
        <f>IF(COUNT(C215:P215)=0,"",IFERROR(G215/F215,0))</f>
        <v/>
      </c>
      <c r="V215" s="14">
        <f>IF(COUNT(C215:P215)=0,"",IFERROR(C215/G215,0))</f>
        <v/>
      </c>
      <c r="W215" s="18">
        <f>IF(COUNT(C215:P215)=0,"",IFERROR(G215/D215*1000,0))</f>
        <v/>
      </c>
      <c r="X215" s="17">
        <f>IF(COUNT(C215:P215)=0,"",IFERROR(H215/G215,0))</f>
        <v/>
      </c>
      <c r="Y215" s="14">
        <f>IF(COUNT(C215:P215)=0,"",IFERROR(C215/H215,0))</f>
        <v/>
      </c>
      <c r="Z215" s="14">
        <f>IF(COUNT(C215:P215)=0,"",IFERROR(C215/I215,0))</f>
        <v/>
      </c>
      <c r="AA215" s="17">
        <f>IF(COUNT(C215:P215)=0,"",IFERROR(Y215/Q215,0))</f>
        <v/>
      </c>
      <c r="AB215" s="18">
        <f>IF(COUNT(C215:P215)=0,"",IFERROR(H215/D215*1000,0))</f>
        <v/>
      </c>
      <c r="AC215" s="17">
        <f>IF(COUNT(C215:P215)=0,"",IFERROR(J215/H215,0))</f>
        <v/>
      </c>
      <c r="AD215" s="14">
        <f>IF(COUNT(C215:P215)=0,"",IFERROR(C215/J215,0))</f>
        <v/>
      </c>
      <c r="AE215" s="17">
        <f>IF(COUNT(C215:P215)=0,"",IFERROR(K215/H215,0))</f>
        <v/>
      </c>
      <c r="AF215" s="17">
        <f>IF(COUNT(C215:P215)=0,"",IFERROR(L215/H215,0))</f>
        <v/>
      </c>
      <c r="AG215" s="14">
        <f>IF(COUNT(C215:P215)=0,"",IFERROR(C215/K215,0))</f>
        <v/>
      </c>
      <c r="AH215" s="17">
        <f>IF(COUNT(C215:P215)=0,"",IFERROR(M215/K215,0))</f>
        <v/>
      </c>
      <c r="AI215" s="14">
        <f>IF(COUNT(C215:P215)=0,"",IFERROR(C215/M215,0))</f>
        <v/>
      </c>
      <c r="AJ215" s="17">
        <f>IF(COUNT(C215:P215)=0,"",IFERROR(N215/M215,0))</f>
        <v/>
      </c>
      <c r="AK215" s="16">
        <f>IF(COUNT(C215:P215)=0,"",IFERROR(N215/H215,0))</f>
        <v/>
      </c>
      <c r="AL215" s="14">
        <f>IF(COUNT(C215:P215)=0,"",IFERROR(C215/N215,0))</f>
        <v/>
      </c>
      <c r="AM215" s="17">
        <f>IF(COUNT(C215:P215)=0,"",IFERROR(O215/N215,0))</f>
        <v/>
      </c>
      <c r="AN215" s="17">
        <f>IF(COUNT(C215:P215)=0,"",IFERROR(P215/N215,0))</f>
        <v/>
      </c>
      <c r="AO215" s="19">
        <f>IF(COUNT(C215:P215)=0,"",IFERROR(N215*Config!$C$7+O215*Config!$C$8+P215*Config!$C$9,0))</f>
        <v/>
      </c>
      <c r="AP215" s="14">
        <f>IF(COUNT(C215:P215)=0,"",IFERROR(AO215/N215,0))</f>
        <v/>
      </c>
      <c r="AQ215" s="19">
        <f>IF(COUNT(C215:P215)=0,"",IFERROR(AO215*(1-Config!$C$10-Config!$C$11-Config!$C$12),0))</f>
        <v/>
      </c>
      <c r="AR215" s="19">
        <f>IF(COUNT(C215:P215)=0,"",IFERROR(AQ215-C215-Config!$C$13,0))</f>
        <v/>
      </c>
      <c r="AS215" s="20">
        <f>IF(COUNT(C215:P215)=0,"",IFERROR(AQ215/C215,0))</f>
        <v/>
      </c>
      <c r="AT215" s="14">
        <f>IF(COUNT(C215:P215)=0,"",IFERROR(AR215/G215,0))</f>
        <v/>
      </c>
      <c r="AU215" s="20">
        <f>IF(COUNT(C215:P215)=0,"",IFERROR(AT215/V215,0))</f>
        <v/>
      </c>
      <c r="AV215" s="14">
        <f>IF(COUNT(C215:P215)=0,"",IFERROR(AR215/H215,0))</f>
        <v/>
      </c>
    </row>
    <row r="216">
      <c r="A216" s="11">
        <f>Config!$C$6+210</f>
        <v/>
      </c>
      <c r="B216" s="12">
        <f>INT((A216-Config!$C$6)/7)+1</f>
        <v/>
      </c>
      <c r="C216" s="9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4">
        <f>IF(COUNT(C216:P216)=0,"",IFERROR(C216/D216*1000,0))</f>
        <v/>
      </c>
      <c r="R216" s="15">
        <f>IF(COUNT(C216:P216)=0,"",IFERROR(D216/E216,0))</f>
        <v/>
      </c>
      <c r="S216" s="16">
        <f>IF(COUNT(C216:P216)=0,"",IFERROR(F216/D216,0))</f>
        <v/>
      </c>
      <c r="T216" s="14">
        <f>IF(COUNT(C216:P216)=0,"",IFERROR(C216/F216,0))</f>
        <v/>
      </c>
      <c r="U216" s="17">
        <f>IF(COUNT(C216:P216)=0,"",IFERROR(G216/F216,0))</f>
        <v/>
      </c>
      <c r="V216" s="14">
        <f>IF(COUNT(C216:P216)=0,"",IFERROR(C216/G216,0))</f>
        <v/>
      </c>
      <c r="W216" s="18">
        <f>IF(COUNT(C216:P216)=0,"",IFERROR(G216/D216*1000,0))</f>
        <v/>
      </c>
      <c r="X216" s="17">
        <f>IF(COUNT(C216:P216)=0,"",IFERROR(H216/G216,0))</f>
        <v/>
      </c>
      <c r="Y216" s="14">
        <f>IF(COUNT(C216:P216)=0,"",IFERROR(C216/H216,0))</f>
        <v/>
      </c>
      <c r="Z216" s="14">
        <f>IF(COUNT(C216:P216)=0,"",IFERROR(C216/I216,0))</f>
        <v/>
      </c>
      <c r="AA216" s="17">
        <f>IF(COUNT(C216:P216)=0,"",IFERROR(Y216/Q216,0))</f>
        <v/>
      </c>
      <c r="AB216" s="18">
        <f>IF(COUNT(C216:P216)=0,"",IFERROR(H216/D216*1000,0))</f>
        <v/>
      </c>
      <c r="AC216" s="17">
        <f>IF(COUNT(C216:P216)=0,"",IFERROR(J216/H216,0))</f>
        <v/>
      </c>
      <c r="AD216" s="14">
        <f>IF(COUNT(C216:P216)=0,"",IFERROR(C216/J216,0))</f>
        <v/>
      </c>
      <c r="AE216" s="17">
        <f>IF(COUNT(C216:P216)=0,"",IFERROR(K216/H216,0))</f>
        <v/>
      </c>
      <c r="AF216" s="17">
        <f>IF(COUNT(C216:P216)=0,"",IFERROR(L216/H216,0))</f>
        <v/>
      </c>
      <c r="AG216" s="14">
        <f>IF(COUNT(C216:P216)=0,"",IFERROR(C216/K216,0))</f>
        <v/>
      </c>
      <c r="AH216" s="17">
        <f>IF(COUNT(C216:P216)=0,"",IFERROR(M216/K216,0))</f>
        <v/>
      </c>
      <c r="AI216" s="14">
        <f>IF(COUNT(C216:P216)=0,"",IFERROR(C216/M216,0))</f>
        <v/>
      </c>
      <c r="AJ216" s="17">
        <f>IF(COUNT(C216:P216)=0,"",IFERROR(N216/M216,0))</f>
        <v/>
      </c>
      <c r="AK216" s="16">
        <f>IF(COUNT(C216:P216)=0,"",IFERROR(N216/H216,0))</f>
        <v/>
      </c>
      <c r="AL216" s="14">
        <f>IF(COUNT(C216:P216)=0,"",IFERROR(C216/N216,0))</f>
        <v/>
      </c>
      <c r="AM216" s="17">
        <f>IF(COUNT(C216:P216)=0,"",IFERROR(O216/N216,0))</f>
        <v/>
      </c>
      <c r="AN216" s="17">
        <f>IF(COUNT(C216:P216)=0,"",IFERROR(P216/N216,0))</f>
        <v/>
      </c>
      <c r="AO216" s="19">
        <f>IF(COUNT(C216:P216)=0,"",IFERROR(N216*Config!$C$7+O216*Config!$C$8+P216*Config!$C$9,0))</f>
        <v/>
      </c>
      <c r="AP216" s="14">
        <f>IF(COUNT(C216:P216)=0,"",IFERROR(AO216/N216,0))</f>
        <v/>
      </c>
      <c r="AQ216" s="19">
        <f>IF(COUNT(C216:P216)=0,"",IFERROR(AO216*(1-Config!$C$10-Config!$C$11-Config!$C$12),0))</f>
        <v/>
      </c>
      <c r="AR216" s="19">
        <f>IF(COUNT(C216:P216)=0,"",IFERROR(AQ216-C216-Config!$C$13,0))</f>
        <v/>
      </c>
      <c r="AS216" s="20">
        <f>IF(COUNT(C216:P216)=0,"",IFERROR(AQ216/C216,0))</f>
        <v/>
      </c>
      <c r="AT216" s="14">
        <f>IF(COUNT(C216:P216)=0,"",IFERROR(AR216/G216,0))</f>
        <v/>
      </c>
      <c r="AU216" s="20">
        <f>IF(COUNT(C216:P216)=0,"",IFERROR(AT216/V216,0))</f>
        <v/>
      </c>
      <c r="AV216" s="14">
        <f>IF(COUNT(C216:P216)=0,"",IFERROR(AR216/H216,0))</f>
        <v/>
      </c>
    </row>
    <row r="217">
      <c r="A217" s="11">
        <f>Config!$C$6+211</f>
        <v/>
      </c>
      <c r="B217" s="12">
        <f>INT((A217-Config!$C$6)/7)+1</f>
        <v/>
      </c>
      <c r="C217" s="9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4">
        <f>IF(COUNT(C217:P217)=0,"",IFERROR(C217/D217*1000,0))</f>
        <v/>
      </c>
      <c r="R217" s="15">
        <f>IF(COUNT(C217:P217)=0,"",IFERROR(D217/E217,0))</f>
        <v/>
      </c>
      <c r="S217" s="16">
        <f>IF(COUNT(C217:P217)=0,"",IFERROR(F217/D217,0))</f>
        <v/>
      </c>
      <c r="T217" s="14">
        <f>IF(COUNT(C217:P217)=0,"",IFERROR(C217/F217,0))</f>
        <v/>
      </c>
      <c r="U217" s="17">
        <f>IF(COUNT(C217:P217)=0,"",IFERROR(G217/F217,0))</f>
        <v/>
      </c>
      <c r="V217" s="14">
        <f>IF(COUNT(C217:P217)=0,"",IFERROR(C217/G217,0))</f>
        <v/>
      </c>
      <c r="W217" s="18">
        <f>IF(COUNT(C217:P217)=0,"",IFERROR(G217/D217*1000,0))</f>
        <v/>
      </c>
      <c r="X217" s="17">
        <f>IF(COUNT(C217:P217)=0,"",IFERROR(H217/G217,0))</f>
        <v/>
      </c>
      <c r="Y217" s="14">
        <f>IF(COUNT(C217:P217)=0,"",IFERROR(C217/H217,0))</f>
        <v/>
      </c>
      <c r="Z217" s="14">
        <f>IF(COUNT(C217:P217)=0,"",IFERROR(C217/I217,0))</f>
        <v/>
      </c>
      <c r="AA217" s="17">
        <f>IF(COUNT(C217:P217)=0,"",IFERROR(Y217/Q217,0))</f>
        <v/>
      </c>
      <c r="AB217" s="18">
        <f>IF(COUNT(C217:P217)=0,"",IFERROR(H217/D217*1000,0))</f>
        <v/>
      </c>
      <c r="AC217" s="17">
        <f>IF(COUNT(C217:P217)=0,"",IFERROR(J217/H217,0))</f>
        <v/>
      </c>
      <c r="AD217" s="14">
        <f>IF(COUNT(C217:P217)=0,"",IFERROR(C217/J217,0))</f>
        <v/>
      </c>
      <c r="AE217" s="17">
        <f>IF(COUNT(C217:P217)=0,"",IFERROR(K217/H217,0))</f>
        <v/>
      </c>
      <c r="AF217" s="17">
        <f>IF(COUNT(C217:P217)=0,"",IFERROR(L217/H217,0))</f>
        <v/>
      </c>
      <c r="AG217" s="14">
        <f>IF(COUNT(C217:P217)=0,"",IFERROR(C217/K217,0))</f>
        <v/>
      </c>
      <c r="AH217" s="17">
        <f>IF(COUNT(C217:P217)=0,"",IFERROR(M217/K217,0))</f>
        <v/>
      </c>
      <c r="AI217" s="14">
        <f>IF(COUNT(C217:P217)=0,"",IFERROR(C217/M217,0))</f>
        <v/>
      </c>
      <c r="AJ217" s="17">
        <f>IF(COUNT(C217:P217)=0,"",IFERROR(N217/M217,0))</f>
        <v/>
      </c>
      <c r="AK217" s="16">
        <f>IF(COUNT(C217:P217)=0,"",IFERROR(N217/H217,0))</f>
        <v/>
      </c>
      <c r="AL217" s="14">
        <f>IF(COUNT(C217:P217)=0,"",IFERROR(C217/N217,0))</f>
        <v/>
      </c>
      <c r="AM217" s="17">
        <f>IF(COUNT(C217:P217)=0,"",IFERROR(O217/N217,0))</f>
        <v/>
      </c>
      <c r="AN217" s="17">
        <f>IF(COUNT(C217:P217)=0,"",IFERROR(P217/N217,0))</f>
        <v/>
      </c>
      <c r="AO217" s="19">
        <f>IF(COUNT(C217:P217)=0,"",IFERROR(N217*Config!$C$7+O217*Config!$C$8+P217*Config!$C$9,0))</f>
        <v/>
      </c>
      <c r="AP217" s="14">
        <f>IF(COUNT(C217:P217)=0,"",IFERROR(AO217/N217,0))</f>
        <v/>
      </c>
      <c r="AQ217" s="19">
        <f>IF(COUNT(C217:P217)=0,"",IFERROR(AO217*(1-Config!$C$10-Config!$C$11-Config!$C$12),0))</f>
        <v/>
      </c>
      <c r="AR217" s="19">
        <f>IF(COUNT(C217:P217)=0,"",IFERROR(AQ217-C217-Config!$C$13,0))</f>
        <v/>
      </c>
      <c r="AS217" s="20">
        <f>IF(COUNT(C217:P217)=0,"",IFERROR(AQ217/C217,0))</f>
        <v/>
      </c>
      <c r="AT217" s="14">
        <f>IF(COUNT(C217:P217)=0,"",IFERROR(AR217/G217,0))</f>
        <v/>
      </c>
      <c r="AU217" s="20">
        <f>IF(COUNT(C217:P217)=0,"",IFERROR(AT217/V217,0))</f>
        <v/>
      </c>
      <c r="AV217" s="14">
        <f>IF(COUNT(C217:P217)=0,"",IFERROR(AR217/H217,0))</f>
        <v/>
      </c>
    </row>
    <row r="218">
      <c r="A218" s="11">
        <f>Config!$C$6+212</f>
        <v/>
      </c>
      <c r="B218" s="12">
        <f>INT((A218-Config!$C$6)/7)+1</f>
        <v/>
      </c>
      <c r="C218" s="9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4">
        <f>IF(COUNT(C218:P218)=0,"",IFERROR(C218/D218*1000,0))</f>
        <v/>
      </c>
      <c r="R218" s="15">
        <f>IF(COUNT(C218:P218)=0,"",IFERROR(D218/E218,0))</f>
        <v/>
      </c>
      <c r="S218" s="16">
        <f>IF(COUNT(C218:P218)=0,"",IFERROR(F218/D218,0))</f>
        <v/>
      </c>
      <c r="T218" s="14">
        <f>IF(COUNT(C218:P218)=0,"",IFERROR(C218/F218,0))</f>
        <v/>
      </c>
      <c r="U218" s="17">
        <f>IF(COUNT(C218:P218)=0,"",IFERROR(G218/F218,0))</f>
        <v/>
      </c>
      <c r="V218" s="14">
        <f>IF(COUNT(C218:P218)=0,"",IFERROR(C218/G218,0))</f>
        <v/>
      </c>
      <c r="W218" s="18">
        <f>IF(COUNT(C218:P218)=0,"",IFERROR(G218/D218*1000,0))</f>
        <v/>
      </c>
      <c r="X218" s="17">
        <f>IF(COUNT(C218:P218)=0,"",IFERROR(H218/G218,0))</f>
        <v/>
      </c>
      <c r="Y218" s="14">
        <f>IF(COUNT(C218:P218)=0,"",IFERROR(C218/H218,0))</f>
        <v/>
      </c>
      <c r="Z218" s="14">
        <f>IF(COUNT(C218:P218)=0,"",IFERROR(C218/I218,0))</f>
        <v/>
      </c>
      <c r="AA218" s="17">
        <f>IF(COUNT(C218:P218)=0,"",IFERROR(Y218/Q218,0))</f>
        <v/>
      </c>
      <c r="AB218" s="18">
        <f>IF(COUNT(C218:P218)=0,"",IFERROR(H218/D218*1000,0))</f>
        <v/>
      </c>
      <c r="AC218" s="17">
        <f>IF(COUNT(C218:P218)=0,"",IFERROR(J218/H218,0))</f>
        <v/>
      </c>
      <c r="AD218" s="14">
        <f>IF(COUNT(C218:P218)=0,"",IFERROR(C218/J218,0))</f>
        <v/>
      </c>
      <c r="AE218" s="17">
        <f>IF(COUNT(C218:P218)=0,"",IFERROR(K218/H218,0))</f>
        <v/>
      </c>
      <c r="AF218" s="17">
        <f>IF(COUNT(C218:P218)=0,"",IFERROR(L218/H218,0))</f>
        <v/>
      </c>
      <c r="AG218" s="14">
        <f>IF(COUNT(C218:P218)=0,"",IFERROR(C218/K218,0))</f>
        <v/>
      </c>
      <c r="AH218" s="17">
        <f>IF(COUNT(C218:P218)=0,"",IFERROR(M218/K218,0))</f>
        <v/>
      </c>
      <c r="AI218" s="14">
        <f>IF(COUNT(C218:P218)=0,"",IFERROR(C218/M218,0))</f>
        <v/>
      </c>
      <c r="AJ218" s="17">
        <f>IF(COUNT(C218:P218)=0,"",IFERROR(N218/M218,0))</f>
        <v/>
      </c>
      <c r="AK218" s="16">
        <f>IF(COUNT(C218:P218)=0,"",IFERROR(N218/H218,0))</f>
        <v/>
      </c>
      <c r="AL218" s="14">
        <f>IF(COUNT(C218:P218)=0,"",IFERROR(C218/N218,0))</f>
        <v/>
      </c>
      <c r="AM218" s="17">
        <f>IF(COUNT(C218:P218)=0,"",IFERROR(O218/N218,0))</f>
        <v/>
      </c>
      <c r="AN218" s="17">
        <f>IF(COUNT(C218:P218)=0,"",IFERROR(P218/N218,0))</f>
        <v/>
      </c>
      <c r="AO218" s="19">
        <f>IF(COUNT(C218:P218)=0,"",IFERROR(N218*Config!$C$7+O218*Config!$C$8+P218*Config!$C$9,0))</f>
        <v/>
      </c>
      <c r="AP218" s="14">
        <f>IF(COUNT(C218:P218)=0,"",IFERROR(AO218/N218,0))</f>
        <v/>
      </c>
      <c r="AQ218" s="19">
        <f>IF(COUNT(C218:P218)=0,"",IFERROR(AO218*(1-Config!$C$10-Config!$C$11-Config!$C$12),0))</f>
        <v/>
      </c>
      <c r="AR218" s="19">
        <f>IF(COUNT(C218:P218)=0,"",IFERROR(AQ218-C218-Config!$C$13,0))</f>
        <v/>
      </c>
      <c r="AS218" s="20">
        <f>IF(COUNT(C218:P218)=0,"",IFERROR(AQ218/C218,0))</f>
        <v/>
      </c>
      <c r="AT218" s="14">
        <f>IF(COUNT(C218:P218)=0,"",IFERROR(AR218/G218,0))</f>
        <v/>
      </c>
      <c r="AU218" s="20">
        <f>IF(COUNT(C218:P218)=0,"",IFERROR(AT218/V218,0))</f>
        <v/>
      </c>
      <c r="AV218" s="14">
        <f>IF(COUNT(C218:P218)=0,"",IFERROR(AR218/H218,0))</f>
        <v/>
      </c>
    </row>
    <row r="219">
      <c r="A219" s="11">
        <f>Config!$C$6+213</f>
        <v/>
      </c>
      <c r="B219" s="12">
        <f>INT((A219-Config!$C$6)/7)+1</f>
        <v/>
      </c>
      <c r="C219" s="9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4">
        <f>IF(COUNT(C219:P219)=0,"",IFERROR(C219/D219*1000,0))</f>
        <v/>
      </c>
      <c r="R219" s="15">
        <f>IF(COUNT(C219:P219)=0,"",IFERROR(D219/E219,0))</f>
        <v/>
      </c>
      <c r="S219" s="16">
        <f>IF(COUNT(C219:P219)=0,"",IFERROR(F219/D219,0))</f>
        <v/>
      </c>
      <c r="T219" s="14">
        <f>IF(COUNT(C219:P219)=0,"",IFERROR(C219/F219,0))</f>
        <v/>
      </c>
      <c r="U219" s="17">
        <f>IF(COUNT(C219:P219)=0,"",IFERROR(G219/F219,0))</f>
        <v/>
      </c>
      <c r="V219" s="14">
        <f>IF(COUNT(C219:P219)=0,"",IFERROR(C219/G219,0))</f>
        <v/>
      </c>
      <c r="W219" s="18">
        <f>IF(COUNT(C219:P219)=0,"",IFERROR(G219/D219*1000,0))</f>
        <v/>
      </c>
      <c r="X219" s="17">
        <f>IF(COUNT(C219:P219)=0,"",IFERROR(H219/G219,0))</f>
        <v/>
      </c>
      <c r="Y219" s="14">
        <f>IF(COUNT(C219:P219)=0,"",IFERROR(C219/H219,0))</f>
        <v/>
      </c>
      <c r="Z219" s="14">
        <f>IF(COUNT(C219:P219)=0,"",IFERROR(C219/I219,0))</f>
        <v/>
      </c>
      <c r="AA219" s="17">
        <f>IF(COUNT(C219:P219)=0,"",IFERROR(Y219/Q219,0))</f>
        <v/>
      </c>
      <c r="AB219" s="18">
        <f>IF(COUNT(C219:P219)=0,"",IFERROR(H219/D219*1000,0))</f>
        <v/>
      </c>
      <c r="AC219" s="17">
        <f>IF(COUNT(C219:P219)=0,"",IFERROR(J219/H219,0))</f>
        <v/>
      </c>
      <c r="AD219" s="14">
        <f>IF(COUNT(C219:P219)=0,"",IFERROR(C219/J219,0))</f>
        <v/>
      </c>
      <c r="AE219" s="17">
        <f>IF(COUNT(C219:P219)=0,"",IFERROR(K219/H219,0))</f>
        <v/>
      </c>
      <c r="AF219" s="17">
        <f>IF(COUNT(C219:P219)=0,"",IFERROR(L219/H219,0))</f>
        <v/>
      </c>
      <c r="AG219" s="14">
        <f>IF(COUNT(C219:P219)=0,"",IFERROR(C219/K219,0))</f>
        <v/>
      </c>
      <c r="AH219" s="17">
        <f>IF(COUNT(C219:P219)=0,"",IFERROR(M219/K219,0))</f>
        <v/>
      </c>
      <c r="AI219" s="14">
        <f>IF(COUNT(C219:P219)=0,"",IFERROR(C219/M219,0))</f>
        <v/>
      </c>
      <c r="AJ219" s="17">
        <f>IF(COUNT(C219:P219)=0,"",IFERROR(N219/M219,0))</f>
        <v/>
      </c>
      <c r="AK219" s="16">
        <f>IF(COUNT(C219:P219)=0,"",IFERROR(N219/H219,0))</f>
        <v/>
      </c>
      <c r="AL219" s="14">
        <f>IF(COUNT(C219:P219)=0,"",IFERROR(C219/N219,0))</f>
        <v/>
      </c>
      <c r="AM219" s="17">
        <f>IF(COUNT(C219:P219)=0,"",IFERROR(O219/N219,0))</f>
        <v/>
      </c>
      <c r="AN219" s="17">
        <f>IF(COUNT(C219:P219)=0,"",IFERROR(P219/N219,0))</f>
        <v/>
      </c>
      <c r="AO219" s="19">
        <f>IF(COUNT(C219:P219)=0,"",IFERROR(N219*Config!$C$7+O219*Config!$C$8+P219*Config!$C$9,0))</f>
        <v/>
      </c>
      <c r="AP219" s="14">
        <f>IF(COUNT(C219:P219)=0,"",IFERROR(AO219/N219,0))</f>
        <v/>
      </c>
      <c r="AQ219" s="19">
        <f>IF(COUNT(C219:P219)=0,"",IFERROR(AO219*(1-Config!$C$10-Config!$C$11-Config!$C$12),0))</f>
        <v/>
      </c>
      <c r="AR219" s="19">
        <f>IF(COUNT(C219:P219)=0,"",IFERROR(AQ219-C219-Config!$C$13,0))</f>
        <v/>
      </c>
      <c r="AS219" s="20">
        <f>IF(COUNT(C219:P219)=0,"",IFERROR(AQ219/C219,0))</f>
        <v/>
      </c>
      <c r="AT219" s="14">
        <f>IF(COUNT(C219:P219)=0,"",IFERROR(AR219/G219,0))</f>
        <v/>
      </c>
      <c r="AU219" s="20">
        <f>IF(COUNT(C219:P219)=0,"",IFERROR(AT219/V219,0))</f>
        <v/>
      </c>
      <c r="AV219" s="14">
        <f>IF(COUNT(C219:P219)=0,"",IFERROR(AR219/H219,0))</f>
        <v/>
      </c>
    </row>
    <row r="220">
      <c r="A220" s="11">
        <f>Config!$C$6+214</f>
        <v/>
      </c>
      <c r="B220" s="12">
        <f>INT((A220-Config!$C$6)/7)+1</f>
        <v/>
      </c>
      <c r="C220" s="9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4">
        <f>IF(COUNT(C220:P220)=0,"",IFERROR(C220/D220*1000,0))</f>
        <v/>
      </c>
      <c r="R220" s="15">
        <f>IF(COUNT(C220:P220)=0,"",IFERROR(D220/E220,0))</f>
        <v/>
      </c>
      <c r="S220" s="16">
        <f>IF(COUNT(C220:P220)=0,"",IFERROR(F220/D220,0))</f>
        <v/>
      </c>
      <c r="T220" s="14">
        <f>IF(COUNT(C220:P220)=0,"",IFERROR(C220/F220,0))</f>
        <v/>
      </c>
      <c r="U220" s="17">
        <f>IF(COUNT(C220:P220)=0,"",IFERROR(G220/F220,0))</f>
        <v/>
      </c>
      <c r="V220" s="14">
        <f>IF(COUNT(C220:P220)=0,"",IFERROR(C220/G220,0))</f>
        <v/>
      </c>
      <c r="W220" s="18">
        <f>IF(COUNT(C220:P220)=0,"",IFERROR(G220/D220*1000,0))</f>
        <v/>
      </c>
      <c r="X220" s="17">
        <f>IF(COUNT(C220:P220)=0,"",IFERROR(H220/G220,0))</f>
        <v/>
      </c>
      <c r="Y220" s="14">
        <f>IF(COUNT(C220:P220)=0,"",IFERROR(C220/H220,0))</f>
        <v/>
      </c>
      <c r="Z220" s="14">
        <f>IF(COUNT(C220:P220)=0,"",IFERROR(C220/I220,0))</f>
        <v/>
      </c>
      <c r="AA220" s="17">
        <f>IF(COUNT(C220:P220)=0,"",IFERROR(Y220/Q220,0))</f>
        <v/>
      </c>
      <c r="AB220" s="18">
        <f>IF(COUNT(C220:P220)=0,"",IFERROR(H220/D220*1000,0))</f>
        <v/>
      </c>
      <c r="AC220" s="17">
        <f>IF(COUNT(C220:P220)=0,"",IFERROR(J220/H220,0))</f>
        <v/>
      </c>
      <c r="AD220" s="14">
        <f>IF(COUNT(C220:P220)=0,"",IFERROR(C220/J220,0))</f>
        <v/>
      </c>
      <c r="AE220" s="17">
        <f>IF(COUNT(C220:P220)=0,"",IFERROR(K220/H220,0))</f>
        <v/>
      </c>
      <c r="AF220" s="17">
        <f>IF(COUNT(C220:P220)=0,"",IFERROR(L220/H220,0))</f>
        <v/>
      </c>
      <c r="AG220" s="14">
        <f>IF(COUNT(C220:P220)=0,"",IFERROR(C220/K220,0))</f>
        <v/>
      </c>
      <c r="AH220" s="17">
        <f>IF(COUNT(C220:P220)=0,"",IFERROR(M220/K220,0))</f>
        <v/>
      </c>
      <c r="AI220" s="14">
        <f>IF(COUNT(C220:P220)=0,"",IFERROR(C220/M220,0))</f>
        <v/>
      </c>
      <c r="AJ220" s="17">
        <f>IF(COUNT(C220:P220)=0,"",IFERROR(N220/M220,0))</f>
        <v/>
      </c>
      <c r="AK220" s="16">
        <f>IF(COUNT(C220:P220)=0,"",IFERROR(N220/H220,0))</f>
        <v/>
      </c>
      <c r="AL220" s="14">
        <f>IF(COUNT(C220:P220)=0,"",IFERROR(C220/N220,0))</f>
        <v/>
      </c>
      <c r="AM220" s="17">
        <f>IF(COUNT(C220:P220)=0,"",IFERROR(O220/N220,0))</f>
        <v/>
      </c>
      <c r="AN220" s="17">
        <f>IF(COUNT(C220:P220)=0,"",IFERROR(P220/N220,0))</f>
        <v/>
      </c>
      <c r="AO220" s="19">
        <f>IF(COUNT(C220:P220)=0,"",IFERROR(N220*Config!$C$7+O220*Config!$C$8+P220*Config!$C$9,0))</f>
        <v/>
      </c>
      <c r="AP220" s="14">
        <f>IF(COUNT(C220:P220)=0,"",IFERROR(AO220/N220,0))</f>
        <v/>
      </c>
      <c r="AQ220" s="19">
        <f>IF(COUNT(C220:P220)=0,"",IFERROR(AO220*(1-Config!$C$10-Config!$C$11-Config!$C$12),0))</f>
        <v/>
      </c>
      <c r="AR220" s="19">
        <f>IF(COUNT(C220:P220)=0,"",IFERROR(AQ220-C220-Config!$C$13,0))</f>
        <v/>
      </c>
      <c r="AS220" s="20">
        <f>IF(COUNT(C220:P220)=0,"",IFERROR(AQ220/C220,0))</f>
        <v/>
      </c>
      <c r="AT220" s="14">
        <f>IF(COUNT(C220:P220)=0,"",IFERROR(AR220/G220,0))</f>
        <v/>
      </c>
      <c r="AU220" s="20">
        <f>IF(COUNT(C220:P220)=0,"",IFERROR(AT220/V220,0))</f>
        <v/>
      </c>
      <c r="AV220" s="14">
        <f>IF(COUNT(C220:P220)=0,"",IFERROR(AR220/H220,0))</f>
        <v/>
      </c>
    </row>
    <row r="221">
      <c r="A221" s="11">
        <f>Config!$C$6+215</f>
        <v/>
      </c>
      <c r="B221" s="12">
        <f>INT((A221-Config!$C$6)/7)+1</f>
        <v/>
      </c>
      <c r="C221" s="9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4">
        <f>IF(COUNT(C221:P221)=0,"",IFERROR(C221/D221*1000,0))</f>
        <v/>
      </c>
      <c r="R221" s="15">
        <f>IF(COUNT(C221:P221)=0,"",IFERROR(D221/E221,0))</f>
        <v/>
      </c>
      <c r="S221" s="16">
        <f>IF(COUNT(C221:P221)=0,"",IFERROR(F221/D221,0))</f>
        <v/>
      </c>
      <c r="T221" s="14">
        <f>IF(COUNT(C221:P221)=0,"",IFERROR(C221/F221,0))</f>
        <v/>
      </c>
      <c r="U221" s="17">
        <f>IF(COUNT(C221:P221)=0,"",IFERROR(G221/F221,0))</f>
        <v/>
      </c>
      <c r="V221" s="14">
        <f>IF(COUNT(C221:P221)=0,"",IFERROR(C221/G221,0))</f>
        <v/>
      </c>
      <c r="W221" s="18">
        <f>IF(COUNT(C221:P221)=0,"",IFERROR(G221/D221*1000,0))</f>
        <v/>
      </c>
      <c r="X221" s="17">
        <f>IF(COUNT(C221:P221)=0,"",IFERROR(H221/G221,0))</f>
        <v/>
      </c>
      <c r="Y221" s="14">
        <f>IF(COUNT(C221:P221)=0,"",IFERROR(C221/H221,0))</f>
        <v/>
      </c>
      <c r="Z221" s="14">
        <f>IF(COUNT(C221:P221)=0,"",IFERROR(C221/I221,0))</f>
        <v/>
      </c>
      <c r="AA221" s="17">
        <f>IF(COUNT(C221:P221)=0,"",IFERROR(Y221/Q221,0))</f>
        <v/>
      </c>
      <c r="AB221" s="18">
        <f>IF(COUNT(C221:P221)=0,"",IFERROR(H221/D221*1000,0))</f>
        <v/>
      </c>
      <c r="AC221" s="17">
        <f>IF(COUNT(C221:P221)=0,"",IFERROR(J221/H221,0))</f>
        <v/>
      </c>
      <c r="AD221" s="14">
        <f>IF(COUNT(C221:P221)=0,"",IFERROR(C221/J221,0))</f>
        <v/>
      </c>
      <c r="AE221" s="17">
        <f>IF(COUNT(C221:P221)=0,"",IFERROR(K221/H221,0))</f>
        <v/>
      </c>
      <c r="AF221" s="17">
        <f>IF(COUNT(C221:P221)=0,"",IFERROR(L221/H221,0))</f>
        <v/>
      </c>
      <c r="AG221" s="14">
        <f>IF(COUNT(C221:P221)=0,"",IFERROR(C221/K221,0))</f>
        <v/>
      </c>
      <c r="AH221" s="17">
        <f>IF(COUNT(C221:P221)=0,"",IFERROR(M221/K221,0))</f>
        <v/>
      </c>
      <c r="AI221" s="14">
        <f>IF(COUNT(C221:P221)=0,"",IFERROR(C221/M221,0))</f>
        <v/>
      </c>
      <c r="AJ221" s="17">
        <f>IF(COUNT(C221:P221)=0,"",IFERROR(N221/M221,0))</f>
        <v/>
      </c>
      <c r="AK221" s="16">
        <f>IF(COUNT(C221:P221)=0,"",IFERROR(N221/H221,0))</f>
        <v/>
      </c>
      <c r="AL221" s="14">
        <f>IF(COUNT(C221:P221)=0,"",IFERROR(C221/N221,0))</f>
        <v/>
      </c>
      <c r="AM221" s="17">
        <f>IF(COUNT(C221:P221)=0,"",IFERROR(O221/N221,0))</f>
        <v/>
      </c>
      <c r="AN221" s="17">
        <f>IF(COUNT(C221:P221)=0,"",IFERROR(P221/N221,0))</f>
        <v/>
      </c>
      <c r="AO221" s="19">
        <f>IF(COUNT(C221:P221)=0,"",IFERROR(N221*Config!$C$7+O221*Config!$C$8+P221*Config!$C$9,0))</f>
        <v/>
      </c>
      <c r="AP221" s="14">
        <f>IF(COUNT(C221:P221)=0,"",IFERROR(AO221/N221,0))</f>
        <v/>
      </c>
      <c r="AQ221" s="19">
        <f>IF(COUNT(C221:P221)=0,"",IFERROR(AO221*(1-Config!$C$10-Config!$C$11-Config!$C$12),0))</f>
        <v/>
      </c>
      <c r="AR221" s="19">
        <f>IF(COUNT(C221:P221)=0,"",IFERROR(AQ221-C221-Config!$C$13,0))</f>
        <v/>
      </c>
      <c r="AS221" s="20">
        <f>IF(COUNT(C221:P221)=0,"",IFERROR(AQ221/C221,0))</f>
        <v/>
      </c>
      <c r="AT221" s="14">
        <f>IF(COUNT(C221:P221)=0,"",IFERROR(AR221/G221,0))</f>
        <v/>
      </c>
      <c r="AU221" s="20">
        <f>IF(COUNT(C221:P221)=0,"",IFERROR(AT221/V221,0))</f>
        <v/>
      </c>
      <c r="AV221" s="14">
        <f>IF(COUNT(C221:P221)=0,"",IFERROR(AR221/H221,0))</f>
        <v/>
      </c>
    </row>
    <row r="222">
      <c r="A222" s="11">
        <f>Config!$C$6+216</f>
        <v/>
      </c>
      <c r="B222" s="12">
        <f>INT((A222-Config!$C$6)/7)+1</f>
        <v/>
      </c>
      <c r="C222" s="9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4">
        <f>IF(COUNT(C222:P222)=0,"",IFERROR(C222/D222*1000,0))</f>
        <v/>
      </c>
      <c r="R222" s="15">
        <f>IF(COUNT(C222:P222)=0,"",IFERROR(D222/E222,0))</f>
        <v/>
      </c>
      <c r="S222" s="16">
        <f>IF(COUNT(C222:P222)=0,"",IFERROR(F222/D222,0))</f>
        <v/>
      </c>
      <c r="T222" s="14">
        <f>IF(COUNT(C222:P222)=0,"",IFERROR(C222/F222,0))</f>
        <v/>
      </c>
      <c r="U222" s="17">
        <f>IF(COUNT(C222:P222)=0,"",IFERROR(G222/F222,0))</f>
        <v/>
      </c>
      <c r="V222" s="14">
        <f>IF(COUNT(C222:P222)=0,"",IFERROR(C222/G222,0))</f>
        <v/>
      </c>
      <c r="W222" s="18">
        <f>IF(COUNT(C222:P222)=0,"",IFERROR(G222/D222*1000,0))</f>
        <v/>
      </c>
      <c r="X222" s="17">
        <f>IF(COUNT(C222:P222)=0,"",IFERROR(H222/G222,0))</f>
        <v/>
      </c>
      <c r="Y222" s="14">
        <f>IF(COUNT(C222:P222)=0,"",IFERROR(C222/H222,0))</f>
        <v/>
      </c>
      <c r="Z222" s="14">
        <f>IF(COUNT(C222:P222)=0,"",IFERROR(C222/I222,0))</f>
        <v/>
      </c>
      <c r="AA222" s="17">
        <f>IF(COUNT(C222:P222)=0,"",IFERROR(Y222/Q222,0))</f>
        <v/>
      </c>
      <c r="AB222" s="18">
        <f>IF(COUNT(C222:P222)=0,"",IFERROR(H222/D222*1000,0))</f>
        <v/>
      </c>
      <c r="AC222" s="17">
        <f>IF(COUNT(C222:P222)=0,"",IFERROR(J222/H222,0))</f>
        <v/>
      </c>
      <c r="AD222" s="14">
        <f>IF(COUNT(C222:P222)=0,"",IFERROR(C222/J222,0))</f>
        <v/>
      </c>
      <c r="AE222" s="17">
        <f>IF(COUNT(C222:P222)=0,"",IFERROR(K222/H222,0))</f>
        <v/>
      </c>
      <c r="AF222" s="17">
        <f>IF(COUNT(C222:P222)=0,"",IFERROR(L222/H222,0))</f>
        <v/>
      </c>
      <c r="AG222" s="14">
        <f>IF(COUNT(C222:P222)=0,"",IFERROR(C222/K222,0))</f>
        <v/>
      </c>
      <c r="AH222" s="17">
        <f>IF(COUNT(C222:P222)=0,"",IFERROR(M222/K222,0))</f>
        <v/>
      </c>
      <c r="AI222" s="14">
        <f>IF(COUNT(C222:P222)=0,"",IFERROR(C222/M222,0))</f>
        <v/>
      </c>
      <c r="AJ222" s="17">
        <f>IF(COUNT(C222:P222)=0,"",IFERROR(N222/M222,0))</f>
        <v/>
      </c>
      <c r="AK222" s="16">
        <f>IF(COUNT(C222:P222)=0,"",IFERROR(N222/H222,0))</f>
        <v/>
      </c>
      <c r="AL222" s="14">
        <f>IF(COUNT(C222:P222)=0,"",IFERROR(C222/N222,0))</f>
        <v/>
      </c>
      <c r="AM222" s="17">
        <f>IF(COUNT(C222:P222)=0,"",IFERROR(O222/N222,0))</f>
        <v/>
      </c>
      <c r="AN222" s="17">
        <f>IF(COUNT(C222:P222)=0,"",IFERROR(P222/N222,0))</f>
        <v/>
      </c>
      <c r="AO222" s="19">
        <f>IF(COUNT(C222:P222)=0,"",IFERROR(N222*Config!$C$7+O222*Config!$C$8+P222*Config!$C$9,0))</f>
        <v/>
      </c>
      <c r="AP222" s="14">
        <f>IF(COUNT(C222:P222)=0,"",IFERROR(AO222/N222,0))</f>
        <v/>
      </c>
      <c r="AQ222" s="19">
        <f>IF(COUNT(C222:P222)=0,"",IFERROR(AO222*(1-Config!$C$10-Config!$C$11-Config!$C$12),0))</f>
        <v/>
      </c>
      <c r="AR222" s="19">
        <f>IF(COUNT(C222:P222)=0,"",IFERROR(AQ222-C222-Config!$C$13,0))</f>
        <v/>
      </c>
      <c r="AS222" s="20">
        <f>IF(COUNT(C222:P222)=0,"",IFERROR(AQ222/C222,0))</f>
        <v/>
      </c>
      <c r="AT222" s="14">
        <f>IF(COUNT(C222:P222)=0,"",IFERROR(AR222/G222,0))</f>
        <v/>
      </c>
      <c r="AU222" s="20">
        <f>IF(COUNT(C222:P222)=0,"",IFERROR(AT222/V222,0))</f>
        <v/>
      </c>
      <c r="AV222" s="14">
        <f>IF(COUNT(C222:P222)=0,"",IFERROR(AR222/H222,0))</f>
        <v/>
      </c>
    </row>
    <row r="223">
      <c r="A223" s="11">
        <f>Config!$C$6+217</f>
        <v/>
      </c>
      <c r="B223" s="12">
        <f>INT((A223-Config!$C$6)/7)+1</f>
        <v/>
      </c>
      <c r="C223" s="9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4">
        <f>IF(COUNT(C223:P223)=0,"",IFERROR(C223/D223*1000,0))</f>
        <v/>
      </c>
      <c r="R223" s="15">
        <f>IF(COUNT(C223:P223)=0,"",IFERROR(D223/E223,0))</f>
        <v/>
      </c>
      <c r="S223" s="16">
        <f>IF(COUNT(C223:P223)=0,"",IFERROR(F223/D223,0))</f>
        <v/>
      </c>
      <c r="T223" s="14">
        <f>IF(COUNT(C223:P223)=0,"",IFERROR(C223/F223,0))</f>
        <v/>
      </c>
      <c r="U223" s="17">
        <f>IF(COUNT(C223:P223)=0,"",IFERROR(G223/F223,0))</f>
        <v/>
      </c>
      <c r="V223" s="14">
        <f>IF(COUNT(C223:P223)=0,"",IFERROR(C223/G223,0))</f>
        <v/>
      </c>
      <c r="W223" s="18">
        <f>IF(COUNT(C223:P223)=0,"",IFERROR(G223/D223*1000,0))</f>
        <v/>
      </c>
      <c r="X223" s="17">
        <f>IF(COUNT(C223:P223)=0,"",IFERROR(H223/G223,0))</f>
        <v/>
      </c>
      <c r="Y223" s="14">
        <f>IF(COUNT(C223:P223)=0,"",IFERROR(C223/H223,0))</f>
        <v/>
      </c>
      <c r="Z223" s="14">
        <f>IF(COUNT(C223:P223)=0,"",IFERROR(C223/I223,0))</f>
        <v/>
      </c>
      <c r="AA223" s="17">
        <f>IF(COUNT(C223:P223)=0,"",IFERROR(Y223/Q223,0))</f>
        <v/>
      </c>
      <c r="AB223" s="18">
        <f>IF(COUNT(C223:P223)=0,"",IFERROR(H223/D223*1000,0))</f>
        <v/>
      </c>
      <c r="AC223" s="17">
        <f>IF(COUNT(C223:P223)=0,"",IFERROR(J223/H223,0))</f>
        <v/>
      </c>
      <c r="AD223" s="14">
        <f>IF(COUNT(C223:P223)=0,"",IFERROR(C223/J223,0))</f>
        <v/>
      </c>
      <c r="AE223" s="17">
        <f>IF(COUNT(C223:P223)=0,"",IFERROR(K223/H223,0))</f>
        <v/>
      </c>
      <c r="AF223" s="17">
        <f>IF(COUNT(C223:P223)=0,"",IFERROR(L223/H223,0))</f>
        <v/>
      </c>
      <c r="AG223" s="14">
        <f>IF(COUNT(C223:P223)=0,"",IFERROR(C223/K223,0))</f>
        <v/>
      </c>
      <c r="AH223" s="17">
        <f>IF(COUNT(C223:P223)=0,"",IFERROR(M223/K223,0))</f>
        <v/>
      </c>
      <c r="AI223" s="14">
        <f>IF(COUNT(C223:P223)=0,"",IFERROR(C223/M223,0))</f>
        <v/>
      </c>
      <c r="AJ223" s="17">
        <f>IF(COUNT(C223:P223)=0,"",IFERROR(N223/M223,0))</f>
        <v/>
      </c>
      <c r="AK223" s="16">
        <f>IF(COUNT(C223:P223)=0,"",IFERROR(N223/H223,0))</f>
        <v/>
      </c>
      <c r="AL223" s="14">
        <f>IF(COUNT(C223:P223)=0,"",IFERROR(C223/N223,0))</f>
        <v/>
      </c>
      <c r="AM223" s="17">
        <f>IF(COUNT(C223:P223)=0,"",IFERROR(O223/N223,0))</f>
        <v/>
      </c>
      <c r="AN223" s="17">
        <f>IF(COUNT(C223:P223)=0,"",IFERROR(P223/N223,0))</f>
        <v/>
      </c>
      <c r="AO223" s="19">
        <f>IF(COUNT(C223:P223)=0,"",IFERROR(N223*Config!$C$7+O223*Config!$C$8+P223*Config!$C$9,0))</f>
        <v/>
      </c>
      <c r="AP223" s="14">
        <f>IF(COUNT(C223:P223)=0,"",IFERROR(AO223/N223,0))</f>
        <v/>
      </c>
      <c r="AQ223" s="19">
        <f>IF(COUNT(C223:P223)=0,"",IFERROR(AO223*(1-Config!$C$10-Config!$C$11-Config!$C$12),0))</f>
        <v/>
      </c>
      <c r="AR223" s="19">
        <f>IF(COUNT(C223:P223)=0,"",IFERROR(AQ223-C223-Config!$C$13,0))</f>
        <v/>
      </c>
      <c r="AS223" s="20">
        <f>IF(COUNT(C223:P223)=0,"",IFERROR(AQ223/C223,0))</f>
        <v/>
      </c>
      <c r="AT223" s="14">
        <f>IF(COUNT(C223:P223)=0,"",IFERROR(AR223/G223,0))</f>
        <v/>
      </c>
      <c r="AU223" s="20">
        <f>IF(COUNT(C223:P223)=0,"",IFERROR(AT223/V223,0))</f>
        <v/>
      </c>
      <c r="AV223" s="14">
        <f>IF(COUNT(C223:P223)=0,"",IFERROR(AR223/H223,0))</f>
        <v/>
      </c>
    </row>
    <row r="224">
      <c r="A224" s="11">
        <f>Config!$C$6+218</f>
        <v/>
      </c>
      <c r="B224" s="12">
        <f>INT((A224-Config!$C$6)/7)+1</f>
        <v/>
      </c>
      <c r="C224" s="9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4">
        <f>IF(COUNT(C224:P224)=0,"",IFERROR(C224/D224*1000,0))</f>
        <v/>
      </c>
      <c r="R224" s="15">
        <f>IF(COUNT(C224:P224)=0,"",IFERROR(D224/E224,0))</f>
        <v/>
      </c>
      <c r="S224" s="16">
        <f>IF(COUNT(C224:P224)=0,"",IFERROR(F224/D224,0))</f>
        <v/>
      </c>
      <c r="T224" s="14">
        <f>IF(COUNT(C224:P224)=0,"",IFERROR(C224/F224,0))</f>
        <v/>
      </c>
      <c r="U224" s="17">
        <f>IF(COUNT(C224:P224)=0,"",IFERROR(G224/F224,0))</f>
        <v/>
      </c>
      <c r="V224" s="14">
        <f>IF(COUNT(C224:P224)=0,"",IFERROR(C224/G224,0))</f>
        <v/>
      </c>
      <c r="W224" s="18">
        <f>IF(COUNT(C224:P224)=0,"",IFERROR(G224/D224*1000,0))</f>
        <v/>
      </c>
      <c r="X224" s="17">
        <f>IF(COUNT(C224:P224)=0,"",IFERROR(H224/G224,0))</f>
        <v/>
      </c>
      <c r="Y224" s="14">
        <f>IF(COUNT(C224:P224)=0,"",IFERROR(C224/H224,0))</f>
        <v/>
      </c>
      <c r="Z224" s="14">
        <f>IF(COUNT(C224:P224)=0,"",IFERROR(C224/I224,0))</f>
        <v/>
      </c>
      <c r="AA224" s="17">
        <f>IF(COUNT(C224:P224)=0,"",IFERROR(Y224/Q224,0))</f>
        <v/>
      </c>
      <c r="AB224" s="18">
        <f>IF(COUNT(C224:P224)=0,"",IFERROR(H224/D224*1000,0))</f>
        <v/>
      </c>
      <c r="AC224" s="17">
        <f>IF(COUNT(C224:P224)=0,"",IFERROR(J224/H224,0))</f>
        <v/>
      </c>
      <c r="AD224" s="14">
        <f>IF(COUNT(C224:P224)=0,"",IFERROR(C224/J224,0))</f>
        <v/>
      </c>
      <c r="AE224" s="17">
        <f>IF(COUNT(C224:P224)=0,"",IFERROR(K224/H224,0))</f>
        <v/>
      </c>
      <c r="AF224" s="17">
        <f>IF(COUNT(C224:P224)=0,"",IFERROR(L224/H224,0))</f>
        <v/>
      </c>
      <c r="AG224" s="14">
        <f>IF(COUNT(C224:P224)=0,"",IFERROR(C224/K224,0))</f>
        <v/>
      </c>
      <c r="AH224" s="17">
        <f>IF(COUNT(C224:P224)=0,"",IFERROR(M224/K224,0))</f>
        <v/>
      </c>
      <c r="AI224" s="14">
        <f>IF(COUNT(C224:P224)=0,"",IFERROR(C224/M224,0))</f>
        <v/>
      </c>
      <c r="AJ224" s="17">
        <f>IF(COUNT(C224:P224)=0,"",IFERROR(N224/M224,0))</f>
        <v/>
      </c>
      <c r="AK224" s="16">
        <f>IF(COUNT(C224:P224)=0,"",IFERROR(N224/H224,0))</f>
        <v/>
      </c>
      <c r="AL224" s="14">
        <f>IF(COUNT(C224:P224)=0,"",IFERROR(C224/N224,0))</f>
        <v/>
      </c>
      <c r="AM224" s="17">
        <f>IF(COUNT(C224:P224)=0,"",IFERROR(O224/N224,0))</f>
        <v/>
      </c>
      <c r="AN224" s="17">
        <f>IF(COUNT(C224:P224)=0,"",IFERROR(P224/N224,0))</f>
        <v/>
      </c>
      <c r="AO224" s="19">
        <f>IF(COUNT(C224:P224)=0,"",IFERROR(N224*Config!$C$7+O224*Config!$C$8+P224*Config!$C$9,0))</f>
        <v/>
      </c>
      <c r="AP224" s="14">
        <f>IF(COUNT(C224:P224)=0,"",IFERROR(AO224/N224,0))</f>
        <v/>
      </c>
      <c r="AQ224" s="19">
        <f>IF(COUNT(C224:P224)=0,"",IFERROR(AO224*(1-Config!$C$10-Config!$C$11-Config!$C$12),0))</f>
        <v/>
      </c>
      <c r="AR224" s="19">
        <f>IF(COUNT(C224:P224)=0,"",IFERROR(AQ224-C224-Config!$C$13,0))</f>
        <v/>
      </c>
      <c r="AS224" s="20">
        <f>IF(COUNT(C224:P224)=0,"",IFERROR(AQ224/C224,0))</f>
        <v/>
      </c>
      <c r="AT224" s="14">
        <f>IF(COUNT(C224:P224)=0,"",IFERROR(AR224/G224,0))</f>
        <v/>
      </c>
      <c r="AU224" s="20">
        <f>IF(COUNT(C224:P224)=0,"",IFERROR(AT224/V224,0))</f>
        <v/>
      </c>
      <c r="AV224" s="14">
        <f>IF(COUNT(C224:P224)=0,"",IFERROR(AR224/H224,0))</f>
        <v/>
      </c>
    </row>
    <row r="225">
      <c r="A225" s="11">
        <f>Config!$C$6+219</f>
        <v/>
      </c>
      <c r="B225" s="12">
        <f>INT((A225-Config!$C$6)/7)+1</f>
        <v/>
      </c>
      <c r="C225" s="9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4">
        <f>IF(COUNT(C225:P225)=0,"",IFERROR(C225/D225*1000,0))</f>
        <v/>
      </c>
      <c r="R225" s="15">
        <f>IF(COUNT(C225:P225)=0,"",IFERROR(D225/E225,0))</f>
        <v/>
      </c>
      <c r="S225" s="16">
        <f>IF(COUNT(C225:P225)=0,"",IFERROR(F225/D225,0))</f>
        <v/>
      </c>
      <c r="T225" s="14">
        <f>IF(COUNT(C225:P225)=0,"",IFERROR(C225/F225,0))</f>
        <v/>
      </c>
      <c r="U225" s="17">
        <f>IF(COUNT(C225:P225)=0,"",IFERROR(G225/F225,0))</f>
        <v/>
      </c>
      <c r="V225" s="14">
        <f>IF(COUNT(C225:P225)=0,"",IFERROR(C225/G225,0))</f>
        <v/>
      </c>
      <c r="W225" s="18">
        <f>IF(COUNT(C225:P225)=0,"",IFERROR(G225/D225*1000,0))</f>
        <v/>
      </c>
      <c r="X225" s="17">
        <f>IF(COUNT(C225:P225)=0,"",IFERROR(H225/G225,0))</f>
        <v/>
      </c>
      <c r="Y225" s="14">
        <f>IF(COUNT(C225:P225)=0,"",IFERROR(C225/H225,0))</f>
        <v/>
      </c>
      <c r="Z225" s="14">
        <f>IF(COUNT(C225:P225)=0,"",IFERROR(C225/I225,0))</f>
        <v/>
      </c>
      <c r="AA225" s="17">
        <f>IF(COUNT(C225:P225)=0,"",IFERROR(Y225/Q225,0))</f>
        <v/>
      </c>
      <c r="AB225" s="18">
        <f>IF(COUNT(C225:P225)=0,"",IFERROR(H225/D225*1000,0))</f>
        <v/>
      </c>
      <c r="AC225" s="17">
        <f>IF(COUNT(C225:P225)=0,"",IFERROR(J225/H225,0))</f>
        <v/>
      </c>
      <c r="AD225" s="14">
        <f>IF(COUNT(C225:P225)=0,"",IFERROR(C225/J225,0))</f>
        <v/>
      </c>
      <c r="AE225" s="17">
        <f>IF(COUNT(C225:P225)=0,"",IFERROR(K225/H225,0))</f>
        <v/>
      </c>
      <c r="AF225" s="17">
        <f>IF(COUNT(C225:P225)=0,"",IFERROR(L225/H225,0))</f>
        <v/>
      </c>
      <c r="AG225" s="14">
        <f>IF(COUNT(C225:P225)=0,"",IFERROR(C225/K225,0))</f>
        <v/>
      </c>
      <c r="AH225" s="17">
        <f>IF(COUNT(C225:P225)=0,"",IFERROR(M225/K225,0))</f>
        <v/>
      </c>
      <c r="AI225" s="14">
        <f>IF(COUNT(C225:P225)=0,"",IFERROR(C225/M225,0))</f>
        <v/>
      </c>
      <c r="AJ225" s="17">
        <f>IF(COUNT(C225:P225)=0,"",IFERROR(N225/M225,0))</f>
        <v/>
      </c>
      <c r="AK225" s="16">
        <f>IF(COUNT(C225:P225)=0,"",IFERROR(N225/H225,0))</f>
        <v/>
      </c>
      <c r="AL225" s="14">
        <f>IF(COUNT(C225:P225)=0,"",IFERROR(C225/N225,0))</f>
        <v/>
      </c>
      <c r="AM225" s="17">
        <f>IF(COUNT(C225:P225)=0,"",IFERROR(O225/N225,0))</f>
        <v/>
      </c>
      <c r="AN225" s="17">
        <f>IF(COUNT(C225:P225)=0,"",IFERROR(P225/N225,0))</f>
        <v/>
      </c>
      <c r="AO225" s="19">
        <f>IF(COUNT(C225:P225)=0,"",IFERROR(N225*Config!$C$7+O225*Config!$C$8+P225*Config!$C$9,0))</f>
        <v/>
      </c>
      <c r="AP225" s="14">
        <f>IF(COUNT(C225:P225)=0,"",IFERROR(AO225/N225,0))</f>
        <v/>
      </c>
      <c r="AQ225" s="19">
        <f>IF(COUNT(C225:P225)=0,"",IFERROR(AO225*(1-Config!$C$10-Config!$C$11-Config!$C$12),0))</f>
        <v/>
      </c>
      <c r="AR225" s="19">
        <f>IF(COUNT(C225:P225)=0,"",IFERROR(AQ225-C225-Config!$C$13,0))</f>
        <v/>
      </c>
      <c r="AS225" s="20">
        <f>IF(COUNT(C225:P225)=0,"",IFERROR(AQ225/C225,0))</f>
        <v/>
      </c>
      <c r="AT225" s="14">
        <f>IF(COUNT(C225:P225)=0,"",IFERROR(AR225/G225,0))</f>
        <v/>
      </c>
      <c r="AU225" s="20">
        <f>IF(COUNT(C225:P225)=0,"",IFERROR(AT225/V225,0))</f>
        <v/>
      </c>
      <c r="AV225" s="14">
        <f>IF(COUNT(C225:P225)=0,"",IFERROR(AR225/H225,0))</f>
        <v/>
      </c>
    </row>
    <row r="226">
      <c r="A226" s="11">
        <f>Config!$C$6+220</f>
        <v/>
      </c>
      <c r="B226" s="12">
        <f>INT((A226-Config!$C$6)/7)+1</f>
        <v/>
      </c>
      <c r="C226" s="9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4">
        <f>IF(COUNT(C226:P226)=0,"",IFERROR(C226/D226*1000,0))</f>
        <v/>
      </c>
      <c r="R226" s="15">
        <f>IF(COUNT(C226:P226)=0,"",IFERROR(D226/E226,0))</f>
        <v/>
      </c>
      <c r="S226" s="16">
        <f>IF(COUNT(C226:P226)=0,"",IFERROR(F226/D226,0))</f>
        <v/>
      </c>
      <c r="T226" s="14">
        <f>IF(COUNT(C226:P226)=0,"",IFERROR(C226/F226,0))</f>
        <v/>
      </c>
      <c r="U226" s="17">
        <f>IF(COUNT(C226:P226)=0,"",IFERROR(G226/F226,0))</f>
        <v/>
      </c>
      <c r="V226" s="14">
        <f>IF(COUNT(C226:P226)=0,"",IFERROR(C226/G226,0))</f>
        <v/>
      </c>
      <c r="W226" s="18">
        <f>IF(COUNT(C226:P226)=0,"",IFERROR(G226/D226*1000,0))</f>
        <v/>
      </c>
      <c r="X226" s="17">
        <f>IF(COUNT(C226:P226)=0,"",IFERROR(H226/G226,0))</f>
        <v/>
      </c>
      <c r="Y226" s="14">
        <f>IF(COUNT(C226:P226)=0,"",IFERROR(C226/H226,0))</f>
        <v/>
      </c>
      <c r="Z226" s="14">
        <f>IF(COUNT(C226:P226)=0,"",IFERROR(C226/I226,0))</f>
        <v/>
      </c>
      <c r="AA226" s="17">
        <f>IF(COUNT(C226:P226)=0,"",IFERROR(Y226/Q226,0))</f>
        <v/>
      </c>
      <c r="AB226" s="18">
        <f>IF(COUNT(C226:P226)=0,"",IFERROR(H226/D226*1000,0))</f>
        <v/>
      </c>
      <c r="AC226" s="17">
        <f>IF(COUNT(C226:P226)=0,"",IFERROR(J226/H226,0))</f>
        <v/>
      </c>
      <c r="AD226" s="14">
        <f>IF(COUNT(C226:P226)=0,"",IFERROR(C226/J226,0))</f>
        <v/>
      </c>
      <c r="AE226" s="17">
        <f>IF(COUNT(C226:P226)=0,"",IFERROR(K226/H226,0))</f>
        <v/>
      </c>
      <c r="AF226" s="17">
        <f>IF(COUNT(C226:P226)=0,"",IFERROR(L226/H226,0))</f>
        <v/>
      </c>
      <c r="AG226" s="14">
        <f>IF(COUNT(C226:P226)=0,"",IFERROR(C226/K226,0))</f>
        <v/>
      </c>
      <c r="AH226" s="17">
        <f>IF(COUNT(C226:P226)=0,"",IFERROR(M226/K226,0))</f>
        <v/>
      </c>
      <c r="AI226" s="14">
        <f>IF(COUNT(C226:P226)=0,"",IFERROR(C226/M226,0))</f>
        <v/>
      </c>
      <c r="AJ226" s="17">
        <f>IF(COUNT(C226:P226)=0,"",IFERROR(N226/M226,0))</f>
        <v/>
      </c>
      <c r="AK226" s="16">
        <f>IF(COUNT(C226:P226)=0,"",IFERROR(N226/H226,0))</f>
        <v/>
      </c>
      <c r="AL226" s="14">
        <f>IF(COUNT(C226:P226)=0,"",IFERROR(C226/N226,0))</f>
        <v/>
      </c>
      <c r="AM226" s="17">
        <f>IF(COUNT(C226:P226)=0,"",IFERROR(O226/N226,0))</f>
        <v/>
      </c>
      <c r="AN226" s="17">
        <f>IF(COUNT(C226:P226)=0,"",IFERROR(P226/N226,0))</f>
        <v/>
      </c>
      <c r="AO226" s="19">
        <f>IF(COUNT(C226:P226)=0,"",IFERROR(N226*Config!$C$7+O226*Config!$C$8+P226*Config!$C$9,0))</f>
        <v/>
      </c>
      <c r="AP226" s="14">
        <f>IF(COUNT(C226:P226)=0,"",IFERROR(AO226/N226,0))</f>
        <v/>
      </c>
      <c r="AQ226" s="19">
        <f>IF(COUNT(C226:P226)=0,"",IFERROR(AO226*(1-Config!$C$10-Config!$C$11-Config!$C$12),0))</f>
        <v/>
      </c>
      <c r="AR226" s="19">
        <f>IF(COUNT(C226:P226)=0,"",IFERROR(AQ226-C226-Config!$C$13,0))</f>
        <v/>
      </c>
      <c r="AS226" s="20">
        <f>IF(COUNT(C226:P226)=0,"",IFERROR(AQ226/C226,0))</f>
        <v/>
      </c>
      <c r="AT226" s="14">
        <f>IF(COUNT(C226:P226)=0,"",IFERROR(AR226/G226,0))</f>
        <v/>
      </c>
      <c r="AU226" s="20">
        <f>IF(COUNT(C226:P226)=0,"",IFERROR(AT226/V226,0))</f>
        <v/>
      </c>
      <c r="AV226" s="14">
        <f>IF(COUNT(C226:P226)=0,"",IFERROR(AR226/H226,0))</f>
        <v/>
      </c>
    </row>
    <row r="227">
      <c r="A227" s="11">
        <f>Config!$C$6+221</f>
        <v/>
      </c>
      <c r="B227" s="12">
        <f>INT((A227-Config!$C$6)/7)+1</f>
        <v/>
      </c>
      <c r="C227" s="9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4">
        <f>IF(COUNT(C227:P227)=0,"",IFERROR(C227/D227*1000,0))</f>
        <v/>
      </c>
      <c r="R227" s="15">
        <f>IF(COUNT(C227:P227)=0,"",IFERROR(D227/E227,0))</f>
        <v/>
      </c>
      <c r="S227" s="16">
        <f>IF(COUNT(C227:P227)=0,"",IFERROR(F227/D227,0))</f>
        <v/>
      </c>
      <c r="T227" s="14">
        <f>IF(COUNT(C227:P227)=0,"",IFERROR(C227/F227,0))</f>
        <v/>
      </c>
      <c r="U227" s="17">
        <f>IF(COUNT(C227:P227)=0,"",IFERROR(G227/F227,0))</f>
        <v/>
      </c>
      <c r="V227" s="14">
        <f>IF(COUNT(C227:P227)=0,"",IFERROR(C227/G227,0))</f>
        <v/>
      </c>
      <c r="W227" s="18">
        <f>IF(COUNT(C227:P227)=0,"",IFERROR(G227/D227*1000,0))</f>
        <v/>
      </c>
      <c r="X227" s="17">
        <f>IF(COUNT(C227:P227)=0,"",IFERROR(H227/G227,0))</f>
        <v/>
      </c>
      <c r="Y227" s="14">
        <f>IF(COUNT(C227:P227)=0,"",IFERROR(C227/H227,0))</f>
        <v/>
      </c>
      <c r="Z227" s="14">
        <f>IF(COUNT(C227:P227)=0,"",IFERROR(C227/I227,0))</f>
        <v/>
      </c>
      <c r="AA227" s="17">
        <f>IF(COUNT(C227:P227)=0,"",IFERROR(Y227/Q227,0))</f>
        <v/>
      </c>
      <c r="AB227" s="18">
        <f>IF(COUNT(C227:P227)=0,"",IFERROR(H227/D227*1000,0))</f>
        <v/>
      </c>
      <c r="AC227" s="17">
        <f>IF(COUNT(C227:P227)=0,"",IFERROR(J227/H227,0))</f>
        <v/>
      </c>
      <c r="AD227" s="14">
        <f>IF(COUNT(C227:P227)=0,"",IFERROR(C227/J227,0))</f>
        <v/>
      </c>
      <c r="AE227" s="17">
        <f>IF(COUNT(C227:P227)=0,"",IFERROR(K227/H227,0))</f>
        <v/>
      </c>
      <c r="AF227" s="17">
        <f>IF(COUNT(C227:P227)=0,"",IFERROR(L227/H227,0))</f>
        <v/>
      </c>
      <c r="AG227" s="14">
        <f>IF(COUNT(C227:P227)=0,"",IFERROR(C227/K227,0))</f>
        <v/>
      </c>
      <c r="AH227" s="17">
        <f>IF(COUNT(C227:P227)=0,"",IFERROR(M227/K227,0))</f>
        <v/>
      </c>
      <c r="AI227" s="14">
        <f>IF(COUNT(C227:P227)=0,"",IFERROR(C227/M227,0))</f>
        <v/>
      </c>
      <c r="AJ227" s="17">
        <f>IF(COUNT(C227:P227)=0,"",IFERROR(N227/M227,0))</f>
        <v/>
      </c>
      <c r="AK227" s="16">
        <f>IF(COUNT(C227:P227)=0,"",IFERROR(N227/H227,0))</f>
        <v/>
      </c>
      <c r="AL227" s="14">
        <f>IF(COUNT(C227:P227)=0,"",IFERROR(C227/N227,0))</f>
        <v/>
      </c>
      <c r="AM227" s="17">
        <f>IF(COUNT(C227:P227)=0,"",IFERROR(O227/N227,0))</f>
        <v/>
      </c>
      <c r="AN227" s="17">
        <f>IF(COUNT(C227:P227)=0,"",IFERROR(P227/N227,0))</f>
        <v/>
      </c>
      <c r="AO227" s="19">
        <f>IF(COUNT(C227:P227)=0,"",IFERROR(N227*Config!$C$7+O227*Config!$C$8+P227*Config!$C$9,0))</f>
        <v/>
      </c>
      <c r="AP227" s="14">
        <f>IF(COUNT(C227:P227)=0,"",IFERROR(AO227/N227,0))</f>
        <v/>
      </c>
      <c r="AQ227" s="19">
        <f>IF(COUNT(C227:P227)=0,"",IFERROR(AO227*(1-Config!$C$10-Config!$C$11-Config!$C$12),0))</f>
        <v/>
      </c>
      <c r="AR227" s="19">
        <f>IF(COUNT(C227:P227)=0,"",IFERROR(AQ227-C227-Config!$C$13,0))</f>
        <v/>
      </c>
      <c r="AS227" s="20">
        <f>IF(COUNT(C227:P227)=0,"",IFERROR(AQ227/C227,0))</f>
        <v/>
      </c>
      <c r="AT227" s="14">
        <f>IF(COUNT(C227:P227)=0,"",IFERROR(AR227/G227,0))</f>
        <v/>
      </c>
      <c r="AU227" s="20">
        <f>IF(COUNT(C227:P227)=0,"",IFERROR(AT227/V227,0))</f>
        <v/>
      </c>
      <c r="AV227" s="14">
        <f>IF(COUNT(C227:P227)=0,"",IFERROR(AR227/H227,0))</f>
        <v/>
      </c>
    </row>
    <row r="228">
      <c r="A228" s="11">
        <f>Config!$C$6+222</f>
        <v/>
      </c>
      <c r="B228" s="12">
        <f>INT((A228-Config!$C$6)/7)+1</f>
        <v/>
      </c>
      <c r="C228" s="9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4">
        <f>IF(COUNT(C228:P228)=0,"",IFERROR(C228/D228*1000,0))</f>
        <v/>
      </c>
      <c r="R228" s="15">
        <f>IF(COUNT(C228:P228)=0,"",IFERROR(D228/E228,0))</f>
        <v/>
      </c>
      <c r="S228" s="16">
        <f>IF(COUNT(C228:P228)=0,"",IFERROR(F228/D228,0))</f>
        <v/>
      </c>
      <c r="T228" s="14">
        <f>IF(COUNT(C228:P228)=0,"",IFERROR(C228/F228,0))</f>
        <v/>
      </c>
      <c r="U228" s="17">
        <f>IF(COUNT(C228:P228)=0,"",IFERROR(G228/F228,0))</f>
        <v/>
      </c>
      <c r="V228" s="14">
        <f>IF(COUNT(C228:P228)=0,"",IFERROR(C228/G228,0))</f>
        <v/>
      </c>
      <c r="W228" s="18">
        <f>IF(COUNT(C228:P228)=0,"",IFERROR(G228/D228*1000,0))</f>
        <v/>
      </c>
      <c r="X228" s="17">
        <f>IF(COUNT(C228:P228)=0,"",IFERROR(H228/G228,0))</f>
        <v/>
      </c>
      <c r="Y228" s="14">
        <f>IF(COUNT(C228:P228)=0,"",IFERROR(C228/H228,0))</f>
        <v/>
      </c>
      <c r="Z228" s="14">
        <f>IF(COUNT(C228:P228)=0,"",IFERROR(C228/I228,0))</f>
        <v/>
      </c>
      <c r="AA228" s="17">
        <f>IF(COUNT(C228:P228)=0,"",IFERROR(Y228/Q228,0))</f>
        <v/>
      </c>
      <c r="AB228" s="18">
        <f>IF(COUNT(C228:P228)=0,"",IFERROR(H228/D228*1000,0))</f>
        <v/>
      </c>
      <c r="AC228" s="17">
        <f>IF(COUNT(C228:P228)=0,"",IFERROR(J228/H228,0))</f>
        <v/>
      </c>
      <c r="AD228" s="14">
        <f>IF(COUNT(C228:P228)=0,"",IFERROR(C228/J228,0))</f>
        <v/>
      </c>
      <c r="AE228" s="17">
        <f>IF(COUNT(C228:P228)=0,"",IFERROR(K228/H228,0))</f>
        <v/>
      </c>
      <c r="AF228" s="17">
        <f>IF(COUNT(C228:P228)=0,"",IFERROR(L228/H228,0))</f>
        <v/>
      </c>
      <c r="AG228" s="14">
        <f>IF(COUNT(C228:P228)=0,"",IFERROR(C228/K228,0))</f>
        <v/>
      </c>
      <c r="AH228" s="17">
        <f>IF(COUNT(C228:P228)=0,"",IFERROR(M228/K228,0))</f>
        <v/>
      </c>
      <c r="AI228" s="14">
        <f>IF(COUNT(C228:P228)=0,"",IFERROR(C228/M228,0))</f>
        <v/>
      </c>
      <c r="AJ228" s="17">
        <f>IF(COUNT(C228:P228)=0,"",IFERROR(N228/M228,0))</f>
        <v/>
      </c>
      <c r="AK228" s="16">
        <f>IF(COUNT(C228:P228)=0,"",IFERROR(N228/H228,0))</f>
        <v/>
      </c>
      <c r="AL228" s="14">
        <f>IF(COUNT(C228:P228)=0,"",IFERROR(C228/N228,0))</f>
        <v/>
      </c>
      <c r="AM228" s="17">
        <f>IF(COUNT(C228:P228)=0,"",IFERROR(O228/N228,0))</f>
        <v/>
      </c>
      <c r="AN228" s="17">
        <f>IF(COUNT(C228:P228)=0,"",IFERROR(P228/N228,0))</f>
        <v/>
      </c>
      <c r="AO228" s="19">
        <f>IF(COUNT(C228:P228)=0,"",IFERROR(N228*Config!$C$7+O228*Config!$C$8+P228*Config!$C$9,0))</f>
        <v/>
      </c>
      <c r="AP228" s="14">
        <f>IF(COUNT(C228:P228)=0,"",IFERROR(AO228/N228,0))</f>
        <v/>
      </c>
      <c r="AQ228" s="19">
        <f>IF(COUNT(C228:P228)=0,"",IFERROR(AO228*(1-Config!$C$10-Config!$C$11-Config!$C$12),0))</f>
        <v/>
      </c>
      <c r="AR228" s="19">
        <f>IF(COUNT(C228:P228)=0,"",IFERROR(AQ228-C228-Config!$C$13,0))</f>
        <v/>
      </c>
      <c r="AS228" s="20">
        <f>IF(COUNT(C228:P228)=0,"",IFERROR(AQ228/C228,0))</f>
        <v/>
      </c>
      <c r="AT228" s="14">
        <f>IF(COUNT(C228:P228)=0,"",IFERROR(AR228/G228,0))</f>
        <v/>
      </c>
      <c r="AU228" s="20">
        <f>IF(COUNT(C228:P228)=0,"",IFERROR(AT228/V228,0))</f>
        <v/>
      </c>
      <c r="AV228" s="14">
        <f>IF(COUNT(C228:P228)=0,"",IFERROR(AR228/H228,0))</f>
        <v/>
      </c>
    </row>
    <row r="229">
      <c r="A229" s="11">
        <f>Config!$C$6+223</f>
        <v/>
      </c>
      <c r="B229" s="12">
        <f>INT((A229-Config!$C$6)/7)+1</f>
        <v/>
      </c>
      <c r="C229" s="9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4">
        <f>IF(COUNT(C229:P229)=0,"",IFERROR(C229/D229*1000,0))</f>
        <v/>
      </c>
      <c r="R229" s="15">
        <f>IF(COUNT(C229:P229)=0,"",IFERROR(D229/E229,0))</f>
        <v/>
      </c>
      <c r="S229" s="16">
        <f>IF(COUNT(C229:P229)=0,"",IFERROR(F229/D229,0))</f>
        <v/>
      </c>
      <c r="T229" s="14">
        <f>IF(COUNT(C229:P229)=0,"",IFERROR(C229/F229,0))</f>
        <v/>
      </c>
      <c r="U229" s="17">
        <f>IF(COUNT(C229:P229)=0,"",IFERROR(G229/F229,0))</f>
        <v/>
      </c>
      <c r="V229" s="14">
        <f>IF(COUNT(C229:P229)=0,"",IFERROR(C229/G229,0))</f>
        <v/>
      </c>
      <c r="W229" s="18">
        <f>IF(COUNT(C229:P229)=0,"",IFERROR(G229/D229*1000,0))</f>
        <v/>
      </c>
      <c r="X229" s="17">
        <f>IF(COUNT(C229:P229)=0,"",IFERROR(H229/G229,0))</f>
        <v/>
      </c>
      <c r="Y229" s="14">
        <f>IF(COUNT(C229:P229)=0,"",IFERROR(C229/H229,0))</f>
        <v/>
      </c>
      <c r="Z229" s="14">
        <f>IF(COUNT(C229:P229)=0,"",IFERROR(C229/I229,0))</f>
        <v/>
      </c>
      <c r="AA229" s="17">
        <f>IF(COUNT(C229:P229)=0,"",IFERROR(Y229/Q229,0))</f>
        <v/>
      </c>
      <c r="AB229" s="18">
        <f>IF(COUNT(C229:P229)=0,"",IFERROR(H229/D229*1000,0))</f>
        <v/>
      </c>
      <c r="AC229" s="17">
        <f>IF(COUNT(C229:P229)=0,"",IFERROR(J229/H229,0))</f>
        <v/>
      </c>
      <c r="AD229" s="14">
        <f>IF(COUNT(C229:P229)=0,"",IFERROR(C229/J229,0))</f>
        <v/>
      </c>
      <c r="AE229" s="17">
        <f>IF(COUNT(C229:P229)=0,"",IFERROR(K229/H229,0))</f>
        <v/>
      </c>
      <c r="AF229" s="17">
        <f>IF(COUNT(C229:P229)=0,"",IFERROR(L229/H229,0))</f>
        <v/>
      </c>
      <c r="AG229" s="14">
        <f>IF(COUNT(C229:P229)=0,"",IFERROR(C229/K229,0))</f>
        <v/>
      </c>
      <c r="AH229" s="17">
        <f>IF(COUNT(C229:P229)=0,"",IFERROR(M229/K229,0))</f>
        <v/>
      </c>
      <c r="AI229" s="14">
        <f>IF(COUNT(C229:P229)=0,"",IFERROR(C229/M229,0))</f>
        <v/>
      </c>
      <c r="AJ229" s="17">
        <f>IF(COUNT(C229:P229)=0,"",IFERROR(N229/M229,0))</f>
        <v/>
      </c>
      <c r="AK229" s="16">
        <f>IF(COUNT(C229:P229)=0,"",IFERROR(N229/H229,0))</f>
        <v/>
      </c>
      <c r="AL229" s="14">
        <f>IF(COUNT(C229:P229)=0,"",IFERROR(C229/N229,0))</f>
        <v/>
      </c>
      <c r="AM229" s="17">
        <f>IF(COUNT(C229:P229)=0,"",IFERROR(O229/N229,0))</f>
        <v/>
      </c>
      <c r="AN229" s="17">
        <f>IF(COUNT(C229:P229)=0,"",IFERROR(P229/N229,0))</f>
        <v/>
      </c>
      <c r="AO229" s="19">
        <f>IF(COUNT(C229:P229)=0,"",IFERROR(N229*Config!$C$7+O229*Config!$C$8+P229*Config!$C$9,0))</f>
        <v/>
      </c>
      <c r="AP229" s="14">
        <f>IF(COUNT(C229:P229)=0,"",IFERROR(AO229/N229,0))</f>
        <v/>
      </c>
      <c r="AQ229" s="19">
        <f>IF(COUNT(C229:P229)=0,"",IFERROR(AO229*(1-Config!$C$10-Config!$C$11-Config!$C$12),0))</f>
        <v/>
      </c>
      <c r="AR229" s="19">
        <f>IF(COUNT(C229:P229)=0,"",IFERROR(AQ229-C229-Config!$C$13,0))</f>
        <v/>
      </c>
      <c r="AS229" s="20">
        <f>IF(COUNT(C229:P229)=0,"",IFERROR(AQ229/C229,0))</f>
        <v/>
      </c>
      <c r="AT229" s="14">
        <f>IF(COUNT(C229:P229)=0,"",IFERROR(AR229/G229,0))</f>
        <v/>
      </c>
      <c r="AU229" s="20">
        <f>IF(COUNT(C229:P229)=0,"",IFERROR(AT229/V229,0))</f>
        <v/>
      </c>
      <c r="AV229" s="14">
        <f>IF(COUNT(C229:P229)=0,"",IFERROR(AR229/H229,0))</f>
        <v/>
      </c>
    </row>
    <row r="230">
      <c r="A230" s="11">
        <f>Config!$C$6+224</f>
        <v/>
      </c>
      <c r="B230" s="12">
        <f>INT((A230-Config!$C$6)/7)+1</f>
        <v/>
      </c>
      <c r="C230" s="9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4">
        <f>IF(COUNT(C230:P230)=0,"",IFERROR(C230/D230*1000,0))</f>
        <v/>
      </c>
      <c r="R230" s="15">
        <f>IF(COUNT(C230:P230)=0,"",IFERROR(D230/E230,0))</f>
        <v/>
      </c>
      <c r="S230" s="16">
        <f>IF(COUNT(C230:P230)=0,"",IFERROR(F230/D230,0))</f>
        <v/>
      </c>
      <c r="T230" s="14">
        <f>IF(COUNT(C230:P230)=0,"",IFERROR(C230/F230,0))</f>
        <v/>
      </c>
      <c r="U230" s="17">
        <f>IF(COUNT(C230:P230)=0,"",IFERROR(G230/F230,0))</f>
        <v/>
      </c>
      <c r="V230" s="14">
        <f>IF(COUNT(C230:P230)=0,"",IFERROR(C230/G230,0))</f>
        <v/>
      </c>
      <c r="W230" s="18">
        <f>IF(COUNT(C230:P230)=0,"",IFERROR(G230/D230*1000,0))</f>
        <v/>
      </c>
      <c r="X230" s="17">
        <f>IF(COUNT(C230:P230)=0,"",IFERROR(H230/G230,0))</f>
        <v/>
      </c>
      <c r="Y230" s="14">
        <f>IF(COUNT(C230:P230)=0,"",IFERROR(C230/H230,0))</f>
        <v/>
      </c>
      <c r="Z230" s="14">
        <f>IF(COUNT(C230:P230)=0,"",IFERROR(C230/I230,0))</f>
        <v/>
      </c>
      <c r="AA230" s="17">
        <f>IF(COUNT(C230:P230)=0,"",IFERROR(Y230/Q230,0))</f>
        <v/>
      </c>
      <c r="AB230" s="18">
        <f>IF(COUNT(C230:P230)=0,"",IFERROR(H230/D230*1000,0))</f>
        <v/>
      </c>
      <c r="AC230" s="17">
        <f>IF(COUNT(C230:P230)=0,"",IFERROR(J230/H230,0))</f>
        <v/>
      </c>
      <c r="AD230" s="14">
        <f>IF(COUNT(C230:P230)=0,"",IFERROR(C230/J230,0))</f>
        <v/>
      </c>
      <c r="AE230" s="17">
        <f>IF(COUNT(C230:P230)=0,"",IFERROR(K230/H230,0))</f>
        <v/>
      </c>
      <c r="AF230" s="17">
        <f>IF(COUNT(C230:P230)=0,"",IFERROR(L230/H230,0))</f>
        <v/>
      </c>
      <c r="AG230" s="14">
        <f>IF(COUNT(C230:P230)=0,"",IFERROR(C230/K230,0))</f>
        <v/>
      </c>
      <c r="AH230" s="17">
        <f>IF(COUNT(C230:P230)=0,"",IFERROR(M230/K230,0))</f>
        <v/>
      </c>
      <c r="AI230" s="14">
        <f>IF(COUNT(C230:P230)=0,"",IFERROR(C230/M230,0))</f>
        <v/>
      </c>
      <c r="AJ230" s="17">
        <f>IF(COUNT(C230:P230)=0,"",IFERROR(N230/M230,0))</f>
        <v/>
      </c>
      <c r="AK230" s="16">
        <f>IF(COUNT(C230:P230)=0,"",IFERROR(N230/H230,0))</f>
        <v/>
      </c>
      <c r="AL230" s="14">
        <f>IF(COUNT(C230:P230)=0,"",IFERROR(C230/N230,0))</f>
        <v/>
      </c>
      <c r="AM230" s="17">
        <f>IF(COUNT(C230:P230)=0,"",IFERROR(O230/N230,0))</f>
        <v/>
      </c>
      <c r="AN230" s="17">
        <f>IF(COUNT(C230:P230)=0,"",IFERROR(P230/N230,0))</f>
        <v/>
      </c>
      <c r="AO230" s="19">
        <f>IF(COUNT(C230:P230)=0,"",IFERROR(N230*Config!$C$7+O230*Config!$C$8+P230*Config!$C$9,0))</f>
        <v/>
      </c>
      <c r="AP230" s="14">
        <f>IF(COUNT(C230:P230)=0,"",IFERROR(AO230/N230,0))</f>
        <v/>
      </c>
      <c r="AQ230" s="19">
        <f>IF(COUNT(C230:P230)=0,"",IFERROR(AO230*(1-Config!$C$10-Config!$C$11-Config!$C$12),0))</f>
        <v/>
      </c>
      <c r="AR230" s="19">
        <f>IF(COUNT(C230:P230)=0,"",IFERROR(AQ230-C230-Config!$C$13,0))</f>
        <v/>
      </c>
      <c r="AS230" s="20">
        <f>IF(COUNT(C230:P230)=0,"",IFERROR(AQ230/C230,0))</f>
        <v/>
      </c>
      <c r="AT230" s="14">
        <f>IF(COUNT(C230:P230)=0,"",IFERROR(AR230/G230,0))</f>
        <v/>
      </c>
      <c r="AU230" s="20">
        <f>IF(COUNT(C230:P230)=0,"",IFERROR(AT230/V230,0))</f>
        <v/>
      </c>
      <c r="AV230" s="14">
        <f>IF(COUNT(C230:P230)=0,"",IFERROR(AR230/H230,0))</f>
        <v/>
      </c>
    </row>
    <row r="231">
      <c r="A231" s="11">
        <f>Config!$C$6+225</f>
        <v/>
      </c>
      <c r="B231" s="12">
        <f>INT((A231-Config!$C$6)/7)+1</f>
        <v/>
      </c>
      <c r="C231" s="9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4">
        <f>IF(COUNT(C231:P231)=0,"",IFERROR(C231/D231*1000,0))</f>
        <v/>
      </c>
      <c r="R231" s="15">
        <f>IF(COUNT(C231:P231)=0,"",IFERROR(D231/E231,0))</f>
        <v/>
      </c>
      <c r="S231" s="16">
        <f>IF(COUNT(C231:P231)=0,"",IFERROR(F231/D231,0))</f>
        <v/>
      </c>
      <c r="T231" s="14">
        <f>IF(COUNT(C231:P231)=0,"",IFERROR(C231/F231,0))</f>
        <v/>
      </c>
      <c r="U231" s="17">
        <f>IF(COUNT(C231:P231)=0,"",IFERROR(G231/F231,0))</f>
        <v/>
      </c>
      <c r="V231" s="14">
        <f>IF(COUNT(C231:P231)=0,"",IFERROR(C231/G231,0))</f>
        <v/>
      </c>
      <c r="W231" s="18">
        <f>IF(COUNT(C231:P231)=0,"",IFERROR(G231/D231*1000,0))</f>
        <v/>
      </c>
      <c r="X231" s="17">
        <f>IF(COUNT(C231:P231)=0,"",IFERROR(H231/G231,0))</f>
        <v/>
      </c>
      <c r="Y231" s="14">
        <f>IF(COUNT(C231:P231)=0,"",IFERROR(C231/H231,0))</f>
        <v/>
      </c>
      <c r="Z231" s="14">
        <f>IF(COUNT(C231:P231)=0,"",IFERROR(C231/I231,0))</f>
        <v/>
      </c>
      <c r="AA231" s="17">
        <f>IF(COUNT(C231:P231)=0,"",IFERROR(Y231/Q231,0))</f>
        <v/>
      </c>
      <c r="AB231" s="18">
        <f>IF(COUNT(C231:P231)=0,"",IFERROR(H231/D231*1000,0))</f>
        <v/>
      </c>
      <c r="AC231" s="17">
        <f>IF(COUNT(C231:P231)=0,"",IFERROR(J231/H231,0))</f>
        <v/>
      </c>
      <c r="AD231" s="14">
        <f>IF(COUNT(C231:P231)=0,"",IFERROR(C231/J231,0))</f>
        <v/>
      </c>
      <c r="AE231" s="17">
        <f>IF(COUNT(C231:P231)=0,"",IFERROR(K231/H231,0))</f>
        <v/>
      </c>
      <c r="AF231" s="17">
        <f>IF(COUNT(C231:P231)=0,"",IFERROR(L231/H231,0))</f>
        <v/>
      </c>
      <c r="AG231" s="14">
        <f>IF(COUNT(C231:P231)=0,"",IFERROR(C231/K231,0))</f>
        <v/>
      </c>
      <c r="AH231" s="17">
        <f>IF(COUNT(C231:P231)=0,"",IFERROR(M231/K231,0))</f>
        <v/>
      </c>
      <c r="AI231" s="14">
        <f>IF(COUNT(C231:P231)=0,"",IFERROR(C231/M231,0))</f>
        <v/>
      </c>
      <c r="AJ231" s="17">
        <f>IF(COUNT(C231:P231)=0,"",IFERROR(N231/M231,0))</f>
        <v/>
      </c>
      <c r="AK231" s="16">
        <f>IF(COUNT(C231:P231)=0,"",IFERROR(N231/H231,0))</f>
        <v/>
      </c>
      <c r="AL231" s="14">
        <f>IF(COUNT(C231:P231)=0,"",IFERROR(C231/N231,0))</f>
        <v/>
      </c>
      <c r="AM231" s="17">
        <f>IF(COUNT(C231:P231)=0,"",IFERROR(O231/N231,0))</f>
        <v/>
      </c>
      <c r="AN231" s="17">
        <f>IF(COUNT(C231:P231)=0,"",IFERROR(P231/N231,0))</f>
        <v/>
      </c>
      <c r="AO231" s="19">
        <f>IF(COUNT(C231:P231)=0,"",IFERROR(N231*Config!$C$7+O231*Config!$C$8+P231*Config!$C$9,0))</f>
        <v/>
      </c>
      <c r="AP231" s="14">
        <f>IF(COUNT(C231:P231)=0,"",IFERROR(AO231/N231,0))</f>
        <v/>
      </c>
      <c r="AQ231" s="19">
        <f>IF(COUNT(C231:P231)=0,"",IFERROR(AO231*(1-Config!$C$10-Config!$C$11-Config!$C$12),0))</f>
        <v/>
      </c>
      <c r="AR231" s="19">
        <f>IF(COUNT(C231:P231)=0,"",IFERROR(AQ231-C231-Config!$C$13,0))</f>
        <v/>
      </c>
      <c r="AS231" s="20">
        <f>IF(COUNT(C231:P231)=0,"",IFERROR(AQ231/C231,0))</f>
        <v/>
      </c>
      <c r="AT231" s="14">
        <f>IF(COUNT(C231:P231)=0,"",IFERROR(AR231/G231,0))</f>
        <v/>
      </c>
      <c r="AU231" s="20">
        <f>IF(COUNT(C231:P231)=0,"",IFERROR(AT231/V231,0))</f>
        <v/>
      </c>
      <c r="AV231" s="14">
        <f>IF(COUNT(C231:P231)=0,"",IFERROR(AR231/H231,0))</f>
        <v/>
      </c>
    </row>
    <row r="232">
      <c r="A232" s="11">
        <f>Config!$C$6+226</f>
        <v/>
      </c>
      <c r="B232" s="12">
        <f>INT((A232-Config!$C$6)/7)+1</f>
        <v/>
      </c>
      <c r="C232" s="9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4">
        <f>IF(COUNT(C232:P232)=0,"",IFERROR(C232/D232*1000,0))</f>
        <v/>
      </c>
      <c r="R232" s="15">
        <f>IF(COUNT(C232:P232)=0,"",IFERROR(D232/E232,0))</f>
        <v/>
      </c>
      <c r="S232" s="16">
        <f>IF(COUNT(C232:P232)=0,"",IFERROR(F232/D232,0))</f>
        <v/>
      </c>
      <c r="T232" s="14">
        <f>IF(COUNT(C232:P232)=0,"",IFERROR(C232/F232,0))</f>
        <v/>
      </c>
      <c r="U232" s="17">
        <f>IF(COUNT(C232:P232)=0,"",IFERROR(G232/F232,0))</f>
        <v/>
      </c>
      <c r="V232" s="14">
        <f>IF(COUNT(C232:P232)=0,"",IFERROR(C232/G232,0))</f>
        <v/>
      </c>
      <c r="W232" s="18">
        <f>IF(COUNT(C232:P232)=0,"",IFERROR(G232/D232*1000,0))</f>
        <v/>
      </c>
      <c r="X232" s="17">
        <f>IF(COUNT(C232:P232)=0,"",IFERROR(H232/G232,0))</f>
        <v/>
      </c>
      <c r="Y232" s="14">
        <f>IF(COUNT(C232:P232)=0,"",IFERROR(C232/H232,0))</f>
        <v/>
      </c>
      <c r="Z232" s="14">
        <f>IF(COUNT(C232:P232)=0,"",IFERROR(C232/I232,0))</f>
        <v/>
      </c>
      <c r="AA232" s="17">
        <f>IF(COUNT(C232:P232)=0,"",IFERROR(Y232/Q232,0))</f>
        <v/>
      </c>
      <c r="AB232" s="18">
        <f>IF(COUNT(C232:P232)=0,"",IFERROR(H232/D232*1000,0))</f>
        <v/>
      </c>
      <c r="AC232" s="17">
        <f>IF(COUNT(C232:P232)=0,"",IFERROR(J232/H232,0))</f>
        <v/>
      </c>
      <c r="AD232" s="14">
        <f>IF(COUNT(C232:P232)=0,"",IFERROR(C232/J232,0))</f>
        <v/>
      </c>
      <c r="AE232" s="17">
        <f>IF(COUNT(C232:P232)=0,"",IFERROR(K232/H232,0))</f>
        <v/>
      </c>
      <c r="AF232" s="17">
        <f>IF(COUNT(C232:P232)=0,"",IFERROR(L232/H232,0))</f>
        <v/>
      </c>
      <c r="AG232" s="14">
        <f>IF(COUNT(C232:P232)=0,"",IFERROR(C232/K232,0))</f>
        <v/>
      </c>
      <c r="AH232" s="17">
        <f>IF(COUNT(C232:P232)=0,"",IFERROR(M232/K232,0))</f>
        <v/>
      </c>
      <c r="AI232" s="14">
        <f>IF(COUNT(C232:P232)=0,"",IFERROR(C232/M232,0))</f>
        <v/>
      </c>
      <c r="AJ232" s="17">
        <f>IF(COUNT(C232:P232)=0,"",IFERROR(N232/M232,0))</f>
        <v/>
      </c>
      <c r="AK232" s="16">
        <f>IF(COUNT(C232:P232)=0,"",IFERROR(N232/H232,0))</f>
        <v/>
      </c>
      <c r="AL232" s="14">
        <f>IF(COUNT(C232:P232)=0,"",IFERROR(C232/N232,0))</f>
        <v/>
      </c>
      <c r="AM232" s="17">
        <f>IF(COUNT(C232:P232)=0,"",IFERROR(O232/N232,0))</f>
        <v/>
      </c>
      <c r="AN232" s="17">
        <f>IF(COUNT(C232:P232)=0,"",IFERROR(P232/N232,0))</f>
        <v/>
      </c>
      <c r="AO232" s="19">
        <f>IF(COUNT(C232:P232)=0,"",IFERROR(N232*Config!$C$7+O232*Config!$C$8+P232*Config!$C$9,0))</f>
        <v/>
      </c>
      <c r="AP232" s="14">
        <f>IF(COUNT(C232:P232)=0,"",IFERROR(AO232/N232,0))</f>
        <v/>
      </c>
      <c r="AQ232" s="19">
        <f>IF(COUNT(C232:P232)=0,"",IFERROR(AO232*(1-Config!$C$10-Config!$C$11-Config!$C$12),0))</f>
        <v/>
      </c>
      <c r="AR232" s="19">
        <f>IF(COUNT(C232:P232)=0,"",IFERROR(AQ232-C232-Config!$C$13,0))</f>
        <v/>
      </c>
      <c r="AS232" s="20">
        <f>IF(COUNT(C232:P232)=0,"",IFERROR(AQ232/C232,0))</f>
        <v/>
      </c>
      <c r="AT232" s="14">
        <f>IF(COUNT(C232:P232)=0,"",IFERROR(AR232/G232,0))</f>
        <v/>
      </c>
      <c r="AU232" s="20">
        <f>IF(COUNT(C232:P232)=0,"",IFERROR(AT232/V232,0))</f>
        <v/>
      </c>
      <c r="AV232" s="14">
        <f>IF(COUNT(C232:P232)=0,"",IFERROR(AR232/H232,0))</f>
        <v/>
      </c>
    </row>
    <row r="233">
      <c r="A233" s="11">
        <f>Config!$C$6+227</f>
        <v/>
      </c>
      <c r="B233" s="12">
        <f>INT((A233-Config!$C$6)/7)+1</f>
        <v/>
      </c>
      <c r="C233" s="9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4">
        <f>IF(COUNT(C233:P233)=0,"",IFERROR(C233/D233*1000,0))</f>
        <v/>
      </c>
      <c r="R233" s="15">
        <f>IF(COUNT(C233:P233)=0,"",IFERROR(D233/E233,0))</f>
        <v/>
      </c>
      <c r="S233" s="16">
        <f>IF(COUNT(C233:P233)=0,"",IFERROR(F233/D233,0))</f>
        <v/>
      </c>
      <c r="T233" s="14">
        <f>IF(COUNT(C233:P233)=0,"",IFERROR(C233/F233,0))</f>
        <v/>
      </c>
      <c r="U233" s="17">
        <f>IF(COUNT(C233:P233)=0,"",IFERROR(G233/F233,0))</f>
        <v/>
      </c>
      <c r="V233" s="14">
        <f>IF(COUNT(C233:P233)=0,"",IFERROR(C233/G233,0))</f>
        <v/>
      </c>
      <c r="W233" s="18">
        <f>IF(COUNT(C233:P233)=0,"",IFERROR(G233/D233*1000,0))</f>
        <v/>
      </c>
      <c r="X233" s="17">
        <f>IF(COUNT(C233:P233)=0,"",IFERROR(H233/G233,0))</f>
        <v/>
      </c>
      <c r="Y233" s="14">
        <f>IF(COUNT(C233:P233)=0,"",IFERROR(C233/H233,0))</f>
        <v/>
      </c>
      <c r="Z233" s="14">
        <f>IF(COUNT(C233:P233)=0,"",IFERROR(C233/I233,0))</f>
        <v/>
      </c>
      <c r="AA233" s="17">
        <f>IF(COUNT(C233:P233)=0,"",IFERROR(Y233/Q233,0))</f>
        <v/>
      </c>
      <c r="AB233" s="18">
        <f>IF(COUNT(C233:P233)=0,"",IFERROR(H233/D233*1000,0))</f>
        <v/>
      </c>
      <c r="AC233" s="17">
        <f>IF(COUNT(C233:P233)=0,"",IFERROR(J233/H233,0))</f>
        <v/>
      </c>
      <c r="AD233" s="14">
        <f>IF(COUNT(C233:P233)=0,"",IFERROR(C233/J233,0))</f>
        <v/>
      </c>
      <c r="AE233" s="17">
        <f>IF(COUNT(C233:P233)=0,"",IFERROR(K233/H233,0))</f>
        <v/>
      </c>
      <c r="AF233" s="17">
        <f>IF(COUNT(C233:P233)=0,"",IFERROR(L233/H233,0))</f>
        <v/>
      </c>
      <c r="AG233" s="14">
        <f>IF(COUNT(C233:P233)=0,"",IFERROR(C233/K233,0))</f>
        <v/>
      </c>
      <c r="AH233" s="17">
        <f>IF(COUNT(C233:P233)=0,"",IFERROR(M233/K233,0))</f>
        <v/>
      </c>
      <c r="AI233" s="14">
        <f>IF(COUNT(C233:P233)=0,"",IFERROR(C233/M233,0))</f>
        <v/>
      </c>
      <c r="AJ233" s="17">
        <f>IF(COUNT(C233:P233)=0,"",IFERROR(N233/M233,0))</f>
        <v/>
      </c>
      <c r="AK233" s="16">
        <f>IF(COUNT(C233:P233)=0,"",IFERROR(N233/H233,0))</f>
        <v/>
      </c>
      <c r="AL233" s="14">
        <f>IF(COUNT(C233:P233)=0,"",IFERROR(C233/N233,0))</f>
        <v/>
      </c>
      <c r="AM233" s="17">
        <f>IF(COUNT(C233:P233)=0,"",IFERROR(O233/N233,0))</f>
        <v/>
      </c>
      <c r="AN233" s="17">
        <f>IF(COUNT(C233:P233)=0,"",IFERROR(P233/N233,0))</f>
        <v/>
      </c>
      <c r="AO233" s="19">
        <f>IF(COUNT(C233:P233)=0,"",IFERROR(N233*Config!$C$7+O233*Config!$C$8+P233*Config!$C$9,0))</f>
        <v/>
      </c>
      <c r="AP233" s="14">
        <f>IF(COUNT(C233:P233)=0,"",IFERROR(AO233/N233,0))</f>
        <v/>
      </c>
      <c r="AQ233" s="19">
        <f>IF(COUNT(C233:P233)=0,"",IFERROR(AO233*(1-Config!$C$10-Config!$C$11-Config!$C$12),0))</f>
        <v/>
      </c>
      <c r="AR233" s="19">
        <f>IF(COUNT(C233:P233)=0,"",IFERROR(AQ233-C233-Config!$C$13,0))</f>
        <v/>
      </c>
      <c r="AS233" s="20">
        <f>IF(COUNT(C233:P233)=0,"",IFERROR(AQ233/C233,0))</f>
        <v/>
      </c>
      <c r="AT233" s="14">
        <f>IF(COUNT(C233:P233)=0,"",IFERROR(AR233/G233,0))</f>
        <v/>
      </c>
      <c r="AU233" s="20">
        <f>IF(COUNT(C233:P233)=0,"",IFERROR(AT233/V233,0))</f>
        <v/>
      </c>
      <c r="AV233" s="14">
        <f>IF(COUNT(C233:P233)=0,"",IFERROR(AR233/H233,0))</f>
        <v/>
      </c>
    </row>
    <row r="234">
      <c r="A234" s="11">
        <f>Config!$C$6+228</f>
        <v/>
      </c>
      <c r="B234" s="12">
        <f>INT((A234-Config!$C$6)/7)+1</f>
        <v/>
      </c>
      <c r="C234" s="9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4">
        <f>IF(COUNT(C234:P234)=0,"",IFERROR(C234/D234*1000,0))</f>
        <v/>
      </c>
      <c r="R234" s="15">
        <f>IF(COUNT(C234:P234)=0,"",IFERROR(D234/E234,0))</f>
        <v/>
      </c>
      <c r="S234" s="16">
        <f>IF(COUNT(C234:P234)=0,"",IFERROR(F234/D234,0))</f>
        <v/>
      </c>
      <c r="T234" s="14">
        <f>IF(COUNT(C234:P234)=0,"",IFERROR(C234/F234,0))</f>
        <v/>
      </c>
      <c r="U234" s="17">
        <f>IF(COUNT(C234:P234)=0,"",IFERROR(G234/F234,0))</f>
        <v/>
      </c>
      <c r="V234" s="14">
        <f>IF(COUNT(C234:P234)=0,"",IFERROR(C234/G234,0))</f>
        <v/>
      </c>
      <c r="W234" s="18">
        <f>IF(COUNT(C234:P234)=0,"",IFERROR(G234/D234*1000,0))</f>
        <v/>
      </c>
      <c r="X234" s="17">
        <f>IF(COUNT(C234:P234)=0,"",IFERROR(H234/G234,0))</f>
        <v/>
      </c>
      <c r="Y234" s="14">
        <f>IF(COUNT(C234:P234)=0,"",IFERROR(C234/H234,0))</f>
        <v/>
      </c>
      <c r="Z234" s="14">
        <f>IF(COUNT(C234:P234)=0,"",IFERROR(C234/I234,0))</f>
        <v/>
      </c>
      <c r="AA234" s="17">
        <f>IF(COUNT(C234:P234)=0,"",IFERROR(Y234/Q234,0))</f>
        <v/>
      </c>
      <c r="AB234" s="18">
        <f>IF(COUNT(C234:P234)=0,"",IFERROR(H234/D234*1000,0))</f>
        <v/>
      </c>
      <c r="AC234" s="17">
        <f>IF(COUNT(C234:P234)=0,"",IFERROR(J234/H234,0))</f>
        <v/>
      </c>
      <c r="AD234" s="14">
        <f>IF(COUNT(C234:P234)=0,"",IFERROR(C234/J234,0))</f>
        <v/>
      </c>
      <c r="AE234" s="17">
        <f>IF(COUNT(C234:P234)=0,"",IFERROR(K234/H234,0))</f>
        <v/>
      </c>
      <c r="AF234" s="17">
        <f>IF(COUNT(C234:P234)=0,"",IFERROR(L234/H234,0))</f>
        <v/>
      </c>
      <c r="AG234" s="14">
        <f>IF(COUNT(C234:P234)=0,"",IFERROR(C234/K234,0))</f>
        <v/>
      </c>
      <c r="AH234" s="17">
        <f>IF(COUNT(C234:P234)=0,"",IFERROR(M234/K234,0))</f>
        <v/>
      </c>
      <c r="AI234" s="14">
        <f>IF(COUNT(C234:P234)=0,"",IFERROR(C234/M234,0))</f>
        <v/>
      </c>
      <c r="AJ234" s="17">
        <f>IF(COUNT(C234:P234)=0,"",IFERROR(N234/M234,0))</f>
        <v/>
      </c>
      <c r="AK234" s="16">
        <f>IF(COUNT(C234:P234)=0,"",IFERROR(N234/H234,0))</f>
        <v/>
      </c>
      <c r="AL234" s="14">
        <f>IF(COUNT(C234:P234)=0,"",IFERROR(C234/N234,0))</f>
        <v/>
      </c>
      <c r="AM234" s="17">
        <f>IF(COUNT(C234:P234)=0,"",IFERROR(O234/N234,0))</f>
        <v/>
      </c>
      <c r="AN234" s="17">
        <f>IF(COUNT(C234:P234)=0,"",IFERROR(P234/N234,0))</f>
        <v/>
      </c>
      <c r="AO234" s="19">
        <f>IF(COUNT(C234:P234)=0,"",IFERROR(N234*Config!$C$7+O234*Config!$C$8+P234*Config!$C$9,0))</f>
        <v/>
      </c>
      <c r="AP234" s="14">
        <f>IF(COUNT(C234:P234)=0,"",IFERROR(AO234/N234,0))</f>
        <v/>
      </c>
      <c r="AQ234" s="19">
        <f>IF(COUNT(C234:P234)=0,"",IFERROR(AO234*(1-Config!$C$10-Config!$C$11-Config!$C$12),0))</f>
        <v/>
      </c>
      <c r="AR234" s="19">
        <f>IF(COUNT(C234:P234)=0,"",IFERROR(AQ234-C234-Config!$C$13,0))</f>
        <v/>
      </c>
      <c r="AS234" s="20">
        <f>IF(COUNT(C234:P234)=0,"",IFERROR(AQ234/C234,0))</f>
        <v/>
      </c>
      <c r="AT234" s="14">
        <f>IF(COUNT(C234:P234)=0,"",IFERROR(AR234/G234,0))</f>
        <v/>
      </c>
      <c r="AU234" s="20">
        <f>IF(COUNT(C234:P234)=0,"",IFERROR(AT234/V234,0))</f>
        <v/>
      </c>
      <c r="AV234" s="14">
        <f>IF(COUNT(C234:P234)=0,"",IFERROR(AR234/H234,0))</f>
        <v/>
      </c>
    </row>
    <row r="235">
      <c r="A235" s="11">
        <f>Config!$C$6+229</f>
        <v/>
      </c>
      <c r="B235" s="12">
        <f>INT((A235-Config!$C$6)/7)+1</f>
        <v/>
      </c>
      <c r="C235" s="9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4">
        <f>IF(COUNT(C235:P235)=0,"",IFERROR(C235/D235*1000,0))</f>
        <v/>
      </c>
      <c r="R235" s="15">
        <f>IF(COUNT(C235:P235)=0,"",IFERROR(D235/E235,0))</f>
        <v/>
      </c>
      <c r="S235" s="16">
        <f>IF(COUNT(C235:P235)=0,"",IFERROR(F235/D235,0))</f>
        <v/>
      </c>
      <c r="T235" s="14">
        <f>IF(COUNT(C235:P235)=0,"",IFERROR(C235/F235,0))</f>
        <v/>
      </c>
      <c r="U235" s="17">
        <f>IF(COUNT(C235:P235)=0,"",IFERROR(G235/F235,0))</f>
        <v/>
      </c>
      <c r="V235" s="14">
        <f>IF(COUNT(C235:P235)=0,"",IFERROR(C235/G235,0))</f>
        <v/>
      </c>
      <c r="W235" s="18">
        <f>IF(COUNT(C235:P235)=0,"",IFERROR(G235/D235*1000,0))</f>
        <v/>
      </c>
      <c r="X235" s="17">
        <f>IF(COUNT(C235:P235)=0,"",IFERROR(H235/G235,0))</f>
        <v/>
      </c>
      <c r="Y235" s="14">
        <f>IF(COUNT(C235:P235)=0,"",IFERROR(C235/H235,0))</f>
        <v/>
      </c>
      <c r="Z235" s="14">
        <f>IF(COUNT(C235:P235)=0,"",IFERROR(C235/I235,0))</f>
        <v/>
      </c>
      <c r="AA235" s="17">
        <f>IF(COUNT(C235:P235)=0,"",IFERROR(Y235/Q235,0))</f>
        <v/>
      </c>
      <c r="AB235" s="18">
        <f>IF(COUNT(C235:P235)=0,"",IFERROR(H235/D235*1000,0))</f>
        <v/>
      </c>
      <c r="AC235" s="17">
        <f>IF(COUNT(C235:P235)=0,"",IFERROR(J235/H235,0))</f>
        <v/>
      </c>
      <c r="AD235" s="14">
        <f>IF(COUNT(C235:P235)=0,"",IFERROR(C235/J235,0))</f>
        <v/>
      </c>
      <c r="AE235" s="17">
        <f>IF(COUNT(C235:P235)=0,"",IFERROR(K235/H235,0))</f>
        <v/>
      </c>
      <c r="AF235" s="17">
        <f>IF(COUNT(C235:P235)=0,"",IFERROR(L235/H235,0))</f>
        <v/>
      </c>
      <c r="AG235" s="14">
        <f>IF(COUNT(C235:P235)=0,"",IFERROR(C235/K235,0))</f>
        <v/>
      </c>
      <c r="AH235" s="17">
        <f>IF(COUNT(C235:P235)=0,"",IFERROR(M235/K235,0))</f>
        <v/>
      </c>
      <c r="AI235" s="14">
        <f>IF(COUNT(C235:P235)=0,"",IFERROR(C235/M235,0))</f>
        <v/>
      </c>
      <c r="AJ235" s="17">
        <f>IF(COUNT(C235:P235)=0,"",IFERROR(N235/M235,0))</f>
        <v/>
      </c>
      <c r="AK235" s="16">
        <f>IF(COUNT(C235:P235)=0,"",IFERROR(N235/H235,0))</f>
        <v/>
      </c>
      <c r="AL235" s="14">
        <f>IF(COUNT(C235:P235)=0,"",IFERROR(C235/N235,0))</f>
        <v/>
      </c>
      <c r="AM235" s="17">
        <f>IF(COUNT(C235:P235)=0,"",IFERROR(O235/N235,0))</f>
        <v/>
      </c>
      <c r="AN235" s="17">
        <f>IF(COUNT(C235:P235)=0,"",IFERROR(P235/N235,0))</f>
        <v/>
      </c>
      <c r="AO235" s="19">
        <f>IF(COUNT(C235:P235)=0,"",IFERROR(N235*Config!$C$7+O235*Config!$C$8+P235*Config!$C$9,0))</f>
        <v/>
      </c>
      <c r="AP235" s="14">
        <f>IF(COUNT(C235:P235)=0,"",IFERROR(AO235/N235,0))</f>
        <v/>
      </c>
      <c r="AQ235" s="19">
        <f>IF(COUNT(C235:P235)=0,"",IFERROR(AO235*(1-Config!$C$10-Config!$C$11-Config!$C$12),0))</f>
        <v/>
      </c>
      <c r="AR235" s="19">
        <f>IF(COUNT(C235:P235)=0,"",IFERROR(AQ235-C235-Config!$C$13,0))</f>
        <v/>
      </c>
      <c r="AS235" s="20">
        <f>IF(COUNT(C235:P235)=0,"",IFERROR(AQ235/C235,0))</f>
        <v/>
      </c>
      <c r="AT235" s="14">
        <f>IF(COUNT(C235:P235)=0,"",IFERROR(AR235/G235,0))</f>
        <v/>
      </c>
      <c r="AU235" s="20">
        <f>IF(COUNT(C235:P235)=0,"",IFERROR(AT235/V235,0))</f>
        <v/>
      </c>
      <c r="AV235" s="14">
        <f>IF(COUNT(C235:P235)=0,"",IFERROR(AR235/H235,0))</f>
        <v/>
      </c>
    </row>
    <row r="236">
      <c r="A236" s="11">
        <f>Config!$C$6+230</f>
        <v/>
      </c>
      <c r="B236" s="12">
        <f>INT((A236-Config!$C$6)/7)+1</f>
        <v/>
      </c>
      <c r="C236" s="9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4">
        <f>IF(COUNT(C236:P236)=0,"",IFERROR(C236/D236*1000,0))</f>
        <v/>
      </c>
      <c r="R236" s="15">
        <f>IF(COUNT(C236:P236)=0,"",IFERROR(D236/E236,0))</f>
        <v/>
      </c>
      <c r="S236" s="16">
        <f>IF(COUNT(C236:P236)=0,"",IFERROR(F236/D236,0))</f>
        <v/>
      </c>
      <c r="T236" s="14">
        <f>IF(COUNT(C236:P236)=0,"",IFERROR(C236/F236,0))</f>
        <v/>
      </c>
      <c r="U236" s="17">
        <f>IF(COUNT(C236:P236)=0,"",IFERROR(G236/F236,0))</f>
        <v/>
      </c>
      <c r="V236" s="14">
        <f>IF(COUNT(C236:P236)=0,"",IFERROR(C236/G236,0))</f>
        <v/>
      </c>
      <c r="W236" s="18">
        <f>IF(COUNT(C236:P236)=0,"",IFERROR(G236/D236*1000,0))</f>
        <v/>
      </c>
      <c r="X236" s="17">
        <f>IF(COUNT(C236:P236)=0,"",IFERROR(H236/G236,0))</f>
        <v/>
      </c>
      <c r="Y236" s="14">
        <f>IF(COUNT(C236:P236)=0,"",IFERROR(C236/H236,0))</f>
        <v/>
      </c>
      <c r="Z236" s="14">
        <f>IF(COUNT(C236:P236)=0,"",IFERROR(C236/I236,0))</f>
        <v/>
      </c>
      <c r="AA236" s="17">
        <f>IF(COUNT(C236:P236)=0,"",IFERROR(Y236/Q236,0))</f>
        <v/>
      </c>
      <c r="AB236" s="18">
        <f>IF(COUNT(C236:P236)=0,"",IFERROR(H236/D236*1000,0))</f>
        <v/>
      </c>
      <c r="AC236" s="17">
        <f>IF(COUNT(C236:P236)=0,"",IFERROR(J236/H236,0))</f>
        <v/>
      </c>
      <c r="AD236" s="14">
        <f>IF(COUNT(C236:P236)=0,"",IFERROR(C236/J236,0))</f>
        <v/>
      </c>
      <c r="AE236" s="17">
        <f>IF(COUNT(C236:P236)=0,"",IFERROR(K236/H236,0))</f>
        <v/>
      </c>
      <c r="AF236" s="17">
        <f>IF(COUNT(C236:P236)=0,"",IFERROR(L236/H236,0))</f>
        <v/>
      </c>
      <c r="AG236" s="14">
        <f>IF(COUNT(C236:P236)=0,"",IFERROR(C236/K236,0))</f>
        <v/>
      </c>
      <c r="AH236" s="17">
        <f>IF(COUNT(C236:P236)=0,"",IFERROR(M236/K236,0))</f>
        <v/>
      </c>
      <c r="AI236" s="14">
        <f>IF(COUNT(C236:P236)=0,"",IFERROR(C236/M236,0))</f>
        <v/>
      </c>
      <c r="AJ236" s="17">
        <f>IF(COUNT(C236:P236)=0,"",IFERROR(N236/M236,0))</f>
        <v/>
      </c>
      <c r="AK236" s="16">
        <f>IF(COUNT(C236:P236)=0,"",IFERROR(N236/H236,0))</f>
        <v/>
      </c>
      <c r="AL236" s="14">
        <f>IF(COUNT(C236:P236)=0,"",IFERROR(C236/N236,0))</f>
        <v/>
      </c>
      <c r="AM236" s="17">
        <f>IF(COUNT(C236:P236)=0,"",IFERROR(O236/N236,0))</f>
        <v/>
      </c>
      <c r="AN236" s="17">
        <f>IF(COUNT(C236:P236)=0,"",IFERROR(P236/N236,0))</f>
        <v/>
      </c>
      <c r="AO236" s="19">
        <f>IF(COUNT(C236:P236)=0,"",IFERROR(N236*Config!$C$7+O236*Config!$C$8+P236*Config!$C$9,0))</f>
        <v/>
      </c>
      <c r="AP236" s="14">
        <f>IF(COUNT(C236:P236)=0,"",IFERROR(AO236/N236,0))</f>
        <v/>
      </c>
      <c r="AQ236" s="19">
        <f>IF(COUNT(C236:P236)=0,"",IFERROR(AO236*(1-Config!$C$10-Config!$C$11-Config!$C$12),0))</f>
        <v/>
      </c>
      <c r="AR236" s="19">
        <f>IF(COUNT(C236:P236)=0,"",IFERROR(AQ236-C236-Config!$C$13,0))</f>
        <v/>
      </c>
      <c r="AS236" s="20">
        <f>IF(COUNT(C236:P236)=0,"",IFERROR(AQ236/C236,0))</f>
        <v/>
      </c>
      <c r="AT236" s="14">
        <f>IF(COUNT(C236:P236)=0,"",IFERROR(AR236/G236,0))</f>
        <v/>
      </c>
      <c r="AU236" s="20">
        <f>IF(COUNT(C236:P236)=0,"",IFERROR(AT236/V236,0))</f>
        <v/>
      </c>
      <c r="AV236" s="14">
        <f>IF(COUNT(C236:P236)=0,"",IFERROR(AR236/H236,0))</f>
        <v/>
      </c>
    </row>
    <row r="237">
      <c r="A237" s="11">
        <f>Config!$C$6+231</f>
        <v/>
      </c>
      <c r="B237" s="12">
        <f>INT((A237-Config!$C$6)/7)+1</f>
        <v/>
      </c>
      <c r="C237" s="9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4">
        <f>IF(COUNT(C237:P237)=0,"",IFERROR(C237/D237*1000,0))</f>
        <v/>
      </c>
      <c r="R237" s="15">
        <f>IF(COUNT(C237:P237)=0,"",IFERROR(D237/E237,0))</f>
        <v/>
      </c>
      <c r="S237" s="16">
        <f>IF(COUNT(C237:P237)=0,"",IFERROR(F237/D237,0))</f>
        <v/>
      </c>
      <c r="T237" s="14">
        <f>IF(COUNT(C237:P237)=0,"",IFERROR(C237/F237,0))</f>
        <v/>
      </c>
      <c r="U237" s="17">
        <f>IF(COUNT(C237:P237)=0,"",IFERROR(G237/F237,0))</f>
        <v/>
      </c>
      <c r="V237" s="14">
        <f>IF(COUNT(C237:P237)=0,"",IFERROR(C237/G237,0))</f>
        <v/>
      </c>
      <c r="W237" s="18">
        <f>IF(COUNT(C237:P237)=0,"",IFERROR(G237/D237*1000,0))</f>
        <v/>
      </c>
      <c r="X237" s="17">
        <f>IF(COUNT(C237:P237)=0,"",IFERROR(H237/G237,0))</f>
        <v/>
      </c>
      <c r="Y237" s="14">
        <f>IF(COUNT(C237:P237)=0,"",IFERROR(C237/H237,0))</f>
        <v/>
      </c>
      <c r="Z237" s="14">
        <f>IF(COUNT(C237:P237)=0,"",IFERROR(C237/I237,0))</f>
        <v/>
      </c>
      <c r="AA237" s="17">
        <f>IF(COUNT(C237:P237)=0,"",IFERROR(Y237/Q237,0))</f>
        <v/>
      </c>
      <c r="AB237" s="18">
        <f>IF(COUNT(C237:P237)=0,"",IFERROR(H237/D237*1000,0))</f>
        <v/>
      </c>
      <c r="AC237" s="17">
        <f>IF(COUNT(C237:P237)=0,"",IFERROR(J237/H237,0))</f>
        <v/>
      </c>
      <c r="AD237" s="14">
        <f>IF(COUNT(C237:P237)=0,"",IFERROR(C237/J237,0))</f>
        <v/>
      </c>
      <c r="AE237" s="17">
        <f>IF(COUNT(C237:P237)=0,"",IFERROR(K237/H237,0))</f>
        <v/>
      </c>
      <c r="AF237" s="17">
        <f>IF(COUNT(C237:P237)=0,"",IFERROR(L237/H237,0))</f>
        <v/>
      </c>
      <c r="AG237" s="14">
        <f>IF(COUNT(C237:P237)=0,"",IFERROR(C237/K237,0))</f>
        <v/>
      </c>
      <c r="AH237" s="17">
        <f>IF(COUNT(C237:P237)=0,"",IFERROR(M237/K237,0))</f>
        <v/>
      </c>
      <c r="AI237" s="14">
        <f>IF(COUNT(C237:P237)=0,"",IFERROR(C237/M237,0))</f>
        <v/>
      </c>
      <c r="AJ237" s="17">
        <f>IF(COUNT(C237:P237)=0,"",IFERROR(N237/M237,0))</f>
        <v/>
      </c>
      <c r="AK237" s="16">
        <f>IF(COUNT(C237:P237)=0,"",IFERROR(N237/H237,0))</f>
        <v/>
      </c>
      <c r="AL237" s="14">
        <f>IF(COUNT(C237:P237)=0,"",IFERROR(C237/N237,0))</f>
        <v/>
      </c>
      <c r="AM237" s="17">
        <f>IF(COUNT(C237:P237)=0,"",IFERROR(O237/N237,0))</f>
        <v/>
      </c>
      <c r="AN237" s="17">
        <f>IF(COUNT(C237:P237)=0,"",IFERROR(P237/N237,0))</f>
        <v/>
      </c>
      <c r="AO237" s="19">
        <f>IF(COUNT(C237:P237)=0,"",IFERROR(N237*Config!$C$7+O237*Config!$C$8+P237*Config!$C$9,0))</f>
        <v/>
      </c>
      <c r="AP237" s="14">
        <f>IF(COUNT(C237:P237)=0,"",IFERROR(AO237/N237,0))</f>
        <v/>
      </c>
      <c r="AQ237" s="19">
        <f>IF(COUNT(C237:P237)=0,"",IFERROR(AO237*(1-Config!$C$10-Config!$C$11-Config!$C$12),0))</f>
        <v/>
      </c>
      <c r="AR237" s="19">
        <f>IF(COUNT(C237:P237)=0,"",IFERROR(AQ237-C237-Config!$C$13,0))</f>
        <v/>
      </c>
      <c r="AS237" s="20">
        <f>IF(COUNT(C237:P237)=0,"",IFERROR(AQ237/C237,0))</f>
        <v/>
      </c>
      <c r="AT237" s="14">
        <f>IF(COUNT(C237:P237)=0,"",IFERROR(AR237/G237,0))</f>
        <v/>
      </c>
      <c r="AU237" s="20">
        <f>IF(COUNT(C237:P237)=0,"",IFERROR(AT237/V237,0))</f>
        <v/>
      </c>
      <c r="AV237" s="14">
        <f>IF(COUNT(C237:P237)=0,"",IFERROR(AR237/H237,0))</f>
        <v/>
      </c>
    </row>
    <row r="238">
      <c r="A238" s="11">
        <f>Config!$C$6+232</f>
        <v/>
      </c>
      <c r="B238" s="12">
        <f>INT((A238-Config!$C$6)/7)+1</f>
        <v/>
      </c>
      <c r="C238" s="9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4">
        <f>IF(COUNT(C238:P238)=0,"",IFERROR(C238/D238*1000,0))</f>
        <v/>
      </c>
      <c r="R238" s="15">
        <f>IF(COUNT(C238:P238)=0,"",IFERROR(D238/E238,0))</f>
        <v/>
      </c>
      <c r="S238" s="16">
        <f>IF(COUNT(C238:P238)=0,"",IFERROR(F238/D238,0))</f>
        <v/>
      </c>
      <c r="T238" s="14">
        <f>IF(COUNT(C238:P238)=0,"",IFERROR(C238/F238,0))</f>
        <v/>
      </c>
      <c r="U238" s="17">
        <f>IF(COUNT(C238:P238)=0,"",IFERROR(G238/F238,0))</f>
        <v/>
      </c>
      <c r="V238" s="14">
        <f>IF(COUNT(C238:P238)=0,"",IFERROR(C238/G238,0))</f>
        <v/>
      </c>
      <c r="W238" s="18">
        <f>IF(COUNT(C238:P238)=0,"",IFERROR(G238/D238*1000,0))</f>
        <v/>
      </c>
      <c r="X238" s="17">
        <f>IF(COUNT(C238:P238)=0,"",IFERROR(H238/G238,0))</f>
        <v/>
      </c>
      <c r="Y238" s="14">
        <f>IF(COUNT(C238:P238)=0,"",IFERROR(C238/H238,0))</f>
        <v/>
      </c>
      <c r="Z238" s="14">
        <f>IF(COUNT(C238:P238)=0,"",IFERROR(C238/I238,0))</f>
        <v/>
      </c>
      <c r="AA238" s="17">
        <f>IF(COUNT(C238:P238)=0,"",IFERROR(Y238/Q238,0))</f>
        <v/>
      </c>
      <c r="AB238" s="18">
        <f>IF(COUNT(C238:P238)=0,"",IFERROR(H238/D238*1000,0))</f>
        <v/>
      </c>
      <c r="AC238" s="17">
        <f>IF(COUNT(C238:P238)=0,"",IFERROR(J238/H238,0))</f>
        <v/>
      </c>
      <c r="AD238" s="14">
        <f>IF(COUNT(C238:P238)=0,"",IFERROR(C238/J238,0))</f>
        <v/>
      </c>
      <c r="AE238" s="17">
        <f>IF(COUNT(C238:P238)=0,"",IFERROR(K238/H238,0))</f>
        <v/>
      </c>
      <c r="AF238" s="17">
        <f>IF(COUNT(C238:P238)=0,"",IFERROR(L238/H238,0))</f>
        <v/>
      </c>
      <c r="AG238" s="14">
        <f>IF(COUNT(C238:P238)=0,"",IFERROR(C238/K238,0))</f>
        <v/>
      </c>
      <c r="AH238" s="17">
        <f>IF(COUNT(C238:P238)=0,"",IFERROR(M238/K238,0))</f>
        <v/>
      </c>
      <c r="AI238" s="14">
        <f>IF(COUNT(C238:P238)=0,"",IFERROR(C238/M238,0))</f>
        <v/>
      </c>
      <c r="AJ238" s="17">
        <f>IF(COUNT(C238:P238)=0,"",IFERROR(N238/M238,0))</f>
        <v/>
      </c>
      <c r="AK238" s="16">
        <f>IF(COUNT(C238:P238)=0,"",IFERROR(N238/H238,0))</f>
        <v/>
      </c>
      <c r="AL238" s="14">
        <f>IF(COUNT(C238:P238)=0,"",IFERROR(C238/N238,0))</f>
        <v/>
      </c>
      <c r="AM238" s="17">
        <f>IF(COUNT(C238:P238)=0,"",IFERROR(O238/N238,0))</f>
        <v/>
      </c>
      <c r="AN238" s="17">
        <f>IF(COUNT(C238:P238)=0,"",IFERROR(P238/N238,0))</f>
        <v/>
      </c>
      <c r="AO238" s="19">
        <f>IF(COUNT(C238:P238)=0,"",IFERROR(N238*Config!$C$7+O238*Config!$C$8+P238*Config!$C$9,0))</f>
        <v/>
      </c>
      <c r="AP238" s="14">
        <f>IF(COUNT(C238:P238)=0,"",IFERROR(AO238/N238,0))</f>
        <v/>
      </c>
      <c r="AQ238" s="19">
        <f>IF(COUNT(C238:P238)=0,"",IFERROR(AO238*(1-Config!$C$10-Config!$C$11-Config!$C$12),0))</f>
        <v/>
      </c>
      <c r="AR238" s="19">
        <f>IF(COUNT(C238:P238)=0,"",IFERROR(AQ238-C238-Config!$C$13,0))</f>
        <v/>
      </c>
      <c r="AS238" s="20">
        <f>IF(COUNT(C238:P238)=0,"",IFERROR(AQ238/C238,0))</f>
        <v/>
      </c>
      <c r="AT238" s="14">
        <f>IF(COUNT(C238:P238)=0,"",IFERROR(AR238/G238,0))</f>
        <v/>
      </c>
      <c r="AU238" s="20">
        <f>IF(COUNT(C238:P238)=0,"",IFERROR(AT238/V238,0))</f>
        <v/>
      </c>
      <c r="AV238" s="14">
        <f>IF(COUNT(C238:P238)=0,"",IFERROR(AR238/H238,0))</f>
        <v/>
      </c>
    </row>
    <row r="239">
      <c r="A239" s="11">
        <f>Config!$C$6+233</f>
        <v/>
      </c>
      <c r="B239" s="12">
        <f>INT((A239-Config!$C$6)/7)+1</f>
        <v/>
      </c>
      <c r="C239" s="9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4">
        <f>IF(COUNT(C239:P239)=0,"",IFERROR(C239/D239*1000,0))</f>
        <v/>
      </c>
      <c r="R239" s="15">
        <f>IF(COUNT(C239:P239)=0,"",IFERROR(D239/E239,0))</f>
        <v/>
      </c>
      <c r="S239" s="16">
        <f>IF(COUNT(C239:P239)=0,"",IFERROR(F239/D239,0))</f>
        <v/>
      </c>
      <c r="T239" s="14">
        <f>IF(COUNT(C239:P239)=0,"",IFERROR(C239/F239,0))</f>
        <v/>
      </c>
      <c r="U239" s="17">
        <f>IF(COUNT(C239:P239)=0,"",IFERROR(G239/F239,0))</f>
        <v/>
      </c>
      <c r="V239" s="14">
        <f>IF(COUNT(C239:P239)=0,"",IFERROR(C239/G239,0))</f>
        <v/>
      </c>
      <c r="W239" s="18">
        <f>IF(COUNT(C239:P239)=0,"",IFERROR(G239/D239*1000,0))</f>
        <v/>
      </c>
      <c r="X239" s="17">
        <f>IF(COUNT(C239:P239)=0,"",IFERROR(H239/G239,0))</f>
        <v/>
      </c>
      <c r="Y239" s="14">
        <f>IF(COUNT(C239:P239)=0,"",IFERROR(C239/H239,0))</f>
        <v/>
      </c>
      <c r="Z239" s="14">
        <f>IF(COUNT(C239:P239)=0,"",IFERROR(C239/I239,0))</f>
        <v/>
      </c>
      <c r="AA239" s="17">
        <f>IF(COUNT(C239:P239)=0,"",IFERROR(Y239/Q239,0))</f>
        <v/>
      </c>
      <c r="AB239" s="18">
        <f>IF(COUNT(C239:P239)=0,"",IFERROR(H239/D239*1000,0))</f>
        <v/>
      </c>
      <c r="AC239" s="17">
        <f>IF(COUNT(C239:P239)=0,"",IFERROR(J239/H239,0))</f>
        <v/>
      </c>
      <c r="AD239" s="14">
        <f>IF(COUNT(C239:P239)=0,"",IFERROR(C239/J239,0))</f>
        <v/>
      </c>
      <c r="AE239" s="17">
        <f>IF(COUNT(C239:P239)=0,"",IFERROR(K239/H239,0))</f>
        <v/>
      </c>
      <c r="AF239" s="17">
        <f>IF(COUNT(C239:P239)=0,"",IFERROR(L239/H239,0))</f>
        <v/>
      </c>
      <c r="AG239" s="14">
        <f>IF(COUNT(C239:P239)=0,"",IFERROR(C239/K239,0))</f>
        <v/>
      </c>
      <c r="AH239" s="17">
        <f>IF(COUNT(C239:P239)=0,"",IFERROR(M239/K239,0))</f>
        <v/>
      </c>
      <c r="AI239" s="14">
        <f>IF(COUNT(C239:P239)=0,"",IFERROR(C239/M239,0))</f>
        <v/>
      </c>
      <c r="AJ239" s="17">
        <f>IF(COUNT(C239:P239)=0,"",IFERROR(N239/M239,0))</f>
        <v/>
      </c>
      <c r="AK239" s="16">
        <f>IF(COUNT(C239:P239)=0,"",IFERROR(N239/H239,0))</f>
        <v/>
      </c>
      <c r="AL239" s="14">
        <f>IF(COUNT(C239:P239)=0,"",IFERROR(C239/N239,0))</f>
        <v/>
      </c>
      <c r="AM239" s="17">
        <f>IF(COUNT(C239:P239)=0,"",IFERROR(O239/N239,0))</f>
        <v/>
      </c>
      <c r="AN239" s="17">
        <f>IF(COUNT(C239:P239)=0,"",IFERROR(P239/N239,0))</f>
        <v/>
      </c>
      <c r="AO239" s="19">
        <f>IF(COUNT(C239:P239)=0,"",IFERROR(N239*Config!$C$7+O239*Config!$C$8+P239*Config!$C$9,0))</f>
        <v/>
      </c>
      <c r="AP239" s="14">
        <f>IF(COUNT(C239:P239)=0,"",IFERROR(AO239/N239,0))</f>
        <v/>
      </c>
      <c r="AQ239" s="19">
        <f>IF(COUNT(C239:P239)=0,"",IFERROR(AO239*(1-Config!$C$10-Config!$C$11-Config!$C$12),0))</f>
        <v/>
      </c>
      <c r="AR239" s="19">
        <f>IF(COUNT(C239:P239)=0,"",IFERROR(AQ239-C239-Config!$C$13,0))</f>
        <v/>
      </c>
      <c r="AS239" s="20">
        <f>IF(COUNT(C239:P239)=0,"",IFERROR(AQ239/C239,0))</f>
        <v/>
      </c>
      <c r="AT239" s="14">
        <f>IF(COUNT(C239:P239)=0,"",IFERROR(AR239/G239,0))</f>
        <v/>
      </c>
      <c r="AU239" s="20">
        <f>IF(COUNT(C239:P239)=0,"",IFERROR(AT239/V239,0))</f>
        <v/>
      </c>
      <c r="AV239" s="14">
        <f>IF(COUNT(C239:P239)=0,"",IFERROR(AR239/H239,0))</f>
        <v/>
      </c>
    </row>
    <row r="240">
      <c r="A240" s="11">
        <f>Config!$C$6+234</f>
        <v/>
      </c>
      <c r="B240" s="12">
        <f>INT((A240-Config!$C$6)/7)+1</f>
        <v/>
      </c>
      <c r="C240" s="9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4">
        <f>IF(COUNT(C240:P240)=0,"",IFERROR(C240/D240*1000,0))</f>
        <v/>
      </c>
      <c r="R240" s="15">
        <f>IF(COUNT(C240:P240)=0,"",IFERROR(D240/E240,0))</f>
        <v/>
      </c>
      <c r="S240" s="16">
        <f>IF(COUNT(C240:P240)=0,"",IFERROR(F240/D240,0))</f>
        <v/>
      </c>
      <c r="T240" s="14">
        <f>IF(COUNT(C240:P240)=0,"",IFERROR(C240/F240,0))</f>
        <v/>
      </c>
      <c r="U240" s="17">
        <f>IF(COUNT(C240:P240)=0,"",IFERROR(G240/F240,0))</f>
        <v/>
      </c>
      <c r="V240" s="14">
        <f>IF(COUNT(C240:P240)=0,"",IFERROR(C240/G240,0))</f>
        <v/>
      </c>
      <c r="W240" s="18">
        <f>IF(COUNT(C240:P240)=0,"",IFERROR(G240/D240*1000,0))</f>
        <v/>
      </c>
      <c r="X240" s="17">
        <f>IF(COUNT(C240:P240)=0,"",IFERROR(H240/G240,0))</f>
        <v/>
      </c>
      <c r="Y240" s="14">
        <f>IF(COUNT(C240:P240)=0,"",IFERROR(C240/H240,0))</f>
        <v/>
      </c>
      <c r="Z240" s="14">
        <f>IF(COUNT(C240:P240)=0,"",IFERROR(C240/I240,0))</f>
        <v/>
      </c>
      <c r="AA240" s="17">
        <f>IF(COUNT(C240:P240)=0,"",IFERROR(Y240/Q240,0))</f>
        <v/>
      </c>
      <c r="AB240" s="18">
        <f>IF(COUNT(C240:P240)=0,"",IFERROR(H240/D240*1000,0))</f>
        <v/>
      </c>
      <c r="AC240" s="17">
        <f>IF(COUNT(C240:P240)=0,"",IFERROR(J240/H240,0))</f>
        <v/>
      </c>
      <c r="AD240" s="14">
        <f>IF(COUNT(C240:P240)=0,"",IFERROR(C240/J240,0))</f>
        <v/>
      </c>
      <c r="AE240" s="17">
        <f>IF(COUNT(C240:P240)=0,"",IFERROR(K240/H240,0))</f>
        <v/>
      </c>
      <c r="AF240" s="17">
        <f>IF(COUNT(C240:P240)=0,"",IFERROR(L240/H240,0))</f>
        <v/>
      </c>
      <c r="AG240" s="14">
        <f>IF(COUNT(C240:P240)=0,"",IFERROR(C240/K240,0))</f>
        <v/>
      </c>
      <c r="AH240" s="17">
        <f>IF(COUNT(C240:P240)=0,"",IFERROR(M240/K240,0))</f>
        <v/>
      </c>
      <c r="AI240" s="14">
        <f>IF(COUNT(C240:P240)=0,"",IFERROR(C240/M240,0))</f>
        <v/>
      </c>
      <c r="AJ240" s="17">
        <f>IF(COUNT(C240:P240)=0,"",IFERROR(N240/M240,0))</f>
        <v/>
      </c>
      <c r="AK240" s="16">
        <f>IF(COUNT(C240:P240)=0,"",IFERROR(N240/H240,0))</f>
        <v/>
      </c>
      <c r="AL240" s="14">
        <f>IF(COUNT(C240:P240)=0,"",IFERROR(C240/N240,0))</f>
        <v/>
      </c>
      <c r="AM240" s="17">
        <f>IF(COUNT(C240:P240)=0,"",IFERROR(O240/N240,0))</f>
        <v/>
      </c>
      <c r="AN240" s="17">
        <f>IF(COUNT(C240:P240)=0,"",IFERROR(P240/N240,0))</f>
        <v/>
      </c>
      <c r="AO240" s="19">
        <f>IF(COUNT(C240:P240)=0,"",IFERROR(N240*Config!$C$7+O240*Config!$C$8+P240*Config!$C$9,0))</f>
        <v/>
      </c>
      <c r="AP240" s="14">
        <f>IF(COUNT(C240:P240)=0,"",IFERROR(AO240/N240,0))</f>
        <v/>
      </c>
      <c r="AQ240" s="19">
        <f>IF(COUNT(C240:P240)=0,"",IFERROR(AO240*(1-Config!$C$10-Config!$C$11-Config!$C$12),0))</f>
        <v/>
      </c>
      <c r="AR240" s="19">
        <f>IF(COUNT(C240:P240)=0,"",IFERROR(AQ240-C240-Config!$C$13,0))</f>
        <v/>
      </c>
      <c r="AS240" s="20">
        <f>IF(COUNT(C240:P240)=0,"",IFERROR(AQ240/C240,0))</f>
        <v/>
      </c>
      <c r="AT240" s="14">
        <f>IF(COUNT(C240:P240)=0,"",IFERROR(AR240/G240,0))</f>
        <v/>
      </c>
      <c r="AU240" s="20">
        <f>IF(COUNT(C240:P240)=0,"",IFERROR(AT240/V240,0))</f>
        <v/>
      </c>
      <c r="AV240" s="14">
        <f>IF(COUNT(C240:P240)=0,"",IFERROR(AR240/H240,0))</f>
        <v/>
      </c>
    </row>
    <row r="241">
      <c r="A241" s="11">
        <f>Config!$C$6+235</f>
        <v/>
      </c>
      <c r="B241" s="12">
        <f>INT((A241-Config!$C$6)/7)+1</f>
        <v/>
      </c>
      <c r="C241" s="9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4">
        <f>IF(COUNT(C241:P241)=0,"",IFERROR(C241/D241*1000,0))</f>
        <v/>
      </c>
      <c r="R241" s="15">
        <f>IF(COUNT(C241:P241)=0,"",IFERROR(D241/E241,0))</f>
        <v/>
      </c>
      <c r="S241" s="16">
        <f>IF(COUNT(C241:P241)=0,"",IFERROR(F241/D241,0))</f>
        <v/>
      </c>
      <c r="T241" s="14">
        <f>IF(COUNT(C241:P241)=0,"",IFERROR(C241/F241,0))</f>
        <v/>
      </c>
      <c r="U241" s="17">
        <f>IF(COUNT(C241:P241)=0,"",IFERROR(G241/F241,0))</f>
        <v/>
      </c>
      <c r="V241" s="14">
        <f>IF(COUNT(C241:P241)=0,"",IFERROR(C241/G241,0))</f>
        <v/>
      </c>
      <c r="W241" s="18">
        <f>IF(COUNT(C241:P241)=0,"",IFERROR(G241/D241*1000,0))</f>
        <v/>
      </c>
      <c r="X241" s="17">
        <f>IF(COUNT(C241:P241)=0,"",IFERROR(H241/G241,0))</f>
        <v/>
      </c>
      <c r="Y241" s="14">
        <f>IF(COUNT(C241:P241)=0,"",IFERROR(C241/H241,0))</f>
        <v/>
      </c>
      <c r="Z241" s="14">
        <f>IF(COUNT(C241:P241)=0,"",IFERROR(C241/I241,0))</f>
        <v/>
      </c>
      <c r="AA241" s="17">
        <f>IF(COUNT(C241:P241)=0,"",IFERROR(Y241/Q241,0))</f>
        <v/>
      </c>
      <c r="AB241" s="18">
        <f>IF(COUNT(C241:P241)=0,"",IFERROR(H241/D241*1000,0))</f>
        <v/>
      </c>
      <c r="AC241" s="17">
        <f>IF(COUNT(C241:P241)=0,"",IFERROR(J241/H241,0))</f>
        <v/>
      </c>
      <c r="AD241" s="14">
        <f>IF(COUNT(C241:P241)=0,"",IFERROR(C241/J241,0))</f>
        <v/>
      </c>
      <c r="AE241" s="17">
        <f>IF(COUNT(C241:P241)=0,"",IFERROR(K241/H241,0))</f>
        <v/>
      </c>
      <c r="AF241" s="17">
        <f>IF(COUNT(C241:P241)=0,"",IFERROR(L241/H241,0))</f>
        <v/>
      </c>
      <c r="AG241" s="14">
        <f>IF(COUNT(C241:P241)=0,"",IFERROR(C241/K241,0))</f>
        <v/>
      </c>
      <c r="AH241" s="17">
        <f>IF(COUNT(C241:P241)=0,"",IFERROR(M241/K241,0))</f>
        <v/>
      </c>
      <c r="AI241" s="14">
        <f>IF(COUNT(C241:P241)=0,"",IFERROR(C241/M241,0))</f>
        <v/>
      </c>
      <c r="AJ241" s="17">
        <f>IF(COUNT(C241:P241)=0,"",IFERROR(N241/M241,0))</f>
        <v/>
      </c>
      <c r="AK241" s="16">
        <f>IF(COUNT(C241:P241)=0,"",IFERROR(N241/H241,0))</f>
        <v/>
      </c>
      <c r="AL241" s="14">
        <f>IF(COUNT(C241:P241)=0,"",IFERROR(C241/N241,0))</f>
        <v/>
      </c>
      <c r="AM241" s="17">
        <f>IF(COUNT(C241:P241)=0,"",IFERROR(O241/N241,0))</f>
        <v/>
      </c>
      <c r="AN241" s="17">
        <f>IF(COUNT(C241:P241)=0,"",IFERROR(P241/N241,0))</f>
        <v/>
      </c>
      <c r="AO241" s="19">
        <f>IF(COUNT(C241:P241)=0,"",IFERROR(N241*Config!$C$7+O241*Config!$C$8+P241*Config!$C$9,0))</f>
        <v/>
      </c>
      <c r="AP241" s="14">
        <f>IF(COUNT(C241:P241)=0,"",IFERROR(AO241/N241,0))</f>
        <v/>
      </c>
      <c r="AQ241" s="19">
        <f>IF(COUNT(C241:P241)=0,"",IFERROR(AO241*(1-Config!$C$10-Config!$C$11-Config!$C$12),0))</f>
        <v/>
      </c>
      <c r="AR241" s="19">
        <f>IF(COUNT(C241:P241)=0,"",IFERROR(AQ241-C241-Config!$C$13,0))</f>
        <v/>
      </c>
      <c r="AS241" s="20">
        <f>IF(COUNT(C241:P241)=0,"",IFERROR(AQ241/C241,0))</f>
        <v/>
      </c>
      <c r="AT241" s="14">
        <f>IF(COUNT(C241:P241)=0,"",IFERROR(AR241/G241,0))</f>
        <v/>
      </c>
      <c r="AU241" s="20">
        <f>IF(COUNT(C241:P241)=0,"",IFERROR(AT241/V241,0))</f>
        <v/>
      </c>
      <c r="AV241" s="14">
        <f>IF(COUNT(C241:P241)=0,"",IFERROR(AR241/H241,0))</f>
        <v/>
      </c>
    </row>
    <row r="242">
      <c r="A242" s="11">
        <f>Config!$C$6+236</f>
        <v/>
      </c>
      <c r="B242" s="12">
        <f>INT((A242-Config!$C$6)/7)+1</f>
        <v/>
      </c>
      <c r="C242" s="9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4">
        <f>IF(COUNT(C242:P242)=0,"",IFERROR(C242/D242*1000,0))</f>
        <v/>
      </c>
      <c r="R242" s="15">
        <f>IF(COUNT(C242:P242)=0,"",IFERROR(D242/E242,0))</f>
        <v/>
      </c>
      <c r="S242" s="16">
        <f>IF(COUNT(C242:P242)=0,"",IFERROR(F242/D242,0))</f>
        <v/>
      </c>
      <c r="T242" s="14">
        <f>IF(COUNT(C242:P242)=0,"",IFERROR(C242/F242,0))</f>
        <v/>
      </c>
      <c r="U242" s="17">
        <f>IF(COUNT(C242:P242)=0,"",IFERROR(G242/F242,0))</f>
        <v/>
      </c>
      <c r="V242" s="14">
        <f>IF(COUNT(C242:P242)=0,"",IFERROR(C242/G242,0))</f>
        <v/>
      </c>
      <c r="W242" s="18">
        <f>IF(COUNT(C242:P242)=0,"",IFERROR(G242/D242*1000,0))</f>
        <v/>
      </c>
      <c r="X242" s="17">
        <f>IF(COUNT(C242:P242)=0,"",IFERROR(H242/G242,0))</f>
        <v/>
      </c>
      <c r="Y242" s="14">
        <f>IF(COUNT(C242:P242)=0,"",IFERROR(C242/H242,0))</f>
        <v/>
      </c>
      <c r="Z242" s="14">
        <f>IF(COUNT(C242:P242)=0,"",IFERROR(C242/I242,0))</f>
        <v/>
      </c>
      <c r="AA242" s="17">
        <f>IF(COUNT(C242:P242)=0,"",IFERROR(Y242/Q242,0))</f>
        <v/>
      </c>
      <c r="AB242" s="18">
        <f>IF(COUNT(C242:P242)=0,"",IFERROR(H242/D242*1000,0))</f>
        <v/>
      </c>
      <c r="AC242" s="17">
        <f>IF(COUNT(C242:P242)=0,"",IFERROR(J242/H242,0))</f>
        <v/>
      </c>
      <c r="AD242" s="14">
        <f>IF(COUNT(C242:P242)=0,"",IFERROR(C242/J242,0))</f>
        <v/>
      </c>
      <c r="AE242" s="17">
        <f>IF(COUNT(C242:P242)=0,"",IFERROR(K242/H242,0))</f>
        <v/>
      </c>
      <c r="AF242" s="17">
        <f>IF(COUNT(C242:P242)=0,"",IFERROR(L242/H242,0))</f>
        <v/>
      </c>
      <c r="AG242" s="14">
        <f>IF(COUNT(C242:P242)=0,"",IFERROR(C242/K242,0))</f>
        <v/>
      </c>
      <c r="AH242" s="17">
        <f>IF(COUNT(C242:P242)=0,"",IFERROR(M242/K242,0))</f>
        <v/>
      </c>
      <c r="AI242" s="14">
        <f>IF(COUNT(C242:P242)=0,"",IFERROR(C242/M242,0))</f>
        <v/>
      </c>
      <c r="AJ242" s="17">
        <f>IF(COUNT(C242:P242)=0,"",IFERROR(N242/M242,0))</f>
        <v/>
      </c>
      <c r="AK242" s="16">
        <f>IF(COUNT(C242:P242)=0,"",IFERROR(N242/H242,0))</f>
        <v/>
      </c>
      <c r="AL242" s="14">
        <f>IF(COUNT(C242:P242)=0,"",IFERROR(C242/N242,0))</f>
        <v/>
      </c>
      <c r="AM242" s="17">
        <f>IF(COUNT(C242:P242)=0,"",IFERROR(O242/N242,0))</f>
        <v/>
      </c>
      <c r="AN242" s="17">
        <f>IF(COUNT(C242:P242)=0,"",IFERROR(P242/N242,0))</f>
        <v/>
      </c>
      <c r="AO242" s="19">
        <f>IF(COUNT(C242:P242)=0,"",IFERROR(N242*Config!$C$7+O242*Config!$C$8+P242*Config!$C$9,0))</f>
        <v/>
      </c>
      <c r="AP242" s="14">
        <f>IF(COUNT(C242:P242)=0,"",IFERROR(AO242/N242,0))</f>
        <v/>
      </c>
      <c r="AQ242" s="19">
        <f>IF(COUNT(C242:P242)=0,"",IFERROR(AO242*(1-Config!$C$10-Config!$C$11-Config!$C$12),0))</f>
        <v/>
      </c>
      <c r="AR242" s="19">
        <f>IF(COUNT(C242:P242)=0,"",IFERROR(AQ242-C242-Config!$C$13,0))</f>
        <v/>
      </c>
      <c r="AS242" s="20">
        <f>IF(COUNT(C242:P242)=0,"",IFERROR(AQ242/C242,0))</f>
        <v/>
      </c>
      <c r="AT242" s="14">
        <f>IF(COUNT(C242:P242)=0,"",IFERROR(AR242/G242,0))</f>
        <v/>
      </c>
      <c r="AU242" s="20">
        <f>IF(COUNT(C242:P242)=0,"",IFERROR(AT242/V242,0))</f>
        <v/>
      </c>
      <c r="AV242" s="14">
        <f>IF(COUNT(C242:P242)=0,"",IFERROR(AR242/H242,0))</f>
        <v/>
      </c>
    </row>
    <row r="243">
      <c r="A243" s="11">
        <f>Config!$C$6+237</f>
        <v/>
      </c>
      <c r="B243" s="12">
        <f>INT((A243-Config!$C$6)/7)+1</f>
        <v/>
      </c>
      <c r="C243" s="9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4">
        <f>IF(COUNT(C243:P243)=0,"",IFERROR(C243/D243*1000,0))</f>
        <v/>
      </c>
      <c r="R243" s="15">
        <f>IF(COUNT(C243:P243)=0,"",IFERROR(D243/E243,0))</f>
        <v/>
      </c>
      <c r="S243" s="16">
        <f>IF(COUNT(C243:P243)=0,"",IFERROR(F243/D243,0))</f>
        <v/>
      </c>
      <c r="T243" s="14">
        <f>IF(COUNT(C243:P243)=0,"",IFERROR(C243/F243,0))</f>
        <v/>
      </c>
      <c r="U243" s="17">
        <f>IF(COUNT(C243:P243)=0,"",IFERROR(G243/F243,0))</f>
        <v/>
      </c>
      <c r="V243" s="14">
        <f>IF(COUNT(C243:P243)=0,"",IFERROR(C243/G243,0))</f>
        <v/>
      </c>
      <c r="W243" s="18">
        <f>IF(COUNT(C243:P243)=0,"",IFERROR(G243/D243*1000,0))</f>
        <v/>
      </c>
      <c r="X243" s="17">
        <f>IF(COUNT(C243:P243)=0,"",IFERROR(H243/G243,0))</f>
        <v/>
      </c>
      <c r="Y243" s="14">
        <f>IF(COUNT(C243:P243)=0,"",IFERROR(C243/H243,0))</f>
        <v/>
      </c>
      <c r="Z243" s="14">
        <f>IF(COUNT(C243:P243)=0,"",IFERROR(C243/I243,0))</f>
        <v/>
      </c>
      <c r="AA243" s="17">
        <f>IF(COUNT(C243:P243)=0,"",IFERROR(Y243/Q243,0))</f>
        <v/>
      </c>
      <c r="AB243" s="18">
        <f>IF(COUNT(C243:P243)=0,"",IFERROR(H243/D243*1000,0))</f>
        <v/>
      </c>
      <c r="AC243" s="17">
        <f>IF(COUNT(C243:P243)=0,"",IFERROR(J243/H243,0))</f>
        <v/>
      </c>
      <c r="AD243" s="14">
        <f>IF(COUNT(C243:P243)=0,"",IFERROR(C243/J243,0))</f>
        <v/>
      </c>
      <c r="AE243" s="17">
        <f>IF(COUNT(C243:P243)=0,"",IFERROR(K243/H243,0))</f>
        <v/>
      </c>
      <c r="AF243" s="17">
        <f>IF(COUNT(C243:P243)=0,"",IFERROR(L243/H243,0))</f>
        <v/>
      </c>
      <c r="AG243" s="14">
        <f>IF(COUNT(C243:P243)=0,"",IFERROR(C243/K243,0))</f>
        <v/>
      </c>
      <c r="AH243" s="17">
        <f>IF(COUNT(C243:P243)=0,"",IFERROR(M243/K243,0))</f>
        <v/>
      </c>
      <c r="AI243" s="14">
        <f>IF(COUNT(C243:P243)=0,"",IFERROR(C243/M243,0))</f>
        <v/>
      </c>
      <c r="AJ243" s="17">
        <f>IF(COUNT(C243:P243)=0,"",IFERROR(N243/M243,0))</f>
        <v/>
      </c>
      <c r="AK243" s="16">
        <f>IF(COUNT(C243:P243)=0,"",IFERROR(N243/H243,0))</f>
        <v/>
      </c>
      <c r="AL243" s="14">
        <f>IF(COUNT(C243:P243)=0,"",IFERROR(C243/N243,0))</f>
        <v/>
      </c>
      <c r="AM243" s="17">
        <f>IF(COUNT(C243:P243)=0,"",IFERROR(O243/N243,0))</f>
        <v/>
      </c>
      <c r="AN243" s="17">
        <f>IF(COUNT(C243:P243)=0,"",IFERROR(P243/N243,0))</f>
        <v/>
      </c>
      <c r="AO243" s="19">
        <f>IF(COUNT(C243:P243)=0,"",IFERROR(N243*Config!$C$7+O243*Config!$C$8+P243*Config!$C$9,0))</f>
        <v/>
      </c>
      <c r="AP243" s="14">
        <f>IF(COUNT(C243:P243)=0,"",IFERROR(AO243/N243,0))</f>
        <v/>
      </c>
      <c r="AQ243" s="19">
        <f>IF(COUNT(C243:P243)=0,"",IFERROR(AO243*(1-Config!$C$10-Config!$C$11-Config!$C$12),0))</f>
        <v/>
      </c>
      <c r="AR243" s="19">
        <f>IF(COUNT(C243:P243)=0,"",IFERROR(AQ243-C243-Config!$C$13,0))</f>
        <v/>
      </c>
      <c r="AS243" s="20">
        <f>IF(COUNT(C243:P243)=0,"",IFERROR(AQ243/C243,0))</f>
        <v/>
      </c>
      <c r="AT243" s="14">
        <f>IF(COUNT(C243:P243)=0,"",IFERROR(AR243/G243,0))</f>
        <v/>
      </c>
      <c r="AU243" s="20">
        <f>IF(COUNT(C243:P243)=0,"",IFERROR(AT243/V243,0))</f>
        <v/>
      </c>
      <c r="AV243" s="14">
        <f>IF(COUNT(C243:P243)=0,"",IFERROR(AR243/H243,0))</f>
        <v/>
      </c>
    </row>
    <row r="244">
      <c r="A244" s="11">
        <f>Config!$C$6+238</f>
        <v/>
      </c>
      <c r="B244" s="12">
        <f>INT((A244-Config!$C$6)/7)+1</f>
        <v/>
      </c>
      <c r="C244" s="9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4">
        <f>IF(COUNT(C244:P244)=0,"",IFERROR(C244/D244*1000,0))</f>
        <v/>
      </c>
      <c r="R244" s="15">
        <f>IF(COUNT(C244:P244)=0,"",IFERROR(D244/E244,0))</f>
        <v/>
      </c>
      <c r="S244" s="16">
        <f>IF(COUNT(C244:P244)=0,"",IFERROR(F244/D244,0))</f>
        <v/>
      </c>
      <c r="T244" s="14">
        <f>IF(COUNT(C244:P244)=0,"",IFERROR(C244/F244,0))</f>
        <v/>
      </c>
      <c r="U244" s="17">
        <f>IF(COUNT(C244:P244)=0,"",IFERROR(G244/F244,0))</f>
        <v/>
      </c>
      <c r="V244" s="14">
        <f>IF(COUNT(C244:P244)=0,"",IFERROR(C244/G244,0))</f>
        <v/>
      </c>
      <c r="W244" s="18">
        <f>IF(COUNT(C244:P244)=0,"",IFERROR(G244/D244*1000,0))</f>
        <v/>
      </c>
      <c r="X244" s="17">
        <f>IF(COUNT(C244:P244)=0,"",IFERROR(H244/G244,0))</f>
        <v/>
      </c>
      <c r="Y244" s="14">
        <f>IF(COUNT(C244:P244)=0,"",IFERROR(C244/H244,0))</f>
        <v/>
      </c>
      <c r="Z244" s="14">
        <f>IF(COUNT(C244:P244)=0,"",IFERROR(C244/I244,0))</f>
        <v/>
      </c>
      <c r="AA244" s="17">
        <f>IF(COUNT(C244:P244)=0,"",IFERROR(Y244/Q244,0))</f>
        <v/>
      </c>
      <c r="AB244" s="18">
        <f>IF(COUNT(C244:P244)=0,"",IFERROR(H244/D244*1000,0))</f>
        <v/>
      </c>
      <c r="AC244" s="17">
        <f>IF(COUNT(C244:P244)=0,"",IFERROR(J244/H244,0))</f>
        <v/>
      </c>
      <c r="AD244" s="14">
        <f>IF(COUNT(C244:P244)=0,"",IFERROR(C244/J244,0))</f>
        <v/>
      </c>
      <c r="AE244" s="17">
        <f>IF(COUNT(C244:P244)=0,"",IFERROR(K244/H244,0))</f>
        <v/>
      </c>
      <c r="AF244" s="17">
        <f>IF(COUNT(C244:P244)=0,"",IFERROR(L244/H244,0))</f>
        <v/>
      </c>
      <c r="AG244" s="14">
        <f>IF(COUNT(C244:P244)=0,"",IFERROR(C244/K244,0))</f>
        <v/>
      </c>
      <c r="AH244" s="17">
        <f>IF(COUNT(C244:P244)=0,"",IFERROR(M244/K244,0))</f>
        <v/>
      </c>
      <c r="AI244" s="14">
        <f>IF(COUNT(C244:P244)=0,"",IFERROR(C244/M244,0))</f>
        <v/>
      </c>
      <c r="AJ244" s="17">
        <f>IF(COUNT(C244:P244)=0,"",IFERROR(N244/M244,0))</f>
        <v/>
      </c>
      <c r="AK244" s="16">
        <f>IF(COUNT(C244:P244)=0,"",IFERROR(N244/H244,0))</f>
        <v/>
      </c>
      <c r="AL244" s="14">
        <f>IF(COUNT(C244:P244)=0,"",IFERROR(C244/N244,0))</f>
        <v/>
      </c>
      <c r="AM244" s="17">
        <f>IF(COUNT(C244:P244)=0,"",IFERROR(O244/N244,0))</f>
        <v/>
      </c>
      <c r="AN244" s="17">
        <f>IF(COUNT(C244:P244)=0,"",IFERROR(P244/N244,0))</f>
        <v/>
      </c>
      <c r="AO244" s="19">
        <f>IF(COUNT(C244:P244)=0,"",IFERROR(N244*Config!$C$7+O244*Config!$C$8+P244*Config!$C$9,0))</f>
        <v/>
      </c>
      <c r="AP244" s="14">
        <f>IF(COUNT(C244:P244)=0,"",IFERROR(AO244/N244,0))</f>
        <v/>
      </c>
      <c r="AQ244" s="19">
        <f>IF(COUNT(C244:P244)=0,"",IFERROR(AO244*(1-Config!$C$10-Config!$C$11-Config!$C$12),0))</f>
        <v/>
      </c>
      <c r="AR244" s="19">
        <f>IF(COUNT(C244:P244)=0,"",IFERROR(AQ244-C244-Config!$C$13,0))</f>
        <v/>
      </c>
      <c r="AS244" s="20">
        <f>IF(COUNT(C244:P244)=0,"",IFERROR(AQ244/C244,0))</f>
        <v/>
      </c>
      <c r="AT244" s="14">
        <f>IF(COUNT(C244:P244)=0,"",IFERROR(AR244/G244,0))</f>
        <v/>
      </c>
      <c r="AU244" s="20">
        <f>IF(COUNT(C244:P244)=0,"",IFERROR(AT244/V244,0))</f>
        <v/>
      </c>
      <c r="AV244" s="14">
        <f>IF(COUNT(C244:P244)=0,"",IFERROR(AR244/H244,0))</f>
        <v/>
      </c>
    </row>
    <row r="245">
      <c r="A245" s="11">
        <f>Config!$C$6+239</f>
        <v/>
      </c>
      <c r="B245" s="12">
        <f>INT((A245-Config!$C$6)/7)+1</f>
        <v/>
      </c>
      <c r="C245" s="9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4">
        <f>IF(COUNT(C245:P245)=0,"",IFERROR(C245/D245*1000,0))</f>
        <v/>
      </c>
      <c r="R245" s="15">
        <f>IF(COUNT(C245:P245)=0,"",IFERROR(D245/E245,0))</f>
        <v/>
      </c>
      <c r="S245" s="16">
        <f>IF(COUNT(C245:P245)=0,"",IFERROR(F245/D245,0))</f>
        <v/>
      </c>
      <c r="T245" s="14">
        <f>IF(COUNT(C245:P245)=0,"",IFERROR(C245/F245,0))</f>
        <v/>
      </c>
      <c r="U245" s="17">
        <f>IF(COUNT(C245:P245)=0,"",IFERROR(G245/F245,0))</f>
        <v/>
      </c>
      <c r="V245" s="14">
        <f>IF(COUNT(C245:P245)=0,"",IFERROR(C245/G245,0))</f>
        <v/>
      </c>
      <c r="W245" s="18">
        <f>IF(COUNT(C245:P245)=0,"",IFERROR(G245/D245*1000,0))</f>
        <v/>
      </c>
      <c r="X245" s="17">
        <f>IF(COUNT(C245:P245)=0,"",IFERROR(H245/G245,0))</f>
        <v/>
      </c>
      <c r="Y245" s="14">
        <f>IF(COUNT(C245:P245)=0,"",IFERROR(C245/H245,0))</f>
        <v/>
      </c>
      <c r="Z245" s="14">
        <f>IF(COUNT(C245:P245)=0,"",IFERROR(C245/I245,0))</f>
        <v/>
      </c>
      <c r="AA245" s="17">
        <f>IF(COUNT(C245:P245)=0,"",IFERROR(Y245/Q245,0))</f>
        <v/>
      </c>
      <c r="AB245" s="18">
        <f>IF(COUNT(C245:P245)=0,"",IFERROR(H245/D245*1000,0))</f>
        <v/>
      </c>
      <c r="AC245" s="17">
        <f>IF(COUNT(C245:P245)=0,"",IFERROR(J245/H245,0))</f>
        <v/>
      </c>
      <c r="AD245" s="14">
        <f>IF(COUNT(C245:P245)=0,"",IFERROR(C245/J245,0))</f>
        <v/>
      </c>
      <c r="AE245" s="17">
        <f>IF(COUNT(C245:P245)=0,"",IFERROR(K245/H245,0))</f>
        <v/>
      </c>
      <c r="AF245" s="17">
        <f>IF(COUNT(C245:P245)=0,"",IFERROR(L245/H245,0))</f>
        <v/>
      </c>
      <c r="AG245" s="14">
        <f>IF(COUNT(C245:P245)=0,"",IFERROR(C245/K245,0))</f>
        <v/>
      </c>
      <c r="AH245" s="17">
        <f>IF(COUNT(C245:P245)=0,"",IFERROR(M245/K245,0))</f>
        <v/>
      </c>
      <c r="AI245" s="14">
        <f>IF(COUNT(C245:P245)=0,"",IFERROR(C245/M245,0))</f>
        <v/>
      </c>
      <c r="AJ245" s="17">
        <f>IF(COUNT(C245:P245)=0,"",IFERROR(N245/M245,0))</f>
        <v/>
      </c>
      <c r="AK245" s="16">
        <f>IF(COUNT(C245:P245)=0,"",IFERROR(N245/H245,0))</f>
        <v/>
      </c>
      <c r="AL245" s="14">
        <f>IF(COUNT(C245:P245)=0,"",IFERROR(C245/N245,0))</f>
        <v/>
      </c>
      <c r="AM245" s="17">
        <f>IF(COUNT(C245:P245)=0,"",IFERROR(O245/N245,0))</f>
        <v/>
      </c>
      <c r="AN245" s="17">
        <f>IF(COUNT(C245:P245)=0,"",IFERROR(P245/N245,0))</f>
        <v/>
      </c>
      <c r="AO245" s="19">
        <f>IF(COUNT(C245:P245)=0,"",IFERROR(N245*Config!$C$7+O245*Config!$C$8+P245*Config!$C$9,0))</f>
        <v/>
      </c>
      <c r="AP245" s="14">
        <f>IF(COUNT(C245:P245)=0,"",IFERROR(AO245/N245,0))</f>
        <v/>
      </c>
      <c r="AQ245" s="19">
        <f>IF(COUNT(C245:P245)=0,"",IFERROR(AO245*(1-Config!$C$10-Config!$C$11-Config!$C$12),0))</f>
        <v/>
      </c>
      <c r="AR245" s="19">
        <f>IF(COUNT(C245:P245)=0,"",IFERROR(AQ245-C245-Config!$C$13,0))</f>
        <v/>
      </c>
      <c r="AS245" s="20">
        <f>IF(COUNT(C245:P245)=0,"",IFERROR(AQ245/C245,0))</f>
        <v/>
      </c>
      <c r="AT245" s="14">
        <f>IF(COUNT(C245:P245)=0,"",IFERROR(AR245/G245,0))</f>
        <v/>
      </c>
      <c r="AU245" s="20">
        <f>IF(COUNT(C245:P245)=0,"",IFERROR(AT245/V245,0))</f>
        <v/>
      </c>
      <c r="AV245" s="14">
        <f>IF(COUNT(C245:P245)=0,"",IFERROR(AR245/H245,0))</f>
        <v/>
      </c>
    </row>
    <row r="246">
      <c r="A246" s="11">
        <f>Config!$C$6+240</f>
        <v/>
      </c>
      <c r="B246" s="12">
        <f>INT((A246-Config!$C$6)/7)+1</f>
        <v/>
      </c>
      <c r="C246" s="9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4">
        <f>IF(COUNT(C246:P246)=0,"",IFERROR(C246/D246*1000,0))</f>
        <v/>
      </c>
      <c r="R246" s="15">
        <f>IF(COUNT(C246:P246)=0,"",IFERROR(D246/E246,0))</f>
        <v/>
      </c>
      <c r="S246" s="16">
        <f>IF(COUNT(C246:P246)=0,"",IFERROR(F246/D246,0))</f>
        <v/>
      </c>
      <c r="T246" s="14">
        <f>IF(COUNT(C246:P246)=0,"",IFERROR(C246/F246,0))</f>
        <v/>
      </c>
      <c r="U246" s="17">
        <f>IF(COUNT(C246:P246)=0,"",IFERROR(G246/F246,0))</f>
        <v/>
      </c>
      <c r="V246" s="14">
        <f>IF(COUNT(C246:P246)=0,"",IFERROR(C246/G246,0))</f>
        <v/>
      </c>
      <c r="W246" s="18">
        <f>IF(COUNT(C246:P246)=0,"",IFERROR(G246/D246*1000,0))</f>
        <v/>
      </c>
      <c r="X246" s="17">
        <f>IF(COUNT(C246:P246)=0,"",IFERROR(H246/G246,0))</f>
        <v/>
      </c>
      <c r="Y246" s="14">
        <f>IF(COUNT(C246:P246)=0,"",IFERROR(C246/H246,0))</f>
        <v/>
      </c>
      <c r="Z246" s="14">
        <f>IF(COUNT(C246:P246)=0,"",IFERROR(C246/I246,0))</f>
        <v/>
      </c>
      <c r="AA246" s="17">
        <f>IF(COUNT(C246:P246)=0,"",IFERROR(Y246/Q246,0))</f>
        <v/>
      </c>
      <c r="AB246" s="18">
        <f>IF(COUNT(C246:P246)=0,"",IFERROR(H246/D246*1000,0))</f>
        <v/>
      </c>
      <c r="AC246" s="17">
        <f>IF(COUNT(C246:P246)=0,"",IFERROR(J246/H246,0))</f>
        <v/>
      </c>
      <c r="AD246" s="14">
        <f>IF(COUNT(C246:P246)=0,"",IFERROR(C246/J246,0))</f>
        <v/>
      </c>
      <c r="AE246" s="17">
        <f>IF(COUNT(C246:P246)=0,"",IFERROR(K246/H246,0))</f>
        <v/>
      </c>
      <c r="AF246" s="17">
        <f>IF(COUNT(C246:P246)=0,"",IFERROR(L246/H246,0))</f>
        <v/>
      </c>
      <c r="AG246" s="14">
        <f>IF(COUNT(C246:P246)=0,"",IFERROR(C246/K246,0))</f>
        <v/>
      </c>
      <c r="AH246" s="17">
        <f>IF(COUNT(C246:P246)=0,"",IFERROR(M246/K246,0))</f>
        <v/>
      </c>
      <c r="AI246" s="14">
        <f>IF(COUNT(C246:P246)=0,"",IFERROR(C246/M246,0))</f>
        <v/>
      </c>
      <c r="AJ246" s="17">
        <f>IF(COUNT(C246:P246)=0,"",IFERROR(N246/M246,0))</f>
        <v/>
      </c>
      <c r="AK246" s="16">
        <f>IF(COUNT(C246:P246)=0,"",IFERROR(N246/H246,0))</f>
        <v/>
      </c>
      <c r="AL246" s="14">
        <f>IF(COUNT(C246:P246)=0,"",IFERROR(C246/N246,0))</f>
        <v/>
      </c>
      <c r="AM246" s="17">
        <f>IF(COUNT(C246:P246)=0,"",IFERROR(O246/N246,0))</f>
        <v/>
      </c>
      <c r="AN246" s="17">
        <f>IF(COUNT(C246:P246)=0,"",IFERROR(P246/N246,0))</f>
        <v/>
      </c>
      <c r="AO246" s="19">
        <f>IF(COUNT(C246:P246)=0,"",IFERROR(N246*Config!$C$7+O246*Config!$C$8+P246*Config!$C$9,0))</f>
        <v/>
      </c>
      <c r="AP246" s="14">
        <f>IF(COUNT(C246:P246)=0,"",IFERROR(AO246/N246,0))</f>
        <v/>
      </c>
      <c r="AQ246" s="19">
        <f>IF(COUNT(C246:P246)=0,"",IFERROR(AO246*(1-Config!$C$10-Config!$C$11-Config!$C$12),0))</f>
        <v/>
      </c>
      <c r="AR246" s="19">
        <f>IF(COUNT(C246:P246)=0,"",IFERROR(AQ246-C246-Config!$C$13,0))</f>
        <v/>
      </c>
      <c r="AS246" s="20">
        <f>IF(COUNT(C246:P246)=0,"",IFERROR(AQ246/C246,0))</f>
        <v/>
      </c>
      <c r="AT246" s="14">
        <f>IF(COUNT(C246:P246)=0,"",IFERROR(AR246/G246,0))</f>
        <v/>
      </c>
      <c r="AU246" s="20">
        <f>IF(COUNT(C246:P246)=0,"",IFERROR(AT246/V246,0))</f>
        <v/>
      </c>
      <c r="AV246" s="14">
        <f>IF(COUNT(C246:P246)=0,"",IFERROR(AR246/H246,0))</f>
        <v/>
      </c>
    </row>
    <row r="247">
      <c r="A247" s="11">
        <f>Config!$C$6+241</f>
        <v/>
      </c>
      <c r="B247" s="12">
        <f>INT((A247-Config!$C$6)/7)+1</f>
        <v/>
      </c>
      <c r="C247" s="9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4">
        <f>IF(COUNT(C247:P247)=0,"",IFERROR(C247/D247*1000,0))</f>
        <v/>
      </c>
      <c r="R247" s="15">
        <f>IF(COUNT(C247:P247)=0,"",IFERROR(D247/E247,0))</f>
        <v/>
      </c>
      <c r="S247" s="16">
        <f>IF(COUNT(C247:P247)=0,"",IFERROR(F247/D247,0))</f>
        <v/>
      </c>
      <c r="T247" s="14">
        <f>IF(COUNT(C247:P247)=0,"",IFERROR(C247/F247,0))</f>
        <v/>
      </c>
      <c r="U247" s="17">
        <f>IF(COUNT(C247:P247)=0,"",IFERROR(G247/F247,0))</f>
        <v/>
      </c>
      <c r="V247" s="14">
        <f>IF(COUNT(C247:P247)=0,"",IFERROR(C247/G247,0))</f>
        <v/>
      </c>
      <c r="W247" s="18">
        <f>IF(COUNT(C247:P247)=0,"",IFERROR(G247/D247*1000,0))</f>
        <v/>
      </c>
      <c r="X247" s="17">
        <f>IF(COUNT(C247:P247)=0,"",IFERROR(H247/G247,0))</f>
        <v/>
      </c>
      <c r="Y247" s="14">
        <f>IF(COUNT(C247:P247)=0,"",IFERROR(C247/H247,0))</f>
        <v/>
      </c>
      <c r="Z247" s="14">
        <f>IF(COUNT(C247:P247)=0,"",IFERROR(C247/I247,0))</f>
        <v/>
      </c>
      <c r="AA247" s="17">
        <f>IF(COUNT(C247:P247)=0,"",IFERROR(Y247/Q247,0))</f>
        <v/>
      </c>
      <c r="AB247" s="18">
        <f>IF(COUNT(C247:P247)=0,"",IFERROR(H247/D247*1000,0))</f>
        <v/>
      </c>
      <c r="AC247" s="17">
        <f>IF(COUNT(C247:P247)=0,"",IFERROR(J247/H247,0))</f>
        <v/>
      </c>
      <c r="AD247" s="14">
        <f>IF(COUNT(C247:P247)=0,"",IFERROR(C247/J247,0))</f>
        <v/>
      </c>
      <c r="AE247" s="17">
        <f>IF(COUNT(C247:P247)=0,"",IFERROR(K247/H247,0))</f>
        <v/>
      </c>
      <c r="AF247" s="17">
        <f>IF(COUNT(C247:P247)=0,"",IFERROR(L247/H247,0))</f>
        <v/>
      </c>
      <c r="AG247" s="14">
        <f>IF(COUNT(C247:P247)=0,"",IFERROR(C247/K247,0))</f>
        <v/>
      </c>
      <c r="AH247" s="17">
        <f>IF(COUNT(C247:P247)=0,"",IFERROR(M247/K247,0))</f>
        <v/>
      </c>
      <c r="AI247" s="14">
        <f>IF(COUNT(C247:P247)=0,"",IFERROR(C247/M247,0))</f>
        <v/>
      </c>
      <c r="AJ247" s="17">
        <f>IF(COUNT(C247:P247)=0,"",IFERROR(N247/M247,0))</f>
        <v/>
      </c>
      <c r="AK247" s="16">
        <f>IF(COUNT(C247:P247)=0,"",IFERROR(N247/H247,0))</f>
        <v/>
      </c>
      <c r="AL247" s="14">
        <f>IF(COUNT(C247:P247)=0,"",IFERROR(C247/N247,0))</f>
        <v/>
      </c>
      <c r="AM247" s="17">
        <f>IF(COUNT(C247:P247)=0,"",IFERROR(O247/N247,0))</f>
        <v/>
      </c>
      <c r="AN247" s="17">
        <f>IF(COUNT(C247:P247)=0,"",IFERROR(P247/N247,0))</f>
        <v/>
      </c>
      <c r="AO247" s="19">
        <f>IF(COUNT(C247:P247)=0,"",IFERROR(N247*Config!$C$7+O247*Config!$C$8+P247*Config!$C$9,0))</f>
        <v/>
      </c>
      <c r="AP247" s="14">
        <f>IF(COUNT(C247:P247)=0,"",IFERROR(AO247/N247,0))</f>
        <v/>
      </c>
      <c r="AQ247" s="19">
        <f>IF(COUNT(C247:P247)=0,"",IFERROR(AO247*(1-Config!$C$10-Config!$C$11-Config!$C$12),0))</f>
        <v/>
      </c>
      <c r="AR247" s="19">
        <f>IF(COUNT(C247:P247)=0,"",IFERROR(AQ247-C247-Config!$C$13,0))</f>
        <v/>
      </c>
      <c r="AS247" s="20">
        <f>IF(COUNT(C247:P247)=0,"",IFERROR(AQ247/C247,0))</f>
        <v/>
      </c>
      <c r="AT247" s="14">
        <f>IF(COUNT(C247:P247)=0,"",IFERROR(AR247/G247,0))</f>
        <v/>
      </c>
      <c r="AU247" s="20">
        <f>IF(COUNT(C247:P247)=0,"",IFERROR(AT247/V247,0))</f>
        <v/>
      </c>
      <c r="AV247" s="14">
        <f>IF(COUNT(C247:P247)=0,"",IFERROR(AR247/H247,0))</f>
        <v/>
      </c>
    </row>
    <row r="248">
      <c r="A248" s="11">
        <f>Config!$C$6+242</f>
        <v/>
      </c>
      <c r="B248" s="12">
        <f>INT((A248-Config!$C$6)/7)+1</f>
        <v/>
      </c>
      <c r="C248" s="9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4">
        <f>IF(COUNT(C248:P248)=0,"",IFERROR(C248/D248*1000,0))</f>
        <v/>
      </c>
      <c r="R248" s="15">
        <f>IF(COUNT(C248:P248)=0,"",IFERROR(D248/E248,0))</f>
        <v/>
      </c>
      <c r="S248" s="16">
        <f>IF(COUNT(C248:P248)=0,"",IFERROR(F248/D248,0))</f>
        <v/>
      </c>
      <c r="T248" s="14">
        <f>IF(COUNT(C248:P248)=0,"",IFERROR(C248/F248,0))</f>
        <v/>
      </c>
      <c r="U248" s="17">
        <f>IF(COUNT(C248:P248)=0,"",IFERROR(G248/F248,0))</f>
        <v/>
      </c>
      <c r="V248" s="14">
        <f>IF(COUNT(C248:P248)=0,"",IFERROR(C248/G248,0))</f>
        <v/>
      </c>
      <c r="W248" s="18">
        <f>IF(COUNT(C248:P248)=0,"",IFERROR(G248/D248*1000,0))</f>
        <v/>
      </c>
      <c r="X248" s="17">
        <f>IF(COUNT(C248:P248)=0,"",IFERROR(H248/G248,0))</f>
        <v/>
      </c>
      <c r="Y248" s="14">
        <f>IF(COUNT(C248:P248)=0,"",IFERROR(C248/H248,0))</f>
        <v/>
      </c>
      <c r="Z248" s="14">
        <f>IF(COUNT(C248:P248)=0,"",IFERROR(C248/I248,0))</f>
        <v/>
      </c>
      <c r="AA248" s="17">
        <f>IF(COUNT(C248:P248)=0,"",IFERROR(Y248/Q248,0))</f>
        <v/>
      </c>
      <c r="AB248" s="18">
        <f>IF(COUNT(C248:P248)=0,"",IFERROR(H248/D248*1000,0))</f>
        <v/>
      </c>
      <c r="AC248" s="17">
        <f>IF(COUNT(C248:P248)=0,"",IFERROR(J248/H248,0))</f>
        <v/>
      </c>
      <c r="AD248" s="14">
        <f>IF(COUNT(C248:P248)=0,"",IFERROR(C248/J248,0))</f>
        <v/>
      </c>
      <c r="AE248" s="17">
        <f>IF(COUNT(C248:P248)=0,"",IFERROR(K248/H248,0))</f>
        <v/>
      </c>
      <c r="AF248" s="17">
        <f>IF(COUNT(C248:P248)=0,"",IFERROR(L248/H248,0))</f>
        <v/>
      </c>
      <c r="AG248" s="14">
        <f>IF(COUNT(C248:P248)=0,"",IFERROR(C248/K248,0))</f>
        <v/>
      </c>
      <c r="AH248" s="17">
        <f>IF(COUNT(C248:P248)=0,"",IFERROR(M248/K248,0))</f>
        <v/>
      </c>
      <c r="AI248" s="14">
        <f>IF(COUNT(C248:P248)=0,"",IFERROR(C248/M248,0))</f>
        <v/>
      </c>
      <c r="AJ248" s="17">
        <f>IF(COUNT(C248:P248)=0,"",IFERROR(N248/M248,0))</f>
        <v/>
      </c>
      <c r="AK248" s="16">
        <f>IF(COUNT(C248:P248)=0,"",IFERROR(N248/H248,0))</f>
        <v/>
      </c>
      <c r="AL248" s="14">
        <f>IF(COUNT(C248:P248)=0,"",IFERROR(C248/N248,0))</f>
        <v/>
      </c>
      <c r="AM248" s="17">
        <f>IF(COUNT(C248:P248)=0,"",IFERROR(O248/N248,0))</f>
        <v/>
      </c>
      <c r="AN248" s="17">
        <f>IF(COUNT(C248:P248)=0,"",IFERROR(P248/N248,0))</f>
        <v/>
      </c>
      <c r="AO248" s="19">
        <f>IF(COUNT(C248:P248)=0,"",IFERROR(N248*Config!$C$7+O248*Config!$C$8+P248*Config!$C$9,0))</f>
        <v/>
      </c>
      <c r="AP248" s="14">
        <f>IF(COUNT(C248:P248)=0,"",IFERROR(AO248/N248,0))</f>
        <v/>
      </c>
      <c r="AQ248" s="19">
        <f>IF(COUNT(C248:P248)=0,"",IFERROR(AO248*(1-Config!$C$10-Config!$C$11-Config!$C$12),0))</f>
        <v/>
      </c>
      <c r="AR248" s="19">
        <f>IF(COUNT(C248:P248)=0,"",IFERROR(AQ248-C248-Config!$C$13,0))</f>
        <v/>
      </c>
      <c r="AS248" s="20">
        <f>IF(COUNT(C248:P248)=0,"",IFERROR(AQ248/C248,0))</f>
        <v/>
      </c>
      <c r="AT248" s="14">
        <f>IF(COUNT(C248:P248)=0,"",IFERROR(AR248/G248,0))</f>
        <v/>
      </c>
      <c r="AU248" s="20">
        <f>IF(COUNT(C248:P248)=0,"",IFERROR(AT248/V248,0))</f>
        <v/>
      </c>
      <c r="AV248" s="14">
        <f>IF(COUNT(C248:P248)=0,"",IFERROR(AR248/H248,0))</f>
        <v/>
      </c>
    </row>
    <row r="249">
      <c r="A249" s="11">
        <f>Config!$C$6+243</f>
        <v/>
      </c>
      <c r="B249" s="12">
        <f>INT((A249-Config!$C$6)/7)+1</f>
        <v/>
      </c>
      <c r="C249" s="9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4">
        <f>IF(COUNT(C249:P249)=0,"",IFERROR(C249/D249*1000,0))</f>
        <v/>
      </c>
      <c r="R249" s="15">
        <f>IF(COUNT(C249:P249)=0,"",IFERROR(D249/E249,0))</f>
        <v/>
      </c>
      <c r="S249" s="16">
        <f>IF(COUNT(C249:P249)=0,"",IFERROR(F249/D249,0))</f>
        <v/>
      </c>
      <c r="T249" s="14">
        <f>IF(COUNT(C249:P249)=0,"",IFERROR(C249/F249,0))</f>
        <v/>
      </c>
      <c r="U249" s="17">
        <f>IF(COUNT(C249:P249)=0,"",IFERROR(G249/F249,0))</f>
        <v/>
      </c>
      <c r="V249" s="14">
        <f>IF(COUNT(C249:P249)=0,"",IFERROR(C249/G249,0))</f>
        <v/>
      </c>
      <c r="W249" s="18">
        <f>IF(COUNT(C249:P249)=0,"",IFERROR(G249/D249*1000,0))</f>
        <v/>
      </c>
      <c r="X249" s="17">
        <f>IF(COUNT(C249:P249)=0,"",IFERROR(H249/G249,0))</f>
        <v/>
      </c>
      <c r="Y249" s="14">
        <f>IF(COUNT(C249:P249)=0,"",IFERROR(C249/H249,0))</f>
        <v/>
      </c>
      <c r="Z249" s="14">
        <f>IF(COUNT(C249:P249)=0,"",IFERROR(C249/I249,0))</f>
        <v/>
      </c>
      <c r="AA249" s="17">
        <f>IF(COUNT(C249:P249)=0,"",IFERROR(Y249/Q249,0))</f>
        <v/>
      </c>
      <c r="AB249" s="18">
        <f>IF(COUNT(C249:P249)=0,"",IFERROR(H249/D249*1000,0))</f>
        <v/>
      </c>
      <c r="AC249" s="17">
        <f>IF(COUNT(C249:P249)=0,"",IFERROR(J249/H249,0))</f>
        <v/>
      </c>
      <c r="AD249" s="14">
        <f>IF(COUNT(C249:P249)=0,"",IFERROR(C249/J249,0))</f>
        <v/>
      </c>
      <c r="AE249" s="17">
        <f>IF(COUNT(C249:P249)=0,"",IFERROR(K249/H249,0))</f>
        <v/>
      </c>
      <c r="AF249" s="17">
        <f>IF(COUNT(C249:P249)=0,"",IFERROR(L249/H249,0))</f>
        <v/>
      </c>
      <c r="AG249" s="14">
        <f>IF(COUNT(C249:P249)=0,"",IFERROR(C249/K249,0))</f>
        <v/>
      </c>
      <c r="AH249" s="17">
        <f>IF(COUNT(C249:P249)=0,"",IFERROR(M249/K249,0))</f>
        <v/>
      </c>
      <c r="AI249" s="14">
        <f>IF(COUNT(C249:P249)=0,"",IFERROR(C249/M249,0))</f>
        <v/>
      </c>
      <c r="AJ249" s="17">
        <f>IF(COUNT(C249:P249)=0,"",IFERROR(N249/M249,0))</f>
        <v/>
      </c>
      <c r="AK249" s="16">
        <f>IF(COUNT(C249:P249)=0,"",IFERROR(N249/H249,0))</f>
        <v/>
      </c>
      <c r="AL249" s="14">
        <f>IF(COUNT(C249:P249)=0,"",IFERROR(C249/N249,0))</f>
        <v/>
      </c>
      <c r="AM249" s="17">
        <f>IF(COUNT(C249:P249)=0,"",IFERROR(O249/N249,0))</f>
        <v/>
      </c>
      <c r="AN249" s="17">
        <f>IF(COUNT(C249:P249)=0,"",IFERROR(P249/N249,0))</f>
        <v/>
      </c>
      <c r="AO249" s="19">
        <f>IF(COUNT(C249:P249)=0,"",IFERROR(N249*Config!$C$7+O249*Config!$C$8+P249*Config!$C$9,0))</f>
        <v/>
      </c>
      <c r="AP249" s="14">
        <f>IF(COUNT(C249:P249)=0,"",IFERROR(AO249/N249,0))</f>
        <v/>
      </c>
      <c r="AQ249" s="19">
        <f>IF(COUNT(C249:P249)=0,"",IFERROR(AO249*(1-Config!$C$10-Config!$C$11-Config!$C$12),0))</f>
        <v/>
      </c>
      <c r="AR249" s="19">
        <f>IF(COUNT(C249:P249)=0,"",IFERROR(AQ249-C249-Config!$C$13,0))</f>
        <v/>
      </c>
      <c r="AS249" s="20">
        <f>IF(COUNT(C249:P249)=0,"",IFERROR(AQ249/C249,0))</f>
        <v/>
      </c>
      <c r="AT249" s="14">
        <f>IF(COUNT(C249:P249)=0,"",IFERROR(AR249/G249,0))</f>
        <v/>
      </c>
      <c r="AU249" s="20">
        <f>IF(COUNT(C249:P249)=0,"",IFERROR(AT249/V249,0))</f>
        <v/>
      </c>
      <c r="AV249" s="14">
        <f>IF(COUNT(C249:P249)=0,"",IFERROR(AR249/H249,0))</f>
        <v/>
      </c>
    </row>
    <row r="250">
      <c r="A250" s="11">
        <f>Config!$C$6+244</f>
        <v/>
      </c>
      <c r="B250" s="12">
        <f>INT((A250-Config!$C$6)/7)+1</f>
        <v/>
      </c>
      <c r="C250" s="9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4">
        <f>IF(COUNT(C250:P250)=0,"",IFERROR(C250/D250*1000,0))</f>
        <v/>
      </c>
      <c r="R250" s="15">
        <f>IF(COUNT(C250:P250)=0,"",IFERROR(D250/E250,0))</f>
        <v/>
      </c>
      <c r="S250" s="16">
        <f>IF(COUNT(C250:P250)=0,"",IFERROR(F250/D250,0))</f>
        <v/>
      </c>
      <c r="T250" s="14">
        <f>IF(COUNT(C250:P250)=0,"",IFERROR(C250/F250,0))</f>
        <v/>
      </c>
      <c r="U250" s="17">
        <f>IF(COUNT(C250:P250)=0,"",IFERROR(G250/F250,0))</f>
        <v/>
      </c>
      <c r="V250" s="14">
        <f>IF(COUNT(C250:P250)=0,"",IFERROR(C250/G250,0))</f>
        <v/>
      </c>
      <c r="W250" s="18">
        <f>IF(COUNT(C250:P250)=0,"",IFERROR(G250/D250*1000,0))</f>
        <v/>
      </c>
      <c r="X250" s="17">
        <f>IF(COUNT(C250:P250)=0,"",IFERROR(H250/G250,0))</f>
        <v/>
      </c>
      <c r="Y250" s="14">
        <f>IF(COUNT(C250:P250)=0,"",IFERROR(C250/H250,0))</f>
        <v/>
      </c>
      <c r="Z250" s="14">
        <f>IF(COUNT(C250:P250)=0,"",IFERROR(C250/I250,0))</f>
        <v/>
      </c>
      <c r="AA250" s="17">
        <f>IF(COUNT(C250:P250)=0,"",IFERROR(Y250/Q250,0))</f>
        <v/>
      </c>
      <c r="AB250" s="18">
        <f>IF(COUNT(C250:P250)=0,"",IFERROR(H250/D250*1000,0))</f>
        <v/>
      </c>
      <c r="AC250" s="17">
        <f>IF(COUNT(C250:P250)=0,"",IFERROR(J250/H250,0))</f>
        <v/>
      </c>
      <c r="AD250" s="14">
        <f>IF(COUNT(C250:P250)=0,"",IFERROR(C250/J250,0))</f>
        <v/>
      </c>
      <c r="AE250" s="17">
        <f>IF(COUNT(C250:P250)=0,"",IFERROR(K250/H250,0))</f>
        <v/>
      </c>
      <c r="AF250" s="17">
        <f>IF(COUNT(C250:P250)=0,"",IFERROR(L250/H250,0))</f>
        <v/>
      </c>
      <c r="AG250" s="14">
        <f>IF(COUNT(C250:P250)=0,"",IFERROR(C250/K250,0))</f>
        <v/>
      </c>
      <c r="AH250" s="17">
        <f>IF(COUNT(C250:P250)=0,"",IFERROR(M250/K250,0))</f>
        <v/>
      </c>
      <c r="AI250" s="14">
        <f>IF(COUNT(C250:P250)=0,"",IFERROR(C250/M250,0))</f>
        <v/>
      </c>
      <c r="AJ250" s="17">
        <f>IF(COUNT(C250:P250)=0,"",IFERROR(N250/M250,0))</f>
        <v/>
      </c>
      <c r="AK250" s="16">
        <f>IF(COUNT(C250:P250)=0,"",IFERROR(N250/H250,0))</f>
        <v/>
      </c>
      <c r="AL250" s="14">
        <f>IF(COUNT(C250:P250)=0,"",IFERROR(C250/N250,0))</f>
        <v/>
      </c>
      <c r="AM250" s="17">
        <f>IF(COUNT(C250:P250)=0,"",IFERROR(O250/N250,0))</f>
        <v/>
      </c>
      <c r="AN250" s="17">
        <f>IF(COUNT(C250:P250)=0,"",IFERROR(P250/N250,0))</f>
        <v/>
      </c>
      <c r="AO250" s="19">
        <f>IF(COUNT(C250:P250)=0,"",IFERROR(N250*Config!$C$7+O250*Config!$C$8+P250*Config!$C$9,0))</f>
        <v/>
      </c>
      <c r="AP250" s="14">
        <f>IF(COUNT(C250:P250)=0,"",IFERROR(AO250/N250,0))</f>
        <v/>
      </c>
      <c r="AQ250" s="19">
        <f>IF(COUNT(C250:P250)=0,"",IFERROR(AO250*(1-Config!$C$10-Config!$C$11-Config!$C$12),0))</f>
        <v/>
      </c>
      <c r="AR250" s="19">
        <f>IF(COUNT(C250:P250)=0,"",IFERROR(AQ250-C250-Config!$C$13,0))</f>
        <v/>
      </c>
      <c r="AS250" s="20">
        <f>IF(COUNT(C250:P250)=0,"",IFERROR(AQ250/C250,0))</f>
        <v/>
      </c>
      <c r="AT250" s="14">
        <f>IF(COUNT(C250:P250)=0,"",IFERROR(AR250/G250,0))</f>
        <v/>
      </c>
      <c r="AU250" s="20">
        <f>IF(COUNT(C250:P250)=0,"",IFERROR(AT250/V250,0))</f>
        <v/>
      </c>
      <c r="AV250" s="14">
        <f>IF(COUNT(C250:P250)=0,"",IFERROR(AR250/H250,0))</f>
        <v/>
      </c>
    </row>
    <row r="251">
      <c r="A251" s="11">
        <f>Config!$C$6+245</f>
        <v/>
      </c>
      <c r="B251" s="12">
        <f>INT((A251-Config!$C$6)/7)+1</f>
        <v/>
      </c>
      <c r="C251" s="9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4">
        <f>IF(COUNT(C251:P251)=0,"",IFERROR(C251/D251*1000,0))</f>
        <v/>
      </c>
      <c r="R251" s="15">
        <f>IF(COUNT(C251:P251)=0,"",IFERROR(D251/E251,0))</f>
        <v/>
      </c>
      <c r="S251" s="16">
        <f>IF(COUNT(C251:P251)=0,"",IFERROR(F251/D251,0))</f>
        <v/>
      </c>
      <c r="T251" s="14">
        <f>IF(COUNT(C251:P251)=0,"",IFERROR(C251/F251,0))</f>
        <v/>
      </c>
      <c r="U251" s="17">
        <f>IF(COUNT(C251:P251)=0,"",IFERROR(G251/F251,0))</f>
        <v/>
      </c>
      <c r="V251" s="14">
        <f>IF(COUNT(C251:P251)=0,"",IFERROR(C251/G251,0))</f>
        <v/>
      </c>
      <c r="W251" s="18">
        <f>IF(COUNT(C251:P251)=0,"",IFERROR(G251/D251*1000,0))</f>
        <v/>
      </c>
      <c r="X251" s="17">
        <f>IF(COUNT(C251:P251)=0,"",IFERROR(H251/G251,0))</f>
        <v/>
      </c>
      <c r="Y251" s="14">
        <f>IF(COUNT(C251:P251)=0,"",IFERROR(C251/H251,0))</f>
        <v/>
      </c>
      <c r="Z251" s="14">
        <f>IF(COUNT(C251:P251)=0,"",IFERROR(C251/I251,0))</f>
        <v/>
      </c>
      <c r="AA251" s="17">
        <f>IF(COUNT(C251:P251)=0,"",IFERROR(Y251/Q251,0))</f>
        <v/>
      </c>
      <c r="AB251" s="18">
        <f>IF(COUNT(C251:P251)=0,"",IFERROR(H251/D251*1000,0))</f>
        <v/>
      </c>
      <c r="AC251" s="17">
        <f>IF(COUNT(C251:P251)=0,"",IFERROR(J251/H251,0))</f>
        <v/>
      </c>
      <c r="AD251" s="14">
        <f>IF(COUNT(C251:P251)=0,"",IFERROR(C251/J251,0))</f>
        <v/>
      </c>
      <c r="AE251" s="17">
        <f>IF(COUNT(C251:P251)=0,"",IFERROR(K251/H251,0))</f>
        <v/>
      </c>
      <c r="AF251" s="17">
        <f>IF(COUNT(C251:P251)=0,"",IFERROR(L251/H251,0))</f>
        <v/>
      </c>
      <c r="AG251" s="14">
        <f>IF(COUNT(C251:P251)=0,"",IFERROR(C251/K251,0))</f>
        <v/>
      </c>
      <c r="AH251" s="17">
        <f>IF(COUNT(C251:P251)=0,"",IFERROR(M251/K251,0))</f>
        <v/>
      </c>
      <c r="AI251" s="14">
        <f>IF(COUNT(C251:P251)=0,"",IFERROR(C251/M251,0))</f>
        <v/>
      </c>
      <c r="AJ251" s="17">
        <f>IF(COUNT(C251:P251)=0,"",IFERROR(N251/M251,0))</f>
        <v/>
      </c>
      <c r="AK251" s="16">
        <f>IF(COUNT(C251:P251)=0,"",IFERROR(N251/H251,0))</f>
        <v/>
      </c>
      <c r="AL251" s="14">
        <f>IF(COUNT(C251:P251)=0,"",IFERROR(C251/N251,0))</f>
        <v/>
      </c>
      <c r="AM251" s="17">
        <f>IF(COUNT(C251:P251)=0,"",IFERROR(O251/N251,0))</f>
        <v/>
      </c>
      <c r="AN251" s="17">
        <f>IF(COUNT(C251:P251)=0,"",IFERROR(P251/N251,0))</f>
        <v/>
      </c>
      <c r="AO251" s="19">
        <f>IF(COUNT(C251:P251)=0,"",IFERROR(N251*Config!$C$7+O251*Config!$C$8+P251*Config!$C$9,0))</f>
        <v/>
      </c>
      <c r="AP251" s="14">
        <f>IF(COUNT(C251:P251)=0,"",IFERROR(AO251/N251,0))</f>
        <v/>
      </c>
      <c r="AQ251" s="19">
        <f>IF(COUNT(C251:P251)=0,"",IFERROR(AO251*(1-Config!$C$10-Config!$C$11-Config!$C$12),0))</f>
        <v/>
      </c>
      <c r="AR251" s="19">
        <f>IF(COUNT(C251:P251)=0,"",IFERROR(AQ251-C251-Config!$C$13,0))</f>
        <v/>
      </c>
      <c r="AS251" s="20">
        <f>IF(COUNT(C251:P251)=0,"",IFERROR(AQ251/C251,0))</f>
        <v/>
      </c>
      <c r="AT251" s="14">
        <f>IF(COUNT(C251:P251)=0,"",IFERROR(AR251/G251,0))</f>
        <v/>
      </c>
      <c r="AU251" s="20">
        <f>IF(COUNT(C251:P251)=0,"",IFERROR(AT251/V251,0))</f>
        <v/>
      </c>
      <c r="AV251" s="14">
        <f>IF(COUNT(C251:P251)=0,"",IFERROR(AR251/H251,0))</f>
        <v/>
      </c>
    </row>
    <row r="252">
      <c r="A252" s="11">
        <f>Config!$C$6+246</f>
        <v/>
      </c>
      <c r="B252" s="12">
        <f>INT((A252-Config!$C$6)/7)+1</f>
        <v/>
      </c>
      <c r="C252" s="9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4">
        <f>IF(COUNT(C252:P252)=0,"",IFERROR(C252/D252*1000,0))</f>
        <v/>
      </c>
      <c r="R252" s="15">
        <f>IF(COUNT(C252:P252)=0,"",IFERROR(D252/E252,0))</f>
        <v/>
      </c>
      <c r="S252" s="16">
        <f>IF(COUNT(C252:P252)=0,"",IFERROR(F252/D252,0))</f>
        <v/>
      </c>
      <c r="T252" s="14">
        <f>IF(COUNT(C252:P252)=0,"",IFERROR(C252/F252,0))</f>
        <v/>
      </c>
      <c r="U252" s="17">
        <f>IF(COUNT(C252:P252)=0,"",IFERROR(G252/F252,0))</f>
        <v/>
      </c>
      <c r="V252" s="14">
        <f>IF(COUNT(C252:P252)=0,"",IFERROR(C252/G252,0))</f>
        <v/>
      </c>
      <c r="W252" s="18">
        <f>IF(COUNT(C252:P252)=0,"",IFERROR(G252/D252*1000,0))</f>
        <v/>
      </c>
      <c r="X252" s="17">
        <f>IF(COUNT(C252:P252)=0,"",IFERROR(H252/G252,0))</f>
        <v/>
      </c>
      <c r="Y252" s="14">
        <f>IF(COUNT(C252:P252)=0,"",IFERROR(C252/H252,0))</f>
        <v/>
      </c>
      <c r="Z252" s="14">
        <f>IF(COUNT(C252:P252)=0,"",IFERROR(C252/I252,0))</f>
        <v/>
      </c>
      <c r="AA252" s="17">
        <f>IF(COUNT(C252:P252)=0,"",IFERROR(Y252/Q252,0))</f>
        <v/>
      </c>
      <c r="AB252" s="18">
        <f>IF(COUNT(C252:P252)=0,"",IFERROR(H252/D252*1000,0))</f>
        <v/>
      </c>
      <c r="AC252" s="17">
        <f>IF(COUNT(C252:P252)=0,"",IFERROR(J252/H252,0))</f>
        <v/>
      </c>
      <c r="AD252" s="14">
        <f>IF(COUNT(C252:P252)=0,"",IFERROR(C252/J252,0))</f>
        <v/>
      </c>
      <c r="AE252" s="17">
        <f>IF(COUNT(C252:P252)=0,"",IFERROR(K252/H252,0))</f>
        <v/>
      </c>
      <c r="AF252" s="17">
        <f>IF(COUNT(C252:P252)=0,"",IFERROR(L252/H252,0))</f>
        <v/>
      </c>
      <c r="AG252" s="14">
        <f>IF(COUNT(C252:P252)=0,"",IFERROR(C252/K252,0))</f>
        <v/>
      </c>
      <c r="AH252" s="17">
        <f>IF(COUNT(C252:P252)=0,"",IFERROR(M252/K252,0))</f>
        <v/>
      </c>
      <c r="AI252" s="14">
        <f>IF(COUNT(C252:P252)=0,"",IFERROR(C252/M252,0))</f>
        <v/>
      </c>
      <c r="AJ252" s="17">
        <f>IF(COUNT(C252:P252)=0,"",IFERROR(N252/M252,0))</f>
        <v/>
      </c>
      <c r="AK252" s="16">
        <f>IF(COUNT(C252:P252)=0,"",IFERROR(N252/H252,0))</f>
        <v/>
      </c>
      <c r="AL252" s="14">
        <f>IF(COUNT(C252:P252)=0,"",IFERROR(C252/N252,0))</f>
        <v/>
      </c>
      <c r="AM252" s="17">
        <f>IF(COUNT(C252:P252)=0,"",IFERROR(O252/N252,0))</f>
        <v/>
      </c>
      <c r="AN252" s="17">
        <f>IF(COUNT(C252:P252)=0,"",IFERROR(P252/N252,0))</f>
        <v/>
      </c>
      <c r="AO252" s="19">
        <f>IF(COUNT(C252:P252)=0,"",IFERROR(N252*Config!$C$7+O252*Config!$C$8+P252*Config!$C$9,0))</f>
        <v/>
      </c>
      <c r="AP252" s="14">
        <f>IF(COUNT(C252:P252)=0,"",IFERROR(AO252/N252,0))</f>
        <v/>
      </c>
      <c r="AQ252" s="19">
        <f>IF(COUNT(C252:P252)=0,"",IFERROR(AO252*(1-Config!$C$10-Config!$C$11-Config!$C$12),0))</f>
        <v/>
      </c>
      <c r="AR252" s="19">
        <f>IF(COUNT(C252:P252)=0,"",IFERROR(AQ252-C252-Config!$C$13,0))</f>
        <v/>
      </c>
      <c r="AS252" s="20">
        <f>IF(COUNT(C252:P252)=0,"",IFERROR(AQ252/C252,0))</f>
        <v/>
      </c>
      <c r="AT252" s="14">
        <f>IF(COUNT(C252:P252)=0,"",IFERROR(AR252/G252,0))</f>
        <v/>
      </c>
      <c r="AU252" s="20">
        <f>IF(COUNT(C252:P252)=0,"",IFERROR(AT252/V252,0))</f>
        <v/>
      </c>
      <c r="AV252" s="14">
        <f>IF(COUNT(C252:P252)=0,"",IFERROR(AR252/H252,0))</f>
        <v/>
      </c>
    </row>
    <row r="253">
      <c r="A253" s="11">
        <f>Config!$C$6+247</f>
        <v/>
      </c>
      <c r="B253" s="12">
        <f>INT((A253-Config!$C$6)/7)+1</f>
        <v/>
      </c>
      <c r="C253" s="9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4">
        <f>IF(COUNT(C253:P253)=0,"",IFERROR(C253/D253*1000,0))</f>
        <v/>
      </c>
      <c r="R253" s="15">
        <f>IF(COUNT(C253:P253)=0,"",IFERROR(D253/E253,0))</f>
        <v/>
      </c>
      <c r="S253" s="16">
        <f>IF(COUNT(C253:P253)=0,"",IFERROR(F253/D253,0))</f>
        <v/>
      </c>
      <c r="T253" s="14">
        <f>IF(COUNT(C253:P253)=0,"",IFERROR(C253/F253,0))</f>
        <v/>
      </c>
      <c r="U253" s="17">
        <f>IF(COUNT(C253:P253)=0,"",IFERROR(G253/F253,0))</f>
        <v/>
      </c>
      <c r="V253" s="14">
        <f>IF(COUNT(C253:P253)=0,"",IFERROR(C253/G253,0))</f>
        <v/>
      </c>
      <c r="W253" s="18">
        <f>IF(COUNT(C253:P253)=0,"",IFERROR(G253/D253*1000,0))</f>
        <v/>
      </c>
      <c r="X253" s="17">
        <f>IF(COUNT(C253:P253)=0,"",IFERROR(H253/G253,0))</f>
        <v/>
      </c>
      <c r="Y253" s="14">
        <f>IF(COUNT(C253:P253)=0,"",IFERROR(C253/H253,0))</f>
        <v/>
      </c>
      <c r="Z253" s="14">
        <f>IF(COUNT(C253:P253)=0,"",IFERROR(C253/I253,0))</f>
        <v/>
      </c>
      <c r="AA253" s="17">
        <f>IF(COUNT(C253:P253)=0,"",IFERROR(Y253/Q253,0))</f>
        <v/>
      </c>
      <c r="AB253" s="18">
        <f>IF(COUNT(C253:P253)=0,"",IFERROR(H253/D253*1000,0))</f>
        <v/>
      </c>
      <c r="AC253" s="17">
        <f>IF(COUNT(C253:P253)=0,"",IFERROR(J253/H253,0))</f>
        <v/>
      </c>
      <c r="AD253" s="14">
        <f>IF(COUNT(C253:P253)=0,"",IFERROR(C253/J253,0))</f>
        <v/>
      </c>
      <c r="AE253" s="17">
        <f>IF(COUNT(C253:P253)=0,"",IFERROR(K253/H253,0))</f>
        <v/>
      </c>
      <c r="AF253" s="17">
        <f>IF(COUNT(C253:P253)=0,"",IFERROR(L253/H253,0))</f>
        <v/>
      </c>
      <c r="AG253" s="14">
        <f>IF(COUNT(C253:P253)=0,"",IFERROR(C253/K253,0))</f>
        <v/>
      </c>
      <c r="AH253" s="17">
        <f>IF(COUNT(C253:P253)=0,"",IFERROR(M253/K253,0))</f>
        <v/>
      </c>
      <c r="AI253" s="14">
        <f>IF(COUNT(C253:P253)=0,"",IFERROR(C253/M253,0))</f>
        <v/>
      </c>
      <c r="AJ253" s="17">
        <f>IF(COUNT(C253:P253)=0,"",IFERROR(N253/M253,0))</f>
        <v/>
      </c>
      <c r="AK253" s="16">
        <f>IF(COUNT(C253:P253)=0,"",IFERROR(N253/H253,0))</f>
        <v/>
      </c>
      <c r="AL253" s="14">
        <f>IF(COUNT(C253:P253)=0,"",IFERROR(C253/N253,0))</f>
        <v/>
      </c>
      <c r="AM253" s="17">
        <f>IF(COUNT(C253:P253)=0,"",IFERROR(O253/N253,0))</f>
        <v/>
      </c>
      <c r="AN253" s="17">
        <f>IF(COUNT(C253:P253)=0,"",IFERROR(P253/N253,0))</f>
        <v/>
      </c>
      <c r="AO253" s="19">
        <f>IF(COUNT(C253:P253)=0,"",IFERROR(N253*Config!$C$7+O253*Config!$C$8+P253*Config!$C$9,0))</f>
        <v/>
      </c>
      <c r="AP253" s="14">
        <f>IF(COUNT(C253:P253)=0,"",IFERROR(AO253/N253,0))</f>
        <v/>
      </c>
      <c r="AQ253" s="19">
        <f>IF(COUNT(C253:P253)=0,"",IFERROR(AO253*(1-Config!$C$10-Config!$C$11-Config!$C$12),0))</f>
        <v/>
      </c>
      <c r="AR253" s="19">
        <f>IF(COUNT(C253:P253)=0,"",IFERROR(AQ253-C253-Config!$C$13,0))</f>
        <v/>
      </c>
      <c r="AS253" s="20">
        <f>IF(COUNT(C253:P253)=0,"",IFERROR(AQ253/C253,0))</f>
        <v/>
      </c>
      <c r="AT253" s="14">
        <f>IF(COUNT(C253:P253)=0,"",IFERROR(AR253/G253,0))</f>
        <v/>
      </c>
      <c r="AU253" s="20">
        <f>IF(COUNT(C253:P253)=0,"",IFERROR(AT253/V253,0))</f>
        <v/>
      </c>
      <c r="AV253" s="14">
        <f>IF(COUNT(C253:P253)=0,"",IFERROR(AR253/H253,0))</f>
        <v/>
      </c>
    </row>
    <row r="254">
      <c r="A254" s="11">
        <f>Config!$C$6+248</f>
        <v/>
      </c>
      <c r="B254" s="12">
        <f>INT((A254-Config!$C$6)/7)+1</f>
        <v/>
      </c>
      <c r="C254" s="9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4">
        <f>IF(COUNT(C254:P254)=0,"",IFERROR(C254/D254*1000,0))</f>
        <v/>
      </c>
      <c r="R254" s="15">
        <f>IF(COUNT(C254:P254)=0,"",IFERROR(D254/E254,0))</f>
        <v/>
      </c>
      <c r="S254" s="16">
        <f>IF(COUNT(C254:P254)=0,"",IFERROR(F254/D254,0))</f>
        <v/>
      </c>
      <c r="T254" s="14">
        <f>IF(COUNT(C254:P254)=0,"",IFERROR(C254/F254,0))</f>
        <v/>
      </c>
      <c r="U254" s="17">
        <f>IF(COUNT(C254:P254)=0,"",IFERROR(G254/F254,0))</f>
        <v/>
      </c>
      <c r="V254" s="14">
        <f>IF(COUNT(C254:P254)=0,"",IFERROR(C254/G254,0))</f>
        <v/>
      </c>
      <c r="W254" s="18">
        <f>IF(COUNT(C254:P254)=0,"",IFERROR(G254/D254*1000,0))</f>
        <v/>
      </c>
      <c r="X254" s="17">
        <f>IF(COUNT(C254:P254)=0,"",IFERROR(H254/G254,0))</f>
        <v/>
      </c>
      <c r="Y254" s="14">
        <f>IF(COUNT(C254:P254)=0,"",IFERROR(C254/H254,0))</f>
        <v/>
      </c>
      <c r="Z254" s="14">
        <f>IF(COUNT(C254:P254)=0,"",IFERROR(C254/I254,0))</f>
        <v/>
      </c>
      <c r="AA254" s="17">
        <f>IF(COUNT(C254:P254)=0,"",IFERROR(Y254/Q254,0))</f>
        <v/>
      </c>
      <c r="AB254" s="18">
        <f>IF(COUNT(C254:P254)=0,"",IFERROR(H254/D254*1000,0))</f>
        <v/>
      </c>
      <c r="AC254" s="17">
        <f>IF(COUNT(C254:P254)=0,"",IFERROR(J254/H254,0))</f>
        <v/>
      </c>
      <c r="AD254" s="14">
        <f>IF(COUNT(C254:P254)=0,"",IFERROR(C254/J254,0))</f>
        <v/>
      </c>
      <c r="AE254" s="17">
        <f>IF(COUNT(C254:P254)=0,"",IFERROR(K254/H254,0))</f>
        <v/>
      </c>
      <c r="AF254" s="17">
        <f>IF(COUNT(C254:P254)=0,"",IFERROR(L254/H254,0))</f>
        <v/>
      </c>
      <c r="AG254" s="14">
        <f>IF(COUNT(C254:P254)=0,"",IFERROR(C254/K254,0))</f>
        <v/>
      </c>
      <c r="AH254" s="17">
        <f>IF(COUNT(C254:P254)=0,"",IFERROR(M254/K254,0))</f>
        <v/>
      </c>
      <c r="AI254" s="14">
        <f>IF(COUNT(C254:P254)=0,"",IFERROR(C254/M254,0))</f>
        <v/>
      </c>
      <c r="AJ254" s="17">
        <f>IF(COUNT(C254:P254)=0,"",IFERROR(N254/M254,0))</f>
        <v/>
      </c>
      <c r="AK254" s="16">
        <f>IF(COUNT(C254:P254)=0,"",IFERROR(N254/H254,0))</f>
        <v/>
      </c>
      <c r="AL254" s="14">
        <f>IF(COUNT(C254:P254)=0,"",IFERROR(C254/N254,0))</f>
        <v/>
      </c>
      <c r="AM254" s="17">
        <f>IF(COUNT(C254:P254)=0,"",IFERROR(O254/N254,0))</f>
        <v/>
      </c>
      <c r="AN254" s="17">
        <f>IF(COUNT(C254:P254)=0,"",IFERROR(P254/N254,0))</f>
        <v/>
      </c>
      <c r="AO254" s="19">
        <f>IF(COUNT(C254:P254)=0,"",IFERROR(N254*Config!$C$7+O254*Config!$C$8+P254*Config!$C$9,0))</f>
        <v/>
      </c>
      <c r="AP254" s="14">
        <f>IF(COUNT(C254:P254)=0,"",IFERROR(AO254/N254,0))</f>
        <v/>
      </c>
      <c r="AQ254" s="19">
        <f>IF(COUNT(C254:P254)=0,"",IFERROR(AO254*(1-Config!$C$10-Config!$C$11-Config!$C$12),0))</f>
        <v/>
      </c>
      <c r="AR254" s="19">
        <f>IF(COUNT(C254:P254)=0,"",IFERROR(AQ254-C254-Config!$C$13,0))</f>
        <v/>
      </c>
      <c r="AS254" s="20">
        <f>IF(COUNT(C254:P254)=0,"",IFERROR(AQ254/C254,0))</f>
        <v/>
      </c>
      <c r="AT254" s="14">
        <f>IF(COUNT(C254:P254)=0,"",IFERROR(AR254/G254,0))</f>
        <v/>
      </c>
      <c r="AU254" s="20">
        <f>IF(COUNT(C254:P254)=0,"",IFERROR(AT254/V254,0))</f>
        <v/>
      </c>
      <c r="AV254" s="14">
        <f>IF(COUNT(C254:P254)=0,"",IFERROR(AR254/H254,0))</f>
        <v/>
      </c>
    </row>
    <row r="255">
      <c r="A255" s="11">
        <f>Config!$C$6+249</f>
        <v/>
      </c>
      <c r="B255" s="12">
        <f>INT((A255-Config!$C$6)/7)+1</f>
        <v/>
      </c>
      <c r="C255" s="9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4">
        <f>IF(COUNT(C255:P255)=0,"",IFERROR(C255/D255*1000,0))</f>
        <v/>
      </c>
      <c r="R255" s="15">
        <f>IF(COUNT(C255:P255)=0,"",IFERROR(D255/E255,0))</f>
        <v/>
      </c>
      <c r="S255" s="16">
        <f>IF(COUNT(C255:P255)=0,"",IFERROR(F255/D255,0))</f>
        <v/>
      </c>
      <c r="T255" s="14">
        <f>IF(COUNT(C255:P255)=0,"",IFERROR(C255/F255,0))</f>
        <v/>
      </c>
      <c r="U255" s="17">
        <f>IF(COUNT(C255:P255)=0,"",IFERROR(G255/F255,0))</f>
        <v/>
      </c>
      <c r="V255" s="14">
        <f>IF(COUNT(C255:P255)=0,"",IFERROR(C255/G255,0))</f>
        <v/>
      </c>
      <c r="W255" s="18">
        <f>IF(COUNT(C255:P255)=0,"",IFERROR(G255/D255*1000,0))</f>
        <v/>
      </c>
      <c r="X255" s="17">
        <f>IF(COUNT(C255:P255)=0,"",IFERROR(H255/G255,0))</f>
        <v/>
      </c>
      <c r="Y255" s="14">
        <f>IF(COUNT(C255:P255)=0,"",IFERROR(C255/H255,0))</f>
        <v/>
      </c>
      <c r="Z255" s="14">
        <f>IF(COUNT(C255:P255)=0,"",IFERROR(C255/I255,0))</f>
        <v/>
      </c>
      <c r="AA255" s="17">
        <f>IF(COUNT(C255:P255)=0,"",IFERROR(Y255/Q255,0))</f>
        <v/>
      </c>
      <c r="AB255" s="18">
        <f>IF(COUNT(C255:P255)=0,"",IFERROR(H255/D255*1000,0))</f>
        <v/>
      </c>
      <c r="AC255" s="17">
        <f>IF(COUNT(C255:P255)=0,"",IFERROR(J255/H255,0))</f>
        <v/>
      </c>
      <c r="AD255" s="14">
        <f>IF(COUNT(C255:P255)=0,"",IFERROR(C255/J255,0))</f>
        <v/>
      </c>
      <c r="AE255" s="17">
        <f>IF(COUNT(C255:P255)=0,"",IFERROR(K255/H255,0))</f>
        <v/>
      </c>
      <c r="AF255" s="17">
        <f>IF(COUNT(C255:P255)=0,"",IFERROR(L255/H255,0))</f>
        <v/>
      </c>
      <c r="AG255" s="14">
        <f>IF(COUNT(C255:P255)=0,"",IFERROR(C255/K255,0))</f>
        <v/>
      </c>
      <c r="AH255" s="17">
        <f>IF(COUNT(C255:P255)=0,"",IFERROR(M255/K255,0))</f>
        <v/>
      </c>
      <c r="AI255" s="14">
        <f>IF(COUNT(C255:P255)=0,"",IFERROR(C255/M255,0))</f>
        <v/>
      </c>
      <c r="AJ255" s="17">
        <f>IF(COUNT(C255:P255)=0,"",IFERROR(N255/M255,0))</f>
        <v/>
      </c>
      <c r="AK255" s="16">
        <f>IF(COUNT(C255:P255)=0,"",IFERROR(N255/H255,0))</f>
        <v/>
      </c>
      <c r="AL255" s="14">
        <f>IF(COUNT(C255:P255)=0,"",IFERROR(C255/N255,0))</f>
        <v/>
      </c>
      <c r="AM255" s="17">
        <f>IF(COUNT(C255:P255)=0,"",IFERROR(O255/N255,0))</f>
        <v/>
      </c>
      <c r="AN255" s="17">
        <f>IF(COUNT(C255:P255)=0,"",IFERROR(P255/N255,0))</f>
        <v/>
      </c>
      <c r="AO255" s="19">
        <f>IF(COUNT(C255:P255)=0,"",IFERROR(N255*Config!$C$7+O255*Config!$C$8+P255*Config!$C$9,0))</f>
        <v/>
      </c>
      <c r="AP255" s="14">
        <f>IF(COUNT(C255:P255)=0,"",IFERROR(AO255/N255,0))</f>
        <v/>
      </c>
      <c r="AQ255" s="19">
        <f>IF(COUNT(C255:P255)=0,"",IFERROR(AO255*(1-Config!$C$10-Config!$C$11-Config!$C$12),0))</f>
        <v/>
      </c>
      <c r="AR255" s="19">
        <f>IF(COUNT(C255:P255)=0,"",IFERROR(AQ255-C255-Config!$C$13,0))</f>
        <v/>
      </c>
      <c r="AS255" s="20">
        <f>IF(COUNT(C255:P255)=0,"",IFERROR(AQ255/C255,0))</f>
        <v/>
      </c>
      <c r="AT255" s="14">
        <f>IF(COUNT(C255:P255)=0,"",IFERROR(AR255/G255,0))</f>
        <v/>
      </c>
      <c r="AU255" s="20">
        <f>IF(COUNT(C255:P255)=0,"",IFERROR(AT255/V255,0))</f>
        <v/>
      </c>
      <c r="AV255" s="14">
        <f>IF(COUNT(C255:P255)=0,"",IFERROR(AR255/H255,0))</f>
        <v/>
      </c>
    </row>
    <row r="256">
      <c r="A256" s="11">
        <f>Config!$C$6+250</f>
        <v/>
      </c>
      <c r="B256" s="12">
        <f>INT((A256-Config!$C$6)/7)+1</f>
        <v/>
      </c>
      <c r="C256" s="9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4">
        <f>IF(COUNT(C256:P256)=0,"",IFERROR(C256/D256*1000,0))</f>
        <v/>
      </c>
      <c r="R256" s="15">
        <f>IF(COUNT(C256:P256)=0,"",IFERROR(D256/E256,0))</f>
        <v/>
      </c>
      <c r="S256" s="16">
        <f>IF(COUNT(C256:P256)=0,"",IFERROR(F256/D256,0))</f>
        <v/>
      </c>
      <c r="T256" s="14">
        <f>IF(COUNT(C256:P256)=0,"",IFERROR(C256/F256,0))</f>
        <v/>
      </c>
      <c r="U256" s="17">
        <f>IF(COUNT(C256:P256)=0,"",IFERROR(G256/F256,0))</f>
        <v/>
      </c>
      <c r="V256" s="14">
        <f>IF(COUNT(C256:P256)=0,"",IFERROR(C256/G256,0))</f>
        <v/>
      </c>
      <c r="W256" s="18">
        <f>IF(COUNT(C256:P256)=0,"",IFERROR(G256/D256*1000,0))</f>
        <v/>
      </c>
      <c r="X256" s="17">
        <f>IF(COUNT(C256:P256)=0,"",IFERROR(H256/G256,0))</f>
        <v/>
      </c>
      <c r="Y256" s="14">
        <f>IF(COUNT(C256:P256)=0,"",IFERROR(C256/H256,0))</f>
        <v/>
      </c>
      <c r="Z256" s="14">
        <f>IF(COUNT(C256:P256)=0,"",IFERROR(C256/I256,0))</f>
        <v/>
      </c>
      <c r="AA256" s="17">
        <f>IF(COUNT(C256:P256)=0,"",IFERROR(Y256/Q256,0))</f>
        <v/>
      </c>
      <c r="AB256" s="18">
        <f>IF(COUNT(C256:P256)=0,"",IFERROR(H256/D256*1000,0))</f>
        <v/>
      </c>
      <c r="AC256" s="17">
        <f>IF(COUNT(C256:P256)=0,"",IFERROR(J256/H256,0))</f>
        <v/>
      </c>
      <c r="AD256" s="14">
        <f>IF(COUNT(C256:P256)=0,"",IFERROR(C256/J256,0))</f>
        <v/>
      </c>
      <c r="AE256" s="17">
        <f>IF(COUNT(C256:P256)=0,"",IFERROR(K256/H256,0))</f>
        <v/>
      </c>
      <c r="AF256" s="17">
        <f>IF(COUNT(C256:P256)=0,"",IFERROR(L256/H256,0))</f>
        <v/>
      </c>
      <c r="AG256" s="14">
        <f>IF(COUNT(C256:P256)=0,"",IFERROR(C256/K256,0))</f>
        <v/>
      </c>
      <c r="AH256" s="17">
        <f>IF(COUNT(C256:P256)=0,"",IFERROR(M256/K256,0))</f>
        <v/>
      </c>
      <c r="AI256" s="14">
        <f>IF(COUNT(C256:P256)=0,"",IFERROR(C256/M256,0))</f>
        <v/>
      </c>
      <c r="AJ256" s="17">
        <f>IF(COUNT(C256:P256)=0,"",IFERROR(N256/M256,0))</f>
        <v/>
      </c>
      <c r="AK256" s="16">
        <f>IF(COUNT(C256:P256)=0,"",IFERROR(N256/H256,0))</f>
        <v/>
      </c>
      <c r="AL256" s="14">
        <f>IF(COUNT(C256:P256)=0,"",IFERROR(C256/N256,0))</f>
        <v/>
      </c>
      <c r="AM256" s="17">
        <f>IF(COUNT(C256:P256)=0,"",IFERROR(O256/N256,0))</f>
        <v/>
      </c>
      <c r="AN256" s="17">
        <f>IF(COUNT(C256:P256)=0,"",IFERROR(P256/N256,0))</f>
        <v/>
      </c>
      <c r="AO256" s="19">
        <f>IF(COUNT(C256:P256)=0,"",IFERROR(N256*Config!$C$7+O256*Config!$C$8+P256*Config!$C$9,0))</f>
        <v/>
      </c>
      <c r="AP256" s="14">
        <f>IF(COUNT(C256:P256)=0,"",IFERROR(AO256/N256,0))</f>
        <v/>
      </c>
      <c r="AQ256" s="19">
        <f>IF(COUNT(C256:P256)=0,"",IFERROR(AO256*(1-Config!$C$10-Config!$C$11-Config!$C$12),0))</f>
        <v/>
      </c>
      <c r="AR256" s="19">
        <f>IF(COUNT(C256:P256)=0,"",IFERROR(AQ256-C256-Config!$C$13,0))</f>
        <v/>
      </c>
      <c r="AS256" s="20">
        <f>IF(COUNT(C256:P256)=0,"",IFERROR(AQ256/C256,0))</f>
        <v/>
      </c>
      <c r="AT256" s="14">
        <f>IF(COUNT(C256:P256)=0,"",IFERROR(AR256/G256,0))</f>
        <v/>
      </c>
      <c r="AU256" s="20">
        <f>IF(COUNT(C256:P256)=0,"",IFERROR(AT256/V256,0))</f>
        <v/>
      </c>
      <c r="AV256" s="14">
        <f>IF(COUNT(C256:P256)=0,"",IFERROR(AR256/H256,0))</f>
        <v/>
      </c>
    </row>
    <row r="257">
      <c r="A257" s="11">
        <f>Config!$C$6+251</f>
        <v/>
      </c>
      <c r="B257" s="12">
        <f>INT((A257-Config!$C$6)/7)+1</f>
        <v/>
      </c>
      <c r="C257" s="9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4">
        <f>IF(COUNT(C257:P257)=0,"",IFERROR(C257/D257*1000,0))</f>
        <v/>
      </c>
      <c r="R257" s="15">
        <f>IF(COUNT(C257:P257)=0,"",IFERROR(D257/E257,0))</f>
        <v/>
      </c>
      <c r="S257" s="16">
        <f>IF(COUNT(C257:P257)=0,"",IFERROR(F257/D257,0))</f>
        <v/>
      </c>
      <c r="T257" s="14">
        <f>IF(COUNT(C257:P257)=0,"",IFERROR(C257/F257,0))</f>
        <v/>
      </c>
      <c r="U257" s="17">
        <f>IF(COUNT(C257:P257)=0,"",IFERROR(G257/F257,0))</f>
        <v/>
      </c>
      <c r="V257" s="14">
        <f>IF(COUNT(C257:P257)=0,"",IFERROR(C257/G257,0))</f>
        <v/>
      </c>
      <c r="W257" s="18">
        <f>IF(COUNT(C257:P257)=0,"",IFERROR(G257/D257*1000,0))</f>
        <v/>
      </c>
      <c r="X257" s="17">
        <f>IF(COUNT(C257:P257)=0,"",IFERROR(H257/G257,0))</f>
        <v/>
      </c>
      <c r="Y257" s="14">
        <f>IF(COUNT(C257:P257)=0,"",IFERROR(C257/H257,0))</f>
        <v/>
      </c>
      <c r="Z257" s="14">
        <f>IF(COUNT(C257:P257)=0,"",IFERROR(C257/I257,0))</f>
        <v/>
      </c>
      <c r="AA257" s="17">
        <f>IF(COUNT(C257:P257)=0,"",IFERROR(Y257/Q257,0))</f>
        <v/>
      </c>
      <c r="AB257" s="18">
        <f>IF(COUNT(C257:P257)=0,"",IFERROR(H257/D257*1000,0))</f>
        <v/>
      </c>
      <c r="AC257" s="17">
        <f>IF(COUNT(C257:P257)=0,"",IFERROR(J257/H257,0))</f>
        <v/>
      </c>
      <c r="AD257" s="14">
        <f>IF(COUNT(C257:P257)=0,"",IFERROR(C257/J257,0))</f>
        <v/>
      </c>
      <c r="AE257" s="17">
        <f>IF(COUNT(C257:P257)=0,"",IFERROR(K257/H257,0))</f>
        <v/>
      </c>
      <c r="AF257" s="17">
        <f>IF(COUNT(C257:P257)=0,"",IFERROR(L257/H257,0))</f>
        <v/>
      </c>
      <c r="AG257" s="14">
        <f>IF(COUNT(C257:P257)=0,"",IFERROR(C257/K257,0))</f>
        <v/>
      </c>
      <c r="AH257" s="17">
        <f>IF(COUNT(C257:P257)=0,"",IFERROR(M257/K257,0))</f>
        <v/>
      </c>
      <c r="AI257" s="14">
        <f>IF(COUNT(C257:P257)=0,"",IFERROR(C257/M257,0))</f>
        <v/>
      </c>
      <c r="AJ257" s="17">
        <f>IF(COUNT(C257:P257)=0,"",IFERROR(N257/M257,0))</f>
        <v/>
      </c>
      <c r="AK257" s="16">
        <f>IF(COUNT(C257:P257)=0,"",IFERROR(N257/H257,0))</f>
        <v/>
      </c>
      <c r="AL257" s="14">
        <f>IF(COUNT(C257:P257)=0,"",IFERROR(C257/N257,0))</f>
        <v/>
      </c>
      <c r="AM257" s="17">
        <f>IF(COUNT(C257:P257)=0,"",IFERROR(O257/N257,0))</f>
        <v/>
      </c>
      <c r="AN257" s="17">
        <f>IF(COUNT(C257:P257)=0,"",IFERROR(P257/N257,0))</f>
        <v/>
      </c>
      <c r="AO257" s="19">
        <f>IF(COUNT(C257:P257)=0,"",IFERROR(N257*Config!$C$7+O257*Config!$C$8+P257*Config!$C$9,0))</f>
        <v/>
      </c>
      <c r="AP257" s="14">
        <f>IF(COUNT(C257:P257)=0,"",IFERROR(AO257/N257,0))</f>
        <v/>
      </c>
      <c r="AQ257" s="19">
        <f>IF(COUNT(C257:P257)=0,"",IFERROR(AO257*(1-Config!$C$10-Config!$C$11-Config!$C$12),0))</f>
        <v/>
      </c>
      <c r="AR257" s="19">
        <f>IF(COUNT(C257:P257)=0,"",IFERROR(AQ257-C257-Config!$C$13,0))</f>
        <v/>
      </c>
      <c r="AS257" s="20">
        <f>IF(COUNT(C257:P257)=0,"",IFERROR(AQ257/C257,0))</f>
        <v/>
      </c>
      <c r="AT257" s="14">
        <f>IF(COUNT(C257:P257)=0,"",IFERROR(AR257/G257,0))</f>
        <v/>
      </c>
      <c r="AU257" s="20">
        <f>IF(COUNT(C257:P257)=0,"",IFERROR(AT257/V257,0))</f>
        <v/>
      </c>
      <c r="AV257" s="14">
        <f>IF(COUNT(C257:P257)=0,"",IFERROR(AR257/H257,0))</f>
        <v/>
      </c>
    </row>
    <row r="258">
      <c r="A258" s="11">
        <f>Config!$C$6+252</f>
        <v/>
      </c>
      <c r="B258" s="12">
        <f>INT((A258-Config!$C$6)/7)+1</f>
        <v/>
      </c>
      <c r="C258" s="9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4">
        <f>IF(COUNT(C258:P258)=0,"",IFERROR(C258/D258*1000,0))</f>
        <v/>
      </c>
      <c r="R258" s="15">
        <f>IF(COUNT(C258:P258)=0,"",IFERROR(D258/E258,0))</f>
        <v/>
      </c>
      <c r="S258" s="16">
        <f>IF(COUNT(C258:P258)=0,"",IFERROR(F258/D258,0))</f>
        <v/>
      </c>
      <c r="T258" s="14">
        <f>IF(COUNT(C258:P258)=0,"",IFERROR(C258/F258,0))</f>
        <v/>
      </c>
      <c r="U258" s="17">
        <f>IF(COUNT(C258:P258)=0,"",IFERROR(G258/F258,0))</f>
        <v/>
      </c>
      <c r="V258" s="14">
        <f>IF(COUNT(C258:P258)=0,"",IFERROR(C258/G258,0))</f>
        <v/>
      </c>
      <c r="W258" s="18">
        <f>IF(COUNT(C258:P258)=0,"",IFERROR(G258/D258*1000,0))</f>
        <v/>
      </c>
      <c r="X258" s="17">
        <f>IF(COUNT(C258:P258)=0,"",IFERROR(H258/G258,0))</f>
        <v/>
      </c>
      <c r="Y258" s="14">
        <f>IF(COUNT(C258:P258)=0,"",IFERROR(C258/H258,0))</f>
        <v/>
      </c>
      <c r="Z258" s="14">
        <f>IF(COUNT(C258:P258)=0,"",IFERROR(C258/I258,0))</f>
        <v/>
      </c>
      <c r="AA258" s="17">
        <f>IF(COUNT(C258:P258)=0,"",IFERROR(Y258/Q258,0))</f>
        <v/>
      </c>
      <c r="AB258" s="18">
        <f>IF(COUNT(C258:P258)=0,"",IFERROR(H258/D258*1000,0))</f>
        <v/>
      </c>
      <c r="AC258" s="17">
        <f>IF(COUNT(C258:P258)=0,"",IFERROR(J258/H258,0))</f>
        <v/>
      </c>
      <c r="AD258" s="14">
        <f>IF(COUNT(C258:P258)=0,"",IFERROR(C258/J258,0))</f>
        <v/>
      </c>
      <c r="AE258" s="17">
        <f>IF(COUNT(C258:P258)=0,"",IFERROR(K258/H258,0))</f>
        <v/>
      </c>
      <c r="AF258" s="17">
        <f>IF(COUNT(C258:P258)=0,"",IFERROR(L258/H258,0))</f>
        <v/>
      </c>
      <c r="AG258" s="14">
        <f>IF(COUNT(C258:P258)=0,"",IFERROR(C258/K258,0))</f>
        <v/>
      </c>
      <c r="AH258" s="17">
        <f>IF(COUNT(C258:P258)=0,"",IFERROR(M258/K258,0))</f>
        <v/>
      </c>
      <c r="AI258" s="14">
        <f>IF(COUNT(C258:P258)=0,"",IFERROR(C258/M258,0))</f>
        <v/>
      </c>
      <c r="AJ258" s="17">
        <f>IF(COUNT(C258:P258)=0,"",IFERROR(N258/M258,0))</f>
        <v/>
      </c>
      <c r="AK258" s="16">
        <f>IF(COUNT(C258:P258)=0,"",IFERROR(N258/H258,0))</f>
        <v/>
      </c>
      <c r="AL258" s="14">
        <f>IF(COUNT(C258:P258)=0,"",IFERROR(C258/N258,0))</f>
        <v/>
      </c>
      <c r="AM258" s="17">
        <f>IF(COUNT(C258:P258)=0,"",IFERROR(O258/N258,0))</f>
        <v/>
      </c>
      <c r="AN258" s="17">
        <f>IF(COUNT(C258:P258)=0,"",IFERROR(P258/N258,0))</f>
        <v/>
      </c>
      <c r="AO258" s="19">
        <f>IF(COUNT(C258:P258)=0,"",IFERROR(N258*Config!$C$7+O258*Config!$C$8+P258*Config!$C$9,0))</f>
        <v/>
      </c>
      <c r="AP258" s="14">
        <f>IF(COUNT(C258:P258)=0,"",IFERROR(AO258/N258,0))</f>
        <v/>
      </c>
      <c r="AQ258" s="19">
        <f>IF(COUNT(C258:P258)=0,"",IFERROR(AO258*(1-Config!$C$10-Config!$C$11-Config!$C$12),0))</f>
        <v/>
      </c>
      <c r="AR258" s="19">
        <f>IF(COUNT(C258:P258)=0,"",IFERROR(AQ258-C258-Config!$C$13,0))</f>
        <v/>
      </c>
      <c r="AS258" s="20">
        <f>IF(COUNT(C258:P258)=0,"",IFERROR(AQ258/C258,0))</f>
        <v/>
      </c>
      <c r="AT258" s="14">
        <f>IF(COUNT(C258:P258)=0,"",IFERROR(AR258/G258,0))</f>
        <v/>
      </c>
      <c r="AU258" s="20">
        <f>IF(COUNT(C258:P258)=0,"",IFERROR(AT258/V258,0))</f>
        <v/>
      </c>
      <c r="AV258" s="14">
        <f>IF(COUNT(C258:P258)=0,"",IFERROR(AR258/H258,0))</f>
        <v/>
      </c>
    </row>
    <row r="259">
      <c r="A259" s="11">
        <f>Config!$C$6+253</f>
        <v/>
      </c>
      <c r="B259" s="12">
        <f>INT((A259-Config!$C$6)/7)+1</f>
        <v/>
      </c>
      <c r="C259" s="9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4">
        <f>IF(COUNT(C259:P259)=0,"",IFERROR(C259/D259*1000,0))</f>
        <v/>
      </c>
      <c r="R259" s="15">
        <f>IF(COUNT(C259:P259)=0,"",IFERROR(D259/E259,0))</f>
        <v/>
      </c>
      <c r="S259" s="16">
        <f>IF(COUNT(C259:P259)=0,"",IFERROR(F259/D259,0))</f>
        <v/>
      </c>
      <c r="T259" s="14">
        <f>IF(COUNT(C259:P259)=0,"",IFERROR(C259/F259,0))</f>
        <v/>
      </c>
      <c r="U259" s="17">
        <f>IF(COUNT(C259:P259)=0,"",IFERROR(G259/F259,0))</f>
        <v/>
      </c>
      <c r="V259" s="14">
        <f>IF(COUNT(C259:P259)=0,"",IFERROR(C259/G259,0))</f>
        <v/>
      </c>
      <c r="W259" s="18">
        <f>IF(COUNT(C259:P259)=0,"",IFERROR(G259/D259*1000,0))</f>
        <v/>
      </c>
      <c r="X259" s="17">
        <f>IF(COUNT(C259:P259)=0,"",IFERROR(H259/G259,0))</f>
        <v/>
      </c>
      <c r="Y259" s="14">
        <f>IF(COUNT(C259:P259)=0,"",IFERROR(C259/H259,0))</f>
        <v/>
      </c>
      <c r="Z259" s="14">
        <f>IF(COUNT(C259:P259)=0,"",IFERROR(C259/I259,0))</f>
        <v/>
      </c>
      <c r="AA259" s="17">
        <f>IF(COUNT(C259:P259)=0,"",IFERROR(Y259/Q259,0))</f>
        <v/>
      </c>
      <c r="AB259" s="18">
        <f>IF(COUNT(C259:P259)=0,"",IFERROR(H259/D259*1000,0))</f>
        <v/>
      </c>
      <c r="AC259" s="17">
        <f>IF(COUNT(C259:P259)=0,"",IFERROR(J259/H259,0))</f>
        <v/>
      </c>
      <c r="AD259" s="14">
        <f>IF(COUNT(C259:P259)=0,"",IFERROR(C259/J259,0))</f>
        <v/>
      </c>
      <c r="AE259" s="17">
        <f>IF(COUNT(C259:P259)=0,"",IFERROR(K259/H259,0))</f>
        <v/>
      </c>
      <c r="AF259" s="17">
        <f>IF(COUNT(C259:P259)=0,"",IFERROR(L259/H259,0))</f>
        <v/>
      </c>
      <c r="AG259" s="14">
        <f>IF(COUNT(C259:P259)=0,"",IFERROR(C259/K259,0))</f>
        <v/>
      </c>
      <c r="AH259" s="17">
        <f>IF(COUNT(C259:P259)=0,"",IFERROR(M259/K259,0))</f>
        <v/>
      </c>
      <c r="AI259" s="14">
        <f>IF(COUNT(C259:P259)=0,"",IFERROR(C259/M259,0))</f>
        <v/>
      </c>
      <c r="AJ259" s="17">
        <f>IF(COUNT(C259:P259)=0,"",IFERROR(N259/M259,0))</f>
        <v/>
      </c>
      <c r="AK259" s="16">
        <f>IF(COUNT(C259:P259)=0,"",IFERROR(N259/H259,0))</f>
        <v/>
      </c>
      <c r="AL259" s="14">
        <f>IF(COUNT(C259:P259)=0,"",IFERROR(C259/N259,0))</f>
        <v/>
      </c>
      <c r="AM259" s="17">
        <f>IF(COUNT(C259:P259)=0,"",IFERROR(O259/N259,0))</f>
        <v/>
      </c>
      <c r="AN259" s="17">
        <f>IF(COUNT(C259:P259)=0,"",IFERROR(P259/N259,0))</f>
        <v/>
      </c>
      <c r="AO259" s="19">
        <f>IF(COUNT(C259:P259)=0,"",IFERROR(N259*Config!$C$7+O259*Config!$C$8+P259*Config!$C$9,0))</f>
        <v/>
      </c>
      <c r="AP259" s="14">
        <f>IF(COUNT(C259:P259)=0,"",IFERROR(AO259/N259,0))</f>
        <v/>
      </c>
      <c r="AQ259" s="19">
        <f>IF(COUNT(C259:P259)=0,"",IFERROR(AO259*(1-Config!$C$10-Config!$C$11-Config!$C$12),0))</f>
        <v/>
      </c>
      <c r="AR259" s="19">
        <f>IF(COUNT(C259:P259)=0,"",IFERROR(AQ259-C259-Config!$C$13,0))</f>
        <v/>
      </c>
      <c r="AS259" s="20">
        <f>IF(COUNT(C259:P259)=0,"",IFERROR(AQ259/C259,0))</f>
        <v/>
      </c>
      <c r="AT259" s="14">
        <f>IF(COUNT(C259:P259)=0,"",IFERROR(AR259/G259,0))</f>
        <v/>
      </c>
      <c r="AU259" s="20">
        <f>IF(COUNT(C259:P259)=0,"",IFERROR(AT259/V259,0))</f>
        <v/>
      </c>
      <c r="AV259" s="14">
        <f>IF(COUNT(C259:P259)=0,"",IFERROR(AR259/H259,0))</f>
        <v/>
      </c>
    </row>
    <row r="260">
      <c r="A260" s="11">
        <f>Config!$C$6+254</f>
        <v/>
      </c>
      <c r="B260" s="12">
        <f>INT((A260-Config!$C$6)/7)+1</f>
        <v/>
      </c>
      <c r="C260" s="9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4">
        <f>IF(COUNT(C260:P260)=0,"",IFERROR(C260/D260*1000,0))</f>
        <v/>
      </c>
      <c r="R260" s="15">
        <f>IF(COUNT(C260:P260)=0,"",IFERROR(D260/E260,0))</f>
        <v/>
      </c>
      <c r="S260" s="16">
        <f>IF(COUNT(C260:P260)=0,"",IFERROR(F260/D260,0))</f>
        <v/>
      </c>
      <c r="T260" s="14">
        <f>IF(COUNT(C260:P260)=0,"",IFERROR(C260/F260,0))</f>
        <v/>
      </c>
      <c r="U260" s="17">
        <f>IF(COUNT(C260:P260)=0,"",IFERROR(G260/F260,0))</f>
        <v/>
      </c>
      <c r="V260" s="14">
        <f>IF(COUNT(C260:P260)=0,"",IFERROR(C260/G260,0))</f>
        <v/>
      </c>
      <c r="W260" s="18">
        <f>IF(COUNT(C260:P260)=0,"",IFERROR(G260/D260*1000,0))</f>
        <v/>
      </c>
      <c r="X260" s="17">
        <f>IF(COUNT(C260:P260)=0,"",IFERROR(H260/G260,0))</f>
        <v/>
      </c>
      <c r="Y260" s="14">
        <f>IF(COUNT(C260:P260)=0,"",IFERROR(C260/H260,0))</f>
        <v/>
      </c>
      <c r="Z260" s="14">
        <f>IF(COUNT(C260:P260)=0,"",IFERROR(C260/I260,0))</f>
        <v/>
      </c>
      <c r="AA260" s="17">
        <f>IF(COUNT(C260:P260)=0,"",IFERROR(Y260/Q260,0))</f>
        <v/>
      </c>
      <c r="AB260" s="18">
        <f>IF(COUNT(C260:P260)=0,"",IFERROR(H260/D260*1000,0))</f>
        <v/>
      </c>
      <c r="AC260" s="17">
        <f>IF(COUNT(C260:P260)=0,"",IFERROR(J260/H260,0))</f>
        <v/>
      </c>
      <c r="AD260" s="14">
        <f>IF(COUNT(C260:P260)=0,"",IFERROR(C260/J260,0))</f>
        <v/>
      </c>
      <c r="AE260" s="17">
        <f>IF(COUNT(C260:P260)=0,"",IFERROR(K260/H260,0))</f>
        <v/>
      </c>
      <c r="AF260" s="17">
        <f>IF(COUNT(C260:P260)=0,"",IFERROR(L260/H260,0))</f>
        <v/>
      </c>
      <c r="AG260" s="14">
        <f>IF(COUNT(C260:P260)=0,"",IFERROR(C260/K260,0))</f>
        <v/>
      </c>
      <c r="AH260" s="17">
        <f>IF(COUNT(C260:P260)=0,"",IFERROR(M260/K260,0))</f>
        <v/>
      </c>
      <c r="AI260" s="14">
        <f>IF(COUNT(C260:P260)=0,"",IFERROR(C260/M260,0))</f>
        <v/>
      </c>
      <c r="AJ260" s="17">
        <f>IF(COUNT(C260:P260)=0,"",IFERROR(N260/M260,0))</f>
        <v/>
      </c>
      <c r="AK260" s="16">
        <f>IF(COUNT(C260:P260)=0,"",IFERROR(N260/H260,0))</f>
        <v/>
      </c>
      <c r="AL260" s="14">
        <f>IF(COUNT(C260:P260)=0,"",IFERROR(C260/N260,0))</f>
        <v/>
      </c>
      <c r="AM260" s="17">
        <f>IF(COUNT(C260:P260)=0,"",IFERROR(O260/N260,0))</f>
        <v/>
      </c>
      <c r="AN260" s="17">
        <f>IF(COUNT(C260:P260)=0,"",IFERROR(P260/N260,0))</f>
        <v/>
      </c>
      <c r="AO260" s="19">
        <f>IF(COUNT(C260:P260)=0,"",IFERROR(N260*Config!$C$7+O260*Config!$C$8+P260*Config!$C$9,0))</f>
        <v/>
      </c>
      <c r="AP260" s="14">
        <f>IF(COUNT(C260:P260)=0,"",IFERROR(AO260/N260,0))</f>
        <v/>
      </c>
      <c r="AQ260" s="19">
        <f>IF(COUNT(C260:P260)=0,"",IFERROR(AO260*(1-Config!$C$10-Config!$C$11-Config!$C$12),0))</f>
        <v/>
      </c>
      <c r="AR260" s="19">
        <f>IF(COUNT(C260:P260)=0,"",IFERROR(AQ260-C260-Config!$C$13,0))</f>
        <v/>
      </c>
      <c r="AS260" s="20">
        <f>IF(COUNT(C260:P260)=0,"",IFERROR(AQ260/C260,0))</f>
        <v/>
      </c>
      <c r="AT260" s="14">
        <f>IF(COUNT(C260:P260)=0,"",IFERROR(AR260/G260,0))</f>
        <v/>
      </c>
      <c r="AU260" s="20">
        <f>IF(COUNT(C260:P260)=0,"",IFERROR(AT260/V260,0))</f>
        <v/>
      </c>
      <c r="AV260" s="14">
        <f>IF(COUNT(C260:P260)=0,"",IFERROR(AR260/H260,0))</f>
        <v/>
      </c>
    </row>
    <row r="261">
      <c r="A261" s="11">
        <f>Config!$C$6+255</f>
        <v/>
      </c>
      <c r="B261" s="12">
        <f>INT((A261-Config!$C$6)/7)+1</f>
        <v/>
      </c>
      <c r="C261" s="9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4">
        <f>IF(COUNT(C261:P261)=0,"",IFERROR(C261/D261*1000,0))</f>
        <v/>
      </c>
      <c r="R261" s="15">
        <f>IF(COUNT(C261:P261)=0,"",IFERROR(D261/E261,0))</f>
        <v/>
      </c>
      <c r="S261" s="16">
        <f>IF(COUNT(C261:P261)=0,"",IFERROR(F261/D261,0))</f>
        <v/>
      </c>
      <c r="T261" s="14">
        <f>IF(COUNT(C261:P261)=0,"",IFERROR(C261/F261,0))</f>
        <v/>
      </c>
      <c r="U261" s="17">
        <f>IF(COUNT(C261:P261)=0,"",IFERROR(G261/F261,0))</f>
        <v/>
      </c>
      <c r="V261" s="14">
        <f>IF(COUNT(C261:P261)=0,"",IFERROR(C261/G261,0))</f>
        <v/>
      </c>
      <c r="W261" s="18">
        <f>IF(COUNT(C261:P261)=0,"",IFERROR(G261/D261*1000,0))</f>
        <v/>
      </c>
      <c r="X261" s="17">
        <f>IF(COUNT(C261:P261)=0,"",IFERROR(H261/G261,0))</f>
        <v/>
      </c>
      <c r="Y261" s="14">
        <f>IF(COUNT(C261:P261)=0,"",IFERROR(C261/H261,0))</f>
        <v/>
      </c>
      <c r="Z261" s="14">
        <f>IF(COUNT(C261:P261)=0,"",IFERROR(C261/I261,0))</f>
        <v/>
      </c>
      <c r="AA261" s="17">
        <f>IF(COUNT(C261:P261)=0,"",IFERROR(Y261/Q261,0))</f>
        <v/>
      </c>
      <c r="AB261" s="18">
        <f>IF(COUNT(C261:P261)=0,"",IFERROR(H261/D261*1000,0))</f>
        <v/>
      </c>
      <c r="AC261" s="17">
        <f>IF(COUNT(C261:P261)=0,"",IFERROR(J261/H261,0))</f>
        <v/>
      </c>
      <c r="AD261" s="14">
        <f>IF(COUNT(C261:P261)=0,"",IFERROR(C261/J261,0))</f>
        <v/>
      </c>
      <c r="AE261" s="17">
        <f>IF(COUNT(C261:P261)=0,"",IFERROR(K261/H261,0))</f>
        <v/>
      </c>
      <c r="AF261" s="17">
        <f>IF(COUNT(C261:P261)=0,"",IFERROR(L261/H261,0))</f>
        <v/>
      </c>
      <c r="AG261" s="14">
        <f>IF(COUNT(C261:P261)=0,"",IFERROR(C261/K261,0))</f>
        <v/>
      </c>
      <c r="AH261" s="17">
        <f>IF(COUNT(C261:P261)=0,"",IFERROR(M261/K261,0))</f>
        <v/>
      </c>
      <c r="AI261" s="14">
        <f>IF(COUNT(C261:P261)=0,"",IFERROR(C261/M261,0))</f>
        <v/>
      </c>
      <c r="AJ261" s="17">
        <f>IF(COUNT(C261:P261)=0,"",IFERROR(N261/M261,0))</f>
        <v/>
      </c>
      <c r="AK261" s="16">
        <f>IF(COUNT(C261:P261)=0,"",IFERROR(N261/H261,0))</f>
        <v/>
      </c>
      <c r="AL261" s="14">
        <f>IF(COUNT(C261:P261)=0,"",IFERROR(C261/N261,0))</f>
        <v/>
      </c>
      <c r="AM261" s="17">
        <f>IF(COUNT(C261:P261)=0,"",IFERROR(O261/N261,0))</f>
        <v/>
      </c>
      <c r="AN261" s="17">
        <f>IF(COUNT(C261:P261)=0,"",IFERROR(P261/N261,0))</f>
        <v/>
      </c>
      <c r="AO261" s="19">
        <f>IF(COUNT(C261:P261)=0,"",IFERROR(N261*Config!$C$7+O261*Config!$C$8+P261*Config!$C$9,0))</f>
        <v/>
      </c>
      <c r="AP261" s="14">
        <f>IF(COUNT(C261:P261)=0,"",IFERROR(AO261/N261,0))</f>
        <v/>
      </c>
      <c r="AQ261" s="19">
        <f>IF(COUNT(C261:P261)=0,"",IFERROR(AO261*(1-Config!$C$10-Config!$C$11-Config!$C$12),0))</f>
        <v/>
      </c>
      <c r="AR261" s="19">
        <f>IF(COUNT(C261:P261)=0,"",IFERROR(AQ261-C261-Config!$C$13,0))</f>
        <v/>
      </c>
      <c r="AS261" s="20">
        <f>IF(COUNT(C261:P261)=0,"",IFERROR(AQ261/C261,0))</f>
        <v/>
      </c>
      <c r="AT261" s="14">
        <f>IF(COUNT(C261:P261)=0,"",IFERROR(AR261/G261,0))</f>
        <v/>
      </c>
      <c r="AU261" s="20">
        <f>IF(COUNT(C261:P261)=0,"",IFERROR(AT261/V261,0))</f>
        <v/>
      </c>
      <c r="AV261" s="14">
        <f>IF(COUNT(C261:P261)=0,"",IFERROR(AR261/H261,0))</f>
        <v/>
      </c>
    </row>
    <row r="262">
      <c r="A262" s="11">
        <f>Config!$C$6+256</f>
        <v/>
      </c>
      <c r="B262" s="12">
        <f>INT((A262-Config!$C$6)/7)+1</f>
        <v/>
      </c>
      <c r="C262" s="9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4">
        <f>IF(COUNT(C262:P262)=0,"",IFERROR(C262/D262*1000,0))</f>
        <v/>
      </c>
      <c r="R262" s="15">
        <f>IF(COUNT(C262:P262)=0,"",IFERROR(D262/E262,0))</f>
        <v/>
      </c>
      <c r="S262" s="16">
        <f>IF(COUNT(C262:P262)=0,"",IFERROR(F262/D262,0))</f>
        <v/>
      </c>
      <c r="T262" s="14">
        <f>IF(COUNT(C262:P262)=0,"",IFERROR(C262/F262,0))</f>
        <v/>
      </c>
      <c r="U262" s="17">
        <f>IF(COUNT(C262:P262)=0,"",IFERROR(G262/F262,0))</f>
        <v/>
      </c>
      <c r="V262" s="14">
        <f>IF(COUNT(C262:P262)=0,"",IFERROR(C262/G262,0))</f>
        <v/>
      </c>
      <c r="W262" s="18">
        <f>IF(COUNT(C262:P262)=0,"",IFERROR(G262/D262*1000,0))</f>
        <v/>
      </c>
      <c r="X262" s="17">
        <f>IF(COUNT(C262:P262)=0,"",IFERROR(H262/G262,0))</f>
        <v/>
      </c>
      <c r="Y262" s="14">
        <f>IF(COUNT(C262:P262)=0,"",IFERROR(C262/H262,0))</f>
        <v/>
      </c>
      <c r="Z262" s="14">
        <f>IF(COUNT(C262:P262)=0,"",IFERROR(C262/I262,0))</f>
        <v/>
      </c>
      <c r="AA262" s="17">
        <f>IF(COUNT(C262:P262)=0,"",IFERROR(Y262/Q262,0))</f>
        <v/>
      </c>
      <c r="AB262" s="18">
        <f>IF(COUNT(C262:P262)=0,"",IFERROR(H262/D262*1000,0))</f>
        <v/>
      </c>
      <c r="AC262" s="17">
        <f>IF(COUNT(C262:P262)=0,"",IFERROR(J262/H262,0))</f>
        <v/>
      </c>
      <c r="AD262" s="14">
        <f>IF(COUNT(C262:P262)=0,"",IFERROR(C262/J262,0))</f>
        <v/>
      </c>
      <c r="AE262" s="17">
        <f>IF(COUNT(C262:P262)=0,"",IFERROR(K262/H262,0))</f>
        <v/>
      </c>
      <c r="AF262" s="17">
        <f>IF(COUNT(C262:P262)=0,"",IFERROR(L262/H262,0))</f>
        <v/>
      </c>
      <c r="AG262" s="14">
        <f>IF(COUNT(C262:P262)=0,"",IFERROR(C262/K262,0))</f>
        <v/>
      </c>
      <c r="AH262" s="17">
        <f>IF(COUNT(C262:P262)=0,"",IFERROR(M262/K262,0))</f>
        <v/>
      </c>
      <c r="AI262" s="14">
        <f>IF(COUNT(C262:P262)=0,"",IFERROR(C262/M262,0))</f>
        <v/>
      </c>
      <c r="AJ262" s="17">
        <f>IF(COUNT(C262:P262)=0,"",IFERROR(N262/M262,0))</f>
        <v/>
      </c>
      <c r="AK262" s="16">
        <f>IF(COUNT(C262:P262)=0,"",IFERROR(N262/H262,0))</f>
        <v/>
      </c>
      <c r="AL262" s="14">
        <f>IF(COUNT(C262:P262)=0,"",IFERROR(C262/N262,0))</f>
        <v/>
      </c>
      <c r="AM262" s="17">
        <f>IF(COUNT(C262:P262)=0,"",IFERROR(O262/N262,0))</f>
        <v/>
      </c>
      <c r="AN262" s="17">
        <f>IF(COUNT(C262:P262)=0,"",IFERROR(P262/N262,0))</f>
        <v/>
      </c>
      <c r="AO262" s="19">
        <f>IF(COUNT(C262:P262)=0,"",IFERROR(N262*Config!$C$7+O262*Config!$C$8+P262*Config!$C$9,0))</f>
        <v/>
      </c>
      <c r="AP262" s="14">
        <f>IF(COUNT(C262:P262)=0,"",IFERROR(AO262/N262,0))</f>
        <v/>
      </c>
      <c r="AQ262" s="19">
        <f>IF(COUNT(C262:P262)=0,"",IFERROR(AO262*(1-Config!$C$10-Config!$C$11-Config!$C$12),0))</f>
        <v/>
      </c>
      <c r="AR262" s="19">
        <f>IF(COUNT(C262:P262)=0,"",IFERROR(AQ262-C262-Config!$C$13,0))</f>
        <v/>
      </c>
      <c r="AS262" s="20">
        <f>IF(COUNT(C262:P262)=0,"",IFERROR(AQ262/C262,0))</f>
        <v/>
      </c>
      <c r="AT262" s="14">
        <f>IF(COUNT(C262:P262)=0,"",IFERROR(AR262/G262,0))</f>
        <v/>
      </c>
      <c r="AU262" s="20">
        <f>IF(COUNT(C262:P262)=0,"",IFERROR(AT262/V262,0))</f>
        <v/>
      </c>
      <c r="AV262" s="14">
        <f>IF(COUNT(C262:P262)=0,"",IFERROR(AR262/H262,0))</f>
        <v/>
      </c>
    </row>
    <row r="263">
      <c r="A263" s="11">
        <f>Config!$C$6+257</f>
        <v/>
      </c>
      <c r="B263" s="12">
        <f>INT((A263-Config!$C$6)/7)+1</f>
        <v/>
      </c>
      <c r="C263" s="9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4">
        <f>IF(COUNT(C263:P263)=0,"",IFERROR(C263/D263*1000,0))</f>
        <v/>
      </c>
      <c r="R263" s="15">
        <f>IF(COUNT(C263:P263)=0,"",IFERROR(D263/E263,0))</f>
        <v/>
      </c>
      <c r="S263" s="16">
        <f>IF(COUNT(C263:P263)=0,"",IFERROR(F263/D263,0))</f>
        <v/>
      </c>
      <c r="T263" s="14">
        <f>IF(COUNT(C263:P263)=0,"",IFERROR(C263/F263,0))</f>
        <v/>
      </c>
      <c r="U263" s="17">
        <f>IF(COUNT(C263:P263)=0,"",IFERROR(G263/F263,0))</f>
        <v/>
      </c>
      <c r="V263" s="14">
        <f>IF(COUNT(C263:P263)=0,"",IFERROR(C263/G263,0))</f>
        <v/>
      </c>
      <c r="W263" s="18">
        <f>IF(COUNT(C263:P263)=0,"",IFERROR(G263/D263*1000,0))</f>
        <v/>
      </c>
      <c r="X263" s="17">
        <f>IF(COUNT(C263:P263)=0,"",IFERROR(H263/G263,0))</f>
        <v/>
      </c>
      <c r="Y263" s="14">
        <f>IF(COUNT(C263:P263)=0,"",IFERROR(C263/H263,0))</f>
        <v/>
      </c>
      <c r="Z263" s="14">
        <f>IF(COUNT(C263:P263)=0,"",IFERROR(C263/I263,0))</f>
        <v/>
      </c>
      <c r="AA263" s="17">
        <f>IF(COUNT(C263:P263)=0,"",IFERROR(Y263/Q263,0))</f>
        <v/>
      </c>
      <c r="AB263" s="18">
        <f>IF(COUNT(C263:P263)=0,"",IFERROR(H263/D263*1000,0))</f>
        <v/>
      </c>
      <c r="AC263" s="17">
        <f>IF(COUNT(C263:P263)=0,"",IFERROR(J263/H263,0))</f>
        <v/>
      </c>
      <c r="AD263" s="14">
        <f>IF(COUNT(C263:P263)=0,"",IFERROR(C263/J263,0))</f>
        <v/>
      </c>
      <c r="AE263" s="17">
        <f>IF(COUNT(C263:P263)=0,"",IFERROR(K263/H263,0))</f>
        <v/>
      </c>
      <c r="AF263" s="17">
        <f>IF(COUNT(C263:P263)=0,"",IFERROR(L263/H263,0))</f>
        <v/>
      </c>
      <c r="AG263" s="14">
        <f>IF(COUNT(C263:P263)=0,"",IFERROR(C263/K263,0))</f>
        <v/>
      </c>
      <c r="AH263" s="17">
        <f>IF(COUNT(C263:P263)=0,"",IFERROR(M263/K263,0))</f>
        <v/>
      </c>
      <c r="AI263" s="14">
        <f>IF(COUNT(C263:P263)=0,"",IFERROR(C263/M263,0))</f>
        <v/>
      </c>
      <c r="AJ263" s="17">
        <f>IF(COUNT(C263:P263)=0,"",IFERROR(N263/M263,0))</f>
        <v/>
      </c>
      <c r="AK263" s="16">
        <f>IF(COUNT(C263:P263)=0,"",IFERROR(N263/H263,0))</f>
        <v/>
      </c>
      <c r="AL263" s="14">
        <f>IF(COUNT(C263:P263)=0,"",IFERROR(C263/N263,0))</f>
        <v/>
      </c>
      <c r="AM263" s="17">
        <f>IF(COUNT(C263:P263)=0,"",IFERROR(O263/N263,0))</f>
        <v/>
      </c>
      <c r="AN263" s="17">
        <f>IF(COUNT(C263:P263)=0,"",IFERROR(P263/N263,0))</f>
        <v/>
      </c>
      <c r="AO263" s="19">
        <f>IF(COUNT(C263:P263)=0,"",IFERROR(N263*Config!$C$7+O263*Config!$C$8+P263*Config!$C$9,0))</f>
        <v/>
      </c>
      <c r="AP263" s="14">
        <f>IF(COUNT(C263:P263)=0,"",IFERROR(AO263/N263,0))</f>
        <v/>
      </c>
      <c r="AQ263" s="19">
        <f>IF(COUNT(C263:P263)=0,"",IFERROR(AO263*(1-Config!$C$10-Config!$C$11-Config!$C$12),0))</f>
        <v/>
      </c>
      <c r="AR263" s="19">
        <f>IF(COUNT(C263:P263)=0,"",IFERROR(AQ263-C263-Config!$C$13,0))</f>
        <v/>
      </c>
      <c r="AS263" s="20">
        <f>IF(COUNT(C263:P263)=0,"",IFERROR(AQ263/C263,0))</f>
        <v/>
      </c>
      <c r="AT263" s="14">
        <f>IF(COUNT(C263:P263)=0,"",IFERROR(AR263/G263,0))</f>
        <v/>
      </c>
      <c r="AU263" s="20">
        <f>IF(COUNT(C263:P263)=0,"",IFERROR(AT263/V263,0))</f>
        <v/>
      </c>
      <c r="AV263" s="14">
        <f>IF(COUNT(C263:P263)=0,"",IFERROR(AR263/H263,0))</f>
        <v/>
      </c>
    </row>
    <row r="264">
      <c r="A264" s="11">
        <f>Config!$C$6+258</f>
        <v/>
      </c>
      <c r="B264" s="12">
        <f>INT((A264-Config!$C$6)/7)+1</f>
        <v/>
      </c>
      <c r="C264" s="9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4">
        <f>IF(COUNT(C264:P264)=0,"",IFERROR(C264/D264*1000,0))</f>
        <v/>
      </c>
      <c r="R264" s="15">
        <f>IF(COUNT(C264:P264)=0,"",IFERROR(D264/E264,0))</f>
        <v/>
      </c>
      <c r="S264" s="16">
        <f>IF(COUNT(C264:P264)=0,"",IFERROR(F264/D264,0))</f>
        <v/>
      </c>
      <c r="T264" s="14">
        <f>IF(COUNT(C264:P264)=0,"",IFERROR(C264/F264,0))</f>
        <v/>
      </c>
      <c r="U264" s="17">
        <f>IF(COUNT(C264:P264)=0,"",IFERROR(G264/F264,0))</f>
        <v/>
      </c>
      <c r="V264" s="14">
        <f>IF(COUNT(C264:P264)=0,"",IFERROR(C264/G264,0))</f>
        <v/>
      </c>
      <c r="W264" s="18">
        <f>IF(COUNT(C264:P264)=0,"",IFERROR(G264/D264*1000,0))</f>
        <v/>
      </c>
      <c r="X264" s="17">
        <f>IF(COUNT(C264:P264)=0,"",IFERROR(H264/G264,0))</f>
        <v/>
      </c>
      <c r="Y264" s="14">
        <f>IF(COUNT(C264:P264)=0,"",IFERROR(C264/H264,0))</f>
        <v/>
      </c>
      <c r="Z264" s="14">
        <f>IF(COUNT(C264:P264)=0,"",IFERROR(C264/I264,0))</f>
        <v/>
      </c>
      <c r="AA264" s="17">
        <f>IF(COUNT(C264:P264)=0,"",IFERROR(Y264/Q264,0))</f>
        <v/>
      </c>
      <c r="AB264" s="18">
        <f>IF(COUNT(C264:P264)=0,"",IFERROR(H264/D264*1000,0))</f>
        <v/>
      </c>
      <c r="AC264" s="17">
        <f>IF(COUNT(C264:P264)=0,"",IFERROR(J264/H264,0))</f>
        <v/>
      </c>
      <c r="AD264" s="14">
        <f>IF(COUNT(C264:P264)=0,"",IFERROR(C264/J264,0))</f>
        <v/>
      </c>
      <c r="AE264" s="17">
        <f>IF(COUNT(C264:P264)=0,"",IFERROR(K264/H264,0))</f>
        <v/>
      </c>
      <c r="AF264" s="17">
        <f>IF(COUNT(C264:P264)=0,"",IFERROR(L264/H264,0))</f>
        <v/>
      </c>
      <c r="AG264" s="14">
        <f>IF(COUNT(C264:P264)=0,"",IFERROR(C264/K264,0))</f>
        <v/>
      </c>
      <c r="AH264" s="17">
        <f>IF(COUNT(C264:P264)=0,"",IFERROR(M264/K264,0))</f>
        <v/>
      </c>
      <c r="AI264" s="14">
        <f>IF(COUNT(C264:P264)=0,"",IFERROR(C264/M264,0))</f>
        <v/>
      </c>
      <c r="AJ264" s="17">
        <f>IF(COUNT(C264:P264)=0,"",IFERROR(N264/M264,0))</f>
        <v/>
      </c>
      <c r="AK264" s="16">
        <f>IF(COUNT(C264:P264)=0,"",IFERROR(N264/H264,0))</f>
        <v/>
      </c>
      <c r="AL264" s="14">
        <f>IF(COUNT(C264:P264)=0,"",IFERROR(C264/N264,0))</f>
        <v/>
      </c>
      <c r="AM264" s="17">
        <f>IF(COUNT(C264:P264)=0,"",IFERROR(O264/N264,0))</f>
        <v/>
      </c>
      <c r="AN264" s="17">
        <f>IF(COUNT(C264:P264)=0,"",IFERROR(P264/N264,0))</f>
        <v/>
      </c>
      <c r="AO264" s="19">
        <f>IF(COUNT(C264:P264)=0,"",IFERROR(N264*Config!$C$7+O264*Config!$C$8+P264*Config!$C$9,0))</f>
        <v/>
      </c>
      <c r="AP264" s="14">
        <f>IF(COUNT(C264:P264)=0,"",IFERROR(AO264/N264,0))</f>
        <v/>
      </c>
      <c r="AQ264" s="19">
        <f>IF(COUNT(C264:P264)=0,"",IFERROR(AO264*(1-Config!$C$10-Config!$C$11-Config!$C$12),0))</f>
        <v/>
      </c>
      <c r="AR264" s="19">
        <f>IF(COUNT(C264:P264)=0,"",IFERROR(AQ264-C264-Config!$C$13,0))</f>
        <v/>
      </c>
      <c r="AS264" s="20">
        <f>IF(COUNT(C264:P264)=0,"",IFERROR(AQ264/C264,0))</f>
        <v/>
      </c>
      <c r="AT264" s="14">
        <f>IF(COUNT(C264:P264)=0,"",IFERROR(AR264/G264,0))</f>
        <v/>
      </c>
      <c r="AU264" s="20">
        <f>IF(COUNT(C264:P264)=0,"",IFERROR(AT264/V264,0))</f>
        <v/>
      </c>
      <c r="AV264" s="14">
        <f>IF(COUNT(C264:P264)=0,"",IFERROR(AR264/H264,0))</f>
        <v/>
      </c>
    </row>
    <row r="265">
      <c r="A265" s="11">
        <f>Config!$C$6+259</f>
        <v/>
      </c>
      <c r="B265" s="12">
        <f>INT((A265-Config!$C$6)/7)+1</f>
        <v/>
      </c>
      <c r="C265" s="9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4">
        <f>IF(COUNT(C265:P265)=0,"",IFERROR(C265/D265*1000,0))</f>
        <v/>
      </c>
      <c r="R265" s="15">
        <f>IF(COUNT(C265:P265)=0,"",IFERROR(D265/E265,0))</f>
        <v/>
      </c>
      <c r="S265" s="16">
        <f>IF(COUNT(C265:P265)=0,"",IFERROR(F265/D265,0))</f>
        <v/>
      </c>
      <c r="T265" s="14">
        <f>IF(COUNT(C265:P265)=0,"",IFERROR(C265/F265,0))</f>
        <v/>
      </c>
      <c r="U265" s="17">
        <f>IF(COUNT(C265:P265)=0,"",IFERROR(G265/F265,0))</f>
        <v/>
      </c>
      <c r="V265" s="14">
        <f>IF(COUNT(C265:P265)=0,"",IFERROR(C265/G265,0))</f>
        <v/>
      </c>
      <c r="W265" s="18">
        <f>IF(COUNT(C265:P265)=0,"",IFERROR(G265/D265*1000,0))</f>
        <v/>
      </c>
      <c r="X265" s="17">
        <f>IF(COUNT(C265:P265)=0,"",IFERROR(H265/G265,0))</f>
        <v/>
      </c>
      <c r="Y265" s="14">
        <f>IF(COUNT(C265:P265)=0,"",IFERROR(C265/H265,0))</f>
        <v/>
      </c>
      <c r="Z265" s="14">
        <f>IF(COUNT(C265:P265)=0,"",IFERROR(C265/I265,0))</f>
        <v/>
      </c>
      <c r="AA265" s="17">
        <f>IF(COUNT(C265:P265)=0,"",IFERROR(Y265/Q265,0))</f>
        <v/>
      </c>
      <c r="AB265" s="18">
        <f>IF(COUNT(C265:P265)=0,"",IFERROR(H265/D265*1000,0))</f>
        <v/>
      </c>
      <c r="AC265" s="17">
        <f>IF(COUNT(C265:P265)=0,"",IFERROR(J265/H265,0))</f>
        <v/>
      </c>
      <c r="AD265" s="14">
        <f>IF(COUNT(C265:P265)=0,"",IFERROR(C265/J265,0))</f>
        <v/>
      </c>
      <c r="AE265" s="17">
        <f>IF(COUNT(C265:P265)=0,"",IFERROR(K265/H265,0))</f>
        <v/>
      </c>
      <c r="AF265" s="17">
        <f>IF(COUNT(C265:P265)=0,"",IFERROR(L265/H265,0))</f>
        <v/>
      </c>
      <c r="AG265" s="14">
        <f>IF(COUNT(C265:P265)=0,"",IFERROR(C265/K265,0))</f>
        <v/>
      </c>
      <c r="AH265" s="17">
        <f>IF(COUNT(C265:P265)=0,"",IFERROR(M265/K265,0))</f>
        <v/>
      </c>
      <c r="AI265" s="14">
        <f>IF(COUNT(C265:P265)=0,"",IFERROR(C265/M265,0))</f>
        <v/>
      </c>
      <c r="AJ265" s="17">
        <f>IF(COUNT(C265:P265)=0,"",IFERROR(N265/M265,0))</f>
        <v/>
      </c>
      <c r="AK265" s="16">
        <f>IF(COUNT(C265:P265)=0,"",IFERROR(N265/H265,0))</f>
        <v/>
      </c>
      <c r="AL265" s="14">
        <f>IF(COUNT(C265:P265)=0,"",IFERROR(C265/N265,0))</f>
        <v/>
      </c>
      <c r="AM265" s="17">
        <f>IF(COUNT(C265:P265)=0,"",IFERROR(O265/N265,0))</f>
        <v/>
      </c>
      <c r="AN265" s="17">
        <f>IF(COUNT(C265:P265)=0,"",IFERROR(P265/N265,0))</f>
        <v/>
      </c>
      <c r="AO265" s="19">
        <f>IF(COUNT(C265:P265)=0,"",IFERROR(N265*Config!$C$7+O265*Config!$C$8+P265*Config!$C$9,0))</f>
        <v/>
      </c>
      <c r="AP265" s="14">
        <f>IF(COUNT(C265:P265)=0,"",IFERROR(AO265/N265,0))</f>
        <v/>
      </c>
      <c r="AQ265" s="19">
        <f>IF(COUNT(C265:P265)=0,"",IFERROR(AO265*(1-Config!$C$10-Config!$C$11-Config!$C$12),0))</f>
        <v/>
      </c>
      <c r="AR265" s="19">
        <f>IF(COUNT(C265:P265)=0,"",IFERROR(AQ265-C265-Config!$C$13,0))</f>
        <v/>
      </c>
      <c r="AS265" s="20">
        <f>IF(COUNT(C265:P265)=0,"",IFERROR(AQ265/C265,0))</f>
        <v/>
      </c>
      <c r="AT265" s="14">
        <f>IF(COUNT(C265:P265)=0,"",IFERROR(AR265/G265,0))</f>
        <v/>
      </c>
      <c r="AU265" s="20">
        <f>IF(COUNT(C265:P265)=0,"",IFERROR(AT265/V265,0))</f>
        <v/>
      </c>
      <c r="AV265" s="14">
        <f>IF(COUNT(C265:P265)=0,"",IFERROR(AR265/H265,0))</f>
        <v/>
      </c>
    </row>
    <row r="266">
      <c r="A266" s="11">
        <f>Config!$C$6+260</f>
        <v/>
      </c>
      <c r="B266" s="12">
        <f>INT((A266-Config!$C$6)/7)+1</f>
        <v/>
      </c>
      <c r="C266" s="9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4">
        <f>IF(COUNT(C266:P266)=0,"",IFERROR(C266/D266*1000,0))</f>
        <v/>
      </c>
      <c r="R266" s="15">
        <f>IF(COUNT(C266:P266)=0,"",IFERROR(D266/E266,0))</f>
        <v/>
      </c>
      <c r="S266" s="16">
        <f>IF(COUNT(C266:P266)=0,"",IFERROR(F266/D266,0))</f>
        <v/>
      </c>
      <c r="T266" s="14">
        <f>IF(COUNT(C266:P266)=0,"",IFERROR(C266/F266,0))</f>
        <v/>
      </c>
      <c r="U266" s="17">
        <f>IF(COUNT(C266:P266)=0,"",IFERROR(G266/F266,0))</f>
        <v/>
      </c>
      <c r="V266" s="14">
        <f>IF(COUNT(C266:P266)=0,"",IFERROR(C266/G266,0))</f>
        <v/>
      </c>
      <c r="W266" s="18">
        <f>IF(COUNT(C266:P266)=0,"",IFERROR(G266/D266*1000,0))</f>
        <v/>
      </c>
      <c r="X266" s="17">
        <f>IF(COUNT(C266:P266)=0,"",IFERROR(H266/G266,0))</f>
        <v/>
      </c>
      <c r="Y266" s="14">
        <f>IF(COUNT(C266:P266)=0,"",IFERROR(C266/H266,0))</f>
        <v/>
      </c>
      <c r="Z266" s="14">
        <f>IF(COUNT(C266:P266)=0,"",IFERROR(C266/I266,0))</f>
        <v/>
      </c>
      <c r="AA266" s="17">
        <f>IF(COUNT(C266:P266)=0,"",IFERROR(Y266/Q266,0))</f>
        <v/>
      </c>
      <c r="AB266" s="18">
        <f>IF(COUNT(C266:P266)=0,"",IFERROR(H266/D266*1000,0))</f>
        <v/>
      </c>
      <c r="AC266" s="17">
        <f>IF(COUNT(C266:P266)=0,"",IFERROR(J266/H266,0))</f>
        <v/>
      </c>
      <c r="AD266" s="14">
        <f>IF(COUNT(C266:P266)=0,"",IFERROR(C266/J266,0))</f>
        <v/>
      </c>
      <c r="AE266" s="17">
        <f>IF(COUNT(C266:P266)=0,"",IFERROR(K266/H266,0))</f>
        <v/>
      </c>
      <c r="AF266" s="17">
        <f>IF(COUNT(C266:P266)=0,"",IFERROR(L266/H266,0))</f>
        <v/>
      </c>
      <c r="AG266" s="14">
        <f>IF(COUNT(C266:P266)=0,"",IFERROR(C266/K266,0))</f>
        <v/>
      </c>
      <c r="AH266" s="17">
        <f>IF(COUNT(C266:P266)=0,"",IFERROR(M266/K266,0))</f>
        <v/>
      </c>
      <c r="AI266" s="14">
        <f>IF(COUNT(C266:P266)=0,"",IFERROR(C266/M266,0))</f>
        <v/>
      </c>
      <c r="AJ266" s="17">
        <f>IF(COUNT(C266:P266)=0,"",IFERROR(N266/M266,0))</f>
        <v/>
      </c>
      <c r="AK266" s="16">
        <f>IF(COUNT(C266:P266)=0,"",IFERROR(N266/H266,0))</f>
        <v/>
      </c>
      <c r="AL266" s="14">
        <f>IF(COUNT(C266:P266)=0,"",IFERROR(C266/N266,0))</f>
        <v/>
      </c>
      <c r="AM266" s="17">
        <f>IF(COUNT(C266:P266)=0,"",IFERROR(O266/N266,0))</f>
        <v/>
      </c>
      <c r="AN266" s="17">
        <f>IF(COUNT(C266:P266)=0,"",IFERROR(P266/N266,0))</f>
        <v/>
      </c>
      <c r="AO266" s="19">
        <f>IF(COUNT(C266:P266)=0,"",IFERROR(N266*Config!$C$7+O266*Config!$C$8+P266*Config!$C$9,0))</f>
        <v/>
      </c>
      <c r="AP266" s="14">
        <f>IF(COUNT(C266:P266)=0,"",IFERROR(AO266/N266,0))</f>
        <v/>
      </c>
      <c r="AQ266" s="19">
        <f>IF(COUNT(C266:P266)=0,"",IFERROR(AO266*(1-Config!$C$10-Config!$C$11-Config!$C$12),0))</f>
        <v/>
      </c>
      <c r="AR266" s="19">
        <f>IF(COUNT(C266:P266)=0,"",IFERROR(AQ266-C266-Config!$C$13,0))</f>
        <v/>
      </c>
      <c r="AS266" s="20">
        <f>IF(COUNT(C266:P266)=0,"",IFERROR(AQ266/C266,0))</f>
        <v/>
      </c>
      <c r="AT266" s="14">
        <f>IF(COUNT(C266:P266)=0,"",IFERROR(AR266/G266,0))</f>
        <v/>
      </c>
      <c r="AU266" s="20">
        <f>IF(COUNT(C266:P266)=0,"",IFERROR(AT266/V266,0))</f>
        <v/>
      </c>
      <c r="AV266" s="14">
        <f>IF(COUNT(C266:P266)=0,"",IFERROR(AR266/H266,0))</f>
        <v/>
      </c>
    </row>
    <row r="267">
      <c r="A267" s="11">
        <f>Config!$C$6+261</f>
        <v/>
      </c>
      <c r="B267" s="12">
        <f>INT((A267-Config!$C$6)/7)+1</f>
        <v/>
      </c>
      <c r="C267" s="9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4">
        <f>IF(COUNT(C267:P267)=0,"",IFERROR(C267/D267*1000,0))</f>
        <v/>
      </c>
      <c r="R267" s="15">
        <f>IF(COUNT(C267:P267)=0,"",IFERROR(D267/E267,0))</f>
        <v/>
      </c>
      <c r="S267" s="16">
        <f>IF(COUNT(C267:P267)=0,"",IFERROR(F267/D267,0))</f>
        <v/>
      </c>
      <c r="T267" s="14">
        <f>IF(COUNT(C267:P267)=0,"",IFERROR(C267/F267,0))</f>
        <v/>
      </c>
      <c r="U267" s="17">
        <f>IF(COUNT(C267:P267)=0,"",IFERROR(G267/F267,0))</f>
        <v/>
      </c>
      <c r="V267" s="14">
        <f>IF(COUNT(C267:P267)=0,"",IFERROR(C267/G267,0))</f>
        <v/>
      </c>
      <c r="W267" s="18">
        <f>IF(COUNT(C267:P267)=0,"",IFERROR(G267/D267*1000,0))</f>
        <v/>
      </c>
      <c r="X267" s="17">
        <f>IF(COUNT(C267:P267)=0,"",IFERROR(H267/G267,0))</f>
        <v/>
      </c>
      <c r="Y267" s="14">
        <f>IF(COUNT(C267:P267)=0,"",IFERROR(C267/H267,0))</f>
        <v/>
      </c>
      <c r="Z267" s="14">
        <f>IF(COUNT(C267:P267)=0,"",IFERROR(C267/I267,0))</f>
        <v/>
      </c>
      <c r="AA267" s="17">
        <f>IF(COUNT(C267:P267)=0,"",IFERROR(Y267/Q267,0))</f>
        <v/>
      </c>
      <c r="AB267" s="18">
        <f>IF(COUNT(C267:P267)=0,"",IFERROR(H267/D267*1000,0))</f>
        <v/>
      </c>
      <c r="AC267" s="17">
        <f>IF(COUNT(C267:P267)=0,"",IFERROR(J267/H267,0))</f>
        <v/>
      </c>
      <c r="AD267" s="14">
        <f>IF(COUNT(C267:P267)=0,"",IFERROR(C267/J267,0))</f>
        <v/>
      </c>
      <c r="AE267" s="17">
        <f>IF(COUNT(C267:P267)=0,"",IFERROR(K267/H267,0))</f>
        <v/>
      </c>
      <c r="AF267" s="17">
        <f>IF(COUNT(C267:P267)=0,"",IFERROR(L267/H267,0))</f>
        <v/>
      </c>
      <c r="AG267" s="14">
        <f>IF(COUNT(C267:P267)=0,"",IFERROR(C267/K267,0))</f>
        <v/>
      </c>
      <c r="AH267" s="17">
        <f>IF(COUNT(C267:P267)=0,"",IFERROR(M267/K267,0))</f>
        <v/>
      </c>
      <c r="AI267" s="14">
        <f>IF(COUNT(C267:P267)=0,"",IFERROR(C267/M267,0))</f>
        <v/>
      </c>
      <c r="AJ267" s="17">
        <f>IF(COUNT(C267:P267)=0,"",IFERROR(N267/M267,0))</f>
        <v/>
      </c>
      <c r="AK267" s="16">
        <f>IF(COUNT(C267:P267)=0,"",IFERROR(N267/H267,0))</f>
        <v/>
      </c>
      <c r="AL267" s="14">
        <f>IF(COUNT(C267:P267)=0,"",IFERROR(C267/N267,0))</f>
        <v/>
      </c>
      <c r="AM267" s="17">
        <f>IF(COUNT(C267:P267)=0,"",IFERROR(O267/N267,0))</f>
        <v/>
      </c>
      <c r="AN267" s="17">
        <f>IF(COUNT(C267:P267)=0,"",IFERROR(P267/N267,0))</f>
        <v/>
      </c>
      <c r="AO267" s="19">
        <f>IF(COUNT(C267:P267)=0,"",IFERROR(N267*Config!$C$7+O267*Config!$C$8+P267*Config!$C$9,0))</f>
        <v/>
      </c>
      <c r="AP267" s="14">
        <f>IF(COUNT(C267:P267)=0,"",IFERROR(AO267/N267,0))</f>
        <v/>
      </c>
      <c r="AQ267" s="19">
        <f>IF(COUNT(C267:P267)=0,"",IFERROR(AO267*(1-Config!$C$10-Config!$C$11-Config!$C$12),0))</f>
        <v/>
      </c>
      <c r="AR267" s="19">
        <f>IF(COUNT(C267:P267)=0,"",IFERROR(AQ267-C267-Config!$C$13,0))</f>
        <v/>
      </c>
      <c r="AS267" s="20">
        <f>IF(COUNT(C267:P267)=0,"",IFERROR(AQ267/C267,0))</f>
        <v/>
      </c>
      <c r="AT267" s="14">
        <f>IF(COUNT(C267:P267)=0,"",IFERROR(AR267/G267,0))</f>
        <v/>
      </c>
      <c r="AU267" s="20">
        <f>IF(COUNT(C267:P267)=0,"",IFERROR(AT267/V267,0))</f>
        <v/>
      </c>
      <c r="AV267" s="14">
        <f>IF(COUNT(C267:P267)=0,"",IFERROR(AR267/H267,0))</f>
        <v/>
      </c>
    </row>
    <row r="268">
      <c r="A268" s="11">
        <f>Config!$C$6+262</f>
        <v/>
      </c>
      <c r="B268" s="12">
        <f>INT((A268-Config!$C$6)/7)+1</f>
        <v/>
      </c>
      <c r="C268" s="9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4">
        <f>IF(COUNT(C268:P268)=0,"",IFERROR(C268/D268*1000,0))</f>
        <v/>
      </c>
      <c r="R268" s="15">
        <f>IF(COUNT(C268:P268)=0,"",IFERROR(D268/E268,0))</f>
        <v/>
      </c>
      <c r="S268" s="16">
        <f>IF(COUNT(C268:P268)=0,"",IFERROR(F268/D268,0))</f>
        <v/>
      </c>
      <c r="T268" s="14">
        <f>IF(COUNT(C268:P268)=0,"",IFERROR(C268/F268,0))</f>
        <v/>
      </c>
      <c r="U268" s="17">
        <f>IF(COUNT(C268:P268)=0,"",IFERROR(G268/F268,0))</f>
        <v/>
      </c>
      <c r="V268" s="14">
        <f>IF(COUNT(C268:P268)=0,"",IFERROR(C268/G268,0))</f>
        <v/>
      </c>
      <c r="W268" s="18">
        <f>IF(COUNT(C268:P268)=0,"",IFERROR(G268/D268*1000,0))</f>
        <v/>
      </c>
      <c r="X268" s="17">
        <f>IF(COUNT(C268:P268)=0,"",IFERROR(H268/G268,0))</f>
        <v/>
      </c>
      <c r="Y268" s="14">
        <f>IF(COUNT(C268:P268)=0,"",IFERROR(C268/H268,0))</f>
        <v/>
      </c>
      <c r="Z268" s="14">
        <f>IF(COUNT(C268:P268)=0,"",IFERROR(C268/I268,0))</f>
        <v/>
      </c>
      <c r="AA268" s="17">
        <f>IF(COUNT(C268:P268)=0,"",IFERROR(Y268/Q268,0))</f>
        <v/>
      </c>
      <c r="AB268" s="18">
        <f>IF(COUNT(C268:P268)=0,"",IFERROR(H268/D268*1000,0))</f>
        <v/>
      </c>
      <c r="AC268" s="17">
        <f>IF(COUNT(C268:P268)=0,"",IFERROR(J268/H268,0))</f>
        <v/>
      </c>
      <c r="AD268" s="14">
        <f>IF(COUNT(C268:P268)=0,"",IFERROR(C268/J268,0))</f>
        <v/>
      </c>
      <c r="AE268" s="17">
        <f>IF(COUNT(C268:P268)=0,"",IFERROR(K268/H268,0))</f>
        <v/>
      </c>
      <c r="AF268" s="17">
        <f>IF(COUNT(C268:P268)=0,"",IFERROR(L268/H268,0))</f>
        <v/>
      </c>
      <c r="AG268" s="14">
        <f>IF(COUNT(C268:P268)=0,"",IFERROR(C268/K268,0))</f>
        <v/>
      </c>
      <c r="AH268" s="17">
        <f>IF(COUNT(C268:P268)=0,"",IFERROR(M268/K268,0))</f>
        <v/>
      </c>
      <c r="AI268" s="14">
        <f>IF(COUNT(C268:P268)=0,"",IFERROR(C268/M268,0))</f>
        <v/>
      </c>
      <c r="AJ268" s="17">
        <f>IF(COUNT(C268:P268)=0,"",IFERROR(N268/M268,0))</f>
        <v/>
      </c>
      <c r="AK268" s="16">
        <f>IF(COUNT(C268:P268)=0,"",IFERROR(N268/H268,0))</f>
        <v/>
      </c>
      <c r="AL268" s="14">
        <f>IF(COUNT(C268:P268)=0,"",IFERROR(C268/N268,0))</f>
        <v/>
      </c>
      <c r="AM268" s="17">
        <f>IF(COUNT(C268:P268)=0,"",IFERROR(O268/N268,0))</f>
        <v/>
      </c>
      <c r="AN268" s="17">
        <f>IF(COUNT(C268:P268)=0,"",IFERROR(P268/N268,0))</f>
        <v/>
      </c>
      <c r="AO268" s="19">
        <f>IF(COUNT(C268:P268)=0,"",IFERROR(N268*Config!$C$7+O268*Config!$C$8+P268*Config!$C$9,0))</f>
        <v/>
      </c>
      <c r="AP268" s="14">
        <f>IF(COUNT(C268:P268)=0,"",IFERROR(AO268/N268,0))</f>
        <v/>
      </c>
      <c r="AQ268" s="19">
        <f>IF(COUNT(C268:P268)=0,"",IFERROR(AO268*(1-Config!$C$10-Config!$C$11-Config!$C$12),0))</f>
        <v/>
      </c>
      <c r="AR268" s="19">
        <f>IF(COUNT(C268:P268)=0,"",IFERROR(AQ268-C268-Config!$C$13,0))</f>
        <v/>
      </c>
      <c r="AS268" s="20">
        <f>IF(COUNT(C268:P268)=0,"",IFERROR(AQ268/C268,0))</f>
        <v/>
      </c>
      <c r="AT268" s="14">
        <f>IF(COUNT(C268:P268)=0,"",IFERROR(AR268/G268,0))</f>
        <v/>
      </c>
      <c r="AU268" s="20">
        <f>IF(COUNT(C268:P268)=0,"",IFERROR(AT268/V268,0))</f>
        <v/>
      </c>
      <c r="AV268" s="14">
        <f>IF(COUNT(C268:P268)=0,"",IFERROR(AR268/H268,0))</f>
        <v/>
      </c>
    </row>
    <row r="269">
      <c r="A269" s="11">
        <f>Config!$C$6+263</f>
        <v/>
      </c>
      <c r="B269" s="12">
        <f>INT((A269-Config!$C$6)/7)+1</f>
        <v/>
      </c>
      <c r="C269" s="9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4">
        <f>IF(COUNT(C269:P269)=0,"",IFERROR(C269/D269*1000,0))</f>
        <v/>
      </c>
      <c r="R269" s="15">
        <f>IF(COUNT(C269:P269)=0,"",IFERROR(D269/E269,0))</f>
        <v/>
      </c>
      <c r="S269" s="16">
        <f>IF(COUNT(C269:P269)=0,"",IFERROR(F269/D269,0))</f>
        <v/>
      </c>
      <c r="T269" s="14">
        <f>IF(COUNT(C269:P269)=0,"",IFERROR(C269/F269,0))</f>
        <v/>
      </c>
      <c r="U269" s="17">
        <f>IF(COUNT(C269:P269)=0,"",IFERROR(G269/F269,0))</f>
        <v/>
      </c>
      <c r="V269" s="14">
        <f>IF(COUNT(C269:P269)=0,"",IFERROR(C269/G269,0))</f>
        <v/>
      </c>
      <c r="W269" s="18">
        <f>IF(COUNT(C269:P269)=0,"",IFERROR(G269/D269*1000,0))</f>
        <v/>
      </c>
      <c r="X269" s="17">
        <f>IF(COUNT(C269:P269)=0,"",IFERROR(H269/G269,0))</f>
        <v/>
      </c>
      <c r="Y269" s="14">
        <f>IF(COUNT(C269:P269)=0,"",IFERROR(C269/H269,0))</f>
        <v/>
      </c>
      <c r="Z269" s="14">
        <f>IF(COUNT(C269:P269)=0,"",IFERROR(C269/I269,0))</f>
        <v/>
      </c>
      <c r="AA269" s="17">
        <f>IF(COUNT(C269:P269)=0,"",IFERROR(Y269/Q269,0))</f>
        <v/>
      </c>
      <c r="AB269" s="18">
        <f>IF(COUNT(C269:P269)=0,"",IFERROR(H269/D269*1000,0))</f>
        <v/>
      </c>
      <c r="AC269" s="17">
        <f>IF(COUNT(C269:P269)=0,"",IFERROR(J269/H269,0))</f>
        <v/>
      </c>
      <c r="AD269" s="14">
        <f>IF(COUNT(C269:P269)=0,"",IFERROR(C269/J269,0))</f>
        <v/>
      </c>
      <c r="AE269" s="17">
        <f>IF(COUNT(C269:P269)=0,"",IFERROR(K269/H269,0))</f>
        <v/>
      </c>
      <c r="AF269" s="17">
        <f>IF(COUNT(C269:P269)=0,"",IFERROR(L269/H269,0))</f>
        <v/>
      </c>
      <c r="AG269" s="14">
        <f>IF(COUNT(C269:P269)=0,"",IFERROR(C269/K269,0))</f>
        <v/>
      </c>
      <c r="AH269" s="17">
        <f>IF(COUNT(C269:P269)=0,"",IFERROR(M269/K269,0))</f>
        <v/>
      </c>
      <c r="AI269" s="14">
        <f>IF(COUNT(C269:P269)=0,"",IFERROR(C269/M269,0))</f>
        <v/>
      </c>
      <c r="AJ269" s="17">
        <f>IF(COUNT(C269:P269)=0,"",IFERROR(N269/M269,0))</f>
        <v/>
      </c>
      <c r="AK269" s="16">
        <f>IF(COUNT(C269:P269)=0,"",IFERROR(N269/H269,0))</f>
        <v/>
      </c>
      <c r="AL269" s="14">
        <f>IF(COUNT(C269:P269)=0,"",IFERROR(C269/N269,0))</f>
        <v/>
      </c>
      <c r="AM269" s="17">
        <f>IF(COUNT(C269:P269)=0,"",IFERROR(O269/N269,0))</f>
        <v/>
      </c>
      <c r="AN269" s="17">
        <f>IF(COUNT(C269:P269)=0,"",IFERROR(P269/N269,0))</f>
        <v/>
      </c>
      <c r="AO269" s="19">
        <f>IF(COUNT(C269:P269)=0,"",IFERROR(N269*Config!$C$7+O269*Config!$C$8+P269*Config!$C$9,0))</f>
        <v/>
      </c>
      <c r="AP269" s="14">
        <f>IF(COUNT(C269:P269)=0,"",IFERROR(AO269/N269,0))</f>
        <v/>
      </c>
      <c r="AQ269" s="19">
        <f>IF(COUNT(C269:P269)=0,"",IFERROR(AO269*(1-Config!$C$10-Config!$C$11-Config!$C$12),0))</f>
        <v/>
      </c>
      <c r="AR269" s="19">
        <f>IF(COUNT(C269:P269)=0,"",IFERROR(AQ269-C269-Config!$C$13,0))</f>
        <v/>
      </c>
      <c r="AS269" s="20">
        <f>IF(COUNT(C269:P269)=0,"",IFERROR(AQ269/C269,0))</f>
        <v/>
      </c>
      <c r="AT269" s="14">
        <f>IF(COUNT(C269:P269)=0,"",IFERROR(AR269/G269,0))</f>
        <v/>
      </c>
      <c r="AU269" s="20">
        <f>IF(COUNT(C269:P269)=0,"",IFERROR(AT269/V269,0))</f>
        <v/>
      </c>
      <c r="AV269" s="14">
        <f>IF(COUNT(C269:P269)=0,"",IFERROR(AR269/H269,0))</f>
        <v/>
      </c>
    </row>
    <row r="270">
      <c r="A270" s="11">
        <f>Config!$C$6+264</f>
        <v/>
      </c>
      <c r="B270" s="12">
        <f>INT((A270-Config!$C$6)/7)+1</f>
        <v/>
      </c>
      <c r="C270" s="9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4">
        <f>IF(COUNT(C270:P270)=0,"",IFERROR(C270/D270*1000,0))</f>
        <v/>
      </c>
      <c r="R270" s="15">
        <f>IF(COUNT(C270:P270)=0,"",IFERROR(D270/E270,0))</f>
        <v/>
      </c>
      <c r="S270" s="16">
        <f>IF(COUNT(C270:P270)=0,"",IFERROR(F270/D270,0))</f>
        <v/>
      </c>
      <c r="T270" s="14">
        <f>IF(COUNT(C270:P270)=0,"",IFERROR(C270/F270,0))</f>
        <v/>
      </c>
      <c r="U270" s="17">
        <f>IF(COUNT(C270:P270)=0,"",IFERROR(G270/F270,0))</f>
        <v/>
      </c>
      <c r="V270" s="14">
        <f>IF(COUNT(C270:P270)=0,"",IFERROR(C270/G270,0))</f>
        <v/>
      </c>
      <c r="W270" s="18">
        <f>IF(COUNT(C270:P270)=0,"",IFERROR(G270/D270*1000,0))</f>
        <v/>
      </c>
      <c r="X270" s="17">
        <f>IF(COUNT(C270:P270)=0,"",IFERROR(H270/G270,0))</f>
        <v/>
      </c>
      <c r="Y270" s="14">
        <f>IF(COUNT(C270:P270)=0,"",IFERROR(C270/H270,0))</f>
        <v/>
      </c>
      <c r="Z270" s="14">
        <f>IF(COUNT(C270:P270)=0,"",IFERROR(C270/I270,0))</f>
        <v/>
      </c>
      <c r="AA270" s="17">
        <f>IF(COUNT(C270:P270)=0,"",IFERROR(Y270/Q270,0))</f>
        <v/>
      </c>
      <c r="AB270" s="18">
        <f>IF(COUNT(C270:P270)=0,"",IFERROR(H270/D270*1000,0))</f>
        <v/>
      </c>
      <c r="AC270" s="17">
        <f>IF(COUNT(C270:P270)=0,"",IFERROR(J270/H270,0))</f>
        <v/>
      </c>
      <c r="AD270" s="14">
        <f>IF(COUNT(C270:P270)=0,"",IFERROR(C270/J270,0))</f>
        <v/>
      </c>
      <c r="AE270" s="17">
        <f>IF(COUNT(C270:P270)=0,"",IFERROR(K270/H270,0))</f>
        <v/>
      </c>
      <c r="AF270" s="17">
        <f>IF(COUNT(C270:P270)=0,"",IFERROR(L270/H270,0))</f>
        <v/>
      </c>
      <c r="AG270" s="14">
        <f>IF(COUNT(C270:P270)=0,"",IFERROR(C270/K270,0))</f>
        <v/>
      </c>
      <c r="AH270" s="17">
        <f>IF(COUNT(C270:P270)=0,"",IFERROR(M270/K270,0))</f>
        <v/>
      </c>
      <c r="AI270" s="14">
        <f>IF(COUNT(C270:P270)=0,"",IFERROR(C270/M270,0))</f>
        <v/>
      </c>
      <c r="AJ270" s="17">
        <f>IF(COUNT(C270:P270)=0,"",IFERROR(N270/M270,0))</f>
        <v/>
      </c>
      <c r="AK270" s="16">
        <f>IF(COUNT(C270:P270)=0,"",IFERROR(N270/H270,0))</f>
        <v/>
      </c>
      <c r="AL270" s="14">
        <f>IF(COUNT(C270:P270)=0,"",IFERROR(C270/N270,0))</f>
        <v/>
      </c>
      <c r="AM270" s="17">
        <f>IF(COUNT(C270:P270)=0,"",IFERROR(O270/N270,0))</f>
        <v/>
      </c>
      <c r="AN270" s="17">
        <f>IF(COUNT(C270:P270)=0,"",IFERROR(P270/N270,0))</f>
        <v/>
      </c>
      <c r="AO270" s="19">
        <f>IF(COUNT(C270:P270)=0,"",IFERROR(N270*Config!$C$7+O270*Config!$C$8+P270*Config!$C$9,0))</f>
        <v/>
      </c>
      <c r="AP270" s="14">
        <f>IF(COUNT(C270:P270)=0,"",IFERROR(AO270/N270,0))</f>
        <v/>
      </c>
      <c r="AQ270" s="19">
        <f>IF(COUNT(C270:P270)=0,"",IFERROR(AO270*(1-Config!$C$10-Config!$C$11-Config!$C$12),0))</f>
        <v/>
      </c>
      <c r="AR270" s="19">
        <f>IF(COUNT(C270:P270)=0,"",IFERROR(AQ270-C270-Config!$C$13,0))</f>
        <v/>
      </c>
      <c r="AS270" s="20">
        <f>IF(COUNT(C270:P270)=0,"",IFERROR(AQ270/C270,0))</f>
        <v/>
      </c>
      <c r="AT270" s="14">
        <f>IF(COUNT(C270:P270)=0,"",IFERROR(AR270/G270,0))</f>
        <v/>
      </c>
      <c r="AU270" s="20">
        <f>IF(COUNT(C270:P270)=0,"",IFERROR(AT270/V270,0))</f>
        <v/>
      </c>
      <c r="AV270" s="14">
        <f>IF(COUNT(C270:P270)=0,"",IFERROR(AR270/H270,0))</f>
        <v/>
      </c>
    </row>
    <row r="271">
      <c r="A271" s="11">
        <f>Config!$C$6+265</f>
        <v/>
      </c>
      <c r="B271" s="12">
        <f>INT((A271-Config!$C$6)/7)+1</f>
        <v/>
      </c>
      <c r="C271" s="9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4">
        <f>IF(COUNT(C271:P271)=0,"",IFERROR(C271/D271*1000,0))</f>
        <v/>
      </c>
      <c r="R271" s="15">
        <f>IF(COUNT(C271:P271)=0,"",IFERROR(D271/E271,0))</f>
        <v/>
      </c>
      <c r="S271" s="16">
        <f>IF(COUNT(C271:P271)=0,"",IFERROR(F271/D271,0))</f>
        <v/>
      </c>
      <c r="T271" s="14">
        <f>IF(COUNT(C271:P271)=0,"",IFERROR(C271/F271,0))</f>
        <v/>
      </c>
      <c r="U271" s="17">
        <f>IF(COUNT(C271:P271)=0,"",IFERROR(G271/F271,0))</f>
        <v/>
      </c>
      <c r="V271" s="14">
        <f>IF(COUNT(C271:P271)=0,"",IFERROR(C271/G271,0))</f>
        <v/>
      </c>
      <c r="W271" s="18">
        <f>IF(COUNT(C271:P271)=0,"",IFERROR(G271/D271*1000,0))</f>
        <v/>
      </c>
      <c r="X271" s="17">
        <f>IF(COUNT(C271:P271)=0,"",IFERROR(H271/G271,0))</f>
        <v/>
      </c>
      <c r="Y271" s="14">
        <f>IF(COUNT(C271:P271)=0,"",IFERROR(C271/H271,0))</f>
        <v/>
      </c>
      <c r="Z271" s="14">
        <f>IF(COUNT(C271:P271)=0,"",IFERROR(C271/I271,0))</f>
        <v/>
      </c>
      <c r="AA271" s="17">
        <f>IF(COUNT(C271:P271)=0,"",IFERROR(Y271/Q271,0))</f>
        <v/>
      </c>
      <c r="AB271" s="18">
        <f>IF(COUNT(C271:P271)=0,"",IFERROR(H271/D271*1000,0))</f>
        <v/>
      </c>
      <c r="AC271" s="17">
        <f>IF(COUNT(C271:P271)=0,"",IFERROR(J271/H271,0))</f>
        <v/>
      </c>
      <c r="AD271" s="14">
        <f>IF(COUNT(C271:P271)=0,"",IFERROR(C271/J271,0))</f>
        <v/>
      </c>
      <c r="AE271" s="17">
        <f>IF(COUNT(C271:P271)=0,"",IFERROR(K271/H271,0))</f>
        <v/>
      </c>
      <c r="AF271" s="17">
        <f>IF(COUNT(C271:P271)=0,"",IFERROR(L271/H271,0))</f>
        <v/>
      </c>
      <c r="AG271" s="14">
        <f>IF(COUNT(C271:P271)=0,"",IFERROR(C271/K271,0))</f>
        <v/>
      </c>
      <c r="AH271" s="17">
        <f>IF(COUNT(C271:P271)=0,"",IFERROR(M271/K271,0))</f>
        <v/>
      </c>
      <c r="AI271" s="14">
        <f>IF(COUNT(C271:P271)=0,"",IFERROR(C271/M271,0))</f>
        <v/>
      </c>
      <c r="AJ271" s="17">
        <f>IF(COUNT(C271:P271)=0,"",IFERROR(N271/M271,0))</f>
        <v/>
      </c>
      <c r="AK271" s="16">
        <f>IF(COUNT(C271:P271)=0,"",IFERROR(N271/H271,0))</f>
        <v/>
      </c>
      <c r="AL271" s="14">
        <f>IF(COUNT(C271:P271)=0,"",IFERROR(C271/N271,0))</f>
        <v/>
      </c>
      <c r="AM271" s="17">
        <f>IF(COUNT(C271:P271)=0,"",IFERROR(O271/N271,0))</f>
        <v/>
      </c>
      <c r="AN271" s="17">
        <f>IF(COUNT(C271:P271)=0,"",IFERROR(P271/N271,0))</f>
        <v/>
      </c>
      <c r="AO271" s="19">
        <f>IF(COUNT(C271:P271)=0,"",IFERROR(N271*Config!$C$7+O271*Config!$C$8+P271*Config!$C$9,0))</f>
        <v/>
      </c>
      <c r="AP271" s="14">
        <f>IF(COUNT(C271:P271)=0,"",IFERROR(AO271/N271,0))</f>
        <v/>
      </c>
      <c r="AQ271" s="19">
        <f>IF(COUNT(C271:P271)=0,"",IFERROR(AO271*(1-Config!$C$10-Config!$C$11-Config!$C$12),0))</f>
        <v/>
      </c>
      <c r="AR271" s="19">
        <f>IF(COUNT(C271:P271)=0,"",IFERROR(AQ271-C271-Config!$C$13,0))</f>
        <v/>
      </c>
      <c r="AS271" s="20">
        <f>IF(COUNT(C271:P271)=0,"",IFERROR(AQ271/C271,0))</f>
        <v/>
      </c>
      <c r="AT271" s="14">
        <f>IF(COUNT(C271:P271)=0,"",IFERROR(AR271/G271,0))</f>
        <v/>
      </c>
      <c r="AU271" s="20">
        <f>IF(COUNT(C271:P271)=0,"",IFERROR(AT271/V271,0))</f>
        <v/>
      </c>
      <c r="AV271" s="14">
        <f>IF(COUNT(C271:P271)=0,"",IFERROR(AR271/H271,0))</f>
        <v/>
      </c>
    </row>
    <row r="272">
      <c r="A272" s="11">
        <f>Config!$C$6+266</f>
        <v/>
      </c>
      <c r="B272" s="12">
        <f>INT((A272-Config!$C$6)/7)+1</f>
        <v/>
      </c>
      <c r="C272" s="9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4">
        <f>IF(COUNT(C272:P272)=0,"",IFERROR(C272/D272*1000,0))</f>
        <v/>
      </c>
      <c r="R272" s="15">
        <f>IF(COUNT(C272:P272)=0,"",IFERROR(D272/E272,0))</f>
        <v/>
      </c>
      <c r="S272" s="16">
        <f>IF(COUNT(C272:P272)=0,"",IFERROR(F272/D272,0))</f>
        <v/>
      </c>
      <c r="T272" s="14">
        <f>IF(COUNT(C272:P272)=0,"",IFERROR(C272/F272,0))</f>
        <v/>
      </c>
      <c r="U272" s="17">
        <f>IF(COUNT(C272:P272)=0,"",IFERROR(G272/F272,0))</f>
        <v/>
      </c>
      <c r="V272" s="14">
        <f>IF(COUNT(C272:P272)=0,"",IFERROR(C272/G272,0))</f>
        <v/>
      </c>
      <c r="W272" s="18">
        <f>IF(COUNT(C272:P272)=0,"",IFERROR(G272/D272*1000,0))</f>
        <v/>
      </c>
      <c r="X272" s="17">
        <f>IF(COUNT(C272:P272)=0,"",IFERROR(H272/G272,0))</f>
        <v/>
      </c>
      <c r="Y272" s="14">
        <f>IF(COUNT(C272:P272)=0,"",IFERROR(C272/H272,0))</f>
        <v/>
      </c>
      <c r="Z272" s="14">
        <f>IF(COUNT(C272:P272)=0,"",IFERROR(C272/I272,0))</f>
        <v/>
      </c>
      <c r="AA272" s="17">
        <f>IF(COUNT(C272:P272)=0,"",IFERROR(Y272/Q272,0))</f>
        <v/>
      </c>
      <c r="AB272" s="18">
        <f>IF(COUNT(C272:P272)=0,"",IFERROR(H272/D272*1000,0))</f>
        <v/>
      </c>
      <c r="AC272" s="17">
        <f>IF(COUNT(C272:P272)=0,"",IFERROR(J272/H272,0))</f>
        <v/>
      </c>
      <c r="AD272" s="14">
        <f>IF(COUNT(C272:P272)=0,"",IFERROR(C272/J272,0))</f>
        <v/>
      </c>
      <c r="AE272" s="17">
        <f>IF(COUNT(C272:P272)=0,"",IFERROR(K272/H272,0))</f>
        <v/>
      </c>
      <c r="AF272" s="17">
        <f>IF(COUNT(C272:P272)=0,"",IFERROR(L272/H272,0))</f>
        <v/>
      </c>
      <c r="AG272" s="14">
        <f>IF(COUNT(C272:P272)=0,"",IFERROR(C272/K272,0))</f>
        <v/>
      </c>
      <c r="AH272" s="17">
        <f>IF(COUNT(C272:P272)=0,"",IFERROR(M272/K272,0))</f>
        <v/>
      </c>
      <c r="AI272" s="14">
        <f>IF(COUNT(C272:P272)=0,"",IFERROR(C272/M272,0))</f>
        <v/>
      </c>
      <c r="AJ272" s="17">
        <f>IF(COUNT(C272:P272)=0,"",IFERROR(N272/M272,0))</f>
        <v/>
      </c>
      <c r="AK272" s="16">
        <f>IF(COUNT(C272:P272)=0,"",IFERROR(N272/H272,0))</f>
        <v/>
      </c>
      <c r="AL272" s="14">
        <f>IF(COUNT(C272:P272)=0,"",IFERROR(C272/N272,0))</f>
        <v/>
      </c>
      <c r="AM272" s="17">
        <f>IF(COUNT(C272:P272)=0,"",IFERROR(O272/N272,0))</f>
        <v/>
      </c>
      <c r="AN272" s="17">
        <f>IF(COUNT(C272:P272)=0,"",IFERROR(P272/N272,0))</f>
        <v/>
      </c>
      <c r="AO272" s="19">
        <f>IF(COUNT(C272:P272)=0,"",IFERROR(N272*Config!$C$7+O272*Config!$C$8+P272*Config!$C$9,0))</f>
        <v/>
      </c>
      <c r="AP272" s="14">
        <f>IF(COUNT(C272:P272)=0,"",IFERROR(AO272/N272,0))</f>
        <v/>
      </c>
      <c r="AQ272" s="19">
        <f>IF(COUNT(C272:P272)=0,"",IFERROR(AO272*(1-Config!$C$10-Config!$C$11-Config!$C$12),0))</f>
        <v/>
      </c>
      <c r="AR272" s="19">
        <f>IF(COUNT(C272:P272)=0,"",IFERROR(AQ272-C272-Config!$C$13,0))</f>
        <v/>
      </c>
      <c r="AS272" s="20">
        <f>IF(COUNT(C272:P272)=0,"",IFERROR(AQ272/C272,0))</f>
        <v/>
      </c>
      <c r="AT272" s="14">
        <f>IF(COUNT(C272:P272)=0,"",IFERROR(AR272/G272,0))</f>
        <v/>
      </c>
      <c r="AU272" s="20">
        <f>IF(COUNT(C272:P272)=0,"",IFERROR(AT272/V272,0))</f>
        <v/>
      </c>
      <c r="AV272" s="14">
        <f>IF(COUNT(C272:P272)=0,"",IFERROR(AR272/H272,0))</f>
        <v/>
      </c>
    </row>
    <row r="273">
      <c r="A273" s="11">
        <f>Config!$C$6+267</f>
        <v/>
      </c>
      <c r="B273" s="12">
        <f>INT((A273-Config!$C$6)/7)+1</f>
        <v/>
      </c>
      <c r="C273" s="9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4">
        <f>IF(COUNT(C273:P273)=0,"",IFERROR(C273/D273*1000,0))</f>
        <v/>
      </c>
      <c r="R273" s="15">
        <f>IF(COUNT(C273:P273)=0,"",IFERROR(D273/E273,0))</f>
        <v/>
      </c>
      <c r="S273" s="16">
        <f>IF(COUNT(C273:P273)=0,"",IFERROR(F273/D273,0))</f>
        <v/>
      </c>
      <c r="T273" s="14">
        <f>IF(COUNT(C273:P273)=0,"",IFERROR(C273/F273,0))</f>
        <v/>
      </c>
      <c r="U273" s="17">
        <f>IF(COUNT(C273:P273)=0,"",IFERROR(G273/F273,0))</f>
        <v/>
      </c>
      <c r="V273" s="14">
        <f>IF(COUNT(C273:P273)=0,"",IFERROR(C273/G273,0))</f>
        <v/>
      </c>
      <c r="W273" s="18">
        <f>IF(COUNT(C273:P273)=0,"",IFERROR(G273/D273*1000,0))</f>
        <v/>
      </c>
      <c r="X273" s="17">
        <f>IF(COUNT(C273:P273)=0,"",IFERROR(H273/G273,0))</f>
        <v/>
      </c>
      <c r="Y273" s="14">
        <f>IF(COUNT(C273:P273)=0,"",IFERROR(C273/H273,0))</f>
        <v/>
      </c>
      <c r="Z273" s="14">
        <f>IF(COUNT(C273:P273)=0,"",IFERROR(C273/I273,0))</f>
        <v/>
      </c>
      <c r="AA273" s="17">
        <f>IF(COUNT(C273:P273)=0,"",IFERROR(Y273/Q273,0))</f>
        <v/>
      </c>
      <c r="AB273" s="18">
        <f>IF(COUNT(C273:P273)=0,"",IFERROR(H273/D273*1000,0))</f>
        <v/>
      </c>
      <c r="AC273" s="17">
        <f>IF(COUNT(C273:P273)=0,"",IFERROR(J273/H273,0))</f>
        <v/>
      </c>
      <c r="AD273" s="14">
        <f>IF(COUNT(C273:P273)=0,"",IFERROR(C273/J273,0))</f>
        <v/>
      </c>
      <c r="AE273" s="17">
        <f>IF(COUNT(C273:P273)=0,"",IFERROR(K273/H273,0))</f>
        <v/>
      </c>
      <c r="AF273" s="17">
        <f>IF(COUNT(C273:P273)=0,"",IFERROR(L273/H273,0))</f>
        <v/>
      </c>
      <c r="AG273" s="14">
        <f>IF(COUNT(C273:P273)=0,"",IFERROR(C273/K273,0))</f>
        <v/>
      </c>
      <c r="AH273" s="17">
        <f>IF(COUNT(C273:P273)=0,"",IFERROR(M273/K273,0))</f>
        <v/>
      </c>
      <c r="AI273" s="14">
        <f>IF(COUNT(C273:P273)=0,"",IFERROR(C273/M273,0))</f>
        <v/>
      </c>
      <c r="AJ273" s="17">
        <f>IF(COUNT(C273:P273)=0,"",IFERROR(N273/M273,0))</f>
        <v/>
      </c>
      <c r="AK273" s="16">
        <f>IF(COUNT(C273:P273)=0,"",IFERROR(N273/H273,0))</f>
        <v/>
      </c>
      <c r="AL273" s="14">
        <f>IF(COUNT(C273:P273)=0,"",IFERROR(C273/N273,0))</f>
        <v/>
      </c>
      <c r="AM273" s="17">
        <f>IF(COUNT(C273:P273)=0,"",IFERROR(O273/N273,0))</f>
        <v/>
      </c>
      <c r="AN273" s="17">
        <f>IF(COUNT(C273:P273)=0,"",IFERROR(P273/N273,0))</f>
        <v/>
      </c>
      <c r="AO273" s="19">
        <f>IF(COUNT(C273:P273)=0,"",IFERROR(N273*Config!$C$7+O273*Config!$C$8+P273*Config!$C$9,0))</f>
        <v/>
      </c>
      <c r="AP273" s="14">
        <f>IF(COUNT(C273:P273)=0,"",IFERROR(AO273/N273,0))</f>
        <v/>
      </c>
      <c r="AQ273" s="19">
        <f>IF(COUNT(C273:P273)=0,"",IFERROR(AO273*(1-Config!$C$10-Config!$C$11-Config!$C$12),0))</f>
        <v/>
      </c>
      <c r="AR273" s="19">
        <f>IF(COUNT(C273:P273)=0,"",IFERROR(AQ273-C273-Config!$C$13,0))</f>
        <v/>
      </c>
      <c r="AS273" s="20">
        <f>IF(COUNT(C273:P273)=0,"",IFERROR(AQ273/C273,0))</f>
        <v/>
      </c>
      <c r="AT273" s="14">
        <f>IF(COUNT(C273:P273)=0,"",IFERROR(AR273/G273,0))</f>
        <v/>
      </c>
      <c r="AU273" s="20">
        <f>IF(COUNT(C273:P273)=0,"",IFERROR(AT273/V273,0))</f>
        <v/>
      </c>
      <c r="AV273" s="14">
        <f>IF(COUNT(C273:P273)=0,"",IFERROR(AR273/H273,0))</f>
        <v/>
      </c>
    </row>
    <row r="274">
      <c r="A274" s="11">
        <f>Config!$C$6+268</f>
        <v/>
      </c>
      <c r="B274" s="12">
        <f>INT((A274-Config!$C$6)/7)+1</f>
        <v/>
      </c>
      <c r="C274" s="9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4">
        <f>IF(COUNT(C274:P274)=0,"",IFERROR(C274/D274*1000,0))</f>
        <v/>
      </c>
      <c r="R274" s="15">
        <f>IF(COUNT(C274:P274)=0,"",IFERROR(D274/E274,0))</f>
        <v/>
      </c>
      <c r="S274" s="16">
        <f>IF(COUNT(C274:P274)=0,"",IFERROR(F274/D274,0))</f>
        <v/>
      </c>
      <c r="T274" s="14">
        <f>IF(COUNT(C274:P274)=0,"",IFERROR(C274/F274,0))</f>
        <v/>
      </c>
      <c r="U274" s="17">
        <f>IF(COUNT(C274:P274)=0,"",IFERROR(G274/F274,0))</f>
        <v/>
      </c>
      <c r="V274" s="14">
        <f>IF(COUNT(C274:P274)=0,"",IFERROR(C274/G274,0))</f>
        <v/>
      </c>
      <c r="W274" s="18">
        <f>IF(COUNT(C274:P274)=0,"",IFERROR(G274/D274*1000,0))</f>
        <v/>
      </c>
      <c r="X274" s="17">
        <f>IF(COUNT(C274:P274)=0,"",IFERROR(H274/G274,0))</f>
        <v/>
      </c>
      <c r="Y274" s="14">
        <f>IF(COUNT(C274:P274)=0,"",IFERROR(C274/H274,0))</f>
        <v/>
      </c>
      <c r="Z274" s="14">
        <f>IF(COUNT(C274:P274)=0,"",IFERROR(C274/I274,0))</f>
        <v/>
      </c>
      <c r="AA274" s="17">
        <f>IF(COUNT(C274:P274)=0,"",IFERROR(Y274/Q274,0))</f>
        <v/>
      </c>
      <c r="AB274" s="18">
        <f>IF(COUNT(C274:P274)=0,"",IFERROR(H274/D274*1000,0))</f>
        <v/>
      </c>
      <c r="AC274" s="17">
        <f>IF(COUNT(C274:P274)=0,"",IFERROR(J274/H274,0))</f>
        <v/>
      </c>
      <c r="AD274" s="14">
        <f>IF(COUNT(C274:P274)=0,"",IFERROR(C274/J274,0))</f>
        <v/>
      </c>
      <c r="AE274" s="17">
        <f>IF(COUNT(C274:P274)=0,"",IFERROR(K274/H274,0))</f>
        <v/>
      </c>
      <c r="AF274" s="17">
        <f>IF(COUNT(C274:P274)=0,"",IFERROR(L274/H274,0))</f>
        <v/>
      </c>
      <c r="AG274" s="14">
        <f>IF(COUNT(C274:P274)=0,"",IFERROR(C274/K274,0))</f>
        <v/>
      </c>
      <c r="AH274" s="17">
        <f>IF(COUNT(C274:P274)=0,"",IFERROR(M274/K274,0))</f>
        <v/>
      </c>
      <c r="AI274" s="14">
        <f>IF(COUNT(C274:P274)=0,"",IFERROR(C274/M274,0))</f>
        <v/>
      </c>
      <c r="AJ274" s="17">
        <f>IF(COUNT(C274:P274)=0,"",IFERROR(N274/M274,0))</f>
        <v/>
      </c>
      <c r="AK274" s="16">
        <f>IF(COUNT(C274:P274)=0,"",IFERROR(N274/H274,0))</f>
        <v/>
      </c>
      <c r="AL274" s="14">
        <f>IF(COUNT(C274:P274)=0,"",IFERROR(C274/N274,0))</f>
        <v/>
      </c>
      <c r="AM274" s="17">
        <f>IF(COUNT(C274:P274)=0,"",IFERROR(O274/N274,0))</f>
        <v/>
      </c>
      <c r="AN274" s="17">
        <f>IF(COUNT(C274:P274)=0,"",IFERROR(P274/N274,0))</f>
        <v/>
      </c>
      <c r="AO274" s="19">
        <f>IF(COUNT(C274:P274)=0,"",IFERROR(N274*Config!$C$7+O274*Config!$C$8+P274*Config!$C$9,0))</f>
        <v/>
      </c>
      <c r="AP274" s="14">
        <f>IF(COUNT(C274:P274)=0,"",IFERROR(AO274/N274,0))</f>
        <v/>
      </c>
      <c r="AQ274" s="19">
        <f>IF(COUNT(C274:P274)=0,"",IFERROR(AO274*(1-Config!$C$10-Config!$C$11-Config!$C$12),0))</f>
        <v/>
      </c>
      <c r="AR274" s="19">
        <f>IF(COUNT(C274:P274)=0,"",IFERROR(AQ274-C274-Config!$C$13,0))</f>
        <v/>
      </c>
      <c r="AS274" s="20">
        <f>IF(COUNT(C274:P274)=0,"",IFERROR(AQ274/C274,0))</f>
        <v/>
      </c>
      <c r="AT274" s="14">
        <f>IF(COUNT(C274:P274)=0,"",IFERROR(AR274/G274,0))</f>
        <v/>
      </c>
      <c r="AU274" s="20">
        <f>IF(COUNT(C274:P274)=0,"",IFERROR(AT274/V274,0))</f>
        <v/>
      </c>
      <c r="AV274" s="14">
        <f>IF(COUNT(C274:P274)=0,"",IFERROR(AR274/H274,0))</f>
        <v/>
      </c>
    </row>
    <row r="275">
      <c r="A275" s="11">
        <f>Config!$C$6+269</f>
        <v/>
      </c>
      <c r="B275" s="12">
        <f>INT((A275-Config!$C$6)/7)+1</f>
        <v/>
      </c>
      <c r="C275" s="9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4">
        <f>IF(COUNT(C275:P275)=0,"",IFERROR(C275/D275*1000,0))</f>
        <v/>
      </c>
      <c r="R275" s="15">
        <f>IF(COUNT(C275:P275)=0,"",IFERROR(D275/E275,0))</f>
        <v/>
      </c>
      <c r="S275" s="16">
        <f>IF(COUNT(C275:P275)=0,"",IFERROR(F275/D275,0))</f>
        <v/>
      </c>
      <c r="T275" s="14">
        <f>IF(COUNT(C275:P275)=0,"",IFERROR(C275/F275,0))</f>
        <v/>
      </c>
      <c r="U275" s="17">
        <f>IF(COUNT(C275:P275)=0,"",IFERROR(G275/F275,0))</f>
        <v/>
      </c>
      <c r="V275" s="14">
        <f>IF(COUNT(C275:P275)=0,"",IFERROR(C275/G275,0))</f>
        <v/>
      </c>
      <c r="W275" s="18">
        <f>IF(COUNT(C275:P275)=0,"",IFERROR(G275/D275*1000,0))</f>
        <v/>
      </c>
      <c r="X275" s="17">
        <f>IF(COUNT(C275:P275)=0,"",IFERROR(H275/G275,0))</f>
        <v/>
      </c>
      <c r="Y275" s="14">
        <f>IF(COUNT(C275:P275)=0,"",IFERROR(C275/H275,0))</f>
        <v/>
      </c>
      <c r="Z275" s="14">
        <f>IF(COUNT(C275:P275)=0,"",IFERROR(C275/I275,0))</f>
        <v/>
      </c>
      <c r="AA275" s="17">
        <f>IF(COUNT(C275:P275)=0,"",IFERROR(Y275/Q275,0))</f>
        <v/>
      </c>
      <c r="AB275" s="18">
        <f>IF(COUNT(C275:P275)=0,"",IFERROR(H275/D275*1000,0))</f>
        <v/>
      </c>
      <c r="AC275" s="17">
        <f>IF(COUNT(C275:P275)=0,"",IFERROR(J275/H275,0))</f>
        <v/>
      </c>
      <c r="AD275" s="14">
        <f>IF(COUNT(C275:P275)=0,"",IFERROR(C275/J275,0))</f>
        <v/>
      </c>
      <c r="AE275" s="17">
        <f>IF(COUNT(C275:P275)=0,"",IFERROR(K275/H275,0))</f>
        <v/>
      </c>
      <c r="AF275" s="17">
        <f>IF(COUNT(C275:P275)=0,"",IFERROR(L275/H275,0))</f>
        <v/>
      </c>
      <c r="AG275" s="14">
        <f>IF(COUNT(C275:P275)=0,"",IFERROR(C275/K275,0))</f>
        <v/>
      </c>
      <c r="AH275" s="17">
        <f>IF(COUNT(C275:P275)=0,"",IFERROR(M275/K275,0))</f>
        <v/>
      </c>
      <c r="AI275" s="14">
        <f>IF(COUNT(C275:P275)=0,"",IFERROR(C275/M275,0))</f>
        <v/>
      </c>
      <c r="AJ275" s="17">
        <f>IF(COUNT(C275:P275)=0,"",IFERROR(N275/M275,0))</f>
        <v/>
      </c>
      <c r="AK275" s="16">
        <f>IF(COUNT(C275:P275)=0,"",IFERROR(N275/H275,0))</f>
        <v/>
      </c>
      <c r="AL275" s="14">
        <f>IF(COUNT(C275:P275)=0,"",IFERROR(C275/N275,0))</f>
        <v/>
      </c>
      <c r="AM275" s="17">
        <f>IF(COUNT(C275:P275)=0,"",IFERROR(O275/N275,0))</f>
        <v/>
      </c>
      <c r="AN275" s="17">
        <f>IF(COUNT(C275:P275)=0,"",IFERROR(P275/N275,0))</f>
        <v/>
      </c>
      <c r="AO275" s="19">
        <f>IF(COUNT(C275:P275)=0,"",IFERROR(N275*Config!$C$7+O275*Config!$C$8+P275*Config!$C$9,0))</f>
        <v/>
      </c>
      <c r="AP275" s="14">
        <f>IF(COUNT(C275:P275)=0,"",IFERROR(AO275/N275,0))</f>
        <v/>
      </c>
      <c r="AQ275" s="19">
        <f>IF(COUNT(C275:P275)=0,"",IFERROR(AO275*(1-Config!$C$10-Config!$C$11-Config!$C$12),0))</f>
        <v/>
      </c>
      <c r="AR275" s="19">
        <f>IF(COUNT(C275:P275)=0,"",IFERROR(AQ275-C275-Config!$C$13,0))</f>
        <v/>
      </c>
      <c r="AS275" s="20">
        <f>IF(COUNT(C275:P275)=0,"",IFERROR(AQ275/C275,0))</f>
        <v/>
      </c>
      <c r="AT275" s="14">
        <f>IF(COUNT(C275:P275)=0,"",IFERROR(AR275/G275,0))</f>
        <v/>
      </c>
      <c r="AU275" s="20">
        <f>IF(COUNT(C275:P275)=0,"",IFERROR(AT275/V275,0))</f>
        <v/>
      </c>
      <c r="AV275" s="14">
        <f>IF(COUNT(C275:P275)=0,"",IFERROR(AR275/H275,0))</f>
        <v/>
      </c>
    </row>
    <row r="276">
      <c r="A276" s="11">
        <f>Config!$C$6+270</f>
        <v/>
      </c>
      <c r="B276" s="12">
        <f>INT((A276-Config!$C$6)/7)+1</f>
        <v/>
      </c>
      <c r="C276" s="9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4">
        <f>IF(COUNT(C276:P276)=0,"",IFERROR(C276/D276*1000,0))</f>
        <v/>
      </c>
      <c r="R276" s="15">
        <f>IF(COUNT(C276:P276)=0,"",IFERROR(D276/E276,0))</f>
        <v/>
      </c>
      <c r="S276" s="16">
        <f>IF(COUNT(C276:P276)=0,"",IFERROR(F276/D276,0))</f>
        <v/>
      </c>
      <c r="T276" s="14">
        <f>IF(COUNT(C276:P276)=0,"",IFERROR(C276/F276,0))</f>
        <v/>
      </c>
      <c r="U276" s="17">
        <f>IF(COUNT(C276:P276)=0,"",IFERROR(G276/F276,0))</f>
        <v/>
      </c>
      <c r="V276" s="14">
        <f>IF(COUNT(C276:P276)=0,"",IFERROR(C276/G276,0))</f>
        <v/>
      </c>
      <c r="W276" s="18">
        <f>IF(COUNT(C276:P276)=0,"",IFERROR(G276/D276*1000,0))</f>
        <v/>
      </c>
      <c r="X276" s="17">
        <f>IF(COUNT(C276:P276)=0,"",IFERROR(H276/G276,0))</f>
        <v/>
      </c>
      <c r="Y276" s="14">
        <f>IF(COUNT(C276:P276)=0,"",IFERROR(C276/H276,0))</f>
        <v/>
      </c>
      <c r="Z276" s="14">
        <f>IF(COUNT(C276:P276)=0,"",IFERROR(C276/I276,0))</f>
        <v/>
      </c>
      <c r="AA276" s="17">
        <f>IF(COUNT(C276:P276)=0,"",IFERROR(Y276/Q276,0))</f>
        <v/>
      </c>
      <c r="AB276" s="18">
        <f>IF(COUNT(C276:P276)=0,"",IFERROR(H276/D276*1000,0))</f>
        <v/>
      </c>
      <c r="AC276" s="17">
        <f>IF(COUNT(C276:P276)=0,"",IFERROR(J276/H276,0))</f>
        <v/>
      </c>
      <c r="AD276" s="14">
        <f>IF(COUNT(C276:P276)=0,"",IFERROR(C276/J276,0))</f>
        <v/>
      </c>
      <c r="AE276" s="17">
        <f>IF(COUNT(C276:P276)=0,"",IFERROR(K276/H276,0))</f>
        <v/>
      </c>
      <c r="AF276" s="17">
        <f>IF(COUNT(C276:P276)=0,"",IFERROR(L276/H276,0))</f>
        <v/>
      </c>
      <c r="AG276" s="14">
        <f>IF(COUNT(C276:P276)=0,"",IFERROR(C276/K276,0))</f>
        <v/>
      </c>
      <c r="AH276" s="17">
        <f>IF(COUNT(C276:P276)=0,"",IFERROR(M276/K276,0))</f>
        <v/>
      </c>
      <c r="AI276" s="14">
        <f>IF(COUNT(C276:P276)=0,"",IFERROR(C276/M276,0))</f>
        <v/>
      </c>
      <c r="AJ276" s="17">
        <f>IF(COUNT(C276:P276)=0,"",IFERROR(N276/M276,0))</f>
        <v/>
      </c>
      <c r="AK276" s="16">
        <f>IF(COUNT(C276:P276)=0,"",IFERROR(N276/H276,0))</f>
        <v/>
      </c>
      <c r="AL276" s="14">
        <f>IF(COUNT(C276:P276)=0,"",IFERROR(C276/N276,0))</f>
        <v/>
      </c>
      <c r="AM276" s="17">
        <f>IF(COUNT(C276:P276)=0,"",IFERROR(O276/N276,0))</f>
        <v/>
      </c>
      <c r="AN276" s="17">
        <f>IF(COUNT(C276:P276)=0,"",IFERROR(P276/N276,0))</f>
        <v/>
      </c>
      <c r="AO276" s="19">
        <f>IF(COUNT(C276:P276)=0,"",IFERROR(N276*Config!$C$7+O276*Config!$C$8+P276*Config!$C$9,0))</f>
        <v/>
      </c>
      <c r="AP276" s="14">
        <f>IF(COUNT(C276:P276)=0,"",IFERROR(AO276/N276,0))</f>
        <v/>
      </c>
      <c r="AQ276" s="19">
        <f>IF(COUNT(C276:P276)=0,"",IFERROR(AO276*(1-Config!$C$10-Config!$C$11-Config!$C$12),0))</f>
        <v/>
      </c>
      <c r="AR276" s="19">
        <f>IF(COUNT(C276:P276)=0,"",IFERROR(AQ276-C276-Config!$C$13,0))</f>
        <v/>
      </c>
      <c r="AS276" s="20">
        <f>IF(COUNT(C276:P276)=0,"",IFERROR(AQ276/C276,0))</f>
        <v/>
      </c>
      <c r="AT276" s="14">
        <f>IF(COUNT(C276:P276)=0,"",IFERROR(AR276/G276,0))</f>
        <v/>
      </c>
      <c r="AU276" s="20">
        <f>IF(COUNT(C276:P276)=0,"",IFERROR(AT276/V276,0))</f>
        <v/>
      </c>
      <c r="AV276" s="14">
        <f>IF(COUNT(C276:P276)=0,"",IFERROR(AR276/H276,0))</f>
        <v/>
      </c>
    </row>
    <row r="277">
      <c r="A277" s="11">
        <f>Config!$C$6+271</f>
        <v/>
      </c>
      <c r="B277" s="12">
        <f>INT((A277-Config!$C$6)/7)+1</f>
        <v/>
      </c>
      <c r="C277" s="9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4">
        <f>IF(COUNT(C277:P277)=0,"",IFERROR(C277/D277*1000,0))</f>
        <v/>
      </c>
      <c r="R277" s="15">
        <f>IF(COUNT(C277:P277)=0,"",IFERROR(D277/E277,0))</f>
        <v/>
      </c>
      <c r="S277" s="16">
        <f>IF(COUNT(C277:P277)=0,"",IFERROR(F277/D277,0))</f>
        <v/>
      </c>
      <c r="T277" s="14">
        <f>IF(COUNT(C277:P277)=0,"",IFERROR(C277/F277,0))</f>
        <v/>
      </c>
      <c r="U277" s="17">
        <f>IF(COUNT(C277:P277)=0,"",IFERROR(G277/F277,0))</f>
        <v/>
      </c>
      <c r="V277" s="14">
        <f>IF(COUNT(C277:P277)=0,"",IFERROR(C277/G277,0))</f>
        <v/>
      </c>
      <c r="W277" s="18">
        <f>IF(COUNT(C277:P277)=0,"",IFERROR(G277/D277*1000,0))</f>
        <v/>
      </c>
      <c r="X277" s="17">
        <f>IF(COUNT(C277:P277)=0,"",IFERROR(H277/G277,0))</f>
        <v/>
      </c>
      <c r="Y277" s="14">
        <f>IF(COUNT(C277:P277)=0,"",IFERROR(C277/H277,0))</f>
        <v/>
      </c>
      <c r="Z277" s="14">
        <f>IF(COUNT(C277:P277)=0,"",IFERROR(C277/I277,0))</f>
        <v/>
      </c>
      <c r="AA277" s="17">
        <f>IF(COUNT(C277:P277)=0,"",IFERROR(Y277/Q277,0))</f>
        <v/>
      </c>
      <c r="AB277" s="18">
        <f>IF(COUNT(C277:P277)=0,"",IFERROR(H277/D277*1000,0))</f>
        <v/>
      </c>
      <c r="AC277" s="17">
        <f>IF(COUNT(C277:P277)=0,"",IFERROR(J277/H277,0))</f>
        <v/>
      </c>
      <c r="AD277" s="14">
        <f>IF(COUNT(C277:P277)=0,"",IFERROR(C277/J277,0))</f>
        <v/>
      </c>
      <c r="AE277" s="17">
        <f>IF(COUNT(C277:P277)=0,"",IFERROR(K277/H277,0))</f>
        <v/>
      </c>
      <c r="AF277" s="17">
        <f>IF(COUNT(C277:P277)=0,"",IFERROR(L277/H277,0))</f>
        <v/>
      </c>
      <c r="AG277" s="14">
        <f>IF(COUNT(C277:P277)=0,"",IFERROR(C277/K277,0))</f>
        <v/>
      </c>
      <c r="AH277" s="17">
        <f>IF(COUNT(C277:P277)=0,"",IFERROR(M277/K277,0))</f>
        <v/>
      </c>
      <c r="AI277" s="14">
        <f>IF(COUNT(C277:P277)=0,"",IFERROR(C277/M277,0))</f>
        <v/>
      </c>
      <c r="AJ277" s="17">
        <f>IF(COUNT(C277:P277)=0,"",IFERROR(N277/M277,0))</f>
        <v/>
      </c>
      <c r="AK277" s="16">
        <f>IF(COUNT(C277:P277)=0,"",IFERROR(N277/H277,0))</f>
        <v/>
      </c>
      <c r="AL277" s="14">
        <f>IF(COUNT(C277:P277)=0,"",IFERROR(C277/N277,0))</f>
        <v/>
      </c>
      <c r="AM277" s="17">
        <f>IF(COUNT(C277:P277)=0,"",IFERROR(O277/N277,0))</f>
        <v/>
      </c>
      <c r="AN277" s="17">
        <f>IF(COUNT(C277:P277)=0,"",IFERROR(P277/N277,0))</f>
        <v/>
      </c>
      <c r="AO277" s="19">
        <f>IF(COUNT(C277:P277)=0,"",IFERROR(N277*Config!$C$7+O277*Config!$C$8+P277*Config!$C$9,0))</f>
        <v/>
      </c>
      <c r="AP277" s="14">
        <f>IF(COUNT(C277:P277)=0,"",IFERROR(AO277/N277,0))</f>
        <v/>
      </c>
      <c r="AQ277" s="19">
        <f>IF(COUNT(C277:P277)=0,"",IFERROR(AO277*(1-Config!$C$10-Config!$C$11-Config!$C$12),0))</f>
        <v/>
      </c>
      <c r="AR277" s="19">
        <f>IF(COUNT(C277:P277)=0,"",IFERROR(AQ277-C277-Config!$C$13,0))</f>
        <v/>
      </c>
      <c r="AS277" s="20">
        <f>IF(COUNT(C277:P277)=0,"",IFERROR(AQ277/C277,0))</f>
        <v/>
      </c>
      <c r="AT277" s="14">
        <f>IF(COUNT(C277:P277)=0,"",IFERROR(AR277/G277,0))</f>
        <v/>
      </c>
      <c r="AU277" s="20">
        <f>IF(COUNT(C277:P277)=0,"",IFERROR(AT277/V277,0))</f>
        <v/>
      </c>
      <c r="AV277" s="14">
        <f>IF(COUNT(C277:P277)=0,"",IFERROR(AR277/H277,0))</f>
        <v/>
      </c>
    </row>
    <row r="278">
      <c r="A278" s="11">
        <f>Config!$C$6+272</f>
        <v/>
      </c>
      <c r="B278" s="12">
        <f>INT((A278-Config!$C$6)/7)+1</f>
        <v/>
      </c>
      <c r="C278" s="9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4">
        <f>IF(COUNT(C278:P278)=0,"",IFERROR(C278/D278*1000,0))</f>
        <v/>
      </c>
      <c r="R278" s="15">
        <f>IF(COUNT(C278:P278)=0,"",IFERROR(D278/E278,0))</f>
        <v/>
      </c>
      <c r="S278" s="16">
        <f>IF(COUNT(C278:P278)=0,"",IFERROR(F278/D278,0))</f>
        <v/>
      </c>
      <c r="T278" s="14">
        <f>IF(COUNT(C278:P278)=0,"",IFERROR(C278/F278,0))</f>
        <v/>
      </c>
      <c r="U278" s="17">
        <f>IF(COUNT(C278:P278)=0,"",IFERROR(G278/F278,0))</f>
        <v/>
      </c>
      <c r="V278" s="14">
        <f>IF(COUNT(C278:P278)=0,"",IFERROR(C278/G278,0))</f>
        <v/>
      </c>
      <c r="W278" s="18">
        <f>IF(COUNT(C278:P278)=0,"",IFERROR(G278/D278*1000,0))</f>
        <v/>
      </c>
      <c r="X278" s="17">
        <f>IF(COUNT(C278:P278)=0,"",IFERROR(H278/G278,0))</f>
        <v/>
      </c>
      <c r="Y278" s="14">
        <f>IF(COUNT(C278:P278)=0,"",IFERROR(C278/H278,0))</f>
        <v/>
      </c>
      <c r="Z278" s="14">
        <f>IF(COUNT(C278:P278)=0,"",IFERROR(C278/I278,0))</f>
        <v/>
      </c>
      <c r="AA278" s="17">
        <f>IF(COUNT(C278:P278)=0,"",IFERROR(Y278/Q278,0))</f>
        <v/>
      </c>
      <c r="AB278" s="18">
        <f>IF(COUNT(C278:P278)=0,"",IFERROR(H278/D278*1000,0))</f>
        <v/>
      </c>
      <c r="AC278" s="17">
        <f>IF(COUNT(C278:P278)=0,"",IFERROR(J278/H278,0))</f>
        <v/>
      </c>
      <c r="AD278" s="14">
        <f>IF(COUNT(C278:P278)=0,"",IFERROR(C278/J278,0))</f>
        <v/>
      </c>
      <c r="AE278" s="17">
        <f>IF(COUNT(C278:P278)=0,"",IFERROR(K278/H278,0))</f>
        <v/>
      </c>
      <c r="AF278" s="17">
        <f>IF(COUNT(C278:P278)=0,"",IFERROR(L278/H278,0))</f>
        <v/>
      </c>
      <c r="AG278" s="14">
        <f>IF(COUNT(C278:P278)=0,"",IFERROR(C278/K278,0))</f>
        <v/>
      </c>
      <c r="AH278" s="17">
        <f>IF(COUNT(C278:P278)=0,"",IFERROR(M278/K278,0))</f>
        <v/>
      </c>
      <c r="AI278" s="14">
        <f>IF(COUNT(C278:P278)=0,"",IFERROR(C278/M278,0))</f>
        <v/>
      </c>
      <c r="AJ278" s="17">
        <f>IF(COUNT(C278:P278)=0,"",IFERROR(N278/M278,0))</f>
        <v/>
      </c>
      <c r="AK278" s="16">
        <f>IF(COUNT(C278:P278)=0,"",IFERROR(N278/H278,0))</f>
        <v/>
      </c>
      <c r="AL278" s="14">
        <f>IF(COUNT(C278:P278)=0,"",IFERROR(C278/N278,0))</f>
        <v/>
      </c>
      <c r="AM278" s="17">
        <f>IF(COUNT(C278:P278)=0,"",IFERROR(O278/N278,0))</f>
        <v/>
      </c>
      <c r="AN278" s="17">
        <f>IF(COUNT(C278:P278)=0,"",IFERROR(P278/N278,0))</f>
        <v/>
      </c>
      <c r="AO278" s="19">
        <f>IF(COUNT(C278:P278)=0,"",IFERROR(N278*Config!$C$7+O278*Config!$C$8+P278*Config!$C$9,0))</f>
        <v/>
      </c>
      <c r="AP278" s="14">
        <f>IF(COUNT(C278:P278)=0,"",IFERROR(AO278/N278,0))</f>
        <v/>
      </c>
      <c r="AQ278" s="19">
        <f>IF(COUNT(C278:P278)=0,"",IFERROR(AO278*(1-Config!$C$10-Config!$C$11-Config!$C$12),0))</f>
        <v/>
      </c>
      <c r="AR278" s="19">
        <f>IF(COUNT(C278:P278)=0,"",IFERROR(AQ278-C278-Config!$C$13,0))</f>
        <v/>
      </c>
      <c r="AS278" s="20">
        <f>IF(COUNT(C278:P278)=0,"",IFERROR(AQ278/C278,0))</f>
        <v/>
      </c>
      <c r="AT278" s="14">
        <f>IF(COUNT(C278:P278)=0,"",IFERROR(AR278/G278,0))</f>
        <v/>
      </c>
      <c r="AU278" s="20">
        <f>IF(COUNT(C278:P278)=0,"",IFERROR(AT278/V278,0))</f>
        <v/>
      </c>
      <c r="AV278" s="14">
        <f>IF(COUNT(C278:P278)=0,"",IFERROR(AR278/H278,0))</f>
        <v/>
      </c>
    </row>
    <row r="279">
      <c r="A279" s="11">
        <f>Config!$C$6+273</f>
        <v/>
      </c>
      <c r="B279" s="12">
        <f>INT((A279-Config!$C$6)/7)+1</f>
        <v/>
      </c>
      <c r="C279" s="9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4">
        <f>IF(COUNT(C279:P279)=0,"",IFERROR(C279/D279*1000,0))</f>
        <v/>
      </c>
      <c r="R279" s="15">
        <f>IF(COUNT(C279:P279)=0,"",IFERROR(D279/E279,0))</f>
        <v/>
      </c>
      <c r="S279" s="16">
        <f>IF(COUNT(C279:P279)=0,"",IFERROR(F279/D279,0))</f>
        <v/>
      </c>
      <c r="T279" s="14">
        <f>IF(COUNT(C279:P279)=0,"",IFERROR(C279/F279,0))</f>
        <v/>
      </c>
      <c r="U279" s="17">
        <f>IF(COUNT(C279:P279)=0,"",IFERROR(G279/F279,0))</f>
        <v/>
      </c>
      <c r="V279" s="14">
        <f>IF(COUNT(C279:P279)=0,"",IFERROR(C279/G279,0))</f>
        <v/>
      </c>
      <c r="W279" s="18">
        <f>IF(COUNT(C279:P279)=0,"",IFERROR(G279/D279*1000,0))</f>
        <v/>
      </c>
      <c r="X279" s="17">
        <f>IF(COUNT(C279:P279)=0,"",IFERROR(H279/G279,0))</f>
        <v/>
      </c>
      <c r="Y279" s="14">
        <f>IF(COUNT(C279:P279)=0,"",IFERROR(C279/H279,0))</f>
        <v/>
      </c>
      <c r="Z279" s="14">
        <f>IF(COUNT(C279:P279)=0,"",IFERROR(C279/I279,0))</f>
        <v/>
      </c>
      <c r="AA279" s="17">
        <f>IF(COUNT(C279:P279)=0,"",IFERROR(Y279/Q279,0))</f>
        <v/>
      </c>
      <c r="AB279" s="18">
        <f>IF(COUNT(C279:P279)=0,"",IFERROR(H279/D279*1000,0))</f>
        <v/>
      </c>
      <c r="AC279" s="17">
        <f>IF(COUNT(C279:P279)=0,"",IFERROR(J279/H279,0))</f>
        <v/>
      </c>
      <c r="AD279" s="14">
        <f>IF(COUNT(C279:P279)=0,"",IFERROR(C279/J279,0))</f>
        <v/>
      </c>
      <c r="AE279" s="17">
        <f>IF(COUNT(C279:P279)=0,"",IFERROR(K279/H279,0))</f>
        <v/>
      </c>
      <c r="AF279" s="17">
        <f>IF(COUNT(C279:P279)=0,"",IFERROR(L279/H279,0))</f>
        <v/>
      </c>
      <c r="AG279" s="14">
        <f>IF(COUNT(C279:P279)=0,"",IFERROR(C279/K279,0))</f>
        <v/>
      </c>
      <c r="AH279" s="17">
        <f>IF(COUNT(C279:P279)=0,"",IFERROR(M279/K279,0))</f>
        <v/>
      </c>
      <c r="AI279" s="14">
        <f>IF(COUNT(C279:P279)=0,"",IFERROR(C279/M279,0))</f>
        <v/>
      </c>
      <c r="AJ279" s="17">
        <f>IF(COUNT(C279:P279)=0,"",IFERROR(N279/M279,0))</f>
        <v/>
      </c>
      <c r="AK279" s="16">
        <f>IF(COUNT(C279:P279)=0,"",IFERROR(N279/H279,0))</f>
        <v/>
      </c>
      <c r="AL279" s="14">
        <f>IF(COUNT(C279:P279)=0,"",IFERROR(C279/N279,0))</f>
        <v/>
      </c>
      <c r="AM279" s="17">
        <f>IF(COUNT(C279:P279)=0,"",IFERROR(O279/N279,0))</f>
        <v/>
      </c>
      <c r="AN279" s="17">
        <f>IF(COUNT(C279:P279)=0,"",IFERROR(P279/N279,0))</f>
        <v/>
      </c>
      <c r="AO279" s="19">
        <f>IF(COUNT(C279:P279)=0,"",IFERROR(N279*Config!$C$7+O279*Config!$C$8+P279*Config!$C$9,0))</f>
        <v/>
      </c>
      <c r="AP279" s="14">
        <f>IF(COUNT(C279:P279)=0,"",IFERROR(AO279/N279,0))</f>
        <v/>
      </c>
      <c r="AQ279" s="19">
        <f>IF(COUNT(C279:P279)=0,"",IFERROR(AO279*(1-Config!$C$10-Config!$C$11-Config!$C$12),0))</f>
        <v/>
      </c>
      <c r="AR279" s="19">
        <f>IF(COUNT(C279:P279)=0,"",IFERROR(AQ279-C279-Config!$C$13,0))</f>
        <v/>
      </c>
      <c r="AS279" s="20">
        <f>IF(COUNT(C279:P279)=0,"",IFERROR(AQ279/C279,0))</f>
        <v/>
      </c>
      <c r="AT279" s="14">
        <f>IF(COUNT(C279:P279)=0,"",IFERROR(AR279/G279,0))</f>
        <v/>
      </c>
      <c r="AU279" s="20">
        <f>IF(COUNT(C279:P279)=0,"",IFERROR(AT279/V279,0))</f>
        <v/>
      </c>
      <c r="AV279" s="14">
        <f>IF(COUNT(C279:P279)=0,"",IFERROR(AR279/H279,0))</f>
        <v/>
      </c>
    </row>
    <row r="280">
      <c r="A280" s="11">
        <f>Config!$C$6+274</f>
        <v/>
      </c>
      <c r="B280" s="12">
        <f>INT((A280-Config!$C$6)/7)+1</f>
        <v/>
      </c>
      <c r="C280" s="9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4">
        <f>IF(COUNT(C280:P280)=0,"",IFERROR(C280/D280*1000,0))</f>
        <v/>
      </c>
      <c r="R280" s="15">
        <f>IF(COUNT(C280:P280)=0,"",IFERROR(D280/E280,0))</f>
        <v/>
      </c>
      <c r="S280" s="16">
        <f>IF(COUNT(C280:P280)=0,"",IFERROR(F280/D280,0))</f>
        <v/>
      </c>
      <c r="T280" s="14">
        <f>IF(COUNT(C280:P280)=0,"",IFERROR(C280/F280,0))</f>
        <v/>
      </c>
      <c r="U280" s="17">
        <f>IF(COUNT(C280:P280)=0,"",IFERROR(G280/F280,0))</f>
        <v/>
      </c>
      <c r="V280" s="14">
        <f>IF(COUNT(C280:P280)=0,"",IFERROR(C280/G280,0))</f>
        <v/>
      </c>
      <c r="W280" s="18">
        <f>IF(COUNT(C280:P280)=0,"",IFERROR(G280/D280*1000,0))</f>
        <v/>
      </c>
      <c r="X280" s="17">
        <f>IF(COUNT(C280:P280)=0,"",IFERROR(H280/G280,0))</f>
        <v/>
      </c>
      <c r="Y280" s="14">
        <f>IF(COUNT(C280:P280)=0,"",IFERROR(C280/H280,0))</f>
        <v/>
      </c>
      <c r="Z280" s="14">
        <f>IF(COUNT(C280:P280)=0,"",IFERROR(C280/I280,0))</f>
        <v/>
      </c>
      <c r="AA280" s="17">
        <f>IF(COUNT(C280:P280)=0,"",IFERROR(Y280/Q280,0))</f>
        <v/>
      </c>
      <c r="AB280" s="18">
        <f>IF(COUNT(C280:P280)=0,"",IFERROR(H280/D280*1000,0))</f>
        <v/>
      </c>
      <c r="AC280" s="17">
        <f>IF(COUNT(C280:P280)=0,"",IFERROR(J280/H280,0))</f>
        <v/>
      </c>
      <c r="AD280" s="14">
        <f>IF(COUNT(C280:P280)=0,"",IFERROR(C280/J280,0))</f>
        <v/>
      </c>
      <c r="AE280" s="17">
        <f>IF(COUNT(C280:P280)=0,"",IFERROR(K280/H280,0))</f>
        <v/>
      </c>
      <c r="AF280" s="17">
        <f>IF(COUNT(C280:P280)=0,"",IFERROR(L280/H280,0))</f>
        <v/>
      </c>
      <c r="AG280" s="14">
        <f>IF(COUNT(C280:P280)=0,"",IFERROR(C280/K280,0))</f>
        <v/>
      </c>
      <c r="AH280" s="17">
        <f>IF(COUNT(C280:P280)=0,"",IFERROR(M280/K280,0))</f>
        <v/>
      </c>
      <c r="AI280" s="14">
        <f>IF(COUNT(C280:P280)=0,"",IFERROR(C280/M280,0))</f>
        <v/>
      </c>
      <c r="AJ280" s="17">
        <f>IF(COUNT(C280:P280)=0,"",IFERROR(N280/M280,0))</f>
        <v/>
      </c>
      <c r="AK280" s="16">
        <f>IF(COUNT(C280:P280)=0,"",IFERROR(N280/H280,0))</f>
        <v/>
      </c>
      <c r="AL280" s="14">
        <f>IF(COUNT(C280:P280)=0,"",IFERROR(C280/N280,0))</f>
        <v/>
      </c>
      <c r="AM280" s="17">
        <f>IF(COUNT(C280:P280)=0,"",IFERROR(O280/N280,0))</f>
        <v/>
      </c>
      <c r="AN280" s="17">
        <f>IF(COUNT(C280:P280)=0,"",IFERROR(P280/N280,0))</f>
        <v/>
      </c>
      <c r="AO280" s="19">
        <f>IF(COUNT(C280:P280)=0,"",IFERROR(N280*Config!$C$7+O280*Config!$C$8+P280*Config!$C$9,0))</f>
        <v/>
      </c>
      <c r="AP280" s="14">
        <f>IF(COUNT(C280:P280)=0,"",IFERROR(AO280/N280,0))</f>
        <v/>
      </c>
      <c r="AQ280" s="19">
        <f>IF(COUNT(C280:P280)=0,"",IFERROR(AO280*(1-Config!$C$10-Config!$C$11-Config!$C$12),0))</f>
        <v/>
      </c>
      <c r="AR280" s="19">
        <f>IF(COUNT(C280:P280)=0,"",IFERROR(AQ280-C280-Config!$C$13,0))</f>
        <v/>
      </c>
      <c r="AS280" s="20">
        <f>IF(COUNT(C280:P280)=0,"",IFERROR(AQ280/C280,0))</f>
        <v/>
      </c>
      <c r="AT280" s="14">
        <f>IF(COUNT(C280:P280)=0,"",IFERROR(AR280/G280,0))</f>
        <v/>
      </c>
      <c r="AU280" s="20">
        <f>IF(COUNT(C280:P280)=0,"",IFERROR(AT280/V280,0))</f>
        <v/>
      </c>
      <c r="AV280" s="14">
        <f>IF(COUNT(C280:P280)=0,"",IFERROR(AR280/H280,0))</f>
        <v/>
      </c>
    </row>
    <row r="281">
      <c r="A281" s="11">
        <f>Config!$C$6+275</f>
        <v/>
      </c>
      <c r="B281" s="12">
        <f>INT((A281-Config!$C$6)/7)+1</f>
        <v/>
      </c>
      <c r="C281" s="9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4">
        <f>IF(COUNT(C281:P281)=0,"",IFERROR(C281/D281*1000,0))</f>
        <v/>
      </c>
      <c r="R281" s="15">
        <f>IF(COUNT(C281:P281)=0,"",IFERROR(D281/E281,0))</f>
        <v/>
      </c>
      <c r="S281" s="16">
        <f>IF(COUNT(C281:P281)=0,"",IFERROR(F281/D281,0))</f>
        <v/>
      </c>
      <c r="T281" s="14">
        <f>IF(COUNT(C281:P281)=0,"",IFERROR(C281/F281,0))</f>
        <v/>
      </c>
      <c r="U281" s="17">
        <f>IF(COUNT(C281:P281)=0,"",IFERROR(G281/F281,0))</f>
        <v/>
      </c>
      <c r="V281" s="14">
        <f>IF(COUNT(C281:P281)=0,"",IFERROR(C281/G281,0))</f>
        <v/>
      </c>
      <c r="W281" s="18">
        <f>IF(COUNT(C281:P281)=0,"",IFERROR(G281/D281*1000,0))</f>
        <v/>
      </c>
      <c r="X281" s="17">
        <f>IF(COUNT(C281:P281)=0,"",IFERROR(H281/G281,0))</f>
        <v/>
      </c>
      <c r="Y281" s="14">
        <f>IF(COUNT(C281:P281)=0,"",IFERROR(C281/H281,0))</f>
        <v/>
      </c>
      <c r="Z281" s="14">
        <f>IF(COUNT(C281:P281)=0,"",IFERROR(C281/I281,0))</f>
        <v/>
      </c>
      <c r="AA281" s="17">
        <f>IF(COUNT(C281:P281)=0,"",IFERROR(Y281/Q281,0))</f>
        <v/>
      </c>
      <c r="AB281" s="18">
        <f>IF(COUNT(C281:P281)=0,"",IFERROR(H281/D281*1000,0))</f>
        <v/>
      </c>
      <c r="AC281" s="17">
        <f>IF(COUNT(C281:P281)=0,"",IFERROR(J281/H281,0))</f>
        <v/>
      </c>
      <c r="AD281" s="14">
        <f>IF(COUNT(C281:P281)=0,"",IFERROR(C281/J281,0))</f>
        <v/>
      </c>
      <c r="AE281" s="17">
        <f>IF(COUNT(C281:P281)=0,"",IFERROR(K281/H281,0))</f>
        <v/>
      </c>
      <c r="AF281" s="17">
        <f>IF(COUNT(C281:P281)=0,"",IFERROR(L281/H281,0))</f>
        <v/>
      </c>
      <c r="AG281" s="14">
        <f>IF(COUNT(C281:P281)=0,"",IFERROR(C281/K281,0))</f>
        <v/>
      </c>
      <c r="AH281" s="17">
        <f>IF(COUNT(C281:P281)=0,"",IFERROR(M281/K281,0))</f>
        <v/>
      </c>
      <c r="AI281" s="14">
        <f>IF(COUNT(C281:P281)=0,"",IFERROR(C281/M281,0))</f>
        <v/>
      </c>
      <c r="AJ281" s="17">
        <f>IF(COUNT(C281:P281)=0,"",IFERROR(N281/M281,0))</f>
        <v/>
      </c>
      <c r="AK281" s="16">
        <f>IF(COUNT(C281:P281)=0,"",IFERROR(N281/H281,0))</f>
        <v/>
      </c>
      <c r="AL281" s="14">
        <f>IF(COUNT(C281:P281)=0,"",IFERROR(C281/N281,0))</f>
        <v/>
      </c>
      <c r="AM281" s="17">
        <f>IF(COUNT(C281:P281)=0,"",IFERROR(O281/N281,0))</f>
        <v/>
      </c>
      <c r="AN281" s="17">
        <f>IF(COUNT(C281:P281)=0,"",IFERROR(P281/N281,0))</f>
        <v/>
      </c>
      <c r="AO281" s="19">
        <f>IF(COUNT(C281:P281)=0,"",IFERROR(N281*Config!$C$7+O281*Config!$C$8+P281*Config!$C$9,0))</f>
        <v/>
      </c>
      <c r="AP281" s="14">
        <f>IF(COUNT(C281:P281)=0,"",IFERROR(AO281/N281,0))</f>
        <v/>
      </c>
      <c r="AQ281" s="19">
        <f>IF(COUNT(C281:P281)=0,"",IFERROR(AO281*(1-Config!$C$10-Config!$C$11-Config!$C$12),0))</f>
        <v/>
      </c>
      <c r="AR281" s="19">
        <f>IF(COUNT(C281:P281)=0,"",IFERROR(AQ281-C281-Config!$C$13,0))</f>
        <v/>
      </c>
      <c r="AS281" s="20">
        <f>IF(COUNT(C281:P281)=0,"",IFERROR(AQ281/C281,0))</f>
        <v/>
      </c>
      <c r="AT281" s="14">
        <f>IF(COUNT(C281:P281)=0,"",IFERROR(AR281/G281,0))</f>
        <v/>
      </c>
      <c r="AU281" s="20">
        <f>IF(COUNT(C281:P281)=0,"",IFERROR(AT281/V281,0))</f>
        <v/>
      </c>
      <c r="AV281" s="14">
        <f>IF(COUNT(C281:P281)=0,"",IFERROR(AR281/H281,0))</f>
        <v/>
      </c>
    </row>
    <row r="282">
      <c r="A282" s="11">
        <f>Config!$C$6+276</f>
        <v/>
      </c>
      <c r="B282" s="12">
        <f>INT((A282-Config!$C$6)/7)+1</f>
        <v/>
      </c>
      <c r="C282" s="9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4">
        <f>IF(COUNT(C282:P282)=0,"",IFERROR(C282/D282*1000,0))</f>
        <v/>
      </c>
      <c r="R282" s="15">
        <f>IF(COUNT(C282:P282)=0,"",IFERROR(D282/E282,0))</f>
        <v/>
      </c>
      <c r="S282" s="16">
        <f>IF(COUNT(C282:P282)=0,"",IFERROR(F282/D282,0))</f>
        <v/>
      </c>
      <c r="T282" s="14">
        <f>IF(COUNT(C282:P282)=0,"",IFERROR(C282/F282,0))</f>
        <v/>
      </c>
      <c r="U282" s="17">
        <f>IF(COUNT(C282:P282)=0,"",IFERROR(G282/F282,0))</f>
        <v/>
      </c>
      <c r="V282" s="14">
        <f>IF(COUNT(C282:P282)=0,"",IFERROR(C282/G282,0))</f>
        <v/>
      </c>
      <c r="W282" s="18">
        <f>IF(COUNT(C282:P282)=0,"",IFERROR(G282/D282*1000,0))</f>
        <v/>
      </c>
      <c r="X282" s="17">
        <f>IF(COUNT(C282:P282)=0,"",IFERROR(H282/G282,0))</f>
        <v/>
      </c>
      <c r="Y282" s="14">
        <f>IF(COUNT(C282:P282)=0,"",IFERROR(C282/H282,0))</f>
        <v/>
      </c>
      <c r="Z282" s="14">
        <f>IF(COUNT(C282:P282)=0,"",IFERROR(C282/I282,0))</f>
        <v/>
      </c>
      <c r="AA282" s="17">
        <f>IF(COUNT(C282:P282)=0,"",IFERROR(Y282/Q282,0))</f>
        <v/>
      </c>
      <c r="AB282" s="18">
        <f>IF(COUNT(C282:P282)=0,"",IFERROR(H282/D282*1000,0))</f>
        <v/>
      </c>
      <c r="AC282" s="17">
        <f>IF(COUNT(C282:P282)=0,"",IFERROR(J282/H282,0))</f>
        <v/>
      </c>
      <c r="AD282" s="14">
        <f>IF(COUNT(C282:P282)=0,"",IFERROR(C282/J282,0))</f>
        <v/>
      </c>
      <c r="AE282" s="17">
        <f>IF(COUNT(C282:P282)=0,"",IFERROR(K282/H282,0))</f>
        <v/>
      </c>
      <c r="AF282" s="17">
        <f>IF(COUNT(C282:P282)=0,"",IFERROR(L282/H282,0))</f>
        <v/>
      </c>
      <c r="AG282" s="14">
        <f>IF(COUNT(C282:P282)=0,"",IFERROR(C282/K282,0))</f>
        <v/>
      </c>
      <c r="AH282" s="17">
        <f>IF(COUNT(C282:P282)=0,"",IFERROR(M282/K282,0))</f>
        <v/>
      </c>
      <c r="AI282" s="14">
        <f>IF(COUNT(C282:P282)=0,"",IFERROR(C282/M282,0))</f>
        <v/>
      </c>
      <c r="AJ282" s="17">
        <f>IF(COUNT(C282:P282)=0,"",IFERROR(N282/M282,0))</f>
        <v/>
      </c>
      <c r="AK282" s="16">
        <f>IF(COUNT(C282:P282)=0,"",IFERROR(N282/H282,0))</f>
        <v/>
      </c>
      <c r="AL282" s="14">
        <f>IF(COUNT(C282:P282)=0,"",IFERROR(C282/N282,0))</f>
        <v/>
      </c>
      <c r="AM282" s="17">
        <f>IF(COUNT(C282:P282)=0,"",IFERROR(O282/N282,0))</f>
        <v/>
      </c>
      <c r="AN282" s="17">
        <f>IF(COUNT(C282:P282)=0,"",IFERROR(P282/N282,0))</f>
        <v/>
      </c>
      <c r="AO282" s="19">
        <f>IF(COUNT(C282:P282)=0,"",IFERROR(N282*Config!$C$7+O282*Config!$C$8+P282*Config!$C$9,0))</f>
        <v/>
      </c>
      <c r="AP282" s="14">
        <f>IF(COUNT(C282:P282)=0,"",IFERROR(AO282/N282,0))</f>
        <v/>
      </c>
      <c r="AQ282" s="19">
        <f>IF(COUNT(C282:P282)=0,"",IFERROR(AO282*(1-Config!$C$10-Config!$C$11-Config!$C$12),0))</f>
        <v/>
      </c>
      <c r="AR282" s="19">
        <f>IF(COUNT(C282:P282)=0,"",IFERROR(AQ282-C282-Config!$C$13,0))</f>
        <v/>
      </c>
      <c r="AS282" s="20">
        <f>IF(COUNT(C282:P282)=0,"",IFERROR(AQ282/C282,0))</f>
        <v/>
      </c>
      <c r="AT282" s="14">
        <f>IF(COUNT(C282:P282)=0,"",IFERROR(AR282/G282,0))</f>
        <v/>
      </c>
      <c r="AU282" s="20">
        <f>IF(COUNT(C282:P282)=0,"",IFERROR(AT282/V282,0))</f>
        <v/>
      </c>
      <c r="AV282" s="14">
        <f>IF(COUNT(C282:P282)=0,"",IFERROR(AR282/H282,0))</f>
        <v/>
      </c>
    </row>
    <row r="283">
      <c r="A283" s="11">
        <f>Config!$C$6+277</f>
        <v/>
      </c>
      <c r="B283" s="12">
        <f>INT((A283-Config!$C$6)/7)+1</f>
        <v/>
      </c>
      <c r="C283" s="9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4">
        <f>IF(COUNT(C283:P283)=0,"",IFERROR(C283/D283*1000,0))</f>
        <v/>
      </c>
      <c r="R283" s="15">
        <f>IF(COUNT(C283:P283)=0,"",IFERROR(D283/E283,0))</f>
        <v/>
      </c>
      <c r="S283" s="16">
        <f>IF(COUNT(C283:P283)=0,"",IFERROR(F283/D283,0))</f>
        <v/>
      </c>
      <c r="T283" s="14">
        <f>IF(COUNT(C283:P283)=0,"",IFERROR(C283/F283,0))</f>
        <v/>
      </c>
      <c r="U283" s="17">
        <f>IF(COUNT(C283:P283)=0,"",IFERROR(G283/F283,0))</f>
        <v/>
      </c>
      <c r="V283" s="14">
        <f>IF(COUNT(C283:P283)=0,"",IFERROR(C283/G283,0))</f>
        <v/>
      </c>
      <c r="W283" s="18">
        <f>IF(COUNT(C283:P283)=0,"",IFERROR(G283/D283*1000,0))</f>
        <v/>
      </c>
      <c r="X283" s="17">
        <f>IF(COUNT(C283:P283)=0,"",IFERROR(H283/G283,0))</f>
        <v/>
      </c>
      <c r="Y283" s="14">
        <f>IF(COUNT(C283:P283)=0,"",IFERROR(C283/H283,0))</f>
        <v/>
      </c>
      <c r="Z283" s="14">
        <f>IF(COUNT(C283:P283)=0,"",IFERROR(C283/I283,0))</f>
        <v/>
      </c>
      <c r="AA283" s="17">
        <f>IF(COUNT(C283:P283)=0,"",IFERROR(Y283/Q283,0))</f>
        <v/>
      </c>
      <c r="AB283" s="18">
        <f>IF(COUNT(C283:P283)=0,"",IFERROR(H283/D283*1000,0))</f>
        <v/>
      </c>
      <c r="AC283" s="17">
        <f>IF(COUNT(C283:P283)=0,"",IFERROR(J283/H283,0))</f>
        <v/>
      </c>
      <c r="AD283" s="14">
        <f>IF(COUNT(C283:P283)=0,"",IFERROR(C283/J283,0))</f>
        <v/>
      </c>
      <c r="AE283" s="17">
        <f>IF(COUNT(C283:P283)=0,"",IFERROR(K283/H283,0))</f>
        <v/>
      </c>
      <c r="AF283" s="17">
        <f>IF(COUNT(C283:P283)=0,"",IFERROR(L283/H283,0))</f>
        <v/>
      </c>
      <c r="AG283" s="14">
        <f>IF(COUNT(C283:P283)=0,"",IFERROR(C283/K283,0))</f>
        <v/>
      </c>
      <c r="AH283" s="17">
        <f>IF(COUNT(C283:P283)=0,"",IFERROR(M283/K283,0))</f>
        <v/>
      </c>
      <c r="AI283" s="14">
        <f>IF(COUNT(C283:P283)=0,"",IFERROR(C283/M283,0))</f>
        <v/>
      </c>
      <c r="AJ283" s="17">
        <f>IF(COUNT(C283:P283)=0,"",IFERROR(N283/M283,0))</f>
        <v/>
      </c>
      <c r="AK283" s="16">
        <f>IF(COUNT(C283:P283)=0,"",IFERROR(N283/H283,0))</f>
        <v/>
      </c>
      <c r="AL283" s="14">
        <f>IF(COUNT(C283:P283)=0,"",IFERROR(C283/N283,0))</f>
        <v/>
      </c>
      <c r="AM283" s="17">
        <f>IF(COUNT(C283:P283)=0,"",IFERROR(O283/N283,0))</f>
        <v/>
      </c>
      <c r="AN283" s="17">
        <f>IF(COUNT(C283:P283)=0,"",IFERROR(P283/N283,0))</f>
        <v/>
      </c>
      <c r="AO283" s="19">
        <f>IF(COUNT(C283:P283)=0,"",IFERROR(N283*Config!$C$7+O283*Config!$C$8+P283*Config!$C$9,0))</f>
        <v/>
      </c>
      <c r="AP283" s="14">
        <f>IF(COUNT(C283:P283)=0,"",IFERROR(AO283/N283,0))</f>
        <v/>
      </c>
      <c r="AQ283" s="19">
        <f>IF(COUNT(C283:P283)=0,"",IFERROR(AO283*(1-Config!$C$10-Config!$C$11-Config!$C$12),0))</f>
        <v/>
      </c>
      <c r="AR283" s="19">
        <f>IF(COUNT(C283:P283)=0,"",IFERROR(AQ283-C283-Config!$C$13,0))</f>
        <v/>
      </c>
      <c r="AS283" s="20">
        <f>IF(COUNT(C283:P283)=0,"",IFERROR(AQ283/C283,0))</f>
        <v/>
      </c>
      <c r="AT283" s="14">
        <f>IF(COUNT(C283:P283)=0,"",IFERROR(AR283/G283,0))</f>
        <v/>
      </c>
      <c r="AU283" s="20">
        <f>IF(COUNT(C283:P283)=0,"",IFERROR(AT283/V283,0))</f>
        <v/>
      </c>
      <c r="AV283" s="14">
        <f>IF(COUNT(C283:P283)=0,"",IFERROR(AR283/H283,0))</f>
        <v/>
      </c>
    </row>
    <row r="284">
      <c r="A284" s="11">
        <f>Config!$C$6+278</f>
        <v/>
      </c>
      <c r="B284" s="12">
        <f>INT((A284-Config!$C$6)/7)+1</f>
        <v/>
      </c>
      <c r="C284" s="9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4">
        <f>IF(COUNT(C284:P284)=0,"",IFERROR(C284/D284*1000,0))</f>
        <v/>
      </c>
      <c r="R284" s="15">
        <f>IF(COUNT(C284:P284)=0,"",IFERROR(D284/E284,0))</f>
        <v/>
      </c>
      <c r="S284" s="16">
        <f>IF(COUNT(C284:P284)=0,"",IFERROR(F284/D284,0))</f>
        <v/>
      </c>
      <c r="T284" s="14">
        <f>IF(COUNT(C284:P284)=0,"",IFERROR(C284/F284,0))</f>
        <v/>
      </c>
      <c r="U284" s="17">
        <f>IF(COUNT(C284:P284)=0,"",IFERROR(G284/F284,0))</f>
        <v/>
      </c>
      <c r="V284" s="14">
        <f>IF(COUNT(C284:P284)=0,"",IFERROR(C284/G284,0))</f>
        <v/>
      </c>
      <c r="W284" s="18">
        <f>IF(COUNT(C284:P284)=0,"",IFERROR(G284/D284*1000,0))</f>
        <v/>
      </c>
      <c r="X284" s="17">
        <f>IF(COUNT(C284:P284)=0,"",IFERROR(H284/G284,0))</f>
        <v/>
      </c>
      <c r="Y284" s="14">
        <f>IF(COUNT(C284:P284)=0,"",IFERROR(C284/H284,0))</f>
        <v/>
      </c>
      <c r="Z284" s="14">
        <f>IF(COUNT(C284:P284)=0,"",IFERROR(C284/I284,0))</f>
        <v/>
      </c>
      <c r="AA284" s="17">
        <f>IF(COUNT(C284:P284)=0,"",IFERROR(Y284/Q284,0))</f>
        <v/>
      </c>
      <c r="AB284" s="18">
        <f>IF(COUNT(C284:P284)=0,"",IFERROR(H284/D284*1000,0))</f>
        <v/>
      </c>
      <c r="AC284" s="17">
        <f>IF(COUNT(C284:P284)=0,"",IFERROR(J284/H284,0))</f>
        <v/>
      </c>
      <c r="AD284" s="14">
        <f>IF(COUNT(C284:P284)=0,"",IFERROR(C284/J284,0))</f>
        <v/>
      </c>
      <c r="AE284" s="17">
        <f>IF(COUNT(C284:P284)=0,"",IFERROR(K284/H284,0))</f>
        <v/>
      </c>
      <c r="AF284" s="17">
        <f>IF(COUNT(C284:P284)=0,"",IFERROR(L284/H284,0))</f>
        <v/>
      </c>
      <c r="AG284" s="14">
        <f>IF(COUNT(C284:P284)=0,"",IFERROR(C284/K284,0))</f>
        <v/>
      </c>
      <c r="AH284" s="17">
        <f>IF(COUNT(C284:P284)=0,"",IFERROR(M284/K284,0))</f>
        <v/>
      </c>
      <c r="AI284" s="14">
        <f>IF(COUNT(C284:P284)=0,"",IFERROR(C284/M284,0))</f>
        <v/>
      </c>
      <c r="AJ284" s="17">
        <f>IF(COUNT(C284:P284)=0,"",IFERROR(N284/M284,0))</f>
        <v/>
      </c>
      <c r="AK284" s="16">
        <f>IF(COUNT(C284:P284)=0,"",IFERROR(N284/H284,0))</f>
        <v/>
      </c>
      <c r="AL284" s="14">
        <f>IF(COUNT(C284:P284)=0,"",IFERROR(C284/N284,0))</f>
        <v/>
      </c>
      <c r="AM284" s="17">
        <f>IF(COUNT(C284:P284)=0,"",IFERROR(O284/N284,0))</f>
        <v/>
      </c>
      <c r="AN284" s="17">
        <f>IF(COUNT(C284:P284)=0,"",IFERROR(P284/N284,0))</f>
        <v/>
      </c>
      <c r="AO284" s="19">
        <f>IF(COUNT(C284:P284)=0,"",IFERROR(N284*Config!$C$7+O284*Config!$C$8+P284*Config!$C$9,0))</f>
        <v/>
      </c>
      <c r="AP284" s="14">
        <f>IF(COUNT(C284:P284)=0,"",IFERROR(AO284/N284,0))</f>
        <v/>
      </c>
      <c r="AQ284" s="19">
        <f>IF(COUNT(C284:P284)=0,"",IFERROR(AO284*(1-Config!$C$10-Config!$C$11-Config!$C$12),0))</f>
        <v/>
      </c>
      <c r="AR284" s="19">
        <f>IF(COUNT(C284:P284)=0,"",IFERROR(AQ284-C284-Config!$C$13,0))</f>
        <v/>
      </c>
      <c r="AS284" s="20">
        <f>IF(COUNT(C284:P284)=0,"",IFERROR(AQ284/C284,0))</f>
        <v/>
      </c>
      <c r="AT284" s="14">
        <f>IF(COUNT(C284:P284)=0,"",IFERROR(AR284/G284,0))</f>
        <v/>
      </c>
      <c r="AU284" s="20">
        <f>IF(COUNT(C284:P284)=0,"",IFERROR(AT284/V284,0))</f>
        <v/>
      </c>
      <c r="AV284" s="14">
        <f>IF(COUNT(C284:P284)=0,"",IFERROR(AR284/H284,0))</f>
        <v/>
      </c>
    </row>
    <row r="285">
      <c r="A285" s="11">
        <f>Config!$C$6+279</f>
        <v/>
      </c>
      <c r="B285" s="12">
        <f>INT((A285-Config!$C$6)/7)+1</f>
        <v/>
      </c>
      <c r="C285" s="9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4">
        <f>IF(COUNT(C285:P285)=0,"",IFERROR(C285/D285*1000,0))</f>
        <v/>
      </c>
      <c r="R285" s="15">
        <f>IF(COUNT(C285:P285)=0,"",IFERROR(D285/E285,0))</f>
        <v/>
      </c>
      <c r="S285" s="16">
        <f>IF(COUNT(C285:P285)=0,"",IFERROR(F285/D285,0))</f>
        <v/>
      </c>
      <c r="T285" s="14">
        <f>IF(COUNT(C285:P285)=0,"",IFERROR(C285/F285,0))</f>
        <v/>
      </c>
      <c r="U285" s="17">
        <f>IF(COUNT(C285:P285)=0,"",IFERROR(G285/F285,0))</f>
        <v/>
      </c>
      <c r="V285" s="14">
        <f>IF(COUNT(C285:P285)=0,"",IFERROR(C285/G285,0))</f>
        <v/>
      </c>
      <c r="W285" s="18">
        <f>IF(COUNT(C285:P285)=0,"",IFERROR(G285/D285*1000,0))</f>
        <v/>
      </c>
      <c r="X285" s="17">
        <f>IF(COUNT(C285:P285)=0,"",IFERROR(H285/G285,0))</f>
        <v/>
      </c>
      <c r="Y285" s="14">
        <f>IF(COUNT(C285:P285)=0,"",IFERROR(C285/H285,0))</f>
        <v/>
      </c>
      <c r="Z285" s="14">
        <f>IF(COUNT(C285:P285)=0,"",IFERROR(C285/I285,0))</f>
        <v/>
      </c>
      <c r="AA285" s="17">
        <f>IF(COUNT(C285:P285)=0,"",IFERROR(Y285/Q285,0))</f>
        <v/>
      </c>
      <c r="AB285" s="18">
        <f>IF(COUNT(C285:P285)=0,"",IFERROR(H285/D285*1000,0))</f>
        <v/>
      </c>
      <c r="AC285" s="17">
        <f>IF(COUNT(C285:P285)=0,"",IFERROR(J285/H285,0))</f>
        <v/>
      </c>
      <c r="AD285" s="14">
        <f>IF(COUNT(C285:P285)=0,"",IFERROR(C285/J285,0))</f>
        <v/>
      </c>
      <c r="AE285" s="17">
        <f>IF(COUNT(C285:P285)=0,"",IFERROR(K285/H285,0))</f>
        <v/>
      </c>
      <c r="AF285" s="17">
        <f>IF(COUNT(C285:P285)=0,"",IFERROR(L285/H285,0))</f>
        <v/>
      </c>
      <c r="AG285" s="14">
        <f>IF(COUNT(C285:P285)=0,"",IFERROR(C285/K285,0))</f>
        <v/>
      </c>
      <c r="AH285" s="17">
        <f>IF(COUNT(C285:P285)=0,"",IFERROR(M285/K285,0))</f>
        <v/>
      </c>
      <c r="AI285" s="14">
        <f>IF(COUNT(C285:P285)=0,"",IFERROR(C285/M285,0))</f>
        <v/>
      </c>
      <c r="AJ285" s="17">
        <f>IF(COUNT(C285:P285)=0,"",IFERROR(N285/M285,0))</f>
        <v/>
      </c>
      <c r="AK285" s="16">
        <f>IF(COUNT(C285:P285)=0,"",IFERROR(N285/H285,0))</f>
        <v/>
      </c>
      <c r="AL285" s="14">
        <f>IF(COUNT(C285:P285)=0,"",IFERROR(C285/N285,0))</f>
        <v/>
      </c>
      <c r="AM285" s="17">
        <f>IF(COUNT(C285:P285)=0,"",IFERROR(O285/N285,0))</f>
        <v/>
      </c>
      <c r="AN285" s="17">
        <f>IF(COUNT(C285:P285)=0,"",IFERROR(P285/N285,0))</f>
        <v/>
      </c>
      <c r="AO285" s="19">
        <f>IF(COUNT(C285:P285)=0,"",IFERROR(N285*Config!$C$7+O285*Config!$C$8+P285*Config!$C$9,0))</f>
        <v/>
      </c>
      <c r="AP285" s="14">
        <f>IF(COUNT(C285:P285)=0,"",IFERROR(AO285/N285,0))</f>
        <v/>
      </c>
      <c r="AQ285" s="19">
        <f>IF(COUNT(C285:P285)=0,"",IFERROR(AO285*(1-Config!$C$10-Config!$C$11-Config!$C$12),0))</f>
        <v/>
      </c>
      <c r="AR285" s="19">
        <f>IF(COUNT(C285:P285)=0,"",IFERROR(AQ285-C285-Config!$C$13,0))</f>
        <v/>
      </c>
      <c r="AS285" s="20">
        <f>IF(COUNT(C285:P285)=0,"",IFERROR(AQ285/C285,0))</f>
        <v/>
      </c>
      <c r="AT285" s="14">
        <f>IF(COUNT(C285:P285)=0,"",IFERROR(AR285/G285,0))</f>
        <v/>
      </c>
      <c r="AU285" s="20">
        <f>IF(COUNT(C285:P285)=0,"",IFERROR(AT285/V285,0))</f>
        <v/>
      </c>
      <c r="AV285" s="14">
        <f>IF(COUNT(C285:P285)=0,"",IFERROR(AR285/H285,0))</f>
        <v/>
      </c>
    </row>
    <row r="286">
      <c r="A286" s="11">
        <f>Config!$C$6+280</f>
        <v/>
      </c>
      <c r="B286" s="12">
        <f>INT((A286-Config!$C$6)/7)+1</f>
        <v/>
      </c>
      <c r="C286" s="9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4">
        <f>IF(COUNT(C286:P286)=0,"",IFERROR(C286/D286*1000,0))</f>
        <v/>
      </c>
      <c r="R286" s="15">
        <f>IF(COUNT(C286:P286)=0,"",IFERROR(D286/E286,0))</f>
        <v/>
      </c>
      <c r="S286" s="16">
        <f>IF(COUNT(C286:P286)=0,"",IFERROR(F286/D286,0))</f>
        <v/>
      </c>
      <c r="T286" s="14">
        <f>IF(COUNT(C286:P286)=0,"",IFERROR(C286/F286,0))</f>
        <v/>
      </c>
      <c r="U286" s="17">
        <f>IF(COUNT(C286:P286)=0,"",IFERROR(G286/F286,0))</f>
        <v/>
      </c>
      <c r="V286" s="14">
        <f>IF(COUNT(C286:P286)=0,"",IFERROR(C286/G286,0))</f>
        <v/>
      </c>
      <c r="W286" s="18">
        <f>IF(COUNT(C286:P286)=0,"",IFERROR(G286/D286*1000,0))</f>
        <v/>
      </c>
      <c r="X286" s="17">
        <f>IF(COUNT(C286:P286)=0,"",IFERROR(H286/G286,0))</f>
        <v/>
      </c>
      <c r="Y286" s="14">
        <f>IF(COUNT(C286:P286)=0,"",IFERROR(C286/H286,0))</f>
        <v/>
      </c>
      <c r="Z286" s="14">
        <f>IF(COUNT(C286:P286)=0,"",IFERROR(C286/I286,0))</f>
        <v/>
      </c>
      <c r="AA286" s="17">
        <f>IF(COUNT(C286:P286)=0,"",IFERROR(Y286/Q286,0))</f>
        <v/>
      </c>
      <c r="AB286" s="18">
        <f>IF(COUNT(C286:P286)=0,"",IFERROR(H286/D286*1000,0))</f>
        <v/>
      </c>
      <c r="AC286" s="17">
        <f>IF(COUNT(C286:P286)=0,"",IFERROR(J286/H286,0))</f>
        <v/>
      </c>
      <c r="AD286" s="14">
        <f>IF(COUNT(C286:P286)=0,"",IFERROR(C286/J286,0))</f>
        <v/>
      </c>
      <c r="AE286" s="17">
        <f>IF(COUNT(C286:P286)=0,"",IFERROR(K286/H286,0))</f>
        <v/>
      </c>
      <c r="AF286" s="17">
        <f>IF(COUNT(C286:P286)=0,"",IFERROR(L286/H286,0))</f>
        <v/>
      </c>
      <c r="AG286" s="14">
        <f>IF(COUNT(C286:P286)=0,"",IFERROR(C286/K286,0))</f>
        <v/>
      </c>
      <c r="AH286" s="17">
        <f>IF(COUNT(C286:P286)=0,"",IFERROR(M286/K286,0))</f>
        <v/>
      </c>
      <c r="AI286" s="14">
        <f>IF(COUNT(C286:P286)=0,"",IFERROR(C286/M286,0))</f>
        <v/>
      </c>
      <c r="AJ286" s="17">
        <f>IF(COUNT(C286:P286)=0,"",IFERROR(N286/M286,0))</f>
        <v/>
      </c>
      <c r="AK286" s="16">
        <f>IF(COUNT(C286:P286)=0,"",IFERROR(N286/H286,0))</f>
        <v/>
      </c>
      <c r="AL286" s="14">
        <f>IF(COUNT(C286:P286)=0,"",IFERROR(C286/N286,0))</f>
        <v/>
      </c>
      <c r="AM286" s="17">
        <f>IF(COUNT(C286:P286)=0,"",IFERROR(O286/N286,0))</f>
        <v/>
      </c>
      <c r="AN286" s="17">
        <f>IF(COUNT(C286:P286)=0,"",IFERROR(P286/N286,0))</f>
        <v/>
      </c>
      <c r="AO286" s="19">
        <f>IF(COUNT(C286:P286)=0,"",IFERROR(N286*Config!$C$7+O286*Config!$C$8+P286*Config!$C$9,0))</f>
        <v/>
      </c>
      <c r="AP286" s="14">
        <f>IF(COUNT(C286:P286)=0,"",IFERROR(AO286/N286,0))</f>
        <v/>
      </c>
      <c r="AQ286" s="19">
        <f>IF(COUNT(C286:P286)=0,"",IFERROR(AO286*(1-Config!$C$10-Config!$C$11-Config!$C$12),0))</f>
        <v/>
      </c>
      <c r="AR286" s="19">
        <f>IF(COUNT(C286:P286)=0,"",IFERROR(AQ286-C286-Config!$C$13,0))</f>
        <v/>
      </c>
      <c r="AS286" s="20">
        <f>IF(COUNT(C286:P286)=0,"",IFERROR(AQ286/C286,0))</f>
        <v/>
      </c>
      <c r="AT286" s="14">
        <f>IF(COUNT(C286:P286)=0,"",IFERROR(AR286/G286,0))</f>
        <v/>
      </c>
      <c r="AU286" s="20">
        <f>IF(COUNT(C286:P286)=0,"",IFERROR(AT286/V286,0))</f>
        <v/>
      </c>
      <c r="AV286" s="14">
        <f>IF(COUNT(C286:P286)=0,"",IFERROR(AR286/H286,0))</f>
        <v/>
      </c>
    </row>
    <row r="287">
      <c r="A287" s="11">
        <f>Config!$C$6+281</f>
        <v/>
      </c>
      <c r="B287" s="12">
        <f>INT((A287-Config!$C$6)/7)+1</f>
        <v/>
      </c>
      <c r="C287" s="9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4">
        <f>IF(COUNT(C287:P287)=0,"",IFERROR(C287/D287*1000,0))</f>
        <v/>
      </c>
      <c r="R287" s="15">
        <f>IF(COUNT(C287:P287)=0,"",IFERROR(D287/E287,0))</f>
        <v/>
      </c>
      <c r="S287" s="16">
        <f>IF(COUNT(C287:P287)=0,"",IFERROR(F287/D287,0))</f>
        <v/>
      </c>
      <c r="T287" s="14">
        <f>IF(COUNT(C287:P287)=0,"",IFERROR(C287/F287,0))</f>
        <v/>
      </c>
      <c r="U287" s="17">
        <f>IF(COUNT(C287:P287)=0,"",IFERROR(G287/F287,0))</f>
        <v/>
      </c>
      <c r="V287" s="14">
        <f>IF(COUNT(C287:P287)=0,"",IFERROR(C287/G287,0))</f>
        <v/>
      </c>
      <c r="W287" s="18">
        <f>IF(COUNT(C287:P287)=0,"",IFERROR(G287/D287*1000,0))</f>
        <v/>
      </c>
      <c r="X287" s="17">
        <f>IF(COUNT(C287:P287)=0,"",IFERROR(H287/G287,0))</f>
        <v/>
      </c>
      <c r="Y287" s="14">
        <f>IF(COUNT(C287:P287)=0,"",IFERROR(C287/H287,0))</f>
        <v/>
      </c>
      <c r="Z287" s="14">
        <f>IF(COUNT(C287:P287)=0,"",IFERROR(C287/I287,0))</f>
        <v/>
      </c>
      <c r="AA287" s="17">
        <f>IF(COUNT(C287:P287)=0,"",IFERROR(Y287/Q287,0))</f>
        <v/>
      </c>
      <c r="AB287" s="18">
        <f>IF(COUNT(C287:P287)=0,"",IFERROR(H287/D287*1000,0))</f>
        <v/>
      </c>
      <c r="AC287" s="17">
        <f>IF(COUNT(C287:P287)=0,"",IFERROR(J287/H287,0))</f>
        <v/>
      </c>
      <c r="AD287" s="14">
        <f>IF(COUNT(C287:P287)=0,"",IFERROR(C287/J287,0))</f>
        <v/>
      </c>
      <c r="AE287" s="17">
        <f>IF(COUNT(C287:P287)=0,"",IFERROR(K287/H287,0))</f>
        <v/>
      </c>
      <c r="AF287" s="17">
        <f>IF(COUNT(C287:P287)=0,"",IFERROR(L287/H287,0))</f>
        <v/>
      </c>
      <c r="AG287" s="14">
        <f>IF(COUNT(C287:P287)=0,"",IFERROR(C287/K287,0))</f>
        <v/>
      </c>
      <c r="AH287" s="17">
        <f>IF(COUNT(C287:P287)=0,"",IFERROR(M287/K287,0))</f>
        <v/>
      </c>
      <c r="AI287" s="14">
        <f>IF(COUNT(C287:P287)=0,"",IFERROR(C287/M287,0))</f>
        <v/>
      </c>
      <c r="AJ287" s="17">
        <f>IF(COUNT(C287:P287)=0,"",IFERROR(N287/M287,0))</f>
        <v/>
      </c>
      <c r="AK287" s="16">
        <f>IF(COUNT(C287:P287)=0,"",IFERROR(N287/H287,0))</f>
        <v/>
      </c>
      <c r="AL287" s="14">
        <f>IF(COUNT(C287:P287)=0,"",IFERROR(C287/N287,0))</f>
        <v/>
      </c>
      <c r="AM287" s="17">
        <f>IF(COUNT(C287:P287)=0,"",IFERROR(O287/N287,0))</f>
        <v/>
      </c>
      <c r="AN287" s="17">
        <f>IF(COUNT(C287:P287)=0,"",IFERROR(P287/N287,0))</f>
        <v/>
      </c>
      <c r="AO287" s="19">
        <f>IF(COUNT(C287:P287)=0,"",IFERROR(N287*Config!$C$7+O287*Config!$C$8+P287*Config!$C$9,0))</f>
        <v/>
      </c>
      <c r="AP287" s="14">
        <f>IF(COUNT(C287:P287)=0,"",IFERROR(AO287/N287,0))</f>
        <v/>
      </c>
      <c r="AQ287" s="19">
        <f>IF(COUNT(C287:P287)=0,"",IFERROR(AO287*(1-Config!$C$10-Config!$C$11-Config!$C$12),0))</f>
        <v/>
      </c>
      <c r="AR287" s="19">
        <f>IF(COUNT(C287:P287)=0,"",IFERROR(AQ287-C287-Config!$C$13,0))</f>
        <v/>
      </c>
      <c r="AS287" s="20">
        <f>IF(COUNT(C287:P287)=0,"",IFERROR(AQ287/C287,0))</f>
        <v/>
      </c>
      <c r="AT287" s="14">
        <f>IF(COUNT(C287:P287)=0,"",IFERROR(AR287/G287,0))</f>
        <v/>
      </c>
      <c r="AU287" s="20">
        <f>IF(COUNT(C287:P287)=0,"",IFERROR(AT287/V287,0))</f>
        <v/>
      </c>
      <c r="AV287" s="14">
        <f>IF(COUNT(C287:P287)=0,"",IFERROR(AR287/H287,0))</f>
        <v/>
      </c>
    </row>
    <row r="288">
      <c r="A288" s="11">
        <f>Config!$C$6+282</f>
        <v/>
      </c>
      <c r="B288" s="12">
        <f>INT((A288-Config!$C$6)/7)+1</f>
        <v/>
      </c>
      <c r="C288" s="9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4">
        <f>IF(COUNT(C288:P288)=0,"",IFERROR(C288/D288*1000,0))</f>
        <v/>
      </c>
      <c r="R288" s="15">
        <f>IF(COUNT(C288:P288)=0,"",IFERROR(D288/E288,0))</f>
        <v/>
      </c>
      <c r="S288" s="16">
        <f>IF(COUNT(C288:P288)=0,"",IFERROR(F288/D288,0))</f>
        <v/>
      </c>
      <c r="T288" s="14">
        <f>IF(COUNT(C288:P288)=0,"",IFERROR(C288/F288,0))</f>
        <v/>
      </c>
      <c r="U288" s="17">
        <f>IF(COUNT(C288:P288)=0,"",IFERROR(G288/F288,0))</f>
        <v/>
      </c>
      <c r="V288" s="14">
        <f>IF(COUNT(C288:P288)=0,"",IFERROR(C288/G288,0))</f>
        <v/>
      </c>
      <c r="W288" s="18">
        <f>IF(COUNT(C288:P288)=0,"",IFERROR(G288/D288*1000,0))</f>
        <v/>
      </c>
      <c r="X288" s="17">
        <f>IF(COUNT(C288:P288)=0,"",IFERROR(H288/G288,0))</f>
        <v/>
      </c>
      <c r="Y288" s="14">
        <f>IF(COUNT(C288:P288)=0,"",IFERROR(C288/H288,0))</f>
        <v/>
      </c>
      <c r="Z288" s="14">
        <f>IF(COUNT(C288:P288)=0,"",IFERROR(C288/I288,0))</f>
        <v/>
      </c>
      <c r="AA288" s="17">
        <f>IF(COUNT(C288:P288)=0,"",IFERROR(Y288/Q288,0))</f>
        <v/>
      </c>
      <c r="AB288" s="18">
        <f>IF(COUNT(C288:P288)=0,"",IFERROR(H288/D288*1000,0))</f>
        <v/>
      </c>
      <c r="AC288" s="17">
        <f>IF(COUNT(C288:P288)=0,"",IFERROR(J288/H288,0))</f>
        <v/>
      </c>
      <c r="AD288" s="14">
        <f>IF(COUNT(C288:P288)=0,"",IFERROR(C288/J288,0))</f>
        <v/>
      </c>
      <c r="AE288" s="17">
        <f>IF(COUNT(C288:P288)=0,"",IFERROR(K288/H288,0))</f>
        <v/>
      </c>
      <c r="AF288" s="17">
        <f>IF(COUNT(C288:P288)=0,"",IFERROR(L288/H288,0))</f>
        <v/>
      </c>
      <c r="AG288" s="14">
        <f>IF(COUNT(C288:P288)=0,"",IFERROR(C288/K288,0))</f>
        <v/>
      </c>
      <c r="AH288" s="17">
        <f>IF(COUNT(C288:P288)=0,"",IFERROR(M288/K288,0))</f>
        <v/>
      </c>
      <c r="AI288" s="14">
        <f>IF(COUNT(C288:P288)=0,"",IFERROR(C288/M288,0))</f>
        <v/>
      </c>
      <c r="AJ288" s="17">
        <f>IF(COUNT(C288:P288)=0,"",IFERROR(N288/M288,0))</f>
        <v/>
      </c>
      <c r="AK288" s="16">
        <f>IF(COUNT(C288:P288)=0,"",IFERROR(N288/H288,0))</f>
        <v/>
      </c>
      <c r="AL288" s="14">
        <f>IF(COUNT(C288:P288)=0,"",IFERROR(C288/N288,0))</f>
        <v/>
      </c>
      <c r="AM288" s="17">
        <f>IF(COUNT(C288:P288)=0,"",IFERROR(O288/N288,0))</f>
        <v/>
      </c>
      <c r="AN288" s="17">
        <f>IF(COUNT(C288:P288)=0,"",IFERROR(P288/N288,0))</f>
        <v/>
      </c>
      <c r="AO288" s="19">
        <f>IF(COUNT(C288:P288)=0,"",IFERROR(N288*Config!$C$7+O288*Config!$C$8+P288*Config!$C$9,0))</f>
        <v/>
      </c>
      <c r="AP288" s="14">
        <f>IF(COUNT(C288:P288)=0,"",IFERROR(AO288/N288,0))</f>
        <v/>
      </c>
      <c r="AQ288" s="19">
        <f>IF(COUNT(C288:P288)=0,"",IFERROR(AO288*(1-Config!$C$10-Config!$C$11-Config!$C$12),0))</f>
        <v/>
      </c>
      <c r="AR288" s="19">
        <f>IF(COUNT(C288:P288)=0,"",IFERROR(AQ288-C288-Config!$C$13,0))</f>
        <v/>
      </c>
      <c r="AS288" s="20">
        <f>IF(COUNT(C288:P288)=0,"",IFERROR(AQ288/C288,0))</f>
        <v/>
      </c>
      <c r="AT288" s="14">
        <f>IF(COUNT(C288:P288)=0,"",IFERROR(AR288/G288,0))</f>
        <v/>
      </c>
      <c r="AU288" s="20">
        <f>IF(COUNT(C288:P288)=0,"",IFERROR(AT288/V288,0))</f>
        <v/>
      </c>
      <c r="AV288" s="14">
        <f>IF(COUNT(C288:P288)=0,"",IFERROR(AR288/H288,0))</f>
        <v/>
      </c>
    </row>
    <row r="289">
      <c r="A289" s="11">
        <f>Config!$C$6+283</f>
        <v/>
      </c>
      <c r="B289" s="12">
        <f>INT((A289-Config!$C$6)/7)+1</f>
        <v/>
      </c>
      <c r="C289" s="9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4">
        <f>IF(COUNT(C289:P289)=0,"",IFERROR(C289/D289*1000,0))</f>
        <v/>
      </c>
      <c r="R289" s="15">
        <f>IF(COUNT(C289:P289)=0,"",IFERROR(D289/E289,0))</f>
        <v/>
      </c>
      <c r="S289" s="16">
        <f>IF(COUNT(C289:P289)=0,"",IFERROR(F289/D289,0))</f>
        <v/>
      </c>
      <c r="T289" s="14">
        <f>IF(COUNT(C289:P289)=0,"",IFERROR(C289/F289,0))</f>
        <v/>
      </c>
      <c r="U289" s="17">
        <f>IF(COUNT(C289:P289)=0,"",IFERROR(G289/F289,0))</f>
        <v/>
      </c>
      <c r="V289" s="14">
        <f>IF(COUNT(C289:P289)=0,"",IFERROR(C289/G289,0))</f>
        <v/>
      </c>
      <c r="W289" s="18">
        <f>IF(COUNT(C289:P289)=0,"",IFERROR(G289/D289*1000,0))</f>
        <v/>
      </c>
      <c r="X289" s="17">
        <f>IF(COUNT(C289:P289)=0,"",IFERROR(H289/G289,0))</f>
        <v/>
      </c>
      <c r="Y289" s="14">
        <f>IF(COUNT(C289:P289)=0,"",IFERROR(C289/H289,0))</f>
        <v/>
      </c>
      <c r="Z289" s="14">
        <f>IF(COUNT(C289:P289)=0,"",IFERROR(C289/I289,0))</f>
        <v/>
      </c>
      <c r="AA289" s="17">
        <f>IF(COUNT(C289:P289)=0,"",IFERROR(Y289/Q289,0))</f>
        <v/>
      </c>
      <c r="AB289" s="18">
        <f>IF(COUNT(C289:P289)=0,"",IFERROR(H289/D289*1000,0))</f>
        <v/>
      </c>
      <c r="AC289" s="17">
        <f>IF(COUNT(C289:P289)=0,"",IFERROR(J289/H289,0))</f>
        <v/>
      </c>
      <c r="AD289" s="14">
        <f>IF(COUNT(C289:P289)=0,"",IFERROR(C289/J289,0))</f>
        <v/>
      </c>
      <c r="AE289" s="17">
        <f>IF(COUNT(C289:P289)=0,"",IFERROR(K289/H289,0))</f>
        <v/>
      </c>
      <c r="AF289" s="17">
        <f>IF(COUNT(C289:P289)=0,"",IFERROR(L289/H289,0))</f>
        <v/>
      </c>
      <c r="AG289" s="14">
        <f>IF(COUNT(C289:P289)=0,"",IFERROR(C289/K289,0))</f>
        <v/>
      </c>
      <c r="AH289" s="17">
        <f>IF(COUNT(C289:P289)=0,"",IFERROR(M289/K289,0))</f>
        <v/>
      </c>
      <c r="AI289" s="14">
        <f>IF(COUNT(C289:P289)=0,"",IFERROR(C289/M289,0))</f>
        <v/>
      </c>
      <c r="AJ289" s="17">
        <f>IF(COUNT(C289:P289)=0,"",IFERROR(N289/M289,0))</f>
        <v/>
      </c>
      <c r="AK289" s="16">
        <f>IF(COUNT(C289:P289)=0,"",IFERROR(N289/H289,0))</f>
        <v/>
      </c>
      <c r="AL289" s="14">
        <f>IF(COUNT(C289:P289)=0,"",IFERROR(C289/N289,0))</f>
        <v/>
      </c>
      <c r="AM289" s="17">
        <f>IF(COUNT(C289:P289)=0,"",IFERROR(O289/N289,0))</f>
        <v/>
      </c>
      <c r="AN289" s="17">
        <f>IF(COUNT(C289:P289)=0,"",IFERROR(P289/N289,0))</f>
        <v/>
      </c>
      <c r="AO289" s="19">
        <f>IF(COUNT(C289:P289)=0,"",IFERROR(N289*Config!$C$7+O289*Config!$C$8+P289*Config!$C$9,0))</f>
        <v/>
      </c>
      <c r="AP289" s="14">
        <f>IF(COUNT(C289:P289)=0,"",IFERROR(AO289/N289,0))</f>
        <v/>
      </c>
      <c r="AQ289" s="19">
        <f>IF(COUNT(C289:P289)=0,"",IFERROR(AO289*(1-Config!$C$10-Config!$C$11-Config!$C$12),0))</f>
        <v/>
      </c>
      <c r="AR289" s="19">
        <f>IF(COUNT(C289:P289)=0,"",IFERROR(AQ289-C289-Config!$C$13,0))</f>
        <v/>
      </c>
      <c r="AS289" s="20">
        <f>IF(COUNT(C289:P289)=0,"",IFERROR(AQ289/C289,0))</f>
        <v/>
      </c>
      <c r="AT289" s="14">
        <f>IF(COUNT(C289:P289)=0,"",IFERROR(AR289/G289,0))</f>
        <v/>
      </c>
      <c r="AU289" s="20">
        <f>IF(COUNT(C289:P289)=0,"",IFERROR(AT289/V289,0))</f>
        <v/>
      </c>
      <c r="AV289" s="14">
        <f>IF(COUNT(C289:P289)=0,"",IFERROR(AR289/H289,0))</f>
        <v/>
      </c>
    </row>
    <row r="290">
      <c r="A290" s="11">
        <f>Config!$C$6+284</f>
        <v/>
      </c>
      <c r="B290" s="12">
        <f>INT((A290-Config!$C$6)/7)+1</f>
        <v/>
      </c>
      <c r="C290" s="9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4">
        <f>IF(COUNT(C290:P290)=0,"",IFERROR(C290/D290*1000,0))</f>
        <v/>
      </c>
      <c r="R290" s="15">
        <f>IF(COUNT(C290:P290)=0,"",IFERROR(D290/E290,0))</f>
        <v/>
      </c>
      <c r="S290" s="16">
        <f>IF(COUNT(C290:P290)=0,"",IFERROR(F290/D290,0))</f>
        <v/>
      </c>
      <c r="T290" s="14">
        <f>IF(COUNT(C290:P290)=0,"",IFERROR(C290/F290,0))</f>
        <v/>
      </c>
      <c r="U290" s="17">
        <f>IF(COUNT(C290:P290)=0,"",IFERROR(G290/F290,0))</f>
        <v/>
      </c>
      <c r="V290" s="14">
        <f>IF(COUNT(C290:P290)=0,"",IFERROR(C290/G290,0))</f>
        <v/>
      </c>
      <c r="W290" s="18">
        <f>IF(COUNT(C290:P290)=0,"",IFERROR(G290/D290*1000,0))</f>
        <v/>
      </c>
      <c r="X290" s="17">
        <f>IF(COUNT(C290:P290)=0,"",IFERROR(H290/G290,0))</f>
        <v/>
      </c>
      <c r="Y290" s="14">
        <f>IF(COUNT(C290:P290)=0,"",IFERROR(C290/H290,0))</f>
        <v/>
      </c>
      <c r="Z290" s="14">
        <f>IF(COUNT(C290:P290)=0,"",IFERROR(C290/I290,0))</f>
        <v/>
      </c>
      <c r="AA290" s="17">
        <f>IF(COUNT(C290:P290)=0,"",IFERROR(Y290/Q290,0))</f>
        <v/>
      </c>
      <c r="AB290" s="18">
        <f>IF(COUNT(C290:P290)=0,"",IFERROR(H290/D290*1000,0))</f>
        <v/>
      </c>
      <c r="AC290" s="17">
        <f>IF(COUNT(C290:P290)=0,"",IFERROR(J290/H290,0))</f>
        <v/>
      </c>
      <c r="AD290" s="14">
        <f>IF(COUNT(C290:P290)=0,"",IFERROR(C290/J290,0))</f>
        <v/>
      </c>
      <c r="AE290" s="17">
        <f>IF(COUNT(C290:P290)=0,"",IFERROR(K290/H290,0))</f>
        <v/>
      </c>
      <c r="AF290" s="17">
        <f>IF(COUNT(C290:P290)=0,"",IFERROR(L290/H290,0))</f>
        <v/>
      </c>
      <c r="AG290" s="14">
        <f>IF(COUNT(C290:P290)=0,"",IFERROR(C290/K290,0))</f>
        <v/>
      </c>
      <c r="AH290" s="17">
        <f>IF(COUNT(C290:P290)=0,"",IFERROR(M290/K290,0))</f>
        <v/>
      </c>
      <c r="AI290" s="14">
        <f>IF(COUNT(C290:P290)=0,"",IFERROR(C290/M290,0))</f>
        <v/>
      </c>
      <c r="AJ290" s="17">
        <f>IF(COUNT(C290:P290)=0,"",IFERROR(N290/M290,0))</f>
        <v/>
      </c>
      <c r="AK290" s="16">
        <f>IF(COUNT(C290:P290)=0,"",IFERROR(N290/H290,0))</f>
        <v/>
      </c>
      <c r="AL290" s="14">
        <f>IF(COUNT(C290:P290)=0,"",IFERROR(C290/N290,0))</f>
        <v/>
      </c>
      <c r="AM290" s="17">
        <f>IF(COUNT(C290:P290)=0,"",IFERROR(O290/N290,0))</f>
        <v/>
      </c>
      <c r="AN290" s="17">
        <f>IF(COUNT(C290:P290)=0,"",IFERROR(P290/N290,0))</f>
        <v/>
      </c>
      <c r="AO290" s="19">
        <f>IF(COUNT(C290:P290)=0,"",IFERROR(N290*Config!$C$7+O290*Config!$C$8+P290*Config!$C$9,0))</f>
        <v/>
      </c>
      <c r="AP290" s="14">
        <f>IF(COUNT(C290:P290)=0,"",IFERROR(AO290/N290,0))</f>
        <v/>
      </c>
      <c r="AQ290" s="19">
        <f>IF(COUNT(C290:P290)=0,"",IFERROR(AO290*(1-Config!$C$10-Config!$C$11-Config!$C$12),0))</f>
        <v/>
      </c>
      <c r="AR290" s="19">
        <f>IF(COUNT(C290:P290)=0,"",IFERROR(AQ290-C290-Config!$C$13,0))</f>
        <v/>
      </c>
      <c r="AS290" s="20">
        <f>IF(COUNT(C290:P290)=0,"",IFERROR(AQ290/C290,0))</f>
        <v/>
      </c>
      <c r="AT290" s="14">
        <f>IF(COUNT(C290:P290)=0,"",IFERROR(AR290/G290,0))</f>
        <v/>
      </c>
      <c r="AU290" s="20">
        <f>IF(COUNT(C290:P290)=0,"",IFERROR(AT290/V290,0))</f>
        <v/>
      </c>
      <c r="AV290" s="14">
        <f>IF(COUNT(C290:P290)=0,"",IFERROR(AR290/H290,0))</f>
        <v/>
      </c>
    </row>
    <row r="291">
      <c r="A291" s="11">
        <f>Config!$C$6+285</f>
        <v/>
      </c>
      <c r="B291" s="12">
        <f>INT((A291-Config!$C$6)/7)+1</f>
        <v/>
      </c>
      <c r="C291" s="9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4">
        <f>IF(COUNT(C291:P291)=0,"",IFERROR(C291/D291*1000,0))</f>
        <v/>
      </c>
      <c r="R291" s="15">
        <f>IF(COUNT(C291:P291)=0,"",IFERROR(D291/E291,0))</f>
        <v/>
      </c>
      <c r="S291" s="16">
        <f>IF(COUNT(C291:P291)=0,"",IFERROR(F291/D291,0))</f>
        <v/>
      </c>
      <c r="T291" s="14">
        <f>IF(COUNT(C291:P291)=0,"",IFERROR(C291/F291,0))</f>
        <v/>
      </c>
      <c r="U291" s="17">
        <f>IF(COUNT(C291:P291)=0,"",IFERROR(G291/F291,0))</f>
        <v/>
      </c>
      <c r="V291" s="14">
        <f>IF(COUNT(C291:P291)=0,"",IFERROR(C291/G291,0))</f>
        <v/>
      </c>
      <c r="W291" s="18">
        <f>IF(COUNT(C291:P291)=0,"",IFERROR(G291/D291*1000,0))</f>
        <v/>
      </c>
      <c r="X291" s="17">
        <f>IF(COUNT(C291:P291)=0,"",IFERROR(H291/G291,0))</f>
        <v/>
      </c>
      <c r="Y291" s="14">
        <f>IF(COUNT(C291:P291)=0,"",IFERROR(C291/H291,0))</f>
        <v/>
      </c>
      <c r="Z291" s="14">
        <f>IF(COUNT(C291:P291)=0,"",IFERROR(C291/I291,0))</f>
        <v/>
      </c>
      <c r="AA291" s="17">
        <f>IF(COUNT(C291:P291)=0,"",IFERROR(Y291/Q291,0))</f>
        <v/>
      </c>
      <c r="AB291" s="18">
        <f>IF(COUNT(C291:P291)=0,"",IFERROR(H291/D291*1000,0))</f>
        <v/>
      </c>
      <c r="AC291" s="17">
        <f>IF(COUNT(C291:P291)=0,"",IFERROR(J291/H291,0))</f>
        <v/>
      </c>
      <c r="AD291" s="14">
        <f>IF(COUNT(C291:P291)=0,"",IFERROR(C291/J291,0))</f>
        <v/>
      </c>
      <c r="AE291" s="17">
        <f>IF(COUNT(C291:P291)=0,"",IFERROR(K291/H291,0))</f>
        <v/>
      </c>
      <c r="AF291" s="17">
        <f>IF(COUNT(C291:P291)=0,"",IFERROR(L291/H291,0))</f>
        <v/>
      </c>
      <c r="AG291" s="14">
        <f>IF(COUNT(C291:P291)=0,"",IFERROR(C291/K291,0))</f>
        <v/>
      </c>
      <c r="AH291" s="17">
        <f>IF(COUNT(C291:P291)=0,"",IFERROR(M291/K291,0))</f>
        <v/>
      </c>
      <c r="AI291" s="14">
        <f>IF(COUNT(C291:P291)=0,"",IFERROR(C291/M291,0))</f>
        <v/>
      </c>
      <c r="AJ291" s="17">
        <f>IF(COUNT(C291:P291)=0,"",IFERROR(N291/M291,0))</f>
        <v/>
      </c>
      <c r="AK291" s="16">
        <f>IF(COUNT(C291:P291)=0,"",IFERROR(N291/H291,0))</f>
        <v/>
      </c>
      <c r="AL291" s="14">
        <f>IF(COUNT(C291:P291)=0,"",IFERROR(C291/N291,0))</f>
        <v/>
      </c>
      <c r="AM291" s="17">
        <f>IF(COUNT(C291:P291)=0,"",IFERROR(O291/N291,0))</f>
        <v/>
      </c>
      <c r="AN291" s="17">
        <f>IF(COUNT(C291:P291)=0,"",IFERROR(P291/N291,0))</f>
        <v/>
      </c>
      <c r="AO291" s="19">
        <f>IF(COUNT(C291:P291)=0,"",IFERROR(N291*Config!$C$7+O291*Config!$C$8+P291*Config!$C$9,0))</f>
        <v/>
      </c>
      <c r="AP291" s="14">
        <f>IF(COUNT(C291:P291)=0,"",IFERROR(AO291/N291,0))</f>
        <v/>
      </c>
      <c r="AQ291" s="19">
        <f>IF(COUNT(C291:P291)=0,"",IFERROR(AO291*(1-Config!$C$10-Config!$C$11-Config!$C$12),0))</f>
        <v/>
      </c>
      <c r="AR291" s="19">
        <f>IF(COUNT(C291:P291)=0,"",IFERROR(AQ291-C291-Config!$C$13,0))</f>
        <v/>
      </c>
      <c r="AS291" s="20">
        <f>IF(COUNT(C291:P291)=0,"",IFERROR(AQ291/C291,0))</f>
        <v/>
      </c>
      <c r="AT291" s="14">
        <f>IF(COUNT(C291:P291)=0,"",IFERROR(AR291/G291,0))</f>
        <v/>
      </c>
      <c r="AU291" s="20">
        <f>IF(COUNT(C291:P291)=0,"",IFERROR(AT291/V291,0))</f>
        <v/>
      </c>
      <c r="AV291" s="14">
        <f>IF(COUNT(C291:P291)=0,"",IFERROR(AR291/H291,0))</f>
        <v/>
      </c>
    </row>
    <row r="292">
      <c r="A292" s="11">
        <f>Config!$C$6+286</f>
        <v/>
      </c>
      <c r="B292" s="12">
        <f>INT((A292-Config!$C$6)/7)+1</f>
        <v/>
      </c>
      <c r="C292" s="9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4">
        <f>IF(COUNT(C292:P292)=0,"",IFERROR(C292/D292*1000,0))</f>
        <v/>
      </c>
      <c r="R292" s="15">
        <f>IF(COUNT(C292:P292)=0,"",IFERROR(D292/E292,0))</f>
        <v/>
      </c>
      <c r="S292" s="16">
        <f>IF(COUNT(C292:P292)=0,"",IFERROR(F292/D292,0))</f>
        <v/>
      </c>
      <c r="T292" s="14">
        <f>IF(COUNT(C292:P292)=0,"",IFERROR(C292/F292,0))</f>
        <v/>
      </c>
      <c r="U292" s="17">
        <f>IF(COUNT(C292:P292)=0,"",IFERROR(G292/F292,0))</f>
        <v/>
      </c>
      <c r="V292" s="14">
        <f>IF(COUNT(C292:P292)=0,"",IFERROR(C292/G292,0))</f>
        <v/>
      </c>
      <c r="W292" s="18">
        <f>IF(COUNT(C292:P292)=0,"",IFERROR(G292/D292*1000,0))</f>
        <v/>
      </c>
      <c r="X292" s="17">
        <f>IF(COUNT(C292:P292)=0,"",IFERROR(H292/G292,0))</f>
        <v/>
      </c>
      <c r="Y292" s="14">
        <f>IF(COUNT(C292:P292)=0,"",IFERROR(C292/H292,0))</f>
        <v/>
      </c>
      <c r="Z292" s="14">
        <f>IF(COUNT(C292:P292)=0,"",IFERROR(C292/I292,0))</f>
        <v/>
      </c>
      <c r="AA292" s="17">
        <f>IF(COUNT(C292:P292)=0,"",IFERROR(Y292/Q292,0))</f>
        <v/>
      </c>
      <c r="AB292" s="18">
        <f>IF(COUNT(C292:P292)=0,"",IFERROR(H292/D292*1000,0))</f>
        <v/>
      </c>
      <c r="AC292" s="17">
        <f>IF(COUNT(C292:P292)=0,"",IFERROR(J292/H292,0))</f>
        <v/>
      </c>
      <c r="AD292" s="14">
        <f>IF(COUNT(C292:P292)=0,"",IFERROR(C292/J292,0))</f>
        <v/>
      </c>
      <c r="AE292" s="17">
        <f>IF(COUNT(C292:P292)=0,"",IFERROR(K292/H292,0))</f>
        <v/>
      </c>
      <c r="AF292" s="17">
        <f>IF(COUNT(C292:P292)=0,"",IFERROR(L292/H292,0))</f>
        <v/>
      </c>
      <c r="AG292" s="14">
        <f>IF(COUNT(C292:P292)=0,"",IFERROR(C292/K292,0))</f>
        <v/>
      </c>
      <c r="AH292" s="17">
        <f>IF(COUNT(C292:P292)=0,"",IFERROR(M292/K292,0))</f>
        <v/>
      </c>
      <c r="AI292" s="14">
        <f>IF(COUNT(C292:P292)=0,"",IFERROR(C292/M292,0))</f>
        <v/>
      </c>
      <c r="AJ292" s="17">
        <f>IF(COUNT(C292:P292)=0,"",IFERROR(N292/M292,0))</f>
        <v/>
      </c>
      <c r="AK292" s="16">
        <f>IF(COUNT(C292:P292)=0,"",IFERROR(N292/H292,0))</f>
        <v/>
      </c>
      <c r="AL292" s="14">
        <f>IF(COUNT(C292:P292)=0,"",IFERROR(C292/N292,0))</f>
        <v/>
      </c>
      <c r="AM292" s="17">
        <f>IF(COUNT(C292:P292)=0,"",IFERROR(O292/N292,0))</f>
        <v/>
      </c>
      <c r="AN292" s="17">
        <f>IF(COUNT(C292:P292)=0,"",IFERROR(P292/N292,0))</f>
        <v/>
      </c>
      <c r="AO292" s="19">
        <f>IF(COUNT(C292:P292)=0,"",IFERROR(N292*Config!$C$7+O292*Config!$C$8+P292*Config!$C$9,0))</f>
        <v/>
      </c>
      <c r="AP292" s="14">
        <f>IF(COUNT(C292:P292)=0,"",IFERROR(AO292/N292,0))</f>
        <v/>
      </c>
      <c r="AQ292" s="19">
        <f>IF(COUNT(C292:P292)=0,"",IFERROR(AO292*(1-Config!$C$10-Config!$C$11-Config!$C$12),0))</f>
        <v/>
      </c>
      <c r="AR292" s="19">
        <f>IF(COUNT(C292:P292)=0,"",IFERROR(AQ292-C292-Config!$C$13,0))</f>
        <v/>
      </c>
      <c r="AS292" s="20">
        <f>IF(COUNT(C292:P292)=0,"",IFERROR(AQ292/C292,0))</f>
        <v/>
      </c>
      <c r="AT292" s="14">
        <f>IF(COUNT(C292:P292)=0,"",IFERROR(AR292/G292,0))</f>
        <v/>
      </c>
      <c r="AU292" s="20">
        <f>IF(COUNT(C292:P292)=0,"",IFERROR(AT292/V292,0))</f>
        <v/>
      </c>
      <c r="AV292" s="14">
        <f>IF(COUNT(C292:P292)=0,"",IFERROR(AR292/H292,0))</f>
        <v/>
      </c>
    </row>
    <row r="293">
      <c r="A293" s="11">
        <f>Config!$C$6+287</f>
        <v/>
      </c>
      <c r="B293" s="12">
        <f>INT((A293-Config!$C$6)/7)+1</f>
        <v/>
      </c>
      <c r="C293" s="9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4">
        <f>IF(COUNT(C293:P293)=0,"",IFERROR(C293/D293*1000,0))</f>
        <v/>
      </c>
      <c r="R293" s="15">
        <f>IF(COUNT(C293:P293)=0,"",IFERROR(D293/E293,0))</f>
        <v/>
      </c>
      <c r="S293" s="16">
        <f>IF(COUNT(C293:P293)=0,"",IFERROR(F293/D293,0))</f>
        <v/>
      </c>
      <c r="T293" s="14">
        <f>IF(COUNT(C293:P293)=0,"",IFERROR(C293/F293,0))</f>
        <v/>
      </c>
      <c r="U293" s="17">
        <f>IF(COUNT(C293:P293)=0,"",IFERROR(G293/F293,0))</f>
        <v/>
      </c>
      <c r="V293" s="14">
        <f>IF(COUNT(C293:P293)=0,"",IFERROR(C293/G293,0))</f>
        <v/>
      </c>
      <c r="W293" s="18">
        <f>IF(COUNT(C293:P293)=0,"",IFERROR(G293/D293*1000,0))</f>
        <v/>
      </c>
      <c r="X293" s="17">
        <f>IF(COUNT(C293:P293)=0,"",IFERROR(H293/G293,0))</f>
        <v/>
      </c>
      <c r="Y293" s="14">
        <f>IF(COUNT(C293:P293)=0,"",IFERROR(C293/H293,0))</f>
        <v/>
      </c>
      <c r="Z293" s="14">
        <f>IF(COUNT(C293:P293)=0,"",IFERROR(C293/I293,0))</f>
        <v/>
      </c>
      <c r="AA293" s="17">
        <f>IF(COUNT(C293:P293)=0,"",IFERROR(Y293/Q293,0))</f>
        <v/>
      </c>
      <c r="AB293" s="18">
        <f>IF(COUNT(C293:P293)=0,"",IFERROR(H293/D293*1000,0))</f>
        <v/>
      </c>
      <c r="AC293" s="17">
        <f>IF(COUNT(C293:P293)=0,"",IFERROR(J293/H293,0))</f>
        <v/>
      </c>
      <c r="AD293" s="14">
        <f>IF(COUNT(C293:P293)=0,"",IFERROR(C293/J293,0))</f>
        <v/>
      </c>
      <c r="AE293" s="17">
        <f>IF(COUNT(C293:P293)=0,"",IFERROR(K293/H293,0))</f>
        <v/>
      </c>
      <c r="AF293" s="17">
        <f>IF(COUNT(C293:P293)=0,"",IFERROR(L293/H293,0))</f>
        <v/>
      </c>
      <c r="AG293" s="14">
        <f>IF(COUNT(C293:P293)=0,"",IFERROR(C293/K293,0))</f>
        <v/>
      </c>
      <c r="AH293" s="17">
        <f>IF(COUNT(C293:P293)=0,"",IFERROR(M293/K293,0))</f>
        <v/>
      </c>
      <c r="AI293" s="14">
        <f>IF(COUNT(C293:P293)=0,"",IFERROR(C293/M293,0))</f>
        <v/>
      </c>
      <c r="AJ293" s="17">
        <f>IF(COUNT(C293:P293)=0,"",IFERROR(N293/M293,0))</f>
        <v/>
      </c>
      <c r="AK293" s="16">
        <f>IF(COUNT(C293:P293)=0,"",IFERROR(N293/H293,0))</f>
        <v/>
      </c>
      <c r="AL293" s="14">
        <f>IF(COUNT(C293:P293)=0,"",IFERROR(C293/N293,0))</f>
        <v/>
      </c>
      <c r="AM293" s="17">
        <f>IF(COUNT(C293:P293)=0,"",IFERROR(O293/N293,0))</f>
        <v/>
      </c>
      <c r="AN293" s="17">
        <f>IF(COUNT(C293:P293)=0,"",IFERROR(P293/N293,0))</f>
        <v/>
      </c>
      <c r="AO293" s="19">
        <f>IF(COUNT(C293:P293)=0,"",IFERROR(N293*Config!$C$7+O293*Config!$C$8+P293*Config!$C$9,0))</f>
        <v/>
      </c>
      <c r="AP293" s="14">
        <f>IF(COUNT(C293:P293)=0,"",IFERROR(AO293/N293,0))</f>
        <v/>
      </c>
      <c r="AQ293" s="19">
        <f>IF(COUNT(C293:P293)=0,"",IFERROR(AO293*(1-Config!$C$10-Config!$C$11-Config!$C$12),0))</f>
        <v/>
      </c>
      <c r="AR293" s="19">
        <f>IF(COUNT(C293:P293)=0,"",IFERROR(AQ293-C293-Config!$C$13,0))</f>
        <v/>
      </c>
      <c r="AS293" s="20">
        <f>IF(COUNT(C293:P293)=0,"",IFERROR(AQ293/C293,0))</f>
        <v/>
      </c>
      <c r="AT293" s="14">
        <f>IF(COUNT(C293:P293)=0,"",IFERROR(AR293/G293,0))</f>
        <v/>
      </c>
      <c r="AU293" s="20">
        <f>IF(COUNT(C293:P293)=0,"",IFERROR(AT293/V293,0))</f>
        <v/>
      </c>
      <c r="AV293" s="14">
        <f>IF(COUNT(C293:P293)=0,"",IFERROR(AR293/H293,0))</f>
        <v/>
      </c>
    </row>
    <row r="294">
      <c r="A294" s="11">
        <f>Config!$C$6+288</f>
        <v/>
      </c>
      <c r="B294" s="12">
        <f>INT((A294-Config!$C$6)/7)+1</f>
        <v/>
      </c>
      <c r="C294" s="9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4">
        <f>IF(COUNT(C294:P294)=0,"",IFERROR(C294/D294*1000,0))</f>
        <v/>
      </c>
      <c r="R294" s="15">
        <f>IF(COUNT(C294:P294)=0,"",IFERROR(D294/E294,0))</f>
        <v/>
      </c>
      <c r="S294" s="16">
        <f>IF(COUNT(C294:P294)=0,"",IFERROR(F294/D294,0))</f>
        <v/>
      </c>
      <c r="T294" s="14">
        <f>IF(COUNT(C294:P294)=0,"",IFERROR(C294/F294,0))</f>
        <v/>
      </c>
      <c r="U294" s="17">
        <f>IF(COUNT(C294:P294)=0,"",IFERROR(G294/F294,0))</f>
        <v/>
      </c>
      <c r="V294" s="14">
        <f>IF(COUNT(C294:P294)=0,"",IFERROR(C294/G294,0))</f>
        <v/>
      </c>
      <c r="W294" s="18">
        <f>IF(COUNT(C294:P294)=0,"",IFERROR(G294/D294*1000,0))</f>
        <v/>
      </c>
      <c r="X294" s="17">
        <f>IF(COUNT(C294:P294)=0,"",IFERROR(H294/G294,0))</f>
        <v/>
      </c>
      <c r="Y294" s="14">
        <f>IF(COUNT(C294:P294)=0,"",IFERROR(C294/H294,0))</f>
        <v/>
      </c>
      <c r="Z294" s="14">
        <f>IF(COUNT(C294:P294)=0,"",IFERROR(C294/I294,0))</f>
        <v/>
      </c>
      <c r="AA294" s="17">
        <f>IF(COUNT(C294:P294)=0,"",IFERROR(Y294/Q294,0))</f>
        <v/>
      </c>
      <c r="AB294" s="18">
        <f>IF(COUNT(C294:P294)=0,"",IFERROR(H294/D294*1000,0))</f>
        <v/>
      </c>
      <c r="AC294" s="17">
        <f>IF(COUNT(C294:P294)=0,"",IFERROR(J294/H294,0))</f>
        <v/>
      </c>
      <c r="AD294" s="14">
        <f>IF(COUNT(C294:P294)=0,"",IFERROR(C294/J294,0))</f>
        <v/>
      </c>
      <c r="AE294" s="17">
        <f>IF(COUNT(C294:P294)=0,"",IFERROR(K294/H294,0))</f>
        <v/>
      </c>
      <c r="AF294" s="17">
        <f>IF(COUNT(C294:P294)=0,"",IFERROR(L294/H294,0))</f>
        <v/>
      </c>
      <c r="AG294" s="14">
        <f>IF(COUNT(C294:P294)=0,"",IFERROR(C294/K294,0))</f>
        <v/>
      </c>
      <c r="AH294" s="17">
        <f>IF(COUNT(C294:P294)=0,"",IFERROR(M294/K294,0))</f>
        <v/>
      </c>
      <c r="AI294" s="14">
        <f>IF(COUNT(C294:P294)=0,"",IFERROR(C294/M294,0))</f>
        <v/>
      </c>
      <c r="AJ294" s="17">
        <f>IF(COUNT(C294:P294)=0,"",IFERROR(N294/M294,0))</f>
        <v/>
      </c>
      <c r="AK294" s="16">
        <f>IF(COUNT(C294:P294)=0,"",IFERROR(N294/H294,0))</f>
        <v/>
      </c>
      <c r="AL294" s="14">
        <f>IF(COUNT(C294:P294)=0,"",IFERROR(C294/N294,0))</f>
        <v/>
      </c>
      <c r="AM294" s="17">
        <f>IF(COUNT(C294:P294)=0,"",IFERROR(O294/N294,0))</f>
        <v/>
      </c>
      <c r="AN294" s="17">
        <f>IF(COUNT(C294:P294)=0,"",IFERROR(P294/N294,0))</f>
        <v/>
      </c>
      <c r="AO294" s="19">
        <f>IF(COUNT(C294:P294)=0,"",IFERROR(N294*Config!$C$7+O294*Config!$C$8+P294*Config!$C$9,0))</f>
        <v/>
      </c>
      <c r="AP294" s="14">
        <f>IF(COUNT(C294:P294)=0,"",IFERROR(AO294/N294,0))</f>
        <v/>
      </c>
      <c r="AQ294" s="19">
        <f>IF(COUNT(C294:P294)=0,"",IFERROR(AO294*(1-Config!$C$10-Config!$C$11-Config!$C$12),0))</f>
        <v/>
      </c>
      <c r="AR294" s="19">
        <f>IF(COUNT(C294:P294)=0,"",IFERROR(AQ294-C294-Config!$C$13,0))</f>
        <v/>
      </c>
      <c r="AS294" s="20">
        <f>IF(COUNT(C294:P294)=0,"",IFERROR(AQ294/C294,0))</f>
        <v/>
      </c>
      <c r="AT294" s="14">
        <f>IF(COUNT(C294:P294)=0,"",IFERROR(AR294/G294,0))</f>
        <v/>
      </c>
      <c r="AU294" s="20">
        <f>IF(COUNT(C294:P294)=0,"",IFERROR(AT294/V294,0))</f>
        <v/>
      </c>
      <c r="AV294" s="14">
        <f>IF(COUNT(C294:P294)=0,"",IFERROR(AR294/H294,0))</f>
        <v/>
      </c>
    </row>
    <row r="295">
      <c r="A295" s="11">
        <f>Config!$C$6+289</f>
        <v/>
      </c>
      <c r="B295" s="12">
        <f>INT((A295-Config!$C$6)/7)+1</f>
        <v/>
      </c>
      <c r="C295" s="9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4">
        <f>IF(COUNT(C295:P295)=0,"",IFERROR(C295/D295*1000,0))</f>
        <v/>
      </c>
      <c r="R295" s="15">
        <f>IF(COUNT(C295:P295)=0,"",IFERROR(D295/E295,0))</f>
        <v/>
      </c>
      <c r="S295" s="16">
        <f>IF(COUNT(C295:P295)=0,"",IFERROR(F295/D295,0))</f>
        <v/>
      </c>
      <c r="T295" s="14">
        <f>IF(COUNT(C295:P295)=0,"",IFERROR(C295/F295,0))</f>
        <v/>
      </c>
      <c r="U295" s="17">
        <f>IF(COUNT(C295:P295)=0,"",IFERROR(G295/F295,0))</f>
        <v/>
      </c>
      <c r="V295" s="14">
        <f>IF(COUNT(C295:P295)=0,"",IFERROR(C295/G295,0))</f>
        <v/>
      </c>
      <c r="W295" s="18">
        <f>IF(COUNT(C295:P295)=0,"",IFERROR(G295/D295*1000,0))</f>
        <v/>
      </c>
      <c r="X295" s="17">
        <f>IF(COUNT(C295:P295)=0,"",IFERROR(H295/G295,0))</f>
        <v/>
      </c>
      <c r="Y295" s="14">
        <f>IF(COUNT(C295:P295)=0,"",IFERROR(C295/H295,0))</f>
        <v/>
      </c>
      <c r="Z295" s="14">
        <f>IF(COUNT(C295:P295)=0,"",IFERROR(C295/I295,0))</f>
        <v/>
      </c>
      <c r="AA295" s="17">
        <f>IF(COUNT(C295:P295)=0,"",IFERROR(Y295/Q295,0))</f>
        <v/>
      </c>
      <c r="AB295" s="18">
        <f>IF(COUNT(C295:P295)=0,"",IFERROR(H295/D295*1000,0))</f>
        <v/>
      </c>
      <c r="AC295" s="17">
        <f>IF(COUNT(C295:P295)=0,"",IFERROR(J295/H295,0))</f>
        <v/>
      </c>
      <c r="AD295" s="14">
        <f>IF(COUNT(C295:P295)=0,"",IFERROR(C295/J295,0))</f>
        <v/>
      </c>
      <c r="AE295" s="17">
        <f>IF(COUNT(C295:P295)=0,"",IFERROR(K295/H295,0))</f>
        <v/>
      </c>
      <c r="AF295" s="17">
        <f>IF(COUNT(C295:P295)=0,"",IFERROR(L295/H295,0))</f>
        <v/>
      </c>
      <c r="AG295" s="14">
        <f>IF(COUNT(C295:P295)=0,"",IFERROR(C295/K295,0))</f>
        <v/>
      </c>
      <c r="AH295" s="17">
        <f>IF(COUNT(C295:P295)=0,"",IFERROR(M295/K295,0))</f>
        <v/>
      </c>
      <c r="AI295" s="14">
        <f>IF(COUNT(C295:P295)=0,"",IFERROR(C295/M295,0))</f>
        <v/>
      </c>
      <c r="AJ295" s="17">
        <f>IF(COUNT(C295:P295)=0,"",IFERROR(N295/M295,0))</f>
        <v/>
      </c>
      <c r="AK295" s="16">
        <f>IF(COUNT(C295:P295)=0,"",IFERROR(N295/H295,0))</f>
        <v/>
      </c>
      <c r="AL295" s="14">
        <f>IF(COUNT(C295:P295)=0,"",IFERROR(C295/N295,0))</f>
        <v/>
      </c>
      <c r="AM295" s="17">
        <f>IF(COUNT(C295:P295)=0,"",IFERROR(O295/N295,0))</f>
        <v/>
      </c>
      <c r="AN295" s="17">
        <f>IF(COUNT(C295:P295)=0,"",IFERROR(P295/N295,0))</f>
        <v/>
      </c>
      <c r="AO295" s="19">
        <f>IF(COUNT(C295:P295)=0,"",IFERROR(N295*Config!$C$7+O295*Config!$C$8+P295*Config!$C$9,0))</f>
        <v/>
      </c>
      <c r="AP295" s="14">
        <f>IF(COUNT(C295:P295)=0,"",IFERROR(AO295/N295,0))</f>
        <v/>
      </c>
      <c r="AQ295" s="19">
        <f>IF(COUNT(C295:P295)=0,"",IFERROR(AO295*(1-Config!$C$10-Config!$C$11-Config!$C$12),0))</f>
        <v/>
      </c>
      <c r="AR295" s="19">
        <f>IF(COUNT(C295:P295)=0,"",IFERROR(AQ295-C295-Config!$C$13,0))</f>
        <v/>
      </c>
      <c r="AS295" s="20">
        <f>IF(COUNT(C295:P295)=0,"",IFERROR(AQ295/C295,0))</f>
        <v/>
      </c>
      <c r="AT295" s="14">
        <f>IF(COUNT(C295:P295)=0,"",IFERROR(AR295/G295,0))</f>
        <v/>
      </c>
      <c r="AU295" s="20">
        <f>IF(COUNT(C295:P295)=0,"",IFERROR(AT295/V295,0))</f>
        <v/>
      </c>
      <c r="AV295" s="14">
        <f>IF(COUNT(C295:P295)=0,"",IFERROR(AR295/H295,0))</f>
        <v/>
      </c>
    </row>
    <row r="296">
      <c r="A296" s="11">
        <f>Config!$C$6+290</f>
        <v/>
      </c>
      <c r="B296" s="12">
        <f>INT((A296-Config!$C$6)/7)+1</f>
        <v/>
      </c>
      <c r="C296" s="9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4">
        <f>IF(COUNT(C296:P296)=0,"",IFERROR(C296/D296*1000,0))</f>
        <v/>
      </c>
      <c r="R296" s="15">
        <f>IF(COUNT(C296:P296)=0,"",IFERROR(D296/E296,0))</f>
        <v/>
      </c>
      <c r="S296" s="16">
        <f>IF(COUNT(C296:P296)=0,"",IFERROR(F296/D296,0))</f>
        <v/>
      </c>
      <c r="T296" s="14">
        <f>IF(COUNT(C296:P296)=0,"",IFERROR(C296/F296,0))</f>
        <v/>
      </c>
      <c r="U296" s="17">
        <f>IF(COUNT(C296:P296)=0,"",IFERROR(G296/F296,0))</f>
        <v/>
      </c>
      <c r="V296" s="14">
        <f>IF(COUNT(C296:P296)=0,"",IFERROR(C296/G296,0))</f>
        <v/>
      </c>
      <c r="W296" s="18">
        <f>IF(COUNT(C296:P296)=0,"",IFERROR(G296/D296*1000,0))</f>
        <v/>
      </c>
      <c r="X296" s="17">
        <f>IF(COUNT(C296:P296)=0,"",IFERROR(H296/G296,0))</f>
        <v/>
      </c>
      <c r="Y296" s="14">
        <f>IF(COUNT(C296:P296)=0,"",IFERROR(C296/H296,0))</f>
        <v/>
      </c>
      <c r="Z296" s="14">
        <f>IF(COUNT(C296:P296)=0,"",IFERROR(C296/I296,0))</f>
        <v/>
      </c>
      <c r="AA296" s="17">
        <f>IF(COUNT(C296:P296)=0,"",IFERROR(Y296/Q296,0))</f>
        <v/>
      </c>
      <c r="AB296" s="18">
        <f>IF(COUNT(C296:P296)=0,"",IFERROR(H296/D296*1000,0))</f>
        <v/>
      </c>
      <c r="AC296" s="17">
        <f>IF(COUNT(C296:P296)=0,"",IFERROR(J296/H296,0))</f>
        <v/>
      </c>
      <c r="AD296" s="14">
        <f>IF(COUNT(C296:P296)=0,"",IFERROR(C296/J296,0))</f>
        <v/>
      </c>
      <c r="AE296" s="17">
        <f>IF(COUNT(C296:P296)=0,"",IFERROR(K296/H296,0))</f>
        <v/>
      </c>
      <c r="AF296" s="17">
        <f>IF(COUNT(C296:P296)=0,"",IFERROR(L296/H296,0))</f>
        <v/>
      </c>
      <c r="AG296" s="14">
        <f>IF(COUNT(C296:P296)=0,"",IFERROR(C296/K296,0))</f>
        <v/>
      </c>
      <c r="AH296" s="17">
        <f>IF(COUNT(C296:P296)=0,"",IFERROR(M296/K296,0))</f>
        <v/>
      </c>
      <c r="AI296" s="14">
        <f>IF(COUNT(C296:P296)=0,"",IFERROR(C296/M296,0))</f>
        <v/>
      </c>
      <c r="AJ296" s="17">
        <f>IF(COUNT(C296:P296)=0,"",IFERROR(N296/M296,0))</f>
        <v/>
      </c>
      <c r="AK296" s="16">
        <f>IF(COUNT(C296:P296)=0,"",IFERROR(N296/H296,0))</f>
        <v/>
      </c>
      <c r="AL296" s="14">
        <f>IF(COUNT(C296:P296)=0,"",IFERROR(C296/N296,0))</f>
        <v/>
      </c>
      <c r="AM296" s="17">
        <f>IF(COUNT(C296:P296)=0,"",IFERROR(O296/N296,0))</f>
        <v/>
      </c>
      <c r="AN296" s="17">
        <f>IF(COUNT(C296:P296)=0,"",IFERROR(P296/N296,0))</f>
        <v/>
      </c>
      <c r="AO296" s="19">
        <f>IF(COUNT(C296:P296)=0,"",IFERROR(N296*Config!$C$7+O296*Config!$C$8+P296*Config!$C$9,0))</f>
        <v/>
      </c>
      <c r="AP296" s="14">
        <f>IF(COUNT(C296:P296)=0,"",IFERROR(AO296/N296,0))</f>
        <v/>
      </c>
      <c r="AQ296" s="19">
        <f>IF(COUNT(C296:P296)=0,"",IFERROR(AO296*(1-Config!$C$10-Config!$C$11-Config!$C$12),0))</f>
        <v/>
      </c>
      <c r="AR296" s="19">
        <f>IF(COUNT(C296:P296)=0,"",IFERROR(AQ296-C296-Config!$C$13,0))</f>
        <v/>
      </c>
      <c r="AS296" s="20">
        <f>IF(COUNT(C296:P296)=0,"",IFERROR(AQ296/C296,0))</f>
        <v/>
      </c>
      <c r="AT296" s="14">
        <f>IF(COUNT(C296:P296)=0,"",IFERROR(AR296/G296,0))</f>
        <v/>
      </c>
      <c r="AU296" s="20">
        <f>IF(COUNT(C296:P296)=0,"",IFERROR(AT296/V296,0))</f>
        <v/>
      </c>
      <c r="AV296" s="14">
        <f>IF(COUNT(C296:P296)=0,"",IFERROR(AR296/H296,0))</f>
        <v/>
      </c>
    </row>
    <row r="297">
      <c r="A297" s="11">
        <f>Config!$C$6+291</f>
        <v/>
      </c>
      <c r="B297" s="12">
        <f>INT((A297-Config!$C$6)/7)+1</f>
        <v/>
      </c>
      <c r="C297" s="9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4">
        <f>IF(COUNT(C297:P297)=0,"",IFERROR(C297/D297*1000,0))</f>
        <v/>
      </c>
      <c r="R297" s="15">
        <f>IF(COUNT(C297:P297)=0,"",IFERROR(D297/E297,0))</f>
        <v/>
      </c>
      <c r="S297" s="16">
        <f>IF(COUNT(C297:P297)=0,"",IFERROR(F297/D297,0))</f>
        <v/>
      </c>
      <c r="T297" s="14">
        <f>IF(COUNT(C297:P297)=0,"",IFERROR(C297/F297,0))</f>
        <v/>
      </c>
      <c r="U297" s="17">
        <f>IF(COUNT(C297:P297)=0,"",IFERROR(G297/F297,0))</f>
        <v/>
      </c>
      <c r="V297" s="14">
        <f>IF(COUNT(C297:P297)=0,"",IFERROR(C297/G297,0))</f>
        <v/>
      </c>
      <c r="W297" s="18">
        <f>IF(COUNT(C297:P297)=0,"",IFERROR(G297/D297*1000,0))</f>
        <v/>
      </c>
      <c r="X297" s="17">
        <f>IF(COUNT(C297:P297)=0,"",IFERROR(H297/G297,0))</f>
        <v/>
      </c>
      <c r="Y297" s="14">
        <f>IF(COUNT(C297:P297)=0,"",IFERROR(C297/H297,0))</f>
        <v/>
      </c>
      <c r="Z297" s="14">
        <f>IF(COUNT(C297:P297)=0,"",IFERROR(C297/I297,0))</f>
        <v/>
      </c>
      <c r="AA297" s="17">
        <f>IF(COUNT(C297:P297)=0,"",IFERROR(Y297/Q297,0))</f>
        <v/>
      </c>
      <c r="AB297" s="18">
        <f>IF(COUNT(C297:P297)=0,"",IFERROR(H297/D297*1000,0))</f>
        <v/>
      </c>
      <c r="AC297" s="17">
        <f>IF(COUNT(C297:P297)=0,"",IFERROR(J297/H297,0))</f>
        <v/>
      </c>
      <c r="AD297" s="14">
        <f>IF(COUNT(C297:P297)=0,"",IFERROR(C297/J297,0))</f>
        <v/>
      </c>
      <c r="AE297" s="17">
        <f>IF(COUNT(C297:P297)=0,"",IFERROR(K297/H297,0))</f>
        <v/>
      </c>
      <c r="AF297" s="17">
        <f>IF(COUNT(C297:P297)=0,"",IFERROR(L297/H297,0))</f>
        <v/>
      </c>
      <c r="AG297" s="14">
        <f>IF(COUNT(C297:P297)=0,"",IFERROR(C297/K297,0))</f>
        <v/>
      </c>
      <c r="AH297" s="17">
        <f>IF(COUNT(C297:P297)=0,"",IFERROR(M297/K297,0))</f>
        <v/>
      </c>
      <c r="AI297" s="14">
        <f>IF(COUNT(C297:P297)=0,"",IFERROR(C297/M297,0))</f>
        <v/>
      </c>
      <c r="AJ297" s="17">
        <f>IF(COUNT(C297:P297)=0,"",IFERROR(N297/M297,0))</f>
        <v/>
      </c>
      <c r="AK297" s="16">
        <f>IF(COUNT(C297:P297)=0,"",IFERROR(N297/H297,0))</f>
        <v/>
      </c>
      <c r="AL297" s="14">
        <f>IF(COUNT(C297:P297)=0,"",IFERROR(C297/N297,0))</f>
        <v/>
      </c>
      <c r="AM297" s="17">
        <f>IF(COUNT(C297:P297)=0,"",IFERROR(O297/N297,0))</f>
        <v/>
      </c>
      <c r="AN297" s="17">
        <f>IF(COUNT(C297:P297)=0,"",IFERROR(P297/N297,0))</f>
        <v/>
      </c>
      <c r="AO297" s="19">
        <f>IF(COUNT(C297:P297)=0,"",IFERROR(N297*Config!$C$7+O297*Config!$C$8+P297*Config!$C$9,0))</f>
        <v/>
      </c>
      <c r="AP297" s="14">
        <f>IF(COUNT(C297:P297)=0,"",IFERROR(AO297/N297,0))</f>
        <v/>
      </c>
      <c r="AQ297" s="19">
        <f>IF(COUNT(C297:P297)=0,"",IFERROR(AO297*(1-Config!$C$10-Config!$C$11-Config!$C$12),0))</f>
        <v/>
      </c>
      <c r="AR297" s="19">
        <f>IF(COUNT(C297:P297)=0,"",IFERROR(AQ297-C297-Config!$C$13,0))</f>
        <v/>
      </c>
      <c r="AS297" s="20">
        <f>IF(COUNT(C297:P297)=0,"",IFERROR(AQ297/C297,0))</f>
        <v/>
      </c>
      <c r="AT297" s="14">
        <f>IF(COUNT(C297:P297)=0,"",IFERROR(AR297/G297,0))</f>
        <v/>
      </c>
      <c r="AU297" s="20">
        <f>IF(COUNT(C297:P297)=0,"",IFERROR(AT297/V297,0))</f>
        <v/>
      </c>
      <c r="AV297" s="14">
        <f>IF(COUNT(C297:P297)=0,"",IFERROR(AR297/H297,0))</f>
        <v/>
      </c>
    </row>
    <row r="298">
      <c r="A298" s="11">
        <f>Config!$C$6+292</f>
        <v/>
      </c>
      <c r="B298" s="12">
        <f>INT((A298-Config!$C$6)/7)+1</f>
        <v/>
      </c>
      <c r="C298" s="9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4">
        <f>IF(COUNT(C298:P298)=0,"",IFERROR(C298/D298*1000,0))</f>
        <v/>
      </c>
      <c r="R298" s="15">
        <f>IF(COUNT(C298:P298)=0,"",IFERROR(D298/E298,0))</f>
        <v/>
      </c>
      <c r="S298" s="16">
        <f>IF(COUNT(C298:P298)=0,"",IFERROR(F298/D298,0))</f>
        <v/>
      </c>
      <c r="T298" s="14">
        <f>IF(COUNT(C298:P298)=0,"",IFERROR(C298/F298,0))</f>
        <v/>
      </c>
      <c r="U298" s="17">
        <f>IF(COUNT(C298:P298)=0,"",IFERROR(G298/F298,0))</f>
        <v/>
      </c>
      <c r="V298" s="14">
        <f>IF(COUNT(C298:P298)=0,"",IFERROR(C298/G298,0))</f>
        <v/>
      </c>
      <c r="W298" s="18">
        <f>IF(COUNT(C298:P298)=0,"",IFERROR(G298/D298*1000,0))</f>
        <v/>
      </c>
      <c r="X298" s="17">
        <f>IF(COUNT(C298:P298)=0,"",IFERROR(H298/G298,0))</f>
        <v/>
      </c>
      <c r="Y298" s="14">
        <f>IF(COUNT(C298:P298)=0,"",IFERROR(C298/H298,0))</f>
        <v/>
      </c>
      <c r="Z298" s="14">
        <f>IF(COUNT(C298:P298)=0,"",IFERROR(C298/I298,0))</f>
        <v/>
      </c>
      <c r="AA298" s="17">
        <f>IF(COUNT(C298:P298)=0,"",IFERROR(Y298/Q298,0))</f>
        <v/>
      </c>
      <c r="AB298" s="18">
        <f>IF(COUNT(C298:P298)=0,"",IFERROR(H298/D298*1000,0))</f>
        <v/>
      </c>
      <c r="AC298" s="17">
        <f>IF(COUNT(C298:P298)=0,"",IFERROR(J298/H298,0))</f>
        <v/>
      </c>
      <c r="AD298" s="14">
        <f>IF(COUNT(C298:P298)=0,"",IFERROR(C298/J298,0))</f>
        <v/>
      </c>
      <c r="AE298" s="17">
        <f>IF(COUNT(C298:P298)=0,"",IFERROR(K298/H298,0))</f>
        <v/>
      </c>
      <c r="AF298" s="17">
        <f>IF(COUNT(C298:P298)=0,"",IFERROR(L298/H298,0))</f>
        <v/>
      </c>
      <c r="AG298" s="14">
        <f>IF(COUNT(C298:P298)=0,"",IFERROR(C298/K298,0))</f>
        <v/>
      </c>
      <c r="AH298" s="17">
        <f>IF(COUNT(C298:P298)=0,"",IFERROR(M298/K298,0))</f>
        <v/>
      </c>
      <c r="AI298" s="14">
        <f>IF(COUNT(C298:P298)=0,"",IFERROR(C298/M298,0))</f>
        <v/>
      </c>
      <c r="AJ298" s="17">
        <f>IF(COUNT(C298:P298)=0,"",IFERROR(N298/M298,0))</f>
        <v/>
      </c>
      <c r="AK298" s="16">
        <f>IF(COUNT(C298:P298)=0,"",IFERROR(N298/H298,0))</f>
        <v/>
      </c>
      <c r="AL298" s="14">
        <f>IF(COUNT(C298:P298)=0,"",IFERROR(C298/N298,0))</f>
        <v/>
      </c>
      <c r="AM298" s="17">
        <f>IF(COUNT(C298:P298)=0,"",IFERROR(O298/N298,0))</f>
        <v/>
      </c>
      <c r="AN298" s="17">
        <f>IF(COUNT(C298:P298)=0,"",IFERROR(P298/N298,0))</f>
        <v/>
      </c>
      <c r="AO298" s="19">
        <f>IF(COUNT(C298:P298)=0,"",IFERROR(N298*Config!$C$7+O298*Config!$C$8+P298*Config!$C$9,0))</f>
        <v/>
      </c>
      <c r="AP298" s="14">
        <f>IF(COUNT(C298:P298)=0,"",IFERROR(AO298/N298,0))</f>
        <v/>
      </c>
      <c r="AQ298" s="19">
        <f>IF(COUNT(C298:P298)=0,"",IFERROR(AO298*(1-Config!$C$10-Config!$C$11-Config!$C$12),0))</f>
        <v/>
      </c>
      <c r="AR298" s="19">
        <f>IF(COUNT(C298:P298)=0,"",IFERROR(AQ298-C298-Config!$C$13,0))</f>
        <v/>
      </c>
      <c r="AS298" s="20">
        <f>IF(COUNT(C298:P298)=0,"",IFERROR(AQ298/C298,0))</f>
        <v/>
      </c>
      <c r="AT298" s="14">
        <f>IF(COUNT(C298:P298)=0,"",IFERROR(AR298/G298,0))</f>
        <v/>
      </c>
      <c r="AU298" s="20">
        <f>IF(COUNT(C298:P298)=0,"",IFERROR(AT298/V298,0))</f>
        <v/>
      </c>
      <c r="AV298" s="14">
        <f>IF(COUNT(C298:P298)=0,"",IFERROR(AR298/H298,0))</f>
        <v/>
      </c>
    </row>
    <row r="299">
      <c r="A299" s="11">
        <f>Config!$C$6+293</f>
        <v/>
      </c>
      <c r="B299" s="12">
        <f>INT((A299-Config!$C$6)/7)+1</f>
        <v/>
      </c>
      <c r="C299" s="9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4">
        <f>IF(COUNT(C299:P299)=0,"",IFERROR(C299/D299*1000,0))</f>
        <v/>
      </c>
      <c r="R299" s="15">
        <f>IF(COUNT(C299:P299)=0,"",IFERROR(D299/E299,0))</f>
        <v/>
      </c>
      <c r="S299" s="16">
        <f>IF(COUNT(C299:P299)=0,"",IFERROR(F299/D299,0))</f>
        <v/>
      </c>
      <c r="T299" s="14">
        <f>IF(COUNT(C299:P299)=0,"",IFERROR(C299/F299,0))</f>
        <v/>
      </c>
      <c r="U299" s="17">
        <f>IF(COUNT(C299:P299)=0,"",IFERROR(G299/F299,0))</f>
        <v/>
      </c>
      <c r="V299" s="14">
        <f>IF(COUNT(C299:P299)=0,"",IFERROR(C299/G299,0))</f>
        <v/>
      </c>
      <c r="W299" s="18">
        <f>IF(COUNT(C299:P299)=0,"",IFERROR(G299/D299*1000,0))</f>
        <v/>
      </c>
      <c r="X299" s="17">
        <f>IF(COUNT(C299:P299)=0,"",IFERROR(H299/G299,0))</f>
        <v/>
      </c>
      <c r="Y299" s="14">
        <f>IF(COUNT(C299:P299)=0,"",IFERROR(C299/H299,0))</f>
        <v/>
      </c>
      <c r="Z299" s="14">
        <f>IF(COUNT(C299:P299)=0,"",IFERROR(C299/I299,0))</f>
        <v/>
      </c>
      <c r="AA299" s="17">
        <f>IF(COUNT(C299:P299)=0,"",IFERROR(Y299/Q299,0))</f>
        <v/>
      </c>
      <c r="AB299" s="18">
        <f>IF(COUNT(C299:P299)=0,"",IFERROR(H299/D299*1000,0))</f>
        <v/>
      </c>
      <c r="AC299" s="17">
        <f>IF(COUNT(C299:P299)=0,"",IFERROR(J299/H299,0))</f>
        <v/>
      </c>
      <c r="AD299" s="14">
        <f>IF(COUNT(C299:P299)=0,"",IFERROR(C299/J299,0))</f>
        <v/>
      </c>
      <c r="AE299" s="17">
        <f>IF(COUNT(C299:P299)=0,"",IFERROR(K299/H299,0))</f>
        <v/>
      </c>
      <c r="AF299" s="17">
        <f>IF(COUNT(C299:P299)=0,"",IFERROR(L299/H299,0))</f>
        <v/>
      </c>
      <c r="AG299" s="14">
        <f>IF(COUNT(C299:P299)=0,"",IFERROR(C299/K299,0))</f>
        <v/>
      </c>
      <c r="AH299" s="17">
        <f>IF(COUNT(C299:P299)=0,"",IFERROR(M299/K299,0))</f>
        <v/>
      </c>
      <c r="AI299" s="14">
        <f>IF(COUNT(C299:P299)=0,"",IFERROR(C299/M299,0))</f>
        <v/>
      </c>
      <c r="AJ299" s="17">
        <f>IF(COUNT(C299:P299)=0,"",IFERROR(N299/M299,0))</f>
        <v/>
      </c>
      <c r="AK299" s="16">
        <f>IF(COUNT(C299:P299)=0,"",IFERROR(N299/H299,0))</f>
        <v/>
      </c>
      <c r="AL299" s="14">
        <f>IF(COUNT(C299:P299)=0,"",IFERROR(C299/N299,0))</f>
        <v/>
      </c>
      <c r="AM299" s="17">
        <f>IF(COUNT(C299:P299)=0,"",IFERROR(O299/N299,0))</f>
        <v/>
      </c>
      <c r="AN299" s="17">
        <f>IF(COUNT(C299:P299)=0,"",IFERROR(P299/N299,0))</f>
        <v/>
      </c>
      <c r="AO299" s="19">
        <f>IF(COUNT(C299:P299)=0,"",IFERROR(N299*Config!$C$7+O299*Config!$C$8+P299*Config!$C$9,0))</f>
        <v/>
      </c>
      <c r="AP299" s="14">
        <f>IF(COUNT(C299:P299)=0,"",IFERROR(AO299/N299,0))</f>
        <v/>
      </c>
      <c r="AQ299" s="19">
        <f>IF(COUNT(C299:P299)=0,"",IFERROR(AO299*(1-Config!$C$10-Config!$C$11-Config!$C$12),0))</f>
        <v/>
      </c>
      <c r="AR299" s="19">
        <f>IF(COUNT(C299:P299)=0,"",IFERROR(AQ299-C299-Config!$C$13,0))</f>
        <v/>
      </c>
      <c r="AS299" s="20">
        <f>IF(COUNT(C299:P299)=0,"",IFERROR(AQ299/C299,0))</f>
        <v/>
      </c>
      <c r="AT299" s="14">
        <f>IF(COUNT(C299:P299)=0,"",IFERROR(AR299/G299,0))</f>
        <v/>
      </c>
      <c r="AU299" s="20">
        <f>IF(COUNT(C299:P299)=0,"",IFERROR(AT299/V299,0))</f>
        <v/>
      </c>
      <c r="AV299" s="14">
        <f>IF(COUNT(C299:P299)=0,"",IFERROR(AR299/H299,0))</f>
        <v/>
      </c>
    </row>
    <row r="300">
      <c r="A300" s="11">
        <f>Config!$C$6+294</f>
        <v/>
      </c>
      <c r="B300" s="12">
        <f>INT((A300-Config!$C$6)/7)+1</f>
        <v/>
      </c>
      <c r="C300" s="9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4">
        <f>IF(COUNT(C300:P300)=0,"",IFERROR(C300/D300*1000,0))</f>
        <v/>
      </c>
      <c r="R300" s="15">
        <f>IF(COUNT(C300:P300)=0,"",IFERROR(D300/E300,0))</f>
        <v/>
      </c>
      <c r="S300" s="16">
        <f>IF(COUNT(C300:P300)=0,"",IFERROR(F300/D300,0))</f>
        <v/>
      </c>
      <c r="T300" s="14">
        <f>IF(COUNT(C300:P300)=0,"",IFERROR(C300/F300,0))</f>
        <v/>
      </c>
      <c r="U300" s="17">
        <f>IF(COUNT(C300:P300)=0,"",IFERROR(G300/F300,0))</f>
        <v/>
      </c>
      <c r="V300" s="14">
        <f>IF(COUNT(C300:P300)=0,"",IFERROR(C300/G300,0))</f>
        <v/>
      </c>
      <c r="W300" s="18">
        <f>IF(COUNT(C300:P300)=0,"",IFERROR(G300/D300*1000,0))</f>
        <v/>
      </c>
      <c r="X300" s="17">
        <f>IF(COUNT(C300:P300)=0,"",IFERROR(H300/G300,0))</f>
        <v/>
      </c>
      <c r="Y300" s="14">
        <f>IF(COUNT(C300:P300)=0,"",IFERROR(C300/H300,0))</f>
        <v/>
      </c>
      <c r="Z300" s="14">
        <f>IF(COUNT(C300:P300)=0,"",IFERROR(C300/I300,0))</f>
        <v/>
      </c>
      <c r="AA300" s="17">
        <f>IF(COUNT(C300:P300)=0,"",IFERROR(Y300/Q300,0))</f>
        <v/>
      </c>
      <c r="AB300" s="18">
        <f>IF(COUNT(C300:P300)=0,"",IFERROR(H300/D300*1000,0))</f>
        <v/>
      </c>
      <c r="AC300" s="17">
        <f>IF(COUNT(C300:P300)=0,"",IFERROR(J300/H300,0))</f>
        <v/>
      </c>
      <c r="AD300" s="14">
        <f>IF(COUNT(C300:P300)=0,"",IFERROR(C300/J300,0))</f>
        <v/>
      </c>
      <c r="AE300" s="17">
        <f>IF(COUNT(C300:P300)=0,"",IFERROR(K300/H300,0))</f>
        <v/>
      </c>
      <c r="AF300" s="17">
        <f>IF(COUNT(C300:P300)=0,"",IFERROR(L300/H300,0))</f>
        <v/>
      </c>
      <c r="AG300" s="14">
        <f>IF(COUNT(C300:P300)=0,"",IFERROR(C300/K300,0))</f>
        <v/>
      </c>
      <c r="AH300" s="17">
        <f>IF(COUNT(C300:P300)=0,"",IFERROR(M300/K300,0))</f>
        <v/>
      </c>
      <c r="AI300" s="14">
        <f>IF(COUNT(C300:P300)=0,"",IFERROR(C300/M300,0))</f>
        <v/>
      </c>
      <c r="AJ300" s="17">
        <f>IF(COUNT(C300:P300)=0,"",IFERROR(N300/M300,0))</f>
        <v/>
      </c>
      <c r="AK300" s="16">
        <f>IF(COUNT(C300:P300)=0,"",IFERROR(N300/H300,0))</f>
        <v/>
      </c>
      <c r="AL300" s="14">
        <f>IF(COUNT(C300:P300)=0,"",IFERROR(C300/N300,0))</f>
        <v/>
      </c>
      <c r="AM300" s="17">
        <f>IF(COUNT(C300:P300)=0,"",IFERROR(O300/N300,0))</f>
        <v/>
      </c>
      <c r="AN300" s="17">
        <f>IF(COUNT(C300:P300)=0,"",IFERROR(P300/N300,0))</f>
        <v/>
      </c>
      <c r="AO300" s="19">
        <f>IF(COUNT(C300:P300)=0,"",IFERROR(N300*Config!$C$7+O300*Config!$C$8+P300*Config!$C$9,0))</f>
        <v/>
      </c>
      <c r="AP300" s="14">
        <f>IF(COUNT(C300:P300)=0,"",IFERROR(AO300/N300,0))</f>
        <v/>
      </c>
      <c r="AQ300" s="19">
        <f>IF(COUNT(C300:P300)=0,"",IFERROR(AO300*(1-Config!$C$10-Config!$C$11-Config!$C$12),0))</f>
        <v/>
      </c>
      <c r="AR300" s="19">
        <f>IF(COUNT(C300:P300)=0,"",IFERROR(AQ300-C300-Config!$C$13,0))</f>
        <v/>
      </c>
      <c r="AS300" s="20">
        <f>IF(COUNT(C300:P300)=0,"",IFERROR(AQ300/C300,0))</f>
        <v/>
      </c>
      <c r="AT300" s="14">
        <f>IF(COUNT(C300:P300)=0,"",IFERROR(AR300/G300,0))</f>
        <v/>
      </c>
      <c r="AU300" s="20">
        <f>IF(COUNT(C300:P300)=0,"",IFERROR(AT300/V300,0))</f>
        <v/>
      </c>
      <c r="AV300" s="14">
        <f>IF(COUNT(C300:P300)=0,"",IFERROR(AR300/H300,0))</f>
        <v/>
      </c>
    </row>
    <row r="301">
      <c r="A301" s="11">
        <f>Config!$C$6+295</f>
        <v/>
      </c>
      <c r="B301" s="12">
        <f>INT((A301-Config!$C$6)/7)+1</f>
        <v/>
      </c>
      <c r="C301" s="9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4">
        <f>IF(COUNT(C301:P301)=0,"",IFERROR(C301/D301*1000,0))</f>
        <v/>
      </c>
      <c r="R301" s="15">
        <f>IF(COUNT(C301:P301)=0,"",IFERROR(D301/E301,0))</f>
        <v/>
      </c>
      <c r="S301" s="16">
        <f>IF(COUNT(C301:P301)=0,"",IFERROR(F301/D301,0))</f>
        <v/>
      </c>
      <c r="T301" s="14">
        <f>IF(COUNT(C301:P301)=0,"",IFERROR(C301/F301,0))</f>
        <v/>
      </c>
      <c r="U301" s="17">
        <f>IF(COUNT(C301:P301)=0,"",IFERROR(G301/F301,0))</f>
        <v/>
      </c>
      <c r="V301" s="14">
        <f>IF(COUNT(C301:P301)=0,"",IFERROR(C301/G301,0))</f>
        <v/>
      </c>
      <c r="W301" s="18">
        <f>IF(COUNT(C301:P301)=0,"",IFERROR(G301/D301*1000,0))</f>
        <v/>
      </c>
      <c r="X301" s="17">
        <f>IF(COUNT(C301:P301)=0,"",IFERROR(H301/G301,0))</f>
        <v/>
      </c>
      <c r="Y301" s="14">
        <f>IF(COUNT(C301:P301)=0,"",IFERROR(C301/H301,0))</f>
        <v/>
      </c>
      <c r="Z301" s="14">
        <f>IF(COUNT(C301:P301)=0,"",IFERROR(C301/I301,0))</f>
        <v/>
      </c>
      <c r="AA301" s="17">
        <f>IF(COUNT(C301:P301)=0,"",IFERROR(Y301/Q301,0))</f>
        <v/>
      </c>
      <c r="AB301" s="18">
        <f>IF(COUNT(C301:P301)=0,"",IFERROR(H301/D301*1000,0))</f>
        <v/>
      </c>
      <c r="AC301" s="17">
        <f>IF(COUNT(C301:P301)=0,"",IFERROR(J301/H301,0))</f>
        <v/>
      </c>
      <c r="AD301" s="14">
        <f>IF(COUNT(C301:P301)=0,"",IFERROR(C301/J301,0))</f>
        <v/>
      </c>
      <c r="AE301" s="17">
        <f>IF(COUNT(C301:P301)=0,"",IFERROR(K301/H301,0))</f>
        <v/>
      </c>
      <c r="AF301" s="17">
        <f>IF(COUNT(C301:P301)=0,"",IFERROR(L301/H301,0))</f>
        <v/>
      </c>
      <c r="AG301" s="14">
        <f>IF(COUNT(C301:P301)=0,"",IFERROR(C301/K301,0))</f>
        <v/>
      </c>
      <c r="AH301" s="17">
        <f>IF(COUNT(C301:P301)=0,"",IFERROR(M301/K301,0))</f>
        <v/>
      </c>
      <c r="AI301" s="14">
        <f>IF(COUNT(C301:P301)=0,"",IFERROR(C301/M301,0))</f>
        <v/>
      </c>
      <c r="AJ301" s="17">
        <f>IF(COUNT(C301:P301)=0,"",IFERROR(N301/M301,0))</f>
        <v/>
      </c>
      <c r="AK301" s="16">
        <f>IF(COUNT(C301:P301)=0,"",IFERROR(N301/H301,0))</f>
        <v/>
      </c>
      <c r="AL301" s="14">
        <f>IF(COUNT(C301:P301)=0,"",IFERROR(C301/N301,0))</f>
        <v/>
      </c>
      <c r="AM301" s="17">
        <f>IF(COUNT(C301:P301)=0,"",IFERROR(O301/N301,0))</f>
        <v/>
      </c>
      <c r="AN301" s="17">
        <f>IF(COUNT(C301:P301)=0,"",IFERROR(P301/N301,0))</f>
        <v/>
      </c>
      <c r="AO301" s="19">
        <f>IF(COUNT(C301:P301)=0,"",IFERROR(N301*Config!$C$7+O301*Config!$C$8+P301*Config!$C$9,0))</f>
        <v/>
      </c>
      <c r="AP301" s="14">
        <f>IF(COUNT(C301:P301)=0,"",IFERROR(AO301/N301,0))</f>
        <v/>
      </c>
      <c r="AQ301" s="19">
        <f>IF(COUNT(C301:P301)=0,"",IFERROR(AO301*(1-Config!$C$10-Config!$C$11-Config!$C$12),0))</f>
        <v/>
      </c>
      <c r="AR301" s="19">
        <f>IF(COUNT(C301:P301)=0,"",IFERROR(AQ301-C301-Config!$C$13,0))</f>
        <v/>
      </c>
      <c r="AS301" s="20">
        <f>IF(COUNT(C301:P301)=0,"",IFERROR(AQ301/C301,0))</f>
        <v/>
      </c>
      <c r="AT301" s="14">
        <f>IF(COUNT(C301:P301)=0,"",IFERROR(AR301/G301,0))</f>
        <v/>
      </c>
      <c r="AU301" s="20">
        <f>IF(COUNT(C301:P301)=0,"",IFERROR(AT301/V301,0))</f>
        <v/>
      </c>
      <c r="AV301" s="14">
        <f>IF(COUNT(C301:P301)=0,"",IFERROR(AR301/H301,0))</f>
        <v/>
      </c>
    </row>
    <row r="302">
      <c r="A302" s="11">
        <f>Config!$C$6+296</f>
        <v/>
      </c>
      <c r="B302" s="12">
        <f>INT((A302-Config!$C$6)/7)+1</f>
        <v/>
      </c>
      <c r="C302" s="9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4">
        <f>IF(COUNT(C302:P302)=0,"",IFERROR(C302/D302*1000,0))</f>
        <v/>
      </c>
      <c r="R302" s="15">
        <f>IF(COUNT(C302:P302)=0,"",IFERROR(D302/E302,0))</f>
        <v/>
      </c>
      <c r="S302" s="16">
        <f>IF(COUNT(C302:P302)=0,"",IFERROR(F302/D302,0))</f>
        <v/>
      </c>
      <c r="T302" s="14">
        <f>IF(COUNT(C302:P302)=0,"",IFERROR(C302/F302,0))</f>
        <v/>
      </c>
      <c r="U302" s="17">
        <f>IF(COUNT(C302:P302)=0,"",IFERROR(G302/F302,0))</f>
        <v/>
      </c>
      <c r="V302" s="14">
        <f>IF(COUNT(C302:P302)=0,"",IFERROR(C302/G302,0))</f>
        <v/>
      </c>
      <c r="W302" s="18">
        <f>IF(COUNT(C302:P302)=0,"",IFERROR(G302/D302*1000,0))</f>
        <v/>
      </c>
      <c r="X302" s="17">
        <f>IF(COUNT(C302:P302)=0,"",IFERROR(H302/G302,0))</f>
        <v/>
      </c>
      <c r="Y302" s="14">
        <f>IF(COUNT(C302:P302)=0,"",IFERROR(C302/H302,0))</f>
        <v/>
      </c>
      <c r="Z302" s="14">
        <f>IF(COUNT(C302:P302)=0,"",IFERROR(C302/I302,0))</f>
        <v/>
      </c>
      <c r="AA302" s="17">
        <f>IF(COUNT(C302:P302)=0,"",IFERROR(Y302/Q302,0))</f>
        <v/>
      </c>
      <c r="AB302" s="18">
        <f>IF(COUNT(C302:P302)=0,"",IFERROR(H302/D302*1000,0))</f>
        <v/>
      </c>
      <c r="AC302" s="17">
        <f>IF(COUNT(C302:P302)=0,"",IFERROR(J302/H302,0))</f>
        <v/>
      </c>
      <c r="AD302" s="14">
        <f>IF(COUNT(C302:P302)=0,"",IFERROR(C302/J302,0))</f>
        <v/>
      </c>
      <c r="AE302" s="17">
        <f>IF(COUNT(C302:P302)=0,"",IFERROR(K302/H302,0))</f>
        <v/>
      </c>
      <c r="AF302" s="17">
        <f>IF(COUNT(C302:P302)=0,"",IFERROR(L302/H302,0))</f>
        <v/>
      </c>
      <c r="AG302" s="14">
        <f>IF(COUNT(C302:P302)=0,"",IFERROR(C302/K302,0))</f>
        <v/>
      </c>
      <c r="AH302" s="17">
        <f>IF(COUNT(C302:P302)=0,"",IFERROR(M302/K302,0))</f>
        <v/>
      </c>
      <c r="AI302" s="14">
        <f>IF(COUNT(C302:P302)=0,"",IFERROR(C302/M302,0))</f>
        <v/>
      </c>
      <c r="AJ302" s="17">
        <f>IF(COUNT(C302:P302)=0,"",IFERROR(N302/M302,0))</f>
        <v/>
      </c>
      <c r="AK302" s="16">
        <f>IF(COUNT(C302:P302)=0,"",IFERROR(N302/H302,0))</f>
        <v/>
      </c>
      <c r="AL302" s="14">
        <f>IF(COUNT(C302:P302)=0,"",IFERROR(C302/N302,0))</f>
        <v/>
      </c>
      <c r="AM302" s="17">
        <f>IF(COUNT(C302:P302)=0,"",IFERROR(O302/N302,0))</f>
        <v/>
      </c>
      <c r="AN302" s="17">
        <f>IF(COUNT(C302:P302)=0,"",IFERROR(P302/N302,0))</f>
        <v/>
      </c>
      <c r="AO302" s="19">
        <f>IF(COUNT(C302:P302)=0,"",IFERROR(N302*Config!$C$7+O302*Config!$C$8+P302*Config!$C$9,0))</f>
        <v/>
      </c>
      <c r="AP302" s="14">
        <f>IF(COUNT(C302:P302)=0,"",IFERROR(AO302/N302,0))</f>
        <v/>
      </c>
      <c r="AQ302" s="19">
        <f>IF(COUNT(C302:P302)=0,"",IFERROR(AO302*(1-Config!$C$10-Config!$C$11-Config!$C$12),0))</f>
        <v/>
      </c>
      <c r="AR302" s="19">
        <f>IF(COUNT(C302:P302)=0,"",IFERROR(AQ302-C302-Config!$C$13,0))</f>
        <v/>
      </c>
      <c r="AS302" s="20">
        <f>IF(COUNT(C302:P302)=0,"",IFERROR(AQ302/C302,0))</f>
        <v/>
      </c>
      <c r="AT302" s="14">
        <f>IF(COUNT(C302:P302)=0,"",IFERROR(AR302/G302,0))</f>
        <v/>
      </c>
      <c r="AU302" s="20">
        <f>IF(COUNT(C302:P302)=0,"",IFERROR(AT302/V302,0))</f>
        <v/>
      </c>
      <c r="AV302" s="14">
        <f>IF(COUNT(C302:P302)=0,"",IFERROR(AR302/H302,0))</f>
        <v/>
      </c>
    </row>
    <row r="303">
      <c r="A303" s="11">
        <f>Config!$C$6+297</f>
        <v/>
      </c>
      <c r="B303" s="12">
        <f>INT((A303-Config!$C$6)/7)+1</f>
        <v/>
      </c>
      <c r="C303" s="9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4">
        <f>IF(COUNT(C303:P303)=0,"",IFERROR(C303/D303*1000,0))</f>
        <v/>
      </c>
      <c r="R303" s="15">
        <f>IF(COUNT(C303:P303)=0,"",IFERROR(D303/E303,0))</f>
        <v/>
      </c>
      <c r="S303" s="16">
        <f>IF(COUNT(C303:P303)=0,"",IFERROR(F303/D303,0))</f>
        <v/>
      </c>
      <c r="T303" s="14">
        <f>IF(COUNT(C303:P303)=0,"",IFERROR(C303/F303,0))</f>
        <v/>
      </c>
      <c r="U303" s="17">
        <f>IF(COUNT(C303:P303)=0,"",IFERROR(G303/F303,0))</f>
        <v/>
      </c>
      <c r="V303" s="14">
        <f>IF(COUNT(C303:P303)=0,"",IFERROR(C303/G303,0))</f>
        <v/>
      </c>
      <c r="W303" s="18">
        <f>IF(COUNT(C303:P303)=0,"",IFERROR(G303/D303*1000,0))</f>
        <v/>
      </c>
      <c r="X303" s="17">
        <f>IF(COUNT(C303:P303)=0,"",IFERROR(H303/G303,0))</f>
        <v/>
      </c>
      <c r="Y303" s="14">
        <f>IF(COUNT(C303:P303)=0,"",IFERROR(C303/H303,0))</f>
        <v/>
      </c>
      <c r="Z303" s="14">
        <f>IF(COUNT(C303:P303)=0,"",IFERROR(C303/I303,0))</f>
        <v/>
      </c>
      <c r="AA303" s="17">
        <f>IF(COUNT(C303:P303)=0,"",IFERROR(Y303/Q303,0))</f>
        <v/>
      </c>
      <c r="AB303" s="18">
        <f>IF(COUNT(C303:P303)=0,"",IFERROR(H303/D303*1000,0))</f>
        <v/>
      </c>
      <c r="AC303" s="17">
        <f>IF(COUNT(C303:P303)=0,"",IFERROR(J303/H303,0))</f>
        <v/>
      </c>
      <c r="AD303" s="14">
        <f>IF(COUNT(C303:P303)=0,"",IFERROR(C303/J303,0))</f>
        <v/>
      </c>
      <c r="AE303" s="17">
        <f>IF(COUNT(C303:P303)=0,"",IFERROR(K303/H303,0))</f>
        <v/>
      </c>
      <c r="AF303" s="17">
        <f>IF(COUNT(C303:P303)=0,"",IFERROR(L303/H303,0))</f>
        <v/>
      </c>
      <c r="AG303" s="14">
        <f>IF(COUNT(C303:P303)=0,"",IFERROR(C303/K303,0))</f>
        <v/>
      </c>
      <c r="AH303" s="17">
        <f>IF(COUNT(C303:P303)=0,"",IFERROR(M303/K303,0))</f>
        <v/>
      </c>
      <c r="AI303" s="14">
        <f>IF(COUNT(C303:P303)=0,"",IFERROR(C303/M303,0))</f>
        <v/>
      </c>
      <c r="AJ303" s="17">
        <f>IF(COUNT(C303:P303)=0,"",IFERROR(N303/M303,0))</f>
        <v/>
      </c>
      <c r="AK303" s="16">
        <f>IF(COUNT(C303:P303)=0,"",IFERROR(N303/H303,0))</f>
        <v/>
      </c>
      <c r="AL303" s="14">
        <f>IF(COUNT(C303:P303)=0,"",IFERROR(C303/N303,0))</f>
        <v/>
      </c>
      <c r="AM303" s="17">
        <f>IF(COUNT(C303:P303)=0,"",IFERROR(O303/N303,0))</f>
        <v/>
      </c>
      <c r="AN303" s="17">
        <f>IF(COUNT(C303:P303)=0,"",IFERROR(P303/N303,0))</f>
        <v/>
      </c>
      <c r="AO303" s="19">
        <f>IF(COUNT(C303:P303)=0,"",IFERROR(N303*Config!$C$7+O303*Config!$C$8+P303*Config!$C$9,0))</f>
        <v/>
      </c>
      <c r="AP303" s="14">
        <f>IF(COUNT(C303:P303)=0,"",IFERROR(AO303/N303,0))</f>
        <v/>
      </c>
      <c r="AQ303" s="19">
        <f>IF(COUNT(C303:P303)=0,"",IFERROR(AO303*(1-Config!$C$10-Config!$C$11-Config!$C$12),0))</f>
        <v/>
      </c>
      <c r="AR303" s="19">
        <f>IF(COUNT(C303:P303)=0,"",IFERROR(AQ303-C303-Config!$C$13,0))</f>
        <v/>
      </c>
      <c r="AS303" s="20">
        <f>IF(COUNT(C303:P303)=0,"",IFERROR(AQ303/C303,0))</f>
        <v/>
      </c>
      <c r="AT303" s="14">
        <f>IF(COUNT(C303:P303)=0,"",IFERROR(AR303/G303,0))</f>
        <v/>
      </c>
      <c r="AU303" s="20">
        <f>IF(COUNT(C303:P303)=0,"",IFERROR(AT303/V303,0))</f>
        <v/>
      </c>
      <c r="AV303" s="14">
        <f>IF(COUNT(C303:P303)=0,"",IFERROR(AR303/H303,0))</f>
        <v/>
      </c>
    </row>
    <row r="304">
      <c r="A304" s="11">
        <f>Config!$C$6+298</f>
        <v/>
      </c>
      <c r="B304" s="12">
        <f>INT((A304-Config!$C$6)/7)+1</f>
        <v/>
      </c>
      <c r="C304" s="9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4">
        <f>IF(COUNT(C304:P304)=0,"",IFERROR(C304/D304*1000,0))</f>
        <v/>
      </c>
      <c r="R304" s="15">
        <f>IF(COUNT(C304:P304)=0,"",IFERROR(D304/E304,0))</f>
        <v/>
      </c>
      <c r="S304" s="16">
        <f>IF(COUNT(C304:P304)=0,"",IFERROR(F304/D304,0))</f>
        <v/>
      </c>
      <c r="T304" s="14">
        <f>IF(COUNT(C304:P304)=0,"",IFERROR(C304/F304,0))</f>
        <v/>
      </c>
      <c r="U304" s="17">
        <f>IF(COUNT(C304:P304)=0,"",IFERROR(G304/F304,0))</f>
        <v/>
      </c>
      <c r="V304" s="14">
        <f>IF(COUNT(C304:P304)=0,"",IFERROR(C304/G304,0))</f>
        <v/>
      </c>
      <c r="W304" s="18">
        <f>IF(COUNT(C304:P304)=0,"",IFERROR(G304/D304*1000,0))</f>
        <v/>
      </c>
      <c r="X304" s="17">
        <f>IF(COUNT(C304:P304)=0,"",IFERROR(H304/G304,0))</f>
        <v/>
      </c>
      <c r="Y304" s="14">
        <f>IF(COUNT(C304:P304)=0,"",IFERROR(C304/H304,0))</f>
        <v/>
      </c>
      <c r="Z304" s="14">
        <f>IF(COUNT(C304:P304)=0,"",IFERROR(C304/I304,0))</f>
        <v/>
      </c>
      <c r="AA304" s="17">
        <f>IF(COUNT(C304:P304)=0,"",IFERROR(Y304/Q304,0))</f>
        <v/>
      </c>
      <c r="AB304" s="18">
        <f>IF(COUNT(C304:P304)=0,"",IFERROR(H304/D304*1000,0))</f>
        <v/>
      </c>
      <c r="AC304" s="17">
        <f>IF(COUNT(C304:P304)=0,"",IFERROR(J304/H304,0))</f>
        <v/>
      </c>
      <c r="AD304" s="14">
        <f>IF(COUNT(C304:P304)=0,"",IFERROR(C304/J304,0))</f>
        <v/>
      </c>
      <c r="AE304" s="17">
        <f>IF(COUNT(C304:P304)=0,"",IFERROR(K304/H304,0))</f>
        <v/>
      </c>
      <c r="AF304" s="17">
        <f>IF(COUNT(C304:P304)=0,"",IFERROR(L304/H304,0))</f>
        <v/>
      </c>
      <c r="AG304" s="14">
        <f>IF(COUNT(C304:P304)=0,"",IFERROR(C304/K304,0))</f>
        <v/>
      </c>
      <c r="AH304" s="17">
        <f>IF(COUNT(C304:P304)=0,"",IFERROR(M304/K304,0))</f>
        <v/>
      </c>
      <c r="AI304" s="14">
        <f>IF(COUNT(C304:P304)=0,"",IFERROR(C304/M304,0))</f>
        <v/>
      </c>
      <c r="AJ304" s="17">
        <f>IF(COUNT(C304:P304)=0,"",IFERROR(N304/M304,0))</f>
        <v/>
      </c>
      <c r="AK304" s="16">
        <f>IF(COUNT(C304:P304)=0,"",IFERROR(N304/H304,0))</f>
        <v/>
      </c>
      <c r="AL304" s="14">
        <f>IF(COUNT(C304:P304)=0,"",IFERROR(C304/N304,0))</f>
        <v/>
      </c>
      <c r="AM304" s="17">
        <f>IF(COUNT(C304:P304)=0,"",IFERROR(O304/N304,0))</f>
        <v/>
      </c>
      <c r="AN304" s="17">
        <f>IF(COUNT(C304:P304)=0,"",IFERROR(P304/N304,0))</f>
        <v/>
      </c>
      <c r="AO304" s="19">
        <f>IF(COUNT(C304:P304)=0,"",IFERROR(N304*Config!$C$7+O304*Config!$C$8+P304*Config!$C$9,0))</f>
        <v/>
      </c>
      <c r="AP304" s="14">
        <f>IF(COUNT(C304:P304)=0,"",IFERROR(AO304/N304,0))</f>
        <v/>
      </c>
      <c r="AQ304" s="19">
        <f>IF(COUNT(C304:P304)=0,"",IFERROR(AO304*(1-Config!$C$10-Config!$C$11-Config!$C$12),0))</f>
        <v/>
      </c>
      <c r="AR304" s="19">
        <f>IF(COUNT(C304:P304)=0,"",IFERROR(AQ304-C304-Config!$C$13,0))</f>
        <v/>
      </c>
      <c r="AS304" s="20">
        <f>IF(COUNT(C304:P304)=0,"",IFERROR(AQ304/C304,0))</f>
        <v/>
      </c>
      <c r="AT304" s="14">
        <f>IF(COUNT(C304:P304)=0,"",IFERROR(AR304/G304,0))</f>
        <v/>
      </c>
      <c r="AU304" s="20">
        <f>IF(COUNT(C304:P304)=0,"",IFERROR(AT304/V304,0))</f>
        <v/>
      </c>
      <c r="AV304" s="14">
        <f>IF(COUNT(C304:P304)=0,"",IFERROR(AR304/H304,0))</f>
        <v/>
      </c>
    </row>
    <row r="305">
      <c r="A305" s="11">
        <f>Config!$C$6+299</f>
        <v/>
      </c>
      <c r="B305" s="12">
        <f>INT((A305-Config!$C$6)/7)+1</f>
        <v/>
      </c>
      <c r="C305" s="9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4">
        <f>IF(COUNT(C305:P305)=0,"",IFERROR(C305/D305*1000,0))</f>
        <v/>
      </c>
      <c r="R305" s="15">
        <f>IF(COUNT(C305:P305)=0,"",IFERROR(D305/E305,0))</f>
        <v/>
      </c>
      <c r="S305" s="16">
        <f>IF(COUNT(C305:P305)=0,"",IFERROR(F305/D305,0))</f>
        <v/>
      </c>
      <c r="T305" s="14">
        <f>IF(COUNT(C305:P305)=0,"",IFERROR(C305/F305,0))</f>
        <v/>
      </c>
      <c r="U305" s="17">
        <f>IF(COUNT(C305:P305)=0,"",IFERROR(G305/F305,0))</f>
        <v/>
      </c>
      <c r="V305" s="14">
        <f>IF(COUNT(C305:P305)=0,"",IFERROR(C305/G305,0))</f>
        <v/>
      </c>
      <c r="W305" s="18">
        <f>IF(COUNT(C305:P305)=0,"",IFERROR(G305/D305*1000,0))</f>
        <v/>
      </c>
      <c r="X305" s="17">
        <f>IF(COUNT(C305:P305)=0,"",IFERROR(H305/G305,0))</f>
        <v/>
      </c>
      <c r="Y305" s="14">
        <f>IF(COUNT(C305:P305)=0,"",IFERROR(C305/H305,0))</f>
        <v/>
      </c>
      <c r="Z305" s="14">
        <f>IF(COUNT(C305:P305)=0,"",IFERROR(C305/I305,0))</f>
        <v/>
      </c>
      <c r="AA305" s="17">
        <f>IF(COUNT(C305:P305)=0,"",IFERROR(Y305/Q305,0))</f>
        <v/>
      </c>
      <c r="AB305" s="18">
        <f>IF(COUNT(C305:P305)=0,"",IFERROR(H305/D305*1000,0))</f>
        <v/>
      </c>
      <c r="AC305" s="17">
        <f>IF(COUNT(C305:P305)=0,"",IFERROR(J305/H305,0))</f>
        <v/>
      </c>
      <c r="AD305" s="14">
        <f>IF(COUNT(C305:P305)=0,"",IFERROR(C305/J305,0))</f>
        <v/>
      </c>
      <c r="AE305" s="17">
        <f>IF(COUNT(C305:P305)=0,"",IFERROR(K305/H305,0))</f>
        <v/>
      </c>
      <c r="AF305" s="17">
        <f>IF(COUNT(C305:P305)=0,"",IFERROR(L305/H305,0))</f>
        <v/>
      </c>
      <c r="AG305" s="14">
        <f>IF(COUNT(C305:P305)=0,"",IFERROR(C305/K305,0))</f>
        <v/>
      </c>
      <c r="AH305" s="17">
        <f>IF(COUNT(C305:P305)=0,"",IFERROR(M305/K305,0))</f>
        <v/>
      </c>
      <c r="AI305" s="14">
        <f>IF(COUNT(C305:P305)=0,"",IFERROR(C305/M305,0))</f>
        <v/>
      </c>
      <c r="AJ305" s="17">
        <f>IF(COUNT(C305:P305)=0,"",IFERROR(N305/M305,0))</f>
        <v/>
      </c>
      <c r="AK305" s="16">
        <f>IF(COUNT(C305:P305)=0,"",IFERROR(N305/H305,0))</f>
        <v/>
      </c>
      <c r="AL305" s="14">
        <f>IF(COUNT(C305:P305)=0,"",IFERROR(C305/N305,0))</f>
        <v/>
      </c>
      <c r="AM305" s="17">
        <f>IF(COUNT(C305:P305)=0,"",IFERROR(O305/N305,0))</f>
        <v/>
      </c>
      <c r="AN305" s="17">
        <f>IF(COUNT(C305:P305)=0,"",IFERROR(P305/N305,0))</f>
        <v/>
      </c>
      <c r="AO305" s="19">
        <f>IF(COUNT(C305:P305)=0,"",IFERROR(N305*Config!$C$7+O305*Config!$C$8+P305*Config!$C$9,0))</f>
        <v/>
      </c>
      <c r="AP305" s="14">
        <f>IF(COUNT(C305:P305)=0,"",IFERROR(AO305/N305,0))</f>
        <v/>
      </c>
      <c r="AQ305" s="19">
        <f>IF(COUNT(C305:P305)=0,"",IFERROR(AO305*(1-Config!$C$10-Config!$C$11-Config!$C$12),0))</f>
        <v/>
      </c>
      <c r="AR305" s="19">
        <f>IF(COUNT(C305:P305)=0,"",IFERROR(AQ305-C305-Config!$C$13,0))</f>
        <v/>
      </c>
      <c r="AS305" s="20">
        <f>IF(COUNT(C305:P305)=0,"",IFERROR(AQ305/C305,0))</f>
        <v/>
      </c>
      <c r="AT305" s="14">
        <f>IF(COUNT(C305:P305)=0,"",IFERROR(AR305/G305,0))</f>
        <v/>
      </c>
      <c r="AU305" s="20">
        <f>IF(COUNT(C305:P305)=0,"",IFERROR(AT305/V305,0))</f>
        <v/>
      </c>
      <c r="AV305" s="14">
        <f>IF(COUNT(C305:P305)=0,"",IFERROR(AR305/H305,0))</f>
        <v/>
      </c>
    </row>
    <row r="306">
      <c r="A306" s="11">
        <f>Config!$C$6+300</f>
        <v/>
      </c>
      <c r="B306" s="12">
        <f>INT((A306-Config!$C$6)/7)+1</f>
        <v/>
      </c>
      <c r="C306" s="9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4">
        <f>IF(COUNT(C306:P306)=0,"",IFERROR(C306/D306*1000,0))</f>
        <v/>
      </c>
      <c r="R306" s="15">
        <f>IF(COUNT(C306:P306)=0,"",IFERROR(D306/E306,0))</f>
        <v/>
      </c>
      <c r="S306" s="16">
        <f>IF(COUNT(C306:P306)=0,"",IFERROR(F306/D306,0))</f>
        <v/>
      </c>
      <c r="T306" s="14">
        <f>IF(COUNT(C306:P306)=0,"",IFERROR(C306/F306,0))</f>
        <v/>
      </c>
      <c r="U306" s="17">
        <f>IF(COUNT(C306:P306)=0,"",IFERROR(G306/F306,0))</f>
        <v/>
      </c>
      <c r="V306" s="14">
        <f>IF(COUNT(C306:P306)=0,"",IFERROR(C306/G306,0))</f>
        <v/>
      </c>
      <c r="W306" s="18">
        <f>IF(COUNT(C306:P306)=0,"",IFERROR(G306/D306*1000,0))</f>
        <v/>
      </c>
      <c r="X306" s="17">
        <f>IF(COUNT(C306:P306)=0,"",IFERROR(H306/G306,0))</f>
        <v/>
      </c>
      <c r="Y306" s="14">
        <f>IF(COUNT(C306:P306)=0,"",IFERROR(C306/H306,0))</f>
        <v/>
      </c>
      <c r="Z306" s="14">
        <f>IF(COUNT(C306:P306)=0,"",IFERROR(C306/I306,0))</f>
        <v/>
      </c>
      <c r="AA306" s="17">
        <f>IF(COUNT(C306:P306)=0,"",IFERROR(Y306/Q306,0))</f>
        <v/>
      </c>
      <c r="AB306" s="18">
        <f>IF(COUNT(C306:P306)=0,"",IFERROR(H306/D306*1000,0))</f>
        <v/>
      </c>
      <c r="AC306" s="17">
        <f>IF(COUNT(C306:P306)=0,"",IFERROR(J306/H306,0))</f>
        <v/>
      </c>
      <c r="AD306" s="14">
        <f>IF(COUNT(C306:P306)=0,"",IFERROR(C306/J306,0))</f>
        <v/>
      </c>
      <c r="AE306" s="17">
        <f>IF(COUNT(C306:P306)=0,"",IFERROR(K306/H306,0))</f>
        <v/>
      </c>
      <c r="AF306" s="17">
        <f>IF(COUNT(C306:P306)=0,"",IFERROR(L306/H306,0))</f>
        <v/>
      </c>
      <c r="AG306" s="14">
        <f>IF(COUNT(C306:P306)=0,"",IFERROR(C306/K306,0))</f>
        <v/>
      </c>
      <c r="AH306" s="17">
        <f>IF(COUNT(C306:P306)=0,"",IFERROR(M306/K306,0))</f>
        <v/>
      </c>
      <c r="AI306" s="14">
        <f>IF(COUNT(C306:P306)=0,"",IFERROR(C306/M306,0))</f>
        <v/>
      </c>
      <c r="AJ306" s="17">
        <f>IF(COUNT(C306:P306)=0,"",IFERROR(N306/M306,0))</f>
        <v/>
      </c>
      <c r="AK306" s="16">
        <f>IF(COUNT(C306:P306)=0,"",IFERROR(N306/H306,0))</f>
        <v/>
      </c>
      <c r="AL306" s="14">
        <f>IF(COUNT(C306:P306)=0,"",IFERROR(C306/N306,0))</f>
        <v/>
      </c>
      <c r="AM306" s="17">
        <f>IF(COUNT(C306:P306)=0,"",IFERROR(O306/N306,0))</f>
        <v/>
      </c>
      <c r="AN306" s="17">
        <f>IF(COUNT(C306:P306)=0,"",IFERROR(P306/N306,0))</f>
        <v/>
      </c>
      <c r="AO306" s="19">
        <f>IF(COUNT(C306:P306)=0,"",IFERROR(N306*Config!$C$7+O306*Config!$C$8+P306*Config!$C$9,0))</f>
        <v/>
      </c>
      <c r="AP306" s="14">
        <f>IF(COUNT(C306:P306)=0,"",IFERROR(AO306/N306,0))</f>
        <v/>
      </c>
      <c r="AQ306" s="19">
        <f>IF(COUNT(C306:P306)=0,"",IFERROR(AO306*(1-Config!$C$10-Config!$C$11-Config!$C$12),0))</f>
        <v/>
      </c>
      <c r="AR306" s="19">
        <f>IF(COUNT(C306:P306)=0,"",IFERROR(AQ306-C306-Config!$C$13,0))</f>
        <v/>
      </c>
      <c r="AS306" s="20">
        <f>IF(COUNT(C306:P306)=0,"",IFERROR(AQ306/C306,0))</f>
        <v/>
      </c>
      <c r="AT306" s="14">
        <f>IF(COUNT(C306:P306)=0,"",IFERROR(AR306/G306,0))</f>
        <v/>
      </c>
      <c r="AU306" s="20">
        <f>IF(COUNT(C306:P306)=0,"",IFERROR(AT306/V306,0))</f>
        <v/>
      </c>
      <c r="AV306" s="14">
        <f>IF(COUNT(C306:P306)=0,"",IFERROR(AR306/H306,0))</f>
        <v/>
      </c>
    </row>
    <row r="307">
      <c r="A307" s="11">
        <f>Config!$C$6+301</f>
        <v/>
      </c>
      <c r="B307" s="12">
        <f>INT((A307-Config!$C$6)/7)+1</f>
        <v/>
      </c>
      <c r="C307" s="9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4">
        <f>IF(COUNT(C307:P307)=0,"",IFERROR(C307/D307*1000,0))</f>
        <v/>
      </c>
      <c r="R307" s="15">
        <f>IF(COUNT(C307:P307)=0,"",IFERROR(D307/E307,0))</f>
        <v/>
      </c>
      <c r="S307" s="16">
        <f>IF(COUNT(C307:P307)=0,"",IFERROR(F307/D307,0))</f>
        <v/>
      </c>
      <c r="T307" s="14">
        <f>IF(COUNT(C307:P307)=0,"",IFERROR(C307/F307,0))</f>
        <v/>
      </c>
      <c r="U307" s="17">
        <f>IF(COUNT(C307:P307)=0,"",IFERROR(G307/F307,0))</f>
        <v/>
      </c>
      <c r="V307" s="14">
        <f>IF(COUNT(C307:P307)=0,"",IFERROR(C307/G307,0))</f>
        <v/>
      </c>
      <c r="W307" s="18">
        <f>IF(COUNT(C307:P307)=0,"",IFERROR(G307/D307*1000,0))</f>
        <v/>
      </c>
      <c r="X307" s="17">
        <f>IF(COUNT(C307:P307)=0,"",IFERROR(H307/G307,0))</f>
        <v/>
      </c>
      <c r="Y307" s="14">
        <f>IF(COUNT(C307:P307)=0,"",IFERROR(C307/H307,0))</f>
        <v/>
      </c>
      <c r="Z307" s="14">
        <f>IF(COUNT(C307:P307)=0,"",IFERROR(C307/I307,0))</f>
        <v/>
      </c>
      <c r="AA307" s="17">
        <f>IF(COUNT(C307:P307)=0,"",IFERROR(Y307/Q307,0))</f>
        <v/>
      </c>
      <c r="AB307" s="18">
        <f>IF(COUNT(C307:P307)=0,"",IFERROR(H307/D307*1000,0))</f>
        <v/>
      </c>
      <c r="AC307" s="17">
        <f>IF(COUNT(C307:P307)=0,"",IFERROR(J307/H307,0))</f>
        <v/>
      </c>
      <c r="AD307" s="14">
        <f>IF(COUNT(C307:P307)=0,"",IFERROR(C307/J307,0))</f>
        <v/>
      </c>
      <c r="AE307" s="17">
        <f>IF(COUNT(C307:P307)=0,"",IFERROR(K307/H307,0))</f>
        <v/>
      </c>
      <c r="AF307" s="17">
        <f>IF(COUNT(C307:P307)=0,"",IFERROR(L307/H307,0))</f>
        <v/>
      </c>
      <c r="AG307" s="14">
        <f>IF(COUNT(C307:P307)=0,"",IFERROR(C307/K307,0))</f>
        <v/>
      </c>
      <c r="AH307" s="17">
        <f>IF(COUNT(C307:P307)=0,"",IFERROR(M307/K307,0))</f>
        <v/>
      </c>
      <c r="AI307" s="14">
        <f>IF(COUNT(C307:P307)=0,"",IFERROR(C307/M307,0))</f>
        <v/>
      </c>
      <c r="AJ307" s="17">
        <f>IF(COUNT(C307:P307)=0,"",IFERROR(N307/M307,0))</f>
        <v/>
      </c>
      <c r="AK307" s="16">
        <f>IF(COUNT(C307:P307)=0,"",IFERROR(N307/H307,0))</f>
        <v/>
      </c>
      <c r="AL307" s="14">
        <f>IF(COUNT(C307:P307)=0,"",IFERROR(C307/N307,0))</f>
        <v/>
      </c>
      <c r="AM307" s="17">
        <f>IF(COUNT(C307:P307)=0,"",IFERROR(O307/N307,0))</f>
        <v/>
      </c>
      <c r="AN307" s="17">
        <f>IF(COUNT(C307:P307)=0,"",IFERROR(P307/N307,0))</f>
        <v/>
      </c>
      <c r="AO307" s="19">
        <f>IF(COUNT(C307:P307)=0,"",IFERROR(N307*Config!$C$7+O307*Config!$C$8+P307*Config!$C$9,0))</f>
        <v/>
      </c>
      <c r="AP307" s="14">
        <f>IF(COUNT(C307:P307)=0,"",IFERROR(AO307/N307,0))</f>
        <v/>
      </c>
      <c r="AQ307" s="19">
        <f>IF(COUNT(C307:P307)=0,"",IFERROR(AO307*(1-Config!$C$10-Config!$C$11-Config!$C$12),0))</f>
        <v/>
      </c>
      <c r="AR307" s="19">
        <f>IF(COUNT(C307:P307)=0,"",IFERROR(AQ307-C307-Config!$C$13,0))</f>
        <v/>
      </c>
      <c r="AS307" s="20">
        <f>IF(COUNT(C307:P307)=0,"",IFERROR(AQ307/C307,0))</f>
        <v/>
      </c>
      <c r="AT307" s="14">
        <f>IF(COUNT(C307:P307)=0,"",IFERROR(AR307/G307,0))</f>
        <v/>
      </c>
      <c r="AU307" s="20">
        <f>IF(COUNT(C307:P307)=0,"",IFERROR(AT307/V307,0))</f>
        <v/>
      </c>
      <c r="AV307" s="14">
        <f>IF(COUNT(C307:P307)=0,"",IFERROR(AR307/H307,0))</f>
        <v/>
      </c>
    </row>
    <row r="308">
      <c r="A308" s="11">
        <f>Config!$C$6+302</f>
        <v/>
      </c>
      <c r="B308" s="12">
        <f>INT((A308-Config!$C$6)/7)+1</f>
        <v/>
      </c>
      <c r="C308" s="9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4">
        <f>IF(COUNT(C308:P308)=0,"",IFERROR(C308/D308*1000,0))</f>
        <v/>
      </c>
      <c r="R308" s="15">
        <f>IF(COUNT(C308:P308)=0,"",IFERROR(D308/E308,0))</f>
        <v/>
      </c>
      <c r="S308" s="16">
        <f>IF(COUNT(C308:P308)=0,"",IFERROR(F308/D308,0))</f>
        <v/>
      </c>
      <c r="T308" s="14">
        <f>IF(COUNT(C308:P308)=0,"",IFERROR(C308/F308,0))</f>
        <v/>
      </c>
      <c r="U308" s="17">
        <f>IF(COUNT(C308:P308)=0,"",IFERROR(G308/F308,0))</f>
        <v/>
      </c>
      <c r="V308" s="14">
        <f>IF(COUNT(C308:P308)=0,"",IFERROR(C308/G308,0))</f>
        <v/>
      </c>
      <c r="W308" s="18">
        <f>IF(COUNT(C308:P308)=0,"",IFERROR(G308/D308*1000,0))</f>
        <v/>
      </c>
      <c r="X308" s="17">
        <f>IF(COUNT(C308:P308)=0,"",IFERROR(H308/G308,0))</f>
        <v/>
      </c>
      <c r="Y308" s="14">
        <f>IF(COUNT(C308:P308)=0,"",IFERROR(C308/H308,0))</f>
        <v/>
      </c>
      <c r="Z308" s="14">
        <f>IF(COUNT(C308:P308)=0,"",IFERROR(C308/I308,0))</f>
        <v/>
      </c>
      <c r="AA308" s="17">
        <f>IF(COUNT(C308:P308)=0,"",IFERROR(Y308/Q308,0))</f>
        <v/>
      </c>
      <c r="AB308" s="18">
        <f>IF(COUNT(C308:P308)=0,"",IFERROR(H308/D308*1000,0))</f>
        <v/>
      </c>
      <c r="AC308" s="17">
        <f>IF(COUNT(C308:P308)=0,"",IFERROR(J308/H308,0))</f>
        <v/>
      </c>
      <c r="AD308" s="14">
        <f>IF(COUNT(C308:P308)=0,"",IFERROR(C308/J308,0))</f>
        <v/>
      </c>
      <c r="AE308" s="17">
        <f>IF(COUNT(C308:P308)=0,"",IFERROR(K308/H308,0))</f>
        <v/>
      </c>
      <c r="AF308" s="17">
        <f>IF(COUNT(C308:P308)=0,"",IFERROR(L308/H308,0))</f>
        <v/>
      </c>
      <c r="AG308" s="14">
        <f>IF(COUNT(C308:P308)=0,"",IFERROR(C308/K308,0))</f>
        <v/>
      </c>
      <c r="AH308" s="17">
        <f>IF(COUNT(C308:P308)=0,"",IFERROR(M308/K308,0))</f>
        <v/>
      </c>
      <c r="AI308" s="14">
        <f>IF(COUNT(C308:P308)=0,"",IFERROR(C308/M308,0))</f>
        <v/>
      </c>
      <c r="AJ308" s="17">
        <f>IF(COUNT(C308:P308)=0,"",IFERROR(N308/M308,0))</f>
        <v/>
      </c>
      <c r="AK308" s="16">
        <f>IF(COUNT(C308:P308)=0,"",IFERROR(N308/H308,0))</f>
        <v/>
      </c>
      <c r="AL308" s="14">
        <f>IF(COUNT(C308:P308)=0,"",IFERROR(C308/N308,0))</f>
        <v/>
      </c>
      <c r="AM308" s="17">
        <f>IF(COUNT(C308:P308)=0,"",IFERROR(O308/N308,0))</f>
        <v/>
      </c>
      <c r="AN308" s="17">
        <f>IF(COUNT(C308:P308)=0,"",IFERROR(P308/N308,0))</f>
        <v/>
      </c>
      <c r="AO308" s="19">
        <f>IF(COUNT(C308:P308)=0,"",IFERROR(N308*Config!$C$7+O308*Config!$C$8+P308*Config!$C$9,0))</f>
        <v/>
      </c>
      <c r="AP308" s="14">
        <f>IF(COUNT(C308:P308)=0,"",IFERROR(AO308/N308,0))</f>
        <v/>
      </c>
      <c r="AQ308" s="19">
        <f>IF(COUNT(C308:P308)=0,"",IFERROR(AO308*(1-Config!$C$10-Config!$C$11-Config!$C$12),0))</f>
        <v/>
      </c>
      <c r="AR308" s="19">
        <f>IF(COUNT(C308:P308)=0,"",IFERROR(AQ308-C308-Config!$C$13,0))</f>
        <v/>
      </c>
      <c r="AS308" s="20">
        <f>IF(COUNT(C308:P308)=0,"",IFERROR(AQ308/C308,0))</f>
        <v/>
      </c>
      <c r="AT308" s="14">
        <f>IF(COUNT(C308:P308)=0,"",IFERROR(AR308/G308,0))</f>
        <v/>
      </c>
      <c r="AU308" s="20">
        <f>IF(COUNT(C308:P308)=0,"",IFERROR(AT308/V308,0))</f>
        <v/>
      </c>
      <c r="AV308" s="14">
        <f>IF(COUNT(C308:P308)=0,"",IFERROR(AR308/H308,0))</f>
        <v/>
      </c>
    </row>
    <row r="309">
      <c r="A309" s="11">
        <f>Config!$C$6+303</f>
        <v/>
      </c>
      <c r="B309" s="12">
        <f>INT((A309-Config!$C$6)/7)+1</f>
        <v/>
      </c>
      <c r="C309" s="9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4">
        <f>IF(COUNT(C309:P309)=0,"",IFERROR(C309/D309*1000,0))</f>
        <v/>
      </c>
      <c r="R309" s="15">
        <f>IF(COUNT(C309:P309)=0,"",IFERROR(D309/E309,0))</f>
        <v/>
      </c>
      <c r="S309" s="16">
        <f>IF(COUNT(C309:P309)=0,"",IFERROR(F309/D309,0))</f>
        <v/>
      </c>
      <c r="T309" s="14">
        <f>IF(COUNT(C309:P309)=0,"",IFERROR(C309/F309,0))</f>
        <v/>
      </c>
      <c r="U309" s="17">
        <f>IF(COUNT(C309:P309)=0,"",IFERROR(G309/F309,0))</f>
        <v/>
      </c>
      <c r="V309" s="14">
        <f>IF(COUNT(C309:P309)=0,"",IFERROR(C309/G309,0))</f>
        <v/>
      </c>
      <c r="W309" s="18">
        <f>IF(COUNT(C309:P309)=0,"",IFERROR(G309/D309*1000,0))</f>
        <v/>
      </c>
      <c r="X309" s="17">
        <f>IF(COUNT(C309:P309)=0,"",IFERROR(H309/G309,0))</f>
        <v/>
      </c>
      <c r="Y309" s="14">
        <f>IF(COUNT(C309:P309)=0,"",IFERROR(C309/H309,0))</f>
        <v/>
      </c>
      <c r="Z309" s="14">
        <f>IF(COUNT(C309:P309)=0,"",IFERROR(C309/I309,0))</f>
        <v/>
      </c>
      <c r="AA309" s="17">
        <f>IF(COUNT(C309:P309)=0,"",IFERROR(Y309/Q309,0))</f>
        <v/>
      </c>
      <c r="AB309" s="18">
        <f>IF(COUNT(C309:P309)=0,"",IFERROR(H309/D309*1000,0))</f>
        <v/>
      </c>
      <c r="AC309" s="17">
        <f>IF(COUNT(C309:P309)=0,"",IFERROR(J309/H309,0))</f>
        <v/>
      </c>
      <c r="AD309" s="14">
        <f>IF(COUNT(C309:P309)=0,"",IFERROR(C309/J309,0))</f>
        <v/>
      </c>
      <c r="AE309" s="17">
        <f>IF(COUNT(C309:P309)=0,"",IFERROR(K309/H309,0))</f>
        <v/>
      </c>
      <c r="AF309" s="17">
        <f>IF(COUNT(C309:P309)=0,"",IFERROR(L309/H309,0))</f>
        <v/>
      </c>
      <c r="AG309" s="14">
        <f>IF(COUNT(C309:P309)=0,"",IFERROR(C309/K309,0))</f>
        <v/>
      </c>
      <c r="AH309" s="17">
        <f>IF(COUNT(C309:P309)=0,"",IFERROR(M309/K309,0))</f>
        <v/>
      </c>
      <c r="AI309" s="14">
        <f>IF(COUNT(C309:P309)=0,"",IFERROR(C309/M309,0))</f>
        <v/>
      </c>
      <c r="AJ309" s="17">
        <f>IF(COUNT(C309:P309)=0,"",IFERROR(N309/M309,0))</f>
        <v/>
      </c>
      <c r="AK309" s="16">
        <f>IF(COUNT(C309:P309)=0,"",IFERROR(N309/H309,0))</f>
        <v/>
      </c>
      <c r="AL309" s="14">
        <f>IF(COUNT(C309:P309)=0,"",IFERROR(C309/N309,0))</f>
        <v/>
      </c>
      <c r="AM309" s="17">
        <f>IF(COUNT(C309:P309)=0,"",IFERROR(O309/N309,0))</f>
        <v/>
      </c>
      <c r="AN309" s="17">
        <f>IF(COUNT(C309:P309)=0,"",IFERROR(P309/N309,0))</f>
        <v/>
      </c>
      <c r="AO309" s="19">
        <f>IF(COUNT(C309:P309)=0,"",IFERROR(N309*Config!$C$7+O309*Config!$C$8+P309*Config!$C$9,0))</f>
        <v/>
      </c>
      <c r="AP309" s="14">
        <f>IF(COUNT(C309:P309)=0,"",IFERROR(AO309/N309,0))</f>
        <v/>
      </c>
      <c r="AQ309" s="19">
        <f>IF(COUNT(C309:P309)=0,"",IFERROR(AO309*(1-Config!$C$10-Config!$C$11-Config!$C$12),0))</f>
        <v/>
      </c>
      <c r="AR309" s="19">
        <f>IF(COUNT(C309:P309)=0,"",IFERROR(AQ309-C309-Config!$C$13,0))</f>
        <v/>
      </c>
      <c r="AS309" s="20">
        <f>IF(COUNT(C309:P309)=0,"",IFERROR(AQ309/C309,0))</f>
        <v/>
      </c>
      <c r="AT309" s="14">
        <f>IF(COUNT(C309:P309)=0,"",IFERROR(AR309/G309,0))</f>
        <v/>
      </c>
      <c r="AU309" s="20">
        <f>IF(COUNT(C309:P309)=0,"",IFERROR(AT309/V309,0))</f>
        <v/>
      </c>
      <c r="AV309" s="14">
        <f>IF(COUNT(C309:P309)=0,"",IFERROR(AR309/H309,0))</f>
        <v/>
      </c>
    </row>
    <row r="310">
      <c r="A310" s="11">
        <f>Config!$C$6+304</f>
        <v/>
      </c>
      <c r="B310" s="12">
        <f>INT((A310-Config!$C$6)/7)+1</f>
        <v/>
      </c>
      <c r="C310" s="9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4">
        <f>IF(COUNT(C310:P310)=0,"",IFERROR(C310/D310*1000,0))</f>
        <v/>
      </c>
      <c r="R310" s="15">
        <f>IF(COUNT(C310:P310)=0,"",IFERROR(D310/E310,0))</f>
        <v/>
      </c>
      <c r="S310" s="16">
        <f>IF(COUNT(C310:P310)=0,"",IFERROR(F310/D310,0))</f>
        <v/>
      </c>
      <c r="T310" s="14">
        <f>IF(COUNT(C310:P310)=0,"",IFERROR(C310/F310,0))</f>
        <v/>
      </c>
      <c r="U310" s="17">
        <f>IF(COUNT(C310:P310)=0,"",IFERROR(G310/F310,0))</f>
        <v/>
      </c>
      <c r="V310" s="14">
        <f>IF(COUNT(C310:P310)=0,"",IFERROR(C310/G310,0))</f>
        <v/>
      </c>
      <c r="W310" s="18">
        <f>IF(COUNT(C310:P310)=0,"",IFERROR(G310/D310*1000,0))</f>
        <v/>
      </c>
      <c r="X310" s="17">
        <f>IF(COUNT(C310:P310)=0,"",IFERROR(H310/G310,0))</f>
        <v/>
      </c>
      <c r="Y310" s="14">
        <f>IF(COUNT(C310:P310)=0,"",IFERROR(C310/H310,0))</f>
        <v/>
      </c>
      <c r="Z310" s="14">
        <f>IF(COUNT(C310:P310)=0,"",IFERROR(C310/I310,0))</f>
        <v/>
      </c>
      <c r="AA310" s="17">
        <f>IF(COUNT(C310:P310)=0,"",IFERROR(Y310/Q310,0))</f>
        <v/>
      </c>
      <c r="AB310" s="18">
        <f>IF(COUNT(C310:P310)=0,"",IFERROR(H310/D310*1000,0))</f>
        <v/>
      </c>
      <c r="AC310" s="17">
        <f>IF(COUNT(C310:P310)=0,"",IFERROR(J310/H310,0))</f>
        <v/>
      </c>
      <c r="AD310" s="14">
        <f>IF(COUNT(C310:P310)=0,"",IFERROR(C310/J310,0))</f>
        <v/>
      </c>
      <c r="AE310" s="17">
        <f>IF(COUNT(C310:P310)=0,"",IFERROR(K310/H310,0))</f>
        <v/>
      </c>
      <c r="AF310" s="17">
        <f>IF(COUNT(C310:P310)=0,"",IFERROR(L310/H310,0))</f>
        <v/>
      </c>
      <c r="AG310" s="14">
        <f>IF(COUNT(C310:P310)=0,"",IFERROR(C310/K310,0))</f>
        <v/>
      </c>
      <c r="AH310" s="17">
        <f>IF(COUNT(C310:P310)=0,"",IFERROR(M310/K310,0))</f>
        <v/>
      </c>
      <c r="AI310" s="14">
        <f>IF(COUNT(C310:P310)=0,"",IFERROR(C310/M310,0))</f>
        <v/>
      </c>
      <c r="AJ310" s="17">
        <f>IF(COUNT(C310:P310)=0,"",IFERROR(N310/M310,0))</f>
        <v/>
      </c>
      <c r="AK310" s="16">
        <f>IF(COUNT(C310:P310)=0,"",IFERROR(N310/H310,0))</f>
        <v/>
      </c>
      <c r="AL310" s="14">
        <f>IF(COUNT(C310:P310)=0,"",IFERROR(C310/N310,0))</f>
        <v/>
      </c>
      <c r="AM310" s="17">
        <f>IF(COUNT(C310:P310)=0,"",IFERROR(O310/N310,0))</f>
        <v/>
      </c>
      <c r="AN310" s="17">
        <f>IF(COUNT(C310:P310)=0,"",IFERROR(P310/N310,0))</f>
        <v/>
      </c>
      <c r="AO310" s="19">
        <f>IF(COUNT(C310:P310)=0,"",IFERROR(N310*Config!$C$7+O310*Config!$C$8+P310*Config!$C$9,0))</f>
        <v/>
      </c>
      <c r="AP310" s="14">
        <f>IF(COUNT(C310:P310)=0,"",IFERROR(AO310/N310,0))</f>
        <v/>
      </c>
      <c r="AQ310" s="19">
        <f>IF(COUNT(C310:P310)=0,"",IFERROR(AO310*(1-Config!$C$10-Config!$C$11-Config!$C$12),0))</f>
        <v/>
      </c>
      <c r="AR310" s="19">
        <f>IF(COUNT(C310:P310)=0,"",IFERROR(AQ310-C310-Config!$C$13,0))</f>
        <v/>
      </c>
      <c r="AS310" s="20">
        <f>IF(COUNT(C310:P310)=0,"",IFERROR(AQ310/C310,0))</f>
        <v/>
      </c>
      <c r="AT310" s="14">
        <f>IF(COUNT(C310:P310)=0,"",IFERROR(AR310/G310,0))</f>
        <v/>
      </c>
      <c r="AU310" s="20">
        <f>IF(COUNT(C310:P310)=0,"",IFERROR(AT310/V310,0))</f>
        <v/>
      </c>
      <c r="AV310" s="14">
        <f>IF(COUNT(C310:P310)=0,"",IFERROR(AR310/H310,0))</f>
        <v/>
      </c>
    </row>
    <row r="311">
      <c r="A311" s="11">
        <f>Config!$C$6+305</f>
        <v/>
      </c>
      <c r="B311" s="12">
        <f>INT((A311-Config!$C$6)/7)+1</f>
        <v/>
      </c>
      <c r="C311" s="9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4">
        <f>IF(COUNT(C311:P311)=0,"",IFERROR(C311/D311*1000,0))</f>
        <v/>
      </c>
      <c r="R311" s="15">
        <f>IF(COUNT(C311:P311)=0,"",IFERROR(D311/E311,0))</f>
        <v/>
      </c>
      <c r="S311" s="16">
        <f>IF(COUNT(C311:P311)=0,"",IFERROR(F311/D311,0))</f>
        <v/>
      </c>
      <c r="T311" s="14">
        <f>IF(COUNT(C311:P311)=0,"",IFERROR(C311/F311,0))</f>
        <v/>
      </c>
      <c r="U311" s="17">
        <f>IF(COUNT(C311:P311)=0,"",IFERROR(G311/F311,0))</f>
        <v/>
      </c>
      <c r="V311" s="14">
        <f>IF(COUNT(C311:P311)=0,"",IFERROR(C311/G311,0))</f>
        <v/>
      </c>
      <c r="W311" s="18">
        <f>IF(COUNT(C311:P311)=0,"",IFERROR(G311/D311*1000,0))</f>
        <v/>
      </c>
      <c r="X311" s="17">
        <f>IF(COUNT(C311:P311)=0,"",IFERROR(H311/G311,0))</f>
        <v/>
      </c>
      <c r="Y311" s="14">
        <f>IF(COUNT(C311:P311)=0,"",IFERROR(C311/H311,0))</f>
        <v/>
      </c>
      <c r="Z311" s="14">
        <f>IF(COUNT(C311:P311)=0,"",IFERROR(C311/I311,0))</f>
        <v/>
      </c>
      <c r="AA311" s="17">
        <f>IF(COUNT(C311:P311)=0,"",IFERROR(Y311/Q311,0))</f>
        <v/>
      </c>
      <c r="AB311" s="18">
        <f>IF(COUNT(C311:P311)=0,"",IFERROR(H311/D311*1000,0))</f>
        <v/>
      </c>
      <c r="AC311" s="17">
        <f>IF(COUNT(C311:P311)=0,"",IFERROR(J311/H311,0))</f>
        <v/>
      </c>
      <c r="AD311" s="14">
        <f>IF(COUNT(C311:P311)=0,"",IFERROR(C311/J311,0))</f>
        <v/>
      </c>
      <c r="AE311" s="17">
        <f>IF(COUNT(C311:P311)=0,"",IFERROR(K311/H311,0))</f>
        <v/>
      </c>
      <c r="AF311" s="17">
        <f>IF(COUNT(C311:P311)=0,"",IFERROR(L311/H311,0))</f>
        <v/>
      </c>
      <c r="AG311" s="14">
        <f>IF(COUNT(C311:P311)=0,"",IFERROR(C311/K311,0))</f>
        <v/>
      </c>
      <c r="AH311" s="17">
        <f>IF(COUNT(C311:P311)=0,"",IFERROR(M311/K311,0))</f>
        <v/>
      </c>
      <c r="AI311" s="14">
        <f>IF(COUNT(C311:P311)=0,"",IFERROR(C311/M311,0))</f>
        <v/>
      </c>
      <c r="AJ311" s="17">
        <f>IF(COUNT(C311:P311)=0,"",IFERROR(N311/M311,0))</f>
        <v/>
      </c>
      <c r="AK311" s="16">
        <f>IF(COUNT(C311:P311)=0,"",IFERROR(N311/H311,0))</f>
        <v/>
      </c>
      <c r="AL311" s="14">
        <f>IF(COUNT(C311:P311)=0,"",IFERROR(C311/N311,0))</f>
        <v/>
      </c>
      <c r="AM311" s="17">
        <f>IF(COUNT(C311:P311)=0,"",IFERROR(O311/N311,0))</f>
        <v/>
      </c>
      <c r="AN311" s="17">
        <f>IF(COUNT(C311:P311)=0,"",IFERROR(P311/N311,0))</f>
        <v/>
      </c>
      <c r="AO311" s="19">
        <f>IF(COUNT(C311:P311)=0,"",IFERROR(N311*Config!$C$7+O311*Config!$C$8+P311*Config!$C$9,0))</f>
        <v/>
      </c>
      <c r="AP311" s="14">
        <f>IF(COUNT(C311:P311)=0,"",IFERROR(AO311/N311,0))</f>
        <v/>
      </c>
      <c r="AQ311" s="19">
        <f>IF(COUNT(C311:P311)=0,"",IFERROR(AO311*(1-Config!$C$10-Config!$C$11-Config!$C$12),0))</f>
        <v/>
      </c>
      <c r="AR311" s="19">
        <f>IF(COUNT(C311:P311)=0,"",IFERROR(AQ311-C311-Config!$C$13,0))</f>
        <v/>
      </c>
      <c r="AS311" s="20">
        <f>IF(COUNT(C311:P311)=0,"",IFERROR(AQ311/C311,0))</f>
        <v/>
      </c>
      <c r="AT311" s="14">
        <f>IF(COUNT(C311:P311)=0,"",IFERROR(AR311/G311,0))</f>
        <v/>
      </c>
      <c r="AU311" s="20">
        <f>IF(COUNT(C311:P311)=0,"",IFERROR(AT311/V311,0))</f>
        <v/>
      </c>
      <c r="AV311" s="14">
        <f>IF(COUNT(C311:P311)=0,"",IFERROR(AR311/H311,0))</f>
        <v/>
      </c>
    </row>
    <row r="312">
      <c r="A312" s="11">
        <f>Config!$C$6+306</f>
        <v/>
      </c>
      <c r="B312" s="12">
        <f>INT((A312-Config!$C$6)/7)+1</f>
        <v/>
      </c>
      <c r="C312" s="9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4">
        <f>IF(COUNT(C312:P312)=0,"",IFERROR(C312/D312*1000,0))</f>
        <v/>
      </c>
      <c r="R312" s="15">
        <f>IF(COUNT(C312:P312)=0,"",IFERROR(D312/E312,0))</f>
        <v/>
      </c>
      <c r="S312" s="16">
        <f>IF(COUNT(C312:P312)=0,"",IFERROR(F312/D312,0))</f>
        <v/>
      </c>
      <c r="T312" s="14">
        <f>IF(COUNT(C312:P312)=0,"",IFERROR(C312/F312,0))</f>
        <v/>
      </c>
      <c r="U312" s="17">
        <f>IF(COUNT(C312:P312)=0,"",IFERROR(G312/F312,0))</f>
        <v/>
      </c>
      <c r="V312" s="14">
        <f>IF(COUNT(C312:P312)=0,"",IFERROR(C312/G312,0))</f>
        <v/>
      </c>
      <c r="W312" s="18">
        <f>IF(COUNT(C312:P312)=0,"",IFERROR(G312/D312*1000,0))</f>
        <v/>
      </c>
      <c r="X312" s="17">
        <f>IF(COUNT(C312:P312)=0,"",IFERROR(H312/G312,0))</f>
        <v/>
      </c>
      <c r="Y312" s="14">
        <f>IF(COUNT(C312:P312)=0,"",IFERROR(C312/H312,0))</f>
        <v/>
      </c>
      <c r="Z312" s="14">
        <f>IF(COUNT(C312:P312)=0,"",IFERROR(C312/I312,0))</f>
        <v/>
      </c>
      <c r="AA312" s="17">
        <f>IF(COUNT(C312:P312)=0,"",IFERROR(Y312/Q312,0))</f>
        <v/>
      </c>
      <c r="AB312" s="18">
        <f>IF(COUNT(C312:P312)=0,"",IFERROR(H312/D312*1000,0))</f>
        <v/>
      </c>
      <c r="AC312" s="17">
        <f>IF(COUNT(C312:P312)=0,"",IFERROR(J312/H312,0))</f>
        <v/>
      </c>
      <c r="AD312" s="14">
        <f>IF(COUNT(C312:P312)=0,"",IFERROR(C312/J312,0))</f>
        <v/>
      </c>
      <c r="AE312" s="17">
        <f>IF(COUNT(C312:P312)=0,"",IFERROR(K312/H312,0))</f>
        <v/>
      </c>
      <c r="AF312" s="17">
        <f>IF(COUNT(C312:P312)=0,"",IFERROR(L312/H312,0))</f>
        <v/>
      </c>
      <c r="AG312" s="14">
        <f>IF(COUNT(C312:P312)=0,"",IFERROR(C312/K312,0))</f>
        <v/>
      </c>
      <c r="AH312" s="17">
        <f>IF(COUNT(C312:P312)=0,"",IFERROR(M312/K312,0))</f>
        <v/>
      </c>
      <c r="AI312" s="14">
        <f>IF(COUNT(C312:P312)=0,"",IFERROR(C312/M312,0))</f>
        <v/>
      </c>
      <c r="AJ312" s="17">
        <f>IF(COUNT(C312:P312)=0,"",IFERROR(N312/M312,0))</f>
        <v/>
      </c>
      <c r="AK312" s="16">
        <f>IF(COUNT(C312:P312)=0,"",IFERROR(N312/H312,0))</f>
        <v/>
      </c>
      <c r="AL312" s="14">
        <f>IF(COUNT(C312:P312)=0,"",IFERROR(C312/N312,0))</f>
        <v/>
      </c>
      <c r="AM312" s="17">
        <f>IF(COUNT(C312:P312)=0,"",IFERROR(O312/N312,0))</f>
        <v/>
      </c>
      <c r="AN312" s="17">
        <f>IF(COUNT(C312:P312)=0,"",IFERROR(P312/N312,0))</f>
        <v/>
      </c>
      <c r="AO312" s="19">
        <f>IF(COUNT(C312:P312)=0,"",IFERROR(N312*Config!$C$7+O312*Config!$C$8+P312*Config!$C$9,0))</f>
        <v/>
      </c>
      <c r="AP312" s="14">
        <f>IF(COUNT(C312:P312)=0,"",IFERROR(AO312/N312,0))</f>
        <v/>
      </c>
      <c r="AQ312" s="19">
        <f>IF(COUNT(C312:P312)=0,"",IFERROR(AO312*(1-Config!$C$10-Config!$C$11-Config!$C$12),0))</f>
        <v/>
      </c>
      <c r="AR312" s="19">
        <f>IF(COUNT(C312:P312)=0,"",IFERROR(AQ312-C312-Config!$C$13,0))</f>
        <v/>
      </c>
      <c r="AS312" s="20">
        <f>IF(COUNT(C312:P312)=0,"",IFERROR(AQ312/C312,0))</f>
        <v/>
      </c>
      <c r="AT312" s="14">
        <f>IF(COUNT(C312:P312)=0,"",IFERROR(AR312/G312,0))</f>
        <v/>
      </c>
      <c r="AU312" s="20">
        <f>IF(COUNT(C312:P312)=0,"",IFERROR(AT312/V312,0))</f>
        <v/>
      </c>
      <c r="AV312" s="14">
        <f>IF(COUNT(C312:P312)=0,"",IFERROR(AR312/H312,0))</f>
        <v/>
      </c>
    </row>
    <row r="313">
      <c r="A313" s="11">
        <f>Config!$C$6+307</f>
        <v/>
      </c>
      <c r="B313" s="12">
        <f>INT((A313-Config!$C$6)/7)+1</f>
        <v/>
      </c>
      <c r="C313" s="9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4">
        <f>IF(COUNT(C313:P313)=0,"",IFERROR(C313/D313*1000,0))</f>
        <v/>
      </c>
      <c r="R313" s="15">
        <f>IF(COUNT(C313:P313)=0,"",IFERROR(D313/E313,0))</f>
        <v/>
      </c>
      <c r="S313" s="16">
        <f>IF(COUNT(C313:P313)=0,"",IFERROR(F313/D313,0))</f>
        <v/>
      </c>
      <c r="T313" s="14">
        <f>IF(COUNT(C313:P313)=0,"",IFERROR(C313/F313,0))</f>
        <v/>
      </c>
      <c r="U313" s="17">
        <f>IF(COUNT(C313:P313)=0,"",IFERROR(G313/F313,0))</f>
        <v/>
      </c>
      <c r="V313" s="14">
        <f>IF(COUNT(C313:P313)=0,"",IFERROR(C313/G313,0))</f>
        <v/>
      </c>
      <c r="W313" s="18">
        <f>IF(COUNT(C313:P313)=0,"",IFERROR(G313/D313*1000,0))</f>
        <v/>
      </c>
      <c r="X313" s="17">
        <f>IF(COUNT(C313:P313)=0,"",IFERROR(H313/G313,0))</f>
        <v/>
      </c>
      <c r="Y313" s="14">
        <f>IF(COUNT(C313:P313)=0,"",IFERROR(C313/H313,0))</f>
        <v/>
      </c>
      <c r="Z313" s="14">
        <f>IF(COUNT(C313:P313)=0,"",IFERROR(C313/I313,0))</f>
        <v/>
      </c>
      <c r="AA313" s="17">
        <f>IF(COUNT(C313:P313)=0,"",IFERROR(Y313/Q313,0))</f>
        <v/>
      </c>
      <c r="AB313" s="18">
        <f>IF(COUNT(C313:P313)=0,"",IFERROR(H313/D313*1000,0))</f>
        <v/>
      </c>
      <c r="AC313" s="17">
        <f>IF(COUNT(C313:P313)=0,"",IFERROR(J313/H313,0))</f>
        <v/>
      </c>
      <c r="AD313" s="14">
        <f>IF(COUNT(C313:P313)=0,"",IFERROR(C313/J313,0))</f>
        <v/>
      </c>
      <c r="AE313" s="17">
        <f>IF(COUNT(C313:P313)=0,"",IFERROR(K313/H313,0))</f>
        <v/>
      </c>
      <c r="AF313" s="17">
        <f>IF(COUNT(C313:P313)=0,"",IFERROR(L313/H313,0))</f>
        <v/>
      </c>
      <c r="AG313" s="14">
        <f>IF(COUNT(C313:P313)=0,"",IFERROR(C313/K313,0))</f>
        <v/>
      </c>
      <c r="AH313" s="17">
        <f>IF(COUNT(C313:P313)=0,"",IFERROR(M313/K313,0))</f>
        <v/>
      </c>
      <c r="AI313" s="14">
        <f>IF(COUNT(C313:P313)=0,"",IFERROR(C313/M313,0))</f>
        <v/>
      </c>
      <c r="AJ313" s="17">
        <f>IF(COUNT(C313:P313)=0,"",IFERROR(N313/M313,0))</f>
        <v/>
      </c>
      <c r="AK313" s="16">
        <f>IF(COUNT(C313:P313)=0,"",IFERROR(N313/H313,0))</f>
        <v/>
      </c>
      <c r="AL313" s="14">
        <f>IF(COUNT(C313:P313)=0,"",IFERROR(C313/N313,0))</f>
        <v/>
      </c>
      <c r="AM313" s="17">
        <f>IF(COUNT(C313:P313)=0,"",IFERROR(O313/N313,0))</f>
        <v/>
      </c>
      <c r="AN313" s="17">
        <f>IF(COUNT(C313:P313)=0,"",IFERROR(P313/N313,0))</f>
        <v/>
      </c>
      <c r="AO313" s="19">
        <f>IF(COUNT(C313:P313)=0,"",IFERROR(N313*Config!$C$7+O313*Config!$C$8+P313*Config!$C$9,0))</f>
        <v/>
      </c>
      <c r="AP313" s="14">
        <f>IF(COUNT(C313:P313)=0,"",IFERROR(AO313/N313,0))</f>
        <v/>
      </c>
      <c r="AQ313" s="19">
        <f>IF(COUNT(C313:P313)=0,"",IFERROR(AO313*(1-Config!$C$10-Config!$C$11-Config!$C$12),0))</f>
        <v/>
      </c>
      <c r="AR313" s="19">
        <f>IF(COUNT(C313:P313)=0,"",IFERROR(AQ313-C313-Config!$C$13,0))</f>
        <v/>
      </c>
      <c r="AS313" s="20">
        <f>IF(COUNT(C313:P313)=0,"",IFERROR(AQ313/C313,0))</f>
        <v/>
      </c>
      <c r="AT313" s="14">
        <f>IF(COUNT(C313:P313)=0,"",IFERROR(AR313/G313,0))</f>
        <v/>
      </c>
      <c r="AU313" s="20">
        <f>IF(COUNT(C313:P313)=0,"",IFERROR(AT313/V313,0))</f>
        <v/>
      </c>
      <c r="AV313" s="14">
        <f>IF(COUNT(C313:P313)=0,"",IFERROR(AR313/H313,0))</f>
        <v/>
      </c>
    </row>
    <row r="314">
      <c r="A314" s="11">
        <f>Config!$C$6+308</f>
        <v/>
      </c>
      <c r="B314" s="12">
        <f>INT((A314-Config!$C$6)/7)+1</f>
        <v/>
      </c>
      <c r="C314" s="9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4">
        <f>IF(COUNT(C314:P314)=0,"",IFERROR(C314/D314*1000,0))</f>
        <v/>
      </c>
      <c r="R314" s="15">
        <f>IF(COUNT(C314:P314)=0,"",IFERROR(D314/E314,0))</f>
        <v/>
      </c>
      <c r="S314" s="16">
        <f>IF(COUNT(C314:P314)=0,"",IFERROR(F314/D314,0))</f>
        <v/>
      </c>
      <c r="T314" s="14">
        <f>IF(COUNT(C314:P314)=0,"",IFERROR(C314/F314,0))</f>
        <v/>
      </c>
      <c r="U314" s="17">
        <f>IF(COUNT(C314:P314)=0,"",IFERROR(G314/F314,0))</f>
        <v/>
      </c>
      <c r="V314" s="14">
        <f>IF(COUNT(C314:P314)=0,"",IFERROR(C314/G314,0))</f>
        <v/>
      </c>
      <c r="W314" s="18">
        <f>IF(COUNT(C314:P314)=0,"",IFERROR(G314/D314*1000,0))</f>
        <v/>
      </c>
      <c r="X314" s="17">
        <f>IF(COUNT(C314:P314)=0,"",IFERROR(H314/G314,0))</f>
        <v/>
      </c>
      <c r="Y314" s="14">
        <f>IF(COUNT(C314:P314)=0,"",IFERROR(C314/H314,0))</f>
        <v/>
      </c>
      <c r="Z314" s="14">
        <f>IF(COUNT(C314:P314)=0,"",IFERROR(C314/I314,0))</f>
        <v/>
      </c>
      <c r="AA314" s="17">
        <f>IF(COUNT(C314:P314)=0,"",IFERROR(Y314/Q314,0))</f>
        <v/>
      </c>
      <c r="AB314" s="18">
        <f>IF(COUNT(C314:P314)=0,"",IFERROR(H314/D314*1000,0))</f>
        <v/>
      </c>
      <c r="AC314" s="17">
        <f>IF(COUNT(C314:P314)=0,"",IFERROR(J314/H314,0))</f>
        <v/>
      </c>
      <c r="AD314" s="14">
        <f>IF(COUNT(C314:P314)=0,"",IFERROR(C314/J314,0))</f>
        <v/>
      </c>
      <c r="AE314" s="17">
        <f>IF(COUNT(C314:P314)=0,"",IFERROR(K314/H314,0))</f>
        <v/>
      </c>
      <c r="AF314" s="17">
        <f>IF(COUNT(C314:P314)=0,"",IFERROR(L314/H314,0))</f>
        <v/>
      </c>
      <c r="AG314" s="14">
        <f>IF(COUNT(C314:P314)=0,"",IFERROR(C314/K314,0))</f>
        <v/>
      </c>
      <c r="AH314" s="17">
        <f>IF(COUNT(C314:P314)=0,"",IFERROR(M314/K314,0))</f>
        <v/>
      </c>
      <c r="AI314" s="14">
        <f>IF(COUNT(C314:P314)=0,"",IFERROR(C314/M314,0))</f>
        <v/>
      </c>
      <c r="AJ314" s="17">
        <f>IF(COUNT(C314:P314)=0,"",IFERROR(N314/M314,0))</f>
        <v/>
      </c>
      <c r="AK314" s="16">
        <f>IF(COUNT(C314:P314)=0,"",IFERROR(N314/H314,0))</f>
        <v/>
      </c>
      <c r="AL314" s="14">
        <f>IF(COUNT(C314:P314)=0,"",IFERROR(C314/N314,0))</f>
        <v/>
      </c>
      <c r="AM314" s="17">
        <f>IF(COUNT(C314:P314)=0,"",IFERROR(O314/N314,0))</f>
        <v/>
      </c>
      <c r="AN314" s="17">
        <f>IF(COUNT(C314:P314)=0,"",IFERROR(P314/N314,0))</f>
        <v/>
      </c>
      <c r="AO314" s="19">
        <f>IF(COUNT(C314:P314)=0,"",IFERROR(N314*Config!$C$7+O314*Config!$C$8+P314*Config!$C$9,0))</f>
        <v/>
      </c>
      <c r="AP314" s="14">
        <f>IF(COUNT(C314:P314)=0,"",IFERROR(AO314/N314,0))</f>
        <v/>
      </c>
      <c r="AQ314" s="19">
        <f>IF(COUNT(C314:P314)=0,"",IFERROR(AO314*(1-Config!$C$10-Config!$C$11-Config!$C$12),0))</f>
        <v/>
      </c>
      <c r="AR314" s="19">
        <f>IF(COUNT(C314:P314)=0,"",IFERROR(AQ314-C314-Config!$C$13,0))</f>
        <v/>
      </c>
      <c r="AS314" s="20">
        <f>IF(COUNT(C314:P314)=0,"",IFERROR(AQ314/C314,0))</f>
        <v/>
      </c>
      <c r="AT314" s="14">
        <f>IF(COUNT(C314:P314)=0,"",IFERROR(AR314/G314,0))</f>
        <v/>
      </c>
      <c r="AU314" s="20">
        <f>IF(COUNT(C314:P314)=0,"",IFERROR(AT314/V314,0))</f>
        <v/>
      </c>
      <c r="AV314" s="14">
        <f>IF(COUNT(C314:P314)=0,"",IFERROR(AR314/H314,0))</f>
        <v/>
      </c>
    </row>
    <row r="315">
      <c r="A315" s="11">
        <f>Config!$C$6+309</f>
        <v/>
      </c>
      <c r="B315" s="12">
        <f>INT((A315-Config!$C$6)/7)+1</f>
        <v/>
      </c>
      <c r="C315" s="9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4">
        <f>IF(COUNT(C315:P315)=0,"",IFERROR(C315/D315*1000,0))</f>
        <v/>
      </c>
      <c r="R315" s="15">
        <f>IF(COUNT(C315:P315)=0,"",IFERROR(D315/E315,0))</f>
        <v/>
      </c>
      <c r="S315" s="16">
        <f>IF(COUNT(C315:P315)=0,"",IFERROR(F315/D315,0))</f>
        <v/>
      </c>
      <c r="T315" s="14">
        <f>IF(COUNT(C315:P315)=0,"",IFERROR(C315/F315,0))</f>
        <v/>
      </c>
      <c r="U315" s="17">
        <f>IF(COUNT(C315:P315)=0,"",IFERROR(G315/F315,0))</f>
        <v/>
      </c>
      <c r="V315" s="14">
        <f>IF(COUNT(C315:P315)=0,"",IFERROR(C315/G315,0))</f>
        <v/>
      </c>
      <c r="W315" s="18">
        <f>IF(COUNT(C315:P315)=0,"",IFERROR(G315/D315*1000,0))</f>
        <v/>
      </c>
      <c r="X315" s="17">
        <f>IF(COUNT(C315:P315)=0,"",IFERROR(H315/G315,0))</f>
        <v/>
      </c>
      <c r="Y315" s="14">
        <f>IF(COUNT(C315:P315)=0,"",IFERROR(C315/H315,0))</f>
        <v/>
      </c>
      <c r="Z315" s="14">
        <f>IF(COUNT(C315:P315)=0,"",IFERROR(C315/I315,0))</f>
        <v/>
      </c>
      <c r="AA315" s="17">
        <f>IF(COUNT(C315:P315)=0,"",IFERROR(Y315/Q315,0))</f>
        <v/>
      </c>
      <c r="AB315" s="18">
        <f>IF(COUNT(C315:P315)=0,"",IFERROR(H315/D315*1000,0))</f>
        <v/>
      </c>
      <c r="AC315" s="17">
        <f>IF(COUNT(C315:P315)=0,"",IFERROR(J315/H315,0))</f>
        <v/>
      </c>
      <c r="AD315" s="14">
        <f>IF(COUNT(C315:P315)=0,"",IFERROR(C315/J315,0))</f>
        <v/>
      </c>
      <c r="AE315" s="17">
        <f>IF(COUNT(C315:P315)=0,"",IFERROR(K315/H315,0))</f>
        <v/>
      </c>
      <c r="AF315" s="17">
        <f>IF(COUNT(C315:P315)=0,"",IFERROR(L315/H315,0))</f>
        <v/>
      </c>
      <c r="AG315" s="14">
        <f>IF(COUNT(C315:P315)=0,"",IFERROR(C315/K315,0))</f>
        <v/>
      </c>
      <c r="AH315" s="17">
        <f>IF(COUNT(C315:P315)=0,"",IFERROR(M315/K315,0))</f>
        <v/>
      </c>
      <c r="AI315" s="14">
        <f>IF(COUNT(C315:P315)=0,"",IFERROR(C315/M315,0))</f>
        <v/>
      </c>
      <c r="AJ315" s="17">
        <f>IF(COUNT(C315:P315)=0,"",IFERROR(N315/M315,0))</f>
        <v/>
      </c>
      <c r="AK315" s="16">
        <f>IF(COUNT(C315:P315)=0,"",IFERROR(N315/H315,0))</f>
        <v/>
      </c>
      <c r="AL315" s="14">
        <f>IF(COUNT(C315:P315)=0,"",IFERROR(C315/N315,0))</f>
        <v/>
      </c>
      <c r="AM315" s="17">
        <f>IF(COUNT(C315:P315)=0,"",IFERROR(O315/N315,0))</f>
        <v/>
      </c>
      <c r="AN315" s="17">
        <f>IF(COUNT(C315:P315)=0,"",IFERROR(P315/N315,0))</f>
        <v/>
      </c>
      <c r="AO315" s="19">
        <f>IF(COUNT(C315:P315)=0,"",IFERROR(N315*Config!$C$7+O315*Config!$C$8+P315*Config!$C$9,0))</f>
        <v/>
      </c>
      <c r="AP315" s="14">
        <f>IF(COUNT(C315:P315)=0,"",IFERROR(AO315/N315,0))</f>
        <v/>
      </c>
      <c r="AQ315" s="19">
        <f>IF(COUNT(C315:P315)=0,"",IFERROR(AO315*(1-Config!$C$10-Config!$C$11-Config!$C$12),0))</f>
        <v/>
      </c>
      <c r="AR315" s="19">
        <f>IF(COUNT(C315:P315)=0,"",IFERROR(AQ315-C315-Config!$C$13,0))</f>
        <v/>
      </c>
      <c r="AS315" s="20">
        <f>IF(COUNT(C315:P315)=0,"",IFERROR(AQ315/C315,0))</f>
        <v/>
      </c>
      <c r="AT315" s="14">
        <f>IF(COUNT(C315:P315)=0,"",IFERROR(AR315/G315,0))</f>
        <v/>
      </c>
      <c r="AU315" s="20">
        <f>IF(COUNT(C315:P315)=0,"",IFERROR(AT315/V315,0))</f>
        <v/>
      </c>
      <c r="AV315" s="14">
        <f>IF(COUNT(C315:P315)=0,"",IFERROR(AR315/H315,0))</f>
        <v/>
      </c>
    </row>
    <row r="316">
      <c r="A316" s="11">
        <f>Config!$C$6+310</f>
        <v/>
      </c>
      <c r="B316" s="12">
        <f>INT((A316-Config!$C$6)/7)+1</f>
        <v/>
      </c>
      <c r="C316" s="9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4">
        <f>IF(COUNT(C316:P316)=0,"",IFERROR(C316/D316*1000,0))</f>
        <v/>
      </c>
      <c r="R316" s="15">
        <f>IF(COUNT(C316:P316)=0,"",IFERROR(D316/E316,0))</f>
        <v/>
      </c>
      <c r="S316" s="16">
        <f>IF(COUNT(C316:P316)=0,"",IFERROR(F316/D316,0))</f>
        <v/>
      </c>
      <c r="T316" s="14">
        <f>IF(COUNT(C316:P316)=0,"",IFERROR(C316/F316,0))</f>
        <v/>
      </c>
      <c r="U316" s="17">
        <f>IF(COUNT(C316:P316)=0,"",IFERROR(G316/F316,0))</f>
        <v/>
      </c>
      <c r="V316" s="14">
        <f>IF(COUNT(C316:P316)=0,"",IFERROR(C316/G316,0))</f>
        <v/>
      </c>
      <c r="W316" s="18">
        <f>IF(COUNT(C316:P316)=0,"",IFERROR(G316/D316*1000,0))</f>
        <v/>
      </c>
      <c r="X316" s="17">
        <f>IF(COUNT(C316:P316)=0,"",IFERROR(H316/G316,0))</f>
        <v/>
      </c>
      <c r="Y316" s="14">
        <f>IF(COUNT(C316:P316)=0,"",IFERROR(C316/H316,0))</f>
        <v/>
      </c>
      <c r="Z316" s="14">
        <f>IF(COUNT(C316:P316)=0,"",IFERROR(C316/I316,0))</f>
        <v/>
      </c>
      <c r="AA316" s="17">
        <f>IF(COUNT(C316:P316)=0,"",IFERROR(Y316/Q316,0))</f>
        <v/>
      </c>
      <c r="AB316" s="18">
        <f>IF(COUNT(C316:P316)=0,"",IFERROR(H316/D316*1000,0))</f>
        <v/>
      </c>
      <c r="AC316" s="17">
        <f>IF(COUNT(C316:P316)=0,"",IFERROR(J316/H316,0))</f>
        <v/>
      </c>
      <c r="AD316" s="14">
        <f>IF(COUNT(C316:P316)=0,"",IFERROR(C316/J316,0))</f>
        <v/>
      </c>
      <c r="AE316" s="17">
        <f>IF(COUNT(C316:P316)=0,"",IFERROR(K316/H316,0))</f>
        <v/>
      </c>
      <c r="AF316" s="17">
        <f>IF(COUNT(C316:P316)=0,"",IFERROR(L316/H316,0))</f>
        <v/>
      </c>
      <c r="AG316" s="14">
        <f>IF(COUNT(C316:P316)=0,"",IFERROR(C316/K316,0))</f>
        <v/>
      </c>
      <c r="AH316" s="17">
        <f>IF(COUNT(C316:P316)=0,"",IFERROR(M316/K316,0))</f>
        <v/>
      </c>
      <c r="AI316" s="14">
        <f>IF(COUNT(C316:P316)=0,"",IFERROR(C316/M316,0))</f>
        <v/>
      </c>
      <c r="AJ316" s="17">
        <f>IF(COUNT(C316:P316)=0,"",IFERROR(N316/M316,0))</f>
        <v/>
      </c>
      <c r="AK316" s="16">
        <f>IF(COUNT(C316:P316)=0,"",IFERROR(N316/H316,0))</f>
        <v/>
      </c>
      <c r="AL316" s="14">
        <f>IF(COUNT(C316:P316)=0,"",IFERROR(C316/N316,0))</f>
        <v/>
      </c>
      <c r="AM316" s="17">
        <f>IF(COUNT(C316:P316)=0,"",IFERROR(O316/N316,0))</f>
        <v/>
      </c>
      <c r="AN316" s="17">
        <f>IF(COUNT(C316:P316)=0,"",IFERROR(P316/N316,0))</f>
        <v/>
      </c>
      <c r="AO316" s="19">
        <f>IF(COUNT(C316:P316)=0,"",IFERROR(N316*Config!$C$7+O316*Config!$C$8+P316*Config!$C$9,0))</f>
        <v/>
      </c>
      <c r="AP316" s="14">
        <f>IF(COUNT(C316:P316)=0,"",IFERROR(AO316/N316,0))</f>
        <v/>
      </c>
      <c r="AQ316" s="19">
        <f>IF(COUNT(C316:P316)=0,"",IFERROR(AO316*(1-Config!$C$10-Config!$C$11-Config!$C$12),0))</f>
        <v/>
      </c>
      <c r="AR316" s="19">
        <f>IF(COUNT(C316:P316)=0,"",IFERROR(AQ316-C316-Config!$C$13,0))</f>
        <v/>
      </c>
      <c r="AS316" s="20">
        <f>IF(COUNT(C316:P316)=0,"",IFERROR(AQ316/C316,0))</f>
        <v/>
      </c>
      <c r="AT316" s="14">
        <f>IF(COUNT(C316:P316)=0,"",IFERROR(AR316/G316,0))</f>
        <v/>
      </c>
      <c r="AU316" s="20">
        <f>IF(COUNT(C316:P316)=0,"",IFERROR(AT316/V316,0))</f>
        <v/>
      </c>
      <c r="AV316" s="14">
        <f>IF(COUNT(C316:P316)=0,"",IFERROR(AR316/H316,0))</f>
        <v/>
      </c>
    </row>
    <row r="317">
      <c r="A317" s="11">
        <f>Config!$C$6+311</f>
        <v/>
      </c>
      <c r="B317" s="12">
        <f>INT((A317-Config!$C$6)/7)+1</f>
        <v/>
      </c>
      <c r="C317" s="9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4">
        <f>IF(COUNT(C317:P317)=0,"",IFERROR(C317/D317*1000,0))</f>
        <v/>
      </c>
      <c r="R317" s="15">
        <f>IF(COUNT(C317:P317)=0,"",IFERROR(D317/E317,0))</f>
        <v/>
      </c>
      <c r="S317" s="16">
        <f>IF(COUNT(C317:P317)=0,"",IFERROR(F317/D317,0))</f>
        <v/>
      </c>
      <c r="T317" s="14">
        <f>IF(COUNT(C317:P317)=0,"",IFERROR(C317/F317,0))</f>
        <v/>
      </c>
      <c r="U317" s="17">
        <f>IF(COUNT(C317:P317)=0,"",IFERROR(G317/F317,0))</f>
        <v/>
      </c>
      <c r="V317" s="14">
        <f>IF(COUNT(C317:P317)=0,"",IFERROR(C317/G317,0))</f>
        <v/>
      </c>
      <c r="W317" s="18">
        <f>IF(COUNT(C317:P317)=0,"",IFERROR(G317/D317*1000,0))</f>
        <v/>
      </c>
      <c r="X317" s="17">
        <f>IF(COUNT(C317:P317)=0,"",IFERROR(H317/G317,0))</f>
        <v/>
      </c>
      <c r="Y317" s="14">
        <f>IF(COUNT(C317:P317)=0,"",IFERROR(C317/H317,0))</f>
        <v/>
      </c>
      <c r="Z317" s="14">
        <f>IF(COUNT(C317:P317)=0,"",IFERROR(C317/I317,0))</f>
        <v/>
      </c>
      <c r="AA317" s="17">
        <f>IF(COUNT(C317:P317)=0,"",IFERROR(Y317/Q317,0))</f>
        <v/>
      </c>
      <c r="AB317" s="18">
        <f>IF(COUNT(C317:P317)=0,"",IFERROR(H317/D317*1000,0))</f>
        <v/>
      </c>
      <c r="AC317" s="17">
        <f>IF(COUNT(C317:P317)=0,"",IFERROR(J317/H317,0))</f>
        <v/>
      </c>
      <c r="AD317" s="14">
        <f>IF(COUNT(C317:P317)=0,"",IFERROR(C317/J317,0))</f>
        <v/>
      </c>
      <c r="AE317" s="17">
        <f>IF(COUNT(C317:P317)=0,"",IFERROR(K317/H317,0))</f>
        <v/>
      </c>
      <c r="AF317" s="17">
        <f>IF(COUNT(C317:P317)=0,"",IFERROR(L317/H317,0))</f>
        <v/>
      </c>
      <c r="AG317" s="14">
        <f>IF(COUNT(C317:P317)=0,"",IFERROR(C317/K317,0))</f>
        <v/>
      </c>
      <c r="AH317" s="17">
        <f>IF(COUNT(C317:P317)=0,"",IFERROR(M317/K317,0))</f>
        <v/>
      </c>
      <c r="AI317" s="14">
        <f>IF(COUNT(C317:P317)=0,"",IFERROR(C317/M317,0))</f>
        <v/>
      </c>
      <c r="AJ317" s="17">
        <f>IF(COUNT(C317:P317)=0,"",IFERROR(N317/M317,0))</f>
        <v/>
      </c>
      <c r="AK317" s="16">
        <f>IF(COUNT(C317:P317)=0,"",IFERROR(N317/H317,0))</f>
        <v/>
      </c>
      <c r="AL317" s="14">
        <f>IF(COUNT(C317:P317)=0,"",IFERROR(C317/N317,0))</f>
        <v/>
      </c>
      <c r="AM317" s="17">
        <f>IF(COUNT(C317:P317)=0,"",IFERROR(O317/N317,0))</f>
        <v/>
      </c>
      <c r="AN317" s="17">
        <f>IF(COUNT(C317:P317)=0,"",IFERROR(P317/N317,0))</f>
        <v/>
      </c>
      <c r="AO317" s="19">
        <f>IF(COUNT(C317:P317)=0,"",IFERROR(N317*Config!$C$7+O317*Config!$C$8+P317*Config!$C$9,0))</f>
        <v/>
      </c>
      <c r="AP317" s="14">
        <f>IF(COUNT(C317:P317)=0,"",IFERROR(AO317/N317,0))</f>
        <v/>
      </c>
      <c r="AQ317" s="19">
        <f>IF(COUNT(C317:P317)=0,"",IFERROR(AO317*(1-Config!$C$10-Config!$C$11-Config!$C$12),0))</f>
        <v/>
      </c>
      <c r="AR317" s="19">
        <f>IF(COUNT(C317:P317)=0,"",IFERROR(AQ317-C317-Config!$C$13,0))</f>
        <v/>
      </c>
      <c r="AS317" s="20">
        <f>IF(COUNT(C317:P317)=0,"",IFERROR(AQ317/C317,0))</f>
        <v/>
      </c>
      <c r="AT317" s="14">
        <f>IF(COUNT(C317:P317)=0,"",IFERROR(AR317/G317,0))</f>
        <v/>
      </c>
      <c r="AU317" s="20">
        <f>IF(COUNT(C317:P317)=0,"",IFERROR(AT317/V317,0))</f>
        <v/>
      </c>
      <c r="AV317" s="14">
        <f>IF(COUNT(C317:P317)=0,"",IFERROR(AR317/H317,0))</f>
        <v/>
      </c>
    </row>
    <row r="318">
      <c r="A318" s="11">
        <f>Config!$C$6+312</f>
        <v/>
      </c>
      <c r="B318" s="12">
        <f>INT((A318-Config!$C$6)/7)+1</f>
        <v/>
      </c>
      <c r="C318" s="9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4">
        <f>IF(COUNT(C318:P318)=0,"",IFERROR(C318/D318*1000,0))</f>
        <v/>
      </c>
      <c r="R318" s="15">
        <f>IF(COUNT(C318:P318)=0,"",IFERROR(D318/E318,0))</f>
        <v/>
      </c>
      <c r="S318" s="16">
        <f>IF(COUNT(C318:P318)=0,"",IFERROR(F318/D318,0))</f>
        <v/>
      </c>
      <c r="T318" s="14">
        <f>IF(COUNT(C318:P318)=0,"",IFERROR(C318/F318,0))</f>
        <v/>
      </c>
      <c r="U318" s="17">
        <f>IF(COUNT(C318:P318)=0,"",IFERROR(G318/F318,0))</f>
        <v/>
      </c>
      <c r="V318" s="14">
        <f>IF(COUNT(C318:P318)=0,"",IFERROR(C318/G318,0))</f>
        <v/>
      </c>
      <c r="W318" s="18">
        <f>IF(COUNT(C318:P318)=0,"",IFERROR(G318/D318*1000,0))</f>
        <v/>
      </c>
      <c r="X318" s="17">
        <f>IF(COUNT(C318:P318)=0,"",IFERROR(H318/G318,0))</f>
        <v/>
      </c>
      <c r="Y318" s="14">
        <f>IF(COUNT(C318:P318)=0,"",IFERROR(C318/H318,0))</f>
        <v/>
      </c>
      <c r="Z318" s="14">
        <f>IF(COUNT(C318:P318)=0,"",IFERROR(C318/I318,0))</f>
        <v/>
      </c>
      <c r="AA318" s="17">
        <f>IF(COUNT(C318:P318)=0,"",IFERROR(Y318/Q318,0))</f>
        <v/>
      </c>
      <c r="AB318" s="18">
        <f>IF(COUNT(C318:P318)=0,"",IFERROR(H318/D318*1000,0))</f>
        <v/>
      </c>
      <c r="AC318" s="17">
        <f>IF(COUNT(C318:P318)=0,"",IFERROR(J318/H318,0))</f>
        <v/>
      </c>
      <c r="AD318" s="14">
        <f>IF(COUNT(C318:P318)=0,"",IFERROR(C318/J318,0))</f>
        <v/>
      </c>
      <c r="AE318" s="17">
        <f>IF(COUNT(C318:P318)=0,"",IFERROR(K318/H318,0))</f>
        <v/>
      </c>
      <c r="AF318" s="17">
        <f>IF(COUNT(C318:P318)=0,"",IFERROR(L318/H318,0))</f>
        <v/>
      </c>
      <c r="AG318" s="14">
        <f>IF(COUNT(C318:P318)=0,"",IFERROR(C318/K318,0))</f>
        <v/>
      </c>
      <c r="AH318" s="17">
        <f>IF(COUNT(C318:P318)=0,"",IFERROR(M318/K318,0))</f>
        <v/>
      </c>
      <c r="AI318" s="14">
        <f>IF(COUNT(C318:P318)=0,"",IFERROR(C318/M318,0))</f>
        <v/>
      </c>
      <c r="AJ318" s="17">
        <f>IF(COUNT(C318:P318)=0,"",IFERROR(N318/M318,0))</f>
        <v/>
      </c>
      <c r="AK318" s="16">
        <f>IF(COUNT(C318:P318)=0,"",IFERROR(N318/H318,0))</f>
        <v/>
      </c>
      <c r="AL318" s="14">
        <f>IF(COUNT(C318:P318)=0,"",IFERROR(C318/N318,0))</f>
        <v/>
      </c>
      <c r="AM318" s="17">
        <f>IF(COUNT(C318:P318)=0,"",IFERROR(O318/N318,0))</f>
        <v/>
      </c>
      <c r="AN318" s="17">
        <f>IF(COUNT(C318:P318)=0,"",IFERROR(P318/N318,0))</f>
        <v/>
      </c>
      <c r="AO318" s="19">
        <f>IF(COUNT(C318:P318)=0,"",IFERROR(N318*Config!$C$7+O318*Config!$C$8+P318*Config!$C$9,0))</f>
        <v/>
      </c>
      <c r="AP318" s="14">
        <f>IF(COUNT(C318:P318)=0,"",IFERROR(AO318/N318,0))</f>
        <v/>
      </c>
      <c r="AQ318" s="19">
        <f>IF(COUNT(C318:P318)=0,"",IFERROR(AO318*(1-Config!$C$10-Config!$C$11-Config!$C$12),0))</f>
        <v/>
      </c>
      <c r="AR318" s="19">
        <f>IF(COUNT(C318:P318)=0,"",IFERROR(AQ318-C318-Config!$C$13,0))</f>
        <v/>
      </c>
      <c r="AS318" s="20">
        <f>IF(COUNT(C318:P318)=0,"",IFERROR(AQ318/C318,0))</f>
        <v/>
      </c>
      <c r="AT318" s="14">
        <f>IF(COUNT(C318:P318)=0,"",IFERROR(AR318/G318,0))</f>
        <v/>
      </c>
      <c r="AU318" s="20">
        <f>IF(COUNT(C318:P318)=0,"",IFERROR(AT318/V318,0))</f>
        <v/>
      </c>
      <c r="AV318" s="14">
        <f>IF(COUNT(C318:P318)=0,"",IFERROR(AR318/H318,0))</f>
        <v/>
      </c>
    </row>
    <row r="319">
      <c r="A319" s="11">
        <f>Config!$C$6+313</f>
        <v/>
      </c>
      <c r="B319" s="12">
        <f>INT((A319-Config!$C$6)/7)+1</f>
        <v/>
      </c>
      <c r="C319" s="9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4">
        <f>IF(COUNT(C319:P319)=0,"",IFERROR(C319/D319*1000,0))</f>
        <v/>
      </c>
      <c r="R319" s="15">
        <f>IF(COUNT(C319:P319)=0,"",IFERROR(D319/E319,0))</f>
        <v/>
      </c>
      <c r="S319" s="16">
        <f>IF(COUNT(C319:P319)=0,"",IFERROR(F319/D319,0))</f>
        <v/>
      </c>
      <c r="T319" s="14">
        <f>IF(COUNT(C319:P319)=0,"",IFERROR(C319/F319,0))</f>
        <v/>
      </c>
      <c r="U319" s="17">
        <f>IF(COUNT(C319:P319)=0,"",IFERROR(G319/F319,0))</f>
        <v/>
      </c>
      <c r="V319" s="14">
        <f>IF(COUNT(C319:P319)=0,"",IFERROR(C319/G319,0))</f>
        <v/>
      </c>
      <c r="W319" s="18">
        <f>IF(COUNT(C319:P319)=0,"",IFERROR(G319/D319*1000,0))</f>
        <v/>
      </c>
      <c r="X319" s="17">
        <f>IF(COUNT(C319:P319)=0,"",IFERROR(H319/G319,0))</f>
        <v/>
      </c>
      <c r="Y319" s="14">
        <f>IF(COUNT(C319:P319)=0,"",IFERROR(C319/H319,0))</f>
        <v/>
      </c>
      <c r="Z319" s="14">
        <f>IF(COUNT(C319:P319)=0,"",IFERROR(C319/I319,0))</f>
        <v/>
      </c>
      <c r="AA319" s="17">
        <f>IF(COUNT(C319:P319)=0,"",IFERROR(Y319/Q319,0))</f>
        <v/>
      </c>
      <c r="AB319" s="18">
        <f>IF(COUNT(C319:P319)=0,"",IFERROR(H319/D319*1000,0))</f>
        <v/>
      </c>
      <c r="AC319" s="17">
        <f>IF(COUNT(C319:P319)=0,"",IFERROR(J319/H319,0))</f>
        <v/>
      </c>
      <c r="AD319" s="14">
        <f>IF(COUNT(C319:P319)=0,"",IFERROR(C319/J319,0))</f>
        <v/>
      </c>
      <c r="AE319" s="17">
        <f>IF(COUNT(C319:P319)=0,"",IFERROR(K319/H319,0))</f>
        <v/>
      </c>
      <c r="AF319" s="17">
        <f>IF(COUNT(C319:P319)=0,"",IFERROR(L319/H319,0))</f>
        <v/>
      </c>
      <c r="AG319" s="14">
        <f>IF(COUNT(C319:P319)=0,"",IFERROR(C319/K319,0))</f>
        <v/>
      </c>
      <c r="AH319" s="17">
        <f>IF(COUNT(C319:P319)=0,"",IFERROR(M319/K319,0))</f>
        <v/>
      </c>
      <c r="AI319" s="14">
        <f>IF(COUNT(C319:P319)=0,"",IFERROR(C319/M319,0))</f>
        <v/>
      </c>
      <c r="AJ319" s="17">
        <f>IF(COUNT(C319:P319)=0,"",IFERROR(N319/M319,0))</f>
        <v/>
      </c>
      <c r="AK319" s="16">
        <f>IF(COUNT(C319:P319)=0,"",IFERROR(N319/H319,0))</f>
        <v/>
      </c>
      <c r="AL319" s="14">
        <f>IF(COUNT(C319:P319)=0,"",IFERROR(C319/N319,0))</f>
        <v/>
      </c>
      <c r="AM319" s="17">
        <f>IF(COUNT(C319:P319)=0,"",IFERROR(O319/N319,0))</f>
        <v/>
      </c>
      <c r="AN319" s="17">
        <f>IF(COUNT(C319:P319)=0,"",IFERROR(P319/N319,0))</f>
        <v/>
      </c>
      <c r="AO319" s="19">
        <f>IF(COUNT(C319:P319)=0,"",IFERROR(N319*Config!$C$7+O319*Config!$C$8+P319*Config!$C$9,0))</f>
        <v/>
      </c>
      <c r="AP319" s="14">
        <f>IF(COUNT(C319:P319)=0,"",IFERROR(AO319/N319,0))</f>
        <v/>
      </c>
      <c r="AQ319" s="19">
        <f>IF(COUNT(C319:P319)=0,"",IFERROR(AO319*(1-Config!$C$10-Config!$C$11-Config!$C$12),0))</f>
        <v/>
      </c>
      <c r="AR319" s="19">
        <f>IF(COUNT(C319:P319)=0,"",IFERROR(AQ319-C319-Config!$C$13,0))</f>
        <v/>
      </c>
      <c r="AS319" s="20">
        <f>IF(COUNT(C319:P319)=0,"",IFERROR(AQ319/C319,0))</f>
        <v/>
      </c>
      <c r="AT319" s="14">
        <f>IF(COUNT(C319:P319)=0,"",IFERROR(AR319/G319,0))</f>
        <v/>
      </c>
      <c r="AU319" s="20">
        <f>IF(COUNT(C319:P319)=0,"",IFERROR(AT319/V319,0))</f>
        <v/>
      </c>
      <c r="AV319" s="14">
        <f>IF(COUNT(C319:P319)=0,"",IFERROR(AR319/H319,0))</f>
        <v/>
      </c>
    </row>
    <row r="320">
      <c r="A320" s="11">
        <f>Config!$C$6+314</f>
        <v/>
      </c>
      <c r="B320" s="12">
        <f>INT((A320-Config!$C$6)/7)+1</f>
        <v/>
      </c>
      <c r="C320" s="9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4">
        <f>IF(COUNT(C320:P320)=0,"",IFERROR(C320/D320*1000,0))</f>
        <v/>
      </c>
      <c r="R320" s="15">
        <f>IF(COUNT(C320:P320)=0,"",IFERROR(D320/E320,0))</f>
        <v/>
      </c>
      <c r="S320" s="16">
        <f>IF(COUNT(C320:P320)=0,"",IFERROR(F320/D320,0))</f>
        <v/>
      </c>
      <c r="T320" s="14">
        <f>IF(COUNT(C320:P320)=0,"",IFERROR(C320/F320,0))</f>
        <v/>
      </c>
      <c r="U320" s="17">
        <f>IF(COUNT(C320:P320)=0,"",IFERROR(G320/F320,0))</f>
        <v/>
      </c>
      <c r="V320" s="14">
        <f>IF(COUNT(C320:P320)=0,"",IFERROR(C320/G320,0))</f>
        <v/>
      </c>
      <c r="W320" s="18">
        <f>IF(COUNT(C320:P320)=0,"",IFERROR(G320/D320*1000,0))</f>
        <v/>
      </c>
      <c r="X320" s="17">
        <f>IF(COUNT(C320:P320)=0,"",IFERROR(H320/G320,0))</f>
        <v/>
      </c>
      <c r="Y320" s="14">
        <f>IF(COUNT(C320:P320)=0,"",IFERROR(C320/H320,0))</f>
        <v/>
      </c>
      <c r="Z320" s="14">
        <f>IF(COUNT(C320:P320)=0,"",IFERROR(C320/I320,0))</f>
        <v/>
      </c>
      <c r="AA320" s="17">
        <f>IF(COUNT(C320:P320)=0,"",IFERROR(Y320/Q320,0))</f>
        <v/>
      </c>
      <c r="AB320" s="18">
        <f>IF(COUNT(C320:P320)=0,"",IFERROR(H320/D320*1000,0))</f>
        <v/>
      </c>
      <c r="AC320" s="17">
        <f>IF(COUNT(C320:P320)=0,"",IFERROR(J320/H320,0))</f>
        <v/>
      </c>
      <c r="AD320" s="14">
        <f>IF(COUNT(C320:P320)=0,"",IFERROR(C320/J320,0))</f>
        <v/>
      </c>
      <c r="AE320" s="17">
        <f>IF(COUNT(C320:P320)=0,"",IFERROR(K320/H320,0))</f>
        <v/>
      </c>
      <c r="AF320" s="17">
        <f>IF(COUNT(C320:P320)=0,"",IFERROR(L320/H320,0))</f>
        <v/>
      </c>
      <c r="AG320" s="14">
        <f>IF(COUNT(C320:P320)=0,"",IFERROR(C320/K320,0))</f>
        <v/>
      </c>
      <c r="AH320" s="17">
        <f>IF(COUNT(C320:P320)=0,"",IFERROR(M320/K320,0))</f>
        <v/>
      </c>
      <c r="AI320" s="14">
        <f>IF(COUNT(C320:P320)=0,"",IFERROR(C320/M320,0))</f>
        <v/>
      </c>
      <c r="AJ320" s="17">
        <f>IF(COUNT(C320:P320)=0,"",IFERROR(N320/M320,0))</f>
        <v/>
      </c>
      <c r="AK320" s="16">
        <f>IF(COUNT(C320:P320)=0,"",IFERROR(N320/H320,0))</f>
        <v/>
      </c>
      <c r="AL320" s="14">
        <f>IF(COUNT(C320:P320)=0,"",IFERROR(C320/N320,0))</f>
        <v/>
      </c>
      <c r="AM320" s="17">
        <f>IF(COUNT(C320:P320)=0,"",IFERROR(O320/N320,0))</f>
        <v/>
      </c>
      <c r="AN320" s="17">
        <f>IF(COUNT(C320:P320)=0,"",IFERROR(P320/N320,0))</f>
        <v/>
      </c>
      <c r="AO320" s="19">
        <f>IF(COUNT(C320:P320)=0,"",IFERROR(N320*Config!$C$7+O320*Config!$C$8+P320*Config!$C$9,0))</f>
        <v/>
      </c>
      <c r="AP320" s="14">
        <f>IF(COUNT(C320:P320)=0,"",IFERROR(AO320/N320,0))</f>
        <v/>
      </c>
      <c r="AQ320" s="19">
        <f>IF(COUNT(C320:P320)=0,"",IFERROR(AO320*(1-Config!$C$10-Config!$C$11-Config!$C$12),0))</f>
        <v/>
      </c>
      <c r="AR320" s="19">
        <f>IF(COUNT(C320:P320)=0,"",IFERROR(AQ320-C320-Config!$C$13,0))</f>
        <v/>
      </c>
      <c r="AS320" s="20">
        <f>IF(COUNT(C320:P320)=0,"",IFERROR(AQ320/C320,0))</f>
        <v/>
      </c>
      <c r="AT320" s="14">
        <f>IF(COUNT(C320:P320)=0,"",IFERROR(AR320/G320,0))</f>
        <v/>
      </c>
      <c r="AU320" s="20">
        <f>IF(COUNT(C320:P320)=0,"",IFERROR(AT320/V320,0))</f>
        <v/>
      </c>
      <c r="AV320" s="14">
        <f>IF(COUNT(C320:P320)=0,"",IFERROR(AR320/H320,0))</f>
        <v/>
      </c>
    </row>
    <row r="321">
      <c r="A321" s="11">
        <f>Config!$C$6+315</f>
        <v/>
      </c>
      <c r="B321" s="12">
        <f>INT((A321-Config!$C$6)/7)+1</f>
        <v/>
      </c>
      <c r="C321" s="9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4">
        <f>IF(COUNT(C321:P321)=0,"",IFERROR(C321/D321*1000,0))</f>
        <v/>
      </c>
      <c r="R321" s="15">
        <f>IF(COUNT(C321:P321)=0,"",IFERROR(D321/E321,0))</f>
        <v/>
      </c>
      <c r="S321" s="16">
        <f>IF(COUNT(C321:P321)=0,"",IFERROR(F321/D321,0))</f>
        <v/>
      </c>
      <c r="T321" s="14">
        <f>IF(COUNT(C321:P321)=0,"",IFERROR(C321/F321,0))</f>
        <v/>
      </c>
      <c r="U321" s="17">
        <f>IF(COUNT(C321:P321)=0,"",IFERROR(G321/F321,0))</f>
        <v/>
      </c>
      <c r="V321" s="14">
        <f>IF(COUNT(C321:P321)=0,"",IFERROR(C321/G321,0))</f>
        <v/>
      </c>
      <c r="W321" s="18">
        <f>IF(COUNT(C321:P321)=0,"",IFERROR(G321/D321*1000,0))</f>
        <v/>
      </c>
      <c r="X321" s="17">
        <f>IF(COUNT(C321:P321)=0,"",IFERROR(H321/G321,0))</f>
        <v/>
      </c>
      <c r="Y321" s="14">
        <f>IF(COUNT(C321:P321)=0,"",IFERROR(C321/H321,0))</f>
        <v/>
      </c>
      <c r="Z321" s="14">
        <f>IF(COUNT(C321:P321)=0,"",IFERROR(C321/I321,0))</f>
        <v/>
      </c>
      <c r="AA321" s="17">
        <f>IF(COUNT(C321:P321)=0,"",IFERROR(Y321/Q321,0))</f>
        <v/>
      </c>
      <c r="AB321" s="18">
        <f>IF(COUNT(C321:P321)=0,"",IFERROR(H321/D321*1000,0))</f>
        <v/>
      </c>
      <c r="AC321" s="17">
        <f>IF(COUNT(C321:P321)=0,"",IFERROR(J321/H321,0))</f>
        <v/>
      </c>
      <c r="AD321" s="14">
        <f>IF(COUNT(C321:P321)=0,"",IFERROR(C321/J321,0))</f>
        <v/>
      </c>
      <c r="AE321" s="17">
        <f>IF(COUNT(C321:P321)=0,"",IFERROR(K321/H321,0))</f>
        <v/>
      </c>
      <c r="AF321" s="17">
        <f>IF(COUNT(C321:P321)=0,"",IFERROR(L321/H321,0))</f>
        <v/>
      </c>
      <c r="AG321" s="14">
        <f>IF(COUNT(C321:P321)=0,"",IFERROR(C321/K321,0))</f>
        <v/>
      </c>
      <c r="AH321" s="17">
        <f>IF(COUNT(C321:P321)=0,"",IFERROR(M321/K321,0))</f>
        <v/>
      </c>
      <c r="AI321" s="14">
        <f>IF(COUNT(C321:P321)=0,"",IFERROR(C321/M321,0))</f>
        <v/>
      </c>
      <c r="AJ321" s="17">
        <f>IF(COUNT(C321:P321)=0,"",IFERROR(N321/M321,0))</f>
        <v/>
      </c>
      <c r="AK321" s="16">
        <f>IF(COUNT(C321:P321)=0,"",IFERROR(N321/H321,0))</f>
        <v/>
      </c>
      <c r="AL321" s="14">
        <f>IF(COUNT(C321:P321)=0,"",IFERROR(C321/N321,0))</f>
        <v/>
      </c>
      <c r="AM321" s="17">
        <f>IF(COUNT(C321:P321)=0,"",IFERROR(O321/N321,0))</f>
        <v/>
      </c>
      <c r="AN321" s="17">
        <f>IF(COUNT(C321:P321)=0,"",IFERROR(P321/N321,0))</f>
        <v/>
      </c>
      <c r="AO321" s="19">
        <f>IF(COUNT(C321:P321)=0,"",IFERROR(N321*Config!$C$7+O321*Config!$C$8+P321*Config!$C$9,0))</f>
        <v/>
      </c>
      <c r="AP321" s="14">
        <f>IF(COUNT(C321:P321)=0,"",IFERROR(AO321/N321,0))</f>
        <v/>
      </c>
      <c r="AQ321" s="19">
        <f>IF(COUNT(C321:P321)=0,"",IFERROR(AO321*(1-Config!$C$10-Config!$C$11-Config!$C$12),0))</f>
        <v/>
      </c>
      <c r="AR321" s="19">
        <f>IF(COUNT(C321:P321)=0,"",IFERROR(AQ321-C321-Config!$C$13,0))</f>
        <v/>
      </c>
      <c r="AS321" s="20">
        <f>IF(COUNT(C321:P321)=0,"",IFERROR(AQ321/C321,0))</f>
        <v/>
      </c>
      <c r="AT321" s="14">
        <f>IF(COUNT(C321:P321)=0,"",IFERROR(AR321/G321,0))</f>
        <v/>
      </c>
      <c r="AU321" s="20">
        <f>IF(COUNT(C321:P321)=0,"",IFERROR(AT321/V321,0))</f>
        <v/>
      </c>
      <c r="AV321" s="14">
        <f>IF(COUNT(C321:P321)=0,"",IFERROR(AR321/H321,0))</f>
        <v/>
      </c>
    </row>
    <row r="322">
      <c r="A322" s="11">
        <f>Config!$C$6+316</f>
        <v/>
      </c>
      <c r="B322" s="12">
        <f>INT((A322-Config!$C$6)/7)+1</f>
        <v/>
      </c>
      <c r="C322" s="9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4">
        <f>IF(COUNT(C322:P322)=0,"",IFERROR(C322/D322*1000,0))</f>
        <v/>
      </c>
      <c r="R322" s="15">
        <f>IF(COUNT(C322:P322)=0,"",IFERROR(D322/E322,0))</f>
        <v/>
      </c>
      <c r="S322" s="16">
        <f>IF(COUNT(C322:P322)=0,"",IFERROR(F322/D322,0))</f>
        <v/>
      </c>
      <c r="T322" s="14">
        <f>IF(COUNT(C322:P322)=0,"",IFERROR(C322/F322,0))</f>
        <v/>
      </c>
      <c r="U322" s="17">
        <f>IF(COUNT(C322:P322)=0,"",IFERROR(G322/F322,0))</f>
        <v/>
      </c>
      <c r="V322" s="14">
        <f>IF(COUNT(C322:P322)=0,"",IFERROR(C322/G322,0))</f>
        <v/>
      </c>
      <c r="W322" s="18">
        <f>IF(COUNT(C322:P322)=0,"",IFERROR(G322/D322*1000,0))</f>
        <v/>
      </c>
      <c r="X322" s="17">
        <f>IF(COUNT(C322:P322)=0,"",IFERROR(H322/G322,0))</f>
        <v/>
      </c>
      <c r="Y322" s="14">
        <f>IF(COUNT(C322:P322)=0,"",IFERROR(C322/H322,0))</f>
        <v/>
      </c>
      <c r="Z322" s="14">
        <f>IF(COUNT(C322:P322)=0,"",IFERROR(C322/I322,0))</f>
        <v/>
      </c>
      <c r="AA322" s="17">
        <f>IF(COUNT(C322:P322)=0,"",IFERROR(Y322/Q322,0))</f>
        <v/>
      </c>
      <c r="AB322" s="18">
        <f>IF(COUNT(C322:P322)=0,"",IFERROR(H322/D322*1000,0))</f>
        <v/>
      </c>
      <c r="AC322" s="17">
        <f>IF(COUNT(C322:P322)=0,"",IFERROR(J322/H322,0))</f>
        <v/>
      </c>
      <c r="AD322" s="14">
        <f>IF(COUNT(C322:P322)=0,"",IFERROR(C322/J322,0))</f>
        <v/>
      </c>
      <c r="AE322" s="17">
        <f>IF(COUNT(C322:P322)=0,"",IFERROR(K322/H322,0))</f>
        <v/>
      </c>
      <c r="AF322" s="17">
        <f>IF(COUNT(C322:P322)=0,"",IFERROR(L322/H322,0))</f>
        <v/>
      </c>
      <c r="AG322" s="14">
        <f>IF(COUNT(C322:P322)=0,"",IFERROR(C322/K322,0))</f>
        <v/>
      </c>
      <c r="AH322" s="17">
        <f>IF(COUNT(C322:P322)=0,"",IFERROR(M322/K322,0))</f>
        <v/>
      </c>
      <c r="AI322" s="14">
        <f>IF(COUNT(C322:P322)=0,"",IFERROR(C322/M322,0))</f>
        <v/>
      </c>
      <c r="AJ322" s="17">
        <f>IF(COUNT(C322:P322)=0,"",IFERROR(N322/M322,0))</f>
        <v/>
      </c>
      <c r="AK322" s="16">
        <f>IF(COUNT(C322:P322)=0,"",IFERROR(N322/H322,0))</f>
        <v/>
      </c>
      <c r="AL322" s="14">
        <f>IF(COUNT(C322:P322)=0,"",IFERROR(C322/N322,0))</f>
        <v/>
      </c>
      <c r="AM322" s="17">
        <f>IF(COUNT(C322:P322)=0,"",IFERROR(O322/N322,0))</f>
        <v/>
      </c>
      <c r="AN322" s="17">
        <f>IF(COUNT(C322:P322)=0,"",IFERROR(P322/N322,0))</f>
        <v/>
      </c>
      <c r="AO322" s="19">
        <f>IF(COUNT(C322:P322)=0,"",IFERROR(N322*Config!$C$7+O322*Config!$C$8+P322*Config!$C$9,0))</f>
        <v/>
      </c>
      <c r="AP322" s="14">
        <f>IF(COUNT(C322:P322)=0,"",IFERROR(AO322/N322,0))</f>
        <v/>
      </c>
      <c r="AQ322" s="19">
        <f>IF(COUNT(C322:P322)=0,"",IFERROR(AO322*(1-Config!$C$10-Config!$C$11-Config!$C$12),0))</f>
        <v/>
      </c>
      <c r="AR322" s="19">
        <f>IF(COUNT(C322:P322)=0,"",IFERROR(AQ322-C322-Config!$C$13,0))</f>
        <v/>
      </c>
      <c r="AS322" s="20">
        <f>IF(COUNT(C322:P322)=0,"",IFERROR(AQ322/C322,0))</f>
        <v/>
      </c>
      <c r="AT322" s="14">
        <f>IF(COUNT(C322:P322)=0,"",IFERROR(AR322/G322,0))</f>
        <v/>
      </c>
      <c r="AU322" s="20">
        <f>IF(COUNT(C322:P322)=0,"",IFERROR(AT322/V322,0))</f>
        <v/>
      </c>
      <c r="AV322" s="14">
        <f>IF(COUNT(C322:P322)=0,"",IFERROR(AR322/H322,0))</f>
        <v/>
      </c>
    </row>
    <row r="323">
      <c r="A323" s="11">
        <f>Config!$C$6+317</f>
        <v/>
      </c>
      <c r="B323" s="12">
        <f>INT((A323-Config!$C$6)/7)+1</f>
        <v/>
      </c>
      <c r="C323" s="9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4">
        <f>IF(COUNT(C323:P323)=0,"",IFERROR(C323/D323*1000,0))</f>
        <v/>
      </c>
      <c r="R323" s="15">
        <f>IF(COUNT(C323:P323)=0,"",IFERROR(D323/E323,0))</f>
        <v/>
      </c>
      <c r="S323" s="16">
        <f>IF(COUNT(C323:P323)=0,"",IFERROR(F323/D323,0))</f>
        <v/>
      </c>
      <c r="T323" s="14">
        <f>IF(COUNT(C323:P323)=0,"",IFERROR(C323/F323,0))</f>
        <v/>
      </c>
      <c r="U323" s="17">
        <f>IF(COUNT(C323:P323)=0,"",IFERROR(G323/F323,0))</f>
        <v/>
      </c>
      <c r="V323" s="14">
        <f>IF(COUNT(C323:P323)=0,"",IFERROR(C323/G323,0))</f>
        <v/>
      </c>
      <c r="W323" s="18">
        <f>IF(COUNT(C323:P323)=0,"",IFERROR(G323/D323*1000,0))</f>
        <v/>
      </c>
      <c r="X323" s="17">
        <f>IF(COUNT(C323:P323)=0,"",IFERROR(H323/G323,0))</f>
        <v/>
      </c>
      <c r="Y323" s="14">
        <f>IF(COUNT(C323:P323)=0,"",IFERROR(C323/H323,0))</f>
        <v/>
      </c>
      <c r="Z323" s="14">
        <f>IF(COUNT(C323:P323)=0,"",IFERROR(C323/I323,0))</f>
        <v/>
      </c>
      <c r="AA323" s="17">
        <f>IF(COUNT(C323:P323)=0,"",IFERROR(Y323/Q323,0))</f>
        <v/>
      </c>
      <c r="AB323" s="18">
        <f>IF(COUNT(C323:P323)=0,"",IFERROR(H323/D323*1000,0))</f>
        <v/>
      </c>
      <c r="AC323" s="17">
        <f>IF(COUNT(C323:P323)=0,"",IFERROR(J323/H323,0))</f>
        <v/>
      </c>
      <c r="AD323" s="14">
        <f>IF(COUNT(C323:P323)=0,"",IFERROR(C323/J323,0))</f>
        <v/>
      </c>
      <c r="AE323" s="17">
        <f>IF(COUNT(C323:P323)=0,"",IFERROR(K323/H323,0))</f>
        <v/>
      </c>
      <c r="AF323" s="17">
        <f>IF(COUNT(C323:P323)=0,"",IFERROR(L323/H323,0))</f>
        <v/>
      </c>
      <c r="AG323" s="14">
        <f>IF(COUNT(C323:P323)=0,"",IFERROR(C323/K323,0))</f>
        <v/>
      </c>
      <c r="AH323" s="17">
        <f>IF(COUNT(C323:P323)=0,"",IFERROR(M323/K323,0))</f>
        <v/>
      </c>
      <c r="AI323" s="14">
        <f>IF(COUNT(C323:P323)=0,"",IFERROR(C323/M323,0))</f>
        <v/>
      </c>
      <c r="AJ323" s="17">
        <f>IF(COUNT(C323:P323)=0,"",IFERROR(N323/M323,0))</f>
        <v/>
      </c>
      <c r="AK323" s="16">
        <f>IF(COUNT(C323:P323)=0,"",IFERROR(N323/H323,0))</f>
        <v/>
      </c>
      <c r="AL323" s="14">
        <f>IF(COUNT(C323:P323)=0,"",IFERROR(C323/N323,0))</f>
        <v/>
      </c>
      <c r="AM323" s="17">
        <f>IF(COUNT(C323:P323)=0,"",IFERROR(O323/N323,0))</f>
        <v/>
      </c>
      <c r="AN323" s="17">
        <f>IF(COUNT(C323:P323)=0,"",IFERROR(P323/N323,0))</f>
        <v/>
      </c>
      <c r="AO323" s="19">
        <f>IF(COUNT(C323:P323)=0,"",IFERROR(N323*Config!$C$7+O323*Config!$C$8+P323*Config!$C$9,0))</f>
        <v/>
      </c>
      <c r="AP323" s="14">
        <f>IF(COUNT(C323:P323)=0,"",IFERROR(AO323/N323,0))</f>
        <v/>
      </c>
      <c r="AQ323" s="19">
        <f>IF(COUNT(C323:P323)=0,"",IFERROR(AO323*(1-Config!$C$10-Config!$C$11-Config!$C$12),0))</f>
        <v/>
      </c>
      <c r="AR323" s="19">
        <f>IF(COUNT(C323:P323)=0,"",IFERROR(AQ323-C323-Config!$C$13,0))</f>
        <v/>
      </c>
      <c r="AS323" s="20">
        <f>IF(COUNT(C323:P323)=0,"",IFERROR(AQ323/C323,0))</f>
        <v/>
      </c>
      <c r="AT323" s="14">
        <f>IF(COUNT(C323:P323)=0,"",IFERROR(AR323/G323,0))</f>
        <v/>
      </c>
      <c r="AU323" s="20">
        <f>IF(COUNT(C323:P323)=0,"",IFERROR(AT323/V323,0))</f>
        <v/>
      </c>
      <c r="AV323" s="14">
        <f>IF(COUNT(C323:P323)=0,"",IFERROR(AR323/H323,0))</f>
        <v/>
      </c>
    </row>
    <row r="324">
      <c r="A324" s="11">
        <f>Config!$C$6+318</f>
        <v/>
      </c>
      <c r="B324" s="12">
        <f>INT((A324-Config!$C$6)/7)+1</f>
        <v/>
      </c>
      <c r="C324" s="9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4">
        <f>IF(COUNT(C324:P324)=0,"",IFERROR(C324/D324*1000,0))</f>
        <v/>
      </c>
      <c r="R324" s="15">
        <f>IF(COUNT(C324:P324)=0,"",IFERROR(D324/E324,0))</f>
        <v/>
      </c>
      <c r="S324" s="16">
        <f>IF(COUNT(C324:P324)=0,"",IFERROR(F324/D324,0))</f>
        <v/>
      </c>
      <c r="T324" s="14">
        <f>IF(COUNT(C324:P324)=0,"",IFERROR(C324/F324,0))</f>
        <v/>
      </c>
      <c r="U324" s="17">
        <f>IF(COUNT(C324:P324)=0,"",IFERROR(G324/F324,0))</f>
        <v/>
      </c>
      <c r="V324" s="14">
        <f>IF(COUNT(C324:P324)=0,"",IFERROR(C324/G324,0))</f>
        <v/>
      </c>
      <c r="W324" s="18">
        <f>IF(COUNT(C324:P324)=0,"",IFERROR(G324/D324*1000,0))</f>
        <v/>
      </c>
      <c r="X324" s="17">
        <f>IF(COUNT(C324:P324)=0,"",IFERROR(H324/G324,0))</f>
        <v/>
      </c>
      <c r="Y324" s="14">
        <f>IF(COUNT(C324:P324)=0,"",IFERROR(C324/H324,0))</f>
        <v/>
      </c>
      <c r="Z324" s="14">
        <f>IF(COUNT(C324:P324)=0,"",IFERROR(C324/I324,0))</f>
        <v/>
      </c>
      <c r="AA324" s="17">
        <f>IF(COUNT(C324:P324)=0,"",IFERROR(Y324/Q324,0))</f>
        <v/>
      </c>
      <c r="AB324" s="18">
        <f>IF(COUNT(C324:P324)=0,"",IFERROR(H324/D324*1000,0))</f>
        <v/>
      </c>
      <c r="AC324" s="17">
        <f>IF(COUNT(C324:P324)=0,"",IFERROR(J324/H324,0))</f>
        <v/>
      </c>
      <c r="AD324" s="14">
        <f>IF(COUNT(C324:P324)=0,"",IFERROR(C324/J324,0))</f>
        <v/>
      </c>
      <c r="AE324" s="17">
        <f>IF(COUNT(C324:P324)=0,"",IFERROR(K324/H324,0))</f>
        <v/>
      </c>
      <c r="AF324" s="17">
        <f>IF(COUNT(C324:P324)=0,"",IFERROR(L324/H324,0))</f>
        <v/>
      </c>
      <c r="AG324" s="14">
        <f>IF(COUNT(C324:P324)=0,"",IFERROR(C324/K324,0))</f>
        <v/>
      </c>
      <c r="AH324" s="17">
        <f>IF(COUNT(C324:P324)=0,"",IFERROR(M324/K324,0))</f>
        <v/>
      </c>
      <c r="AI324" s="14">
        <f>IF(COUNT(C324:P324)=0,"",IFERROR(C324/M324,0))</f>
        <v/>
      </c>
      <c r="AJ324" s="17">
        <f>IF(COUNT(C324:P324)=0,"",IFERROR(N324/M324,0))</f>
        <v/>
      </c>
      <c r="AK324" s="16">
        <f>IF(COUNT(C324:P324)=0,"",IFERROR(N324/H324,0))</f>
        <v/>
      </c>
      <c r="AL324" s="14">
        <f>IF(COUNT(C324:P324)=0,"",IFERROR(C324/N324,0))</f>
        <v/>
      </c>
      <c r="AM324" s="17">
        <f>IF(COUNT(C324:P324)=0,"",IFERROR(O324/N324,0))</f>
        <v/>
      </c>
      <c r="AN324" s="17">
        <f>IF(COUNT(C324:P324)=0,"",IFERROR(P324/N324,0))</f>
        <v/>
      </c>
      <c r="AO324" s="19">
        <f>IF(COUNT(C324:P324)=0,"",IFERROR(N324*Config!$C$7+O324*Config!$C$8+P324*Config!$C$9,0))</f>
        <v/>
      </c>
      <c r="AP324" s="14">
        <f>IF(COUNT(C324:P324)=0,"",IFERROR(AO324/N324,0))</f>
        <v/>
      </c>
      <c r="AQ324" s="19">
        <f>IF(COUNT(C324:P324)=0,"",IFERROR(AO324*(1-Config!$C$10-Config!$C$11-Config!$C$12),0))</f>
        <v/>
      </c>
      <c r="AR324" s="19">
        <f>IF(COUNT(C324:P324)=0,"",IFERROR(AQ324-C324-Config!$C$13,0))</f>
        <v/>
      </c>
      <c r="AS324" s="20">
        <f>IF(COUNT(C324:P324)=0,"",IFERROR(AQ324/C324,0))</f>
        <v/>
      </c>
      <c r="AT324" s="14">
        <f>IF(COUNT(C324:P324)=0,"",IFERROR(AR324/G324,0))</f>
        <v/>
      </c>
      <c r="AU324" s="20">
        <f>IF(COUNT(C324:P324)=0,"",IFERROR(AT324/V324,0))</f>
        <v/>
      </c>
      <c r="AV324" s="14">
        <f>IF(COUNT(C324:P324)=0,"",IFERROR(AR324/H324,0))</f>
        <v/>
      </c>
    </row>
    <row r="325">
      <c r="A325" s="11">
        <f>Config!$C$6+319</f>
        <v/>
      </c>
      <c r="B325" s="12">
        <f>INT((A325-Config!$C$6)/7)+1</f>
        <v/>
      </c>
      <c r="C325" s="9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4">
        <f>IF(COUNT(C325:P325)=0,"",IFERROR(C325/D325*1000,0))</f>
        <v/>
      </c>
      <c r="R325" s="15">
        <f>IF(COUNT(C325:P325)=0,"",IFERROR(D325/E325,0))</f>
        <v/>
      </c>
      <c r="S325" s="16">
        <f>IF(COUNT(C325:P325)=0,"",IFERROR(F325/D325,0))</f>
        <v/>
      </c>
      <c r="T325" s="14">
        <f>IF(COUNT(C325:P325)=0,"",IFERROR(C325/F325,0))</f>
        <v/>
      </c>
      <c r="U325" s="17">
        <f>IF(COUNT(C325:P325)=0,"",IFERROR(G325/F325,0))</f>
        <v/>
      </c>
      <c r="V325" s="14">
        <f>IF(COUNT(C325:P325)=0,"",IFERROR(C325/G325,0))</f>
        <v/>
      </c>
      <c r="W325" s="18">
        <f>IF(COUNT(C325:P325)=0,"",IFERROR(G325/D325*1000,0))</f>
        <v/>
      </c>
      <c r="X325" s="17">
        <f>IF(COUNT(C325:P325)=0,"",IFERROR(H325/G325,0))</f>
        <v/>
      </c>
      <c r="Y325" s="14">
        <f>IF(COUNT(C325:P325)=0,"",IFERROR(C325/H325,0))</f>
        <v/>
      </c>
      <c r="Z325" s="14">
        <f>IF(COUNT(C325:P325)=0,"",IFERROR(C325/I325,0))</f>
        <v/>
      </c>
      <c r="AA325" s="17">
        <f>IF(COUNT(C325:P325)=0,"",IFERROR(Y325/Q325,0))</f>
        <v/>
      </c>
      <c r="AB325" s="18">
        <f>IF(COUNT(C325:P325)=0,"",IFERROR(H325/D325*1000,0))</f>
        <v/>
      </c>
      <c r="AC325" s="17">
        <f>IF(COUNT(C325:P325)=0,"",IFERROR(J325/H325,0))</f>
        <v/>
      </c>
      <c r="AD325" s="14">
        <f>IF(COUNT(C325:P325)=0,"",IFERROR(C325/J325,0))</f>
        <v/>
      </c>
      <c r="AE325" s="17">
        <f>IF(COUNT(C325:P325)=0,"",IFERROR(K325/H325,0))</f>
        <v/>
      </c>
      <c r="AF325" s="17">
        <f>IF(COUNT(C325:P325)=0,"",IFERROR(L325/H325,0))</f>
        <v/>
      </c>
      <c r="AG325" s="14">
        <f>IF(COUNT(C325:P325)=0,"",IFERROR(C325/K325,0))</f>
        <v/>
      </c>
      <c r="AH325" s="17">
        <f>IF(COUNT(C325:P325)=0,"",IFERROR(M325/K325,0))</f>
        <v/>
      </c>
      <c r="AI325" s="14">
        <f>IF(COUNT(C325:P325)=0,"",IFERROR(C325/M325,0))</f>
        <v/>
      </c>
      <c r="AJ325" s="17">
        <f>IF(COUNT(C325:P325)=0,"",IFERROR(N325/M325,0))</f>
        <v/>
      </c>
      <c r="AK325" s="16">
        <f>IF(COUNT(C325:P325)=0,"",IFERROR(N325/H325,0))</f>
        <v/>
      </c>
      <c r="AL325" s="14">
        <f>IF(COUNT(C325:P325)=0,"",IFERROR(C325/N325,0))</f>
        <v/>
      </c>
      <c r="AM325" s="17">
        <f>IF(COUNT(C325:P325)=0,"",IFERROR(O325/N325,0))</f>
        <v/>
      </c>
      <c r="AN325" s="17">
        <f>IF(COUNT(C325:P325)=0,"",IFERROR(P325/N325,0))</f>
        <v/>
      </c>
      <c r="AO325" s="19">
        <f>IF(COUNT(C325:P325)=0,"",IFERROR(N325*Config!$C$7+O325*Config!$C$8+P325*Config!$C$9,0))</f>
        <v/>
      </c>
      <c r="AP325" s="14">
        <f>IF(COUNT(C325:P325)=0,"",IFERROR(AO325/N325,0))</f>
        <v/>
      </c>
      <c r="AQ325" s="19">
        <f>IF(COUNT(C325:P325)=0,"",IFERROR(AO325*(1-Config!$C$10-Config!$C$11-Config!$C$12),0))</f>
        <v/>
      </c>
      <c r="AR325" s="19">
        <f>IF(COUNT(C325:P325)=0,"",IFERROR(AQ325-C325-Config!$C$13,0))</f>
        <v/>
      </c>
      <c r="AS325" s="20">
        <f>IF(COUNT(C325:P325)=0,"",IFERROR(AQ325/C325,0))</f>
        <v/>
      </c>
      <c r="AT325" s="14">
        <f>IF(COUNT(C325:P325)=0,"",IFERROR(AR325/G325,0))</f>
        <v/>
      </c>
      <c r="AU325" s="20">
        <f>IF(COUNT(C325:P325)=0,"",IFERROR(AT325/V325,0))</f>
        <v/>
      </c>
      <c r="AV325" s="14">
        <f>IF(COUNT(C325:P325)=0,"",IFERROR(AR325/H325,0))</f>
        <v/>
      </c>
    </row>
    <row r="326">
      <c r="A326" s="11">
        <f>Config!$C$6+320</f>
        <v/>
      </c>
      <c r="B326" s="12">
        <f>INT((A326-Config!$C$6)/7)+1</f>
        <v/>
      </c>
      <c r="C326" s="9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4">
        <f>IF(COUNT(C326:P326)=0,"",IFERROR(C326/D326*1000,0))</f>
        <v/>
      </c>
      <c r="R326" s="15">
        <f>IF(COUNT(C326:P326)=0,"",IFERROR(D326/E326,0))</f>
        <v/>
      </c>
      <c r="S326" s="16">
        <f>IF(COUNT(C326:P326)=0,"",IFERROR(F326/D326,0))</f>
        <v/>
      </c>
      <c r="T326" s="14">
        <f>IF(COUNT(C326:P326)=0,"",IFERROR(C326/F326,0))</f>
        <v/>
      </c>
      <c r="U326" s="17">
        <f>IF(COUNT(C326:P326)=0,"",IFERROR(G326/F326,0))</f>
        <v/>
      </c>
      <c r="V326" s="14">
        <f>IF(COUNT(C326:P326)=0,"",IFERROR(C326/G326,0))</f>
        <v/>
      </c>
      <c r="W326" s="18">
        <f>IF(COUNT(C326:P326)=0,"",IFERROR(G326/D326*1000,0))</f>
        <v/>
      </c>
      <c r="X326" s="17">
        <f>IF(COUNT(C326:P326)=0,"",IFERROR(H326/G326,0))</f>
        <v/>
      </c>
      <c r="Y326" s="14">
        <f>IF(COUNT(C326:P326)=0,"",IFERROR(C326/H326,0))</f>
        <v/>
      </c>
      <c r="Z326" s="14">
        <f>IF(COUNT(C326:P326)=0,"",IFERROR(C326/I326,0))</f>
        <v/>
      </c>
      <c r="AA326" s="17">
        <f>IF(COUNT(C326:P326)=0,"",IFERROR(Y326/Q326,0))</f>
        <v/>
      </c>
      <c r="AB326" s="18">
        <f>IF(COUNT(C326:P326)=0,"",IFERROR(H326/D326*1000,0))</f>
        <v/>
      </c>
      <c r="AC326" s="17">
        <f>IF(COUNT(C326:P326)=0,"",IFERROR(J326/H326,0))</f>
        <v/>
      </c>
      <c r="AD326" s="14">
        <f>IF(COUNT(C326:P326)=0,"",IFERROR(C326/J326,0))</f>
        <v/>
      </c>
      <c r="AE326" s="17">
        <f>IF(COUNT(C326:P326)=0,"",IFERROR(K326/H326,0))</f>
        <v/>
      </c>
      <c r="AF326" s="17">
        <f>IF(COUNT(C326:P326)=0,"",IFERROR(L326/H326,0))</f>
        <v/>
      </c>
      <c r="AG326" s="14">
        <f>IF(COUNT(C326:P326)=0,"",IFERROR(C326/K326,0))</f>
        <v/>
      </c>
      <c r="AH326" s="17">
        <f>IF(COUNT(C326:P326)=0,"",IFERROR(M326/K326,0))</f>
        <v/>
      </c>
      <c r="AI326" s="14">
        <f>IF(COUNT(C326:P326)=0,"",IFERROR(C326/M326,0))</f>
        <v/>
      </c>
      <c r="AJ326" s="17">
        <f>IF(COUNT(C326:P326)=0,"",IFERROR(N326/M326,0))</f>
        <v/>
      </c>
      <c r="AK326" s="16">
        <f>IF(COUNT(C326:P326)=0,"",IFERROR(N326/H326,0))</f>
        <v/>
      </c>
      <c r="AL326" s="14">
        <f>IF(COUNT(C326:P326)=0,"",IFERROR(C326/N326,0))</f>
        <v/>
      </c>
      <c r="AM326" s="17">
        <f>IF(COUNT(C326:P326)=0,"",IFERROR(O326/N326,0))</f>
        <v/>
      </c>
      <c r="AN326" s="17">
        <f>IF(COUNT(C326:P326)=0,"",IFERROR(P326/N326,0))</f>
        <v/>
      </c>
      <c r="AO326" s="19">
        <f>IF(COUNT(C326:P326)=0,"",IFERROR(N326*Config!$C$7+O326*Config!$C$8+P326*Config!$C$9,0))</f>
        <v/>
      </c>
      <c r="AP326" s="14">
        <f>IF(COUNT(C326:P326)=0,"",IFERROR(AO326/N326,0))</f>
        <v/>
      </c>
      <c r="AQ326" s="19">
        <f>IF(COUNT(C326:P326)=0,"",IFERROR(AO326*(1-Config!$C$10-Config!$C$11-Config!$C$12),0))</f>
        <v/>
      </c>
      <c r="AR326" s="19">
        <f>IF(COUNT(C326:P326)=0,"",IFERROR(AQ326-C326-Config!$C$13,0))</f>
        <v/>
      </c>
      <c r="AS326" s="20">
        <f>IF(COUNT(C326:P326)=0,"",IFERROR(AQ326/C326,0))</f>
        <v/>
      </c>
      <c r="AT326" s="14">
        <f>IF(COUNT(C326:P326)=0,"",IFERROR(AR326/G326,0))</f>
        <v/>
      </c>
      <c r="AU326" s="20">
        <f>IF(COUNT(C326:P326)=0,"",IFERROR(AT326/V326,0))</f>
        <v/>
      </c>
      <c r="AV326" s="14">
        <f>IF(COUNT(C326:P326)=0,"",IFERROR(AR326/H326,0))</f>
        <v/>
      </c>
    </row>
    <row r="327">
      <c r="A327" s="11">
        <f>Config!$C$6+321</f>
        <v/>
      </c>
      <c r="B327" s="12">
        <f>INT((A327-Config!$C$6)/7)+1</f>
        <v/>
      </c>
      <c r="C327" s="9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4">
        <f>IF(COUNT(C327:P327)=0,"",IFERROR(C327/D327*1000,0))</f>
        <v/>
      </c>
      <c r="R327" s="15">
        <f>IF(COUNT(C327:P327)=0,"",IFERROR(D327/E327,0))</f>
        <v/>
      </c>
      <c r="S327" s="16">
        <f>IF(COUNT(C327:P327)=0,"",IFERROR(F327/D327,0))</f>
        <v/>
      </c>
      <c r="T327" s="14">
        <f>IF(COUNT(C327:P327)=0,"",IFERROR(C327/F327,0))</f>
        <v/>
      </c>
      <c r="U327" s="17">
        <f>IF(COUNT(C327:P327)=0,"",IFERROR(G327/F327,0))</f>
        <v/>
      </c>
      <c r="V327" s="14">
        <f>IF(COUNT(C327:P327)=0,"",IFERROR(C327/G327,0))</f>
        <v/>
      </c>
      <c r="W327" s="18">
        <f>IF(COUNT(C327:P327)=0,"",IFERROR(G327/D327*1000,0))</f>
        <v/>
      </c>
      <c r="X327" s="17">
        <f>IF(COUNT(C327:P327)=0,"",IFERROR(H327/G327,0))</f>
        <v/>
      </c>
      <c r="Y327" s="14">
        <f>IF(COUNT(C327:P327)=0,"",IFERROR(C327/H327,0))</f>
        <v/>
      </c>
      <c r="Z327" s="14">
        <f>IF(COUNT(C327:P327)=0,"",IFERROR(C327/I327,0))</f>
        <v/>
      </c>
      <c r="AA327" s="17">
        <f>IF(COUNT(C327:P327)=0,"",IFERROR(Y327/Q327,0))</f>
        <v/>
      </c>
      <c r="AB327" s="18">
        <f>IF(COUNT(C327:P327)=0,"",IFERROR(H327/D327*1000,0))</f>
        <v/>
      </c>
      <c r="AC327" s="17">
        <f>IF(COUNT(C327:P327)=0,"",IFERROR(J327/H327,0))</f>
        <v/>
      </c>
      <c r="AD327" s="14">
        <f>IF(COUNT(C327:P327)=0,"",IFERROR(C327/J327,0))</f>
        <v/>
      </c>
      <c r="AE327" s="17">
        <f>IF(COUNT(C327:P327)=0,"",IFERROR(K327/H327,0))</f>
        <v/>
      </c>
      <c r="AF327" s="17">
        <f>IF(COUNT(C327:P327)=0,"",IFERROR(L327/H327,0))</f>
        <v/>
      </c>
      <c r="AG327" s="14">
        <f>IF(COUNT(C327:P327)=0,"",IFERROR(C327/K327,0))</f>
        <v/>
      </c>
      <c r="AH327" s="17">
        <f>IF(COUNT(C327:P327)=0,"",IFERROR(M327/K327,0))</f>
        <v/>
      </c>
      <c r="AI327" s="14">
        <f>IF(COUNT(C327:P327)=0,"",IFERROR(C327/M327,0))</f>
        <v/>
      </c>
      <c r="AJ327" s="17">
        <f>IF(COUNT(C327:P327)=0,"",IFERROR(N327/M327,0))</f>
        <v/>
      </c>
      <c r="AK327" s="16">
        <f>IF(COUNT(C327:P327)=0,"",IFERROR(N327/H327,0))</f>
        <v/>
      </c>
      <c r="AL327" s="14">
        <f>IF(COUNT(C327:P327)=0,"",IFERROR(C327/N327,0))</f>
        <v/>
      </c>
      <c r="AM327" s="17">
        <f>IF(COUNT(C327:P327)=0,"",IFERROR(O327/N327,0))</f>
        <v/>
      </c>
      <c r="AN327" s="17">
        <f>IF(COUNT(C327:P327)=0,"",IFERROR(P327/N327,0))</f>
        <v/>
      </c>
      <c r="AO327" s="19">
        <f>IF(COUNT(C327:P327)=0,"",IFERROR(N327*Config!$C$7+O327*Config!$C$8+P327*Config!$C$9,0))</f>
        <v/>
      </c>
      <c r="AP327" s="14">
        <f>IF(COUNT(C327:P327)=0,"",IFERROR(AO327/N327,0))</f>
        <v/>
      </c>
      <c r="AQ327" s="19">
        <f>IF(COUNT(C327:P327)=0,"",IFERROR(AO327*(1-Config!$C$10-Config!$C$11-Config!$C$12),0))</f>
        <v/>
      </c>
      <c r="AR327" s="19">
        <f>IF(COUNT(C327:P327)=0,"",IFERROR(AQ327-C327-Config!$C$13,0))</f>
        <v/>
      </c>
      <c r="AS327" s="20">
        <f>IF(COUNT(C327:P327)=0,"",IFERROR(AQ327/C327,0))</f>
        <v/>
      </c>
      <c r="AT327" s="14">
        <f>IF(COUNT(C327:P327)=0,"",IFERROR(AR327/G327,0))</f>
        <v/>
      </c>
      <c r="AU327" s="20">
        <f>IF(COUNT(C327:P327)=0,"",IFERROR(AT327/V327,0))</f>
        <v/>
      </c>
      <c r="AV327" s="14">
        <f>IF(COUNT(C327:P327)=0,"",IFERROR(AR327/H327,0))</f>
        <v/>
      </c>
    </row>
    <row r="328">
      <c r="A328" s="11">
        <f>Config!$C$6+322</f>
        <v/>
      </c>
      <c r="B328" s="12">
        <f>INT((A328-Config!$C$6)/7)+1</f>
        <v/>
      </c>
      <c r="C328" s="9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4">
        <f>IF(COUNT(C328:P328)=0,"",IFERROR(C328/D328*1000,0))</f>
        <v/>
      </c>
      <c r="R328" s="15">
        <f>IF(COUNT(C328:P328)=0,"",IFERROR(D328/E328,0))</f>
        <v/>
      </c>
      <c r="S328" s="16">
        <f>IF(COUNT(C328:P328)=0,"",IFERROR(F328/D328,0))</f>
        <v/>
      </c>
      <c r="T328" s="14">
        <f>IF(COUNT(C328:P328)=0,"",IFERROR(C328/F328,0))</f>
        <v/>
      </c>
      <c r="U328" s="17">
        <f>IF(COUNT(C328:P328)=0,"",IFERROR(G328/F328,0))</f>
        <v/>
      </c>
      <c r="V328" s="14">
        <f>IF(COUNT(C328:P328)=0,"",IFERROR(C328/G328,0))</f>
        <v/>
      </c>
      <c r="W328" s="18">
        <f>IF(COUNT(C328:P328)=0,"",IFERROR(G328/D328*1000,0))</f>
        <v/>
      </c>
      <c r="X328" s="17">
        <f>IF(COUNT(C328:P328)=0,"",IFERROR(H328/G328,0))</f>
        <v/>
      </c>
      <c r="Y328" s="14">
        <f>IF(COUNT(C328:P328)=0,"",IFERROR(C328/H328,0))</f>
        <v/>
      </c>
      <c r="Z328" s="14">
        <f>IF(COUNT(C328:P328)=0,"",IFERROR(C328/I328,0))</f>
        <v/>
      </c>
      <c r="AA328" s="17">
        <f>IF(COUNT(C328:P328)=0,"",IFERROR(Y328/Q328,0))</f>
        <v/>
      </c>
      <c r="AB328" s="18">
        <f>IF(COUNT(C328:P328)=0,"",IFERROR(H328/D328*1000,0))</f>
        <v/>
      </c>
      <c r="AC328" s="17">
        <f>IF(COUNT(C328:P328)=0,"",IFERROR(J328/H328,0))</f>
        <v/>
      </c>
      <c r="AD328" s="14">
        <f>IF(COUNT(C328:P328)=0,"",IFERROR(C328/J328,0))</f>
        <v/>
      </c>
      <c r="AE328" s="17">
        <f>IF(COUNT(C328:P328)=0,"",IFERROR(K328/H328,0))</f>
        <v/>
      </c>
      <c r="AF328" s="17">
        <f>IF(COUNT(C328:P328)=0,"",IFERROR(L328/H328,0))</f>
        <v/>
      </c>
      <c r="AG328" s="14">
        <f>IF(COUNT(C328:P328)=0,"",IFERROR(C328/K328,0))</f>
        <v/>
      </c>
      <c r="AH328" s="17">
        <f>IF(COUNT(C328:P328)=0,"",IFERROR(M328/K328,0))</f>
        <v/>
      </c>
      <c r="AI328" s="14">
        <f>IF(COUNT(C328:P328)=0,"",IFERROR(C328/M328,0))</f>
        <v/>
      </c>
      <c r="AJ328" s="17">
        <f>IF(COUNT(C328:P328)=0,"",IFERROR(N328/M328,0))</f>
        <v/>
      </c>
      <c r="AK328" s="16">
        <f>IF(COUNT(C328:P328)=0,"",IFERROR(N328/H328,0))</f>
        <v/>
      </c>
      <c r="AL328" s="14">
        <f>IF(COUNT(C328:P328)=0,"",IFERROR(C328/N328,0))</f>
        <v/>
      </c>
      <c r="AM328" s="17">
        <f>IF(COUNT(C328:P328)=0,"",IFERROR(O328/N328,0))</f>
        <v/>
      </c>
      <c r="AN328" s="17">
        <f>IF(COUNT(C328:P328)=0,"",IFERROR(P328/N328,0))</f>
        <v/>
      </c>
      <c r="AO328" s="19">
        <f>IF(COUNT(C328:P328)=0,"",IFERROR(N328*Config!$C$7+O328*Config!$C$8+P328*Config!$C$9,0))</f>
        <v/>
      </c>
      <c r="AP328" s="14">
        <f>IF(COUNT(C328:P328)=0,"",IFERROR(AO328/N328,0))</f>
        <v/>
      </c>
      <c r="AQ328" s="19">
        <f>IF(COUNT(C328:P328)=0,"",IFERROR(AO328*(1-Config!$C$10-Config!$C$11-Config!$C$12),0))</f>
        <v/>
      </c>
      <c r="AR328" s="19">
        <f>IF(COUNT(C328:P328)=0,"",IFERROR(AQ328-C328-Config!$C$13,0))</f>
        <v/>
      </c>
      <c r="AS328" s="20">
        <f>IF(COUNT(C328:P328)=0,"",IFERROR(AQ328/C328,0))</f>
        <v/>
      </c>
      <c r="AT328" s="14">
        <f>IF(COUNT(C328:P328)=0,"",IFERROR(AR328/G328,0))</f>
        <v/>
      </c>
      <c r="AU328" s="20">
        <f>IF(COUNT(C328:P328)=0,"",IFERROR(AT328/V328,0))</f>
        <v/>
      </c>
      <c r="AV328" s="14">
        <f>IF(COUNT(C328:P328)=0,"",IFERROR(AR328/H328,0))</f>
        <v/>
      </c>
    </row>
    <row r="329">
      <c r="A329" s="11">
        <f>Config!$C$6+323</f>
        <v/>
      </c>
      <c r="B329" s="12">
        <f>INT((A329-Config!$C$6)/7)+1</f>
        <v/>
      </c>
      <c r="C329" s="9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4">
        <f>IF(COUNT(C329:P329)=0,"",IFERROR(C329/D329*1000,0))</f>
        <v/>
      </c>
      <c r="R329" s="15">
        <f>IF(COUNT(C329:P329)=0,"",IFERROR(D329/E329,0))</f>
        <v/>
      </c>
      <c r="S329" s="16">
        <f>IF(COUNT(C329:P329)=0,"",IFERROR(F329/D329,0))</f>
        <v/>
      </c>
      <c r="T329" s="14">
        <f>IF(COUNT(C329:P329)=0,"",IFERROR(C329/F329,0))</f>
        <v/>
      </c>
      <c r="U329" s="17">
        <f>IF(COUNT(C329:P329)=0,"",IFERROR(G329/F329,0))</f>
        <v/>
      </c>
      <c r="V329" s="14">
        <f>IF(COUNT(C329:P329)=0,"",IFERROR(C329/G329,0))</f>
        <v/>
      </c>
      <c r="W329" s="18">
        <f>IF(COUNT(C329:P329)=0,"",IFERROR(G329/D329*1000,0))</f>
        <v/>
      </c>
      <c r="X329" s="17">
        <f>IF(COUNT(C329:P329)=0,"",IFERROR(H329/G329,0))</f>
        <v/>
      </c>
      <c r="Y329" s="14">
        <f>IF(COUNT(C329:P329)=0,"",IFERROR(C329/H329,0))</f>
        <v/>
      </c>
      <c r="Z329" s="14">
        <f>IF(COUNT(C329:P329)=0,"",IFERROR(C329/I329,0))</f>
        <v/>
      </c>
      <c r="AA329" s="17">
        <f>IF(COUNT(C329:P329)=0,"",IFERROR(Y329/Q329,0))</f>
        <v/>
      </c>
      <c r="AB329" s="18">
        <f>IF(COUNT(C329:P329)=0,"",IFERROR(H329/D329*1000,0))</f>
        <v/>
      </c>
      <c r="AC329" s="17">
        <f>IF(COUNT(C329:P329)=0,"",IFERROR(J329/H329,0))</f>
        <v/>
      </c>
      <c r="AD329" s="14">
        <f>IF(COUNT(C329:P329)=0,"",IFERROR(C329/J329,0))</f>
        <v/>
      </c>
      <c r="AE329" s="17">
        <f>IF(COUNT(C329:P329)=0,"",IFERROR(K329/H329,0))</f>
        <v/>
      </c>
      <c r="AF329" s="17">
        <f>IF(COUNT(C329:P329)=0,"",IFERROR(L329/H329,0))</f>
        <v/>
      </c>
      <c r="AG329" s="14">
        <f>IF(COUNT(C329:P329)=0,"",IFERROR(C329/K329,0))</f>
        <v/>
      </c>
      <c r="AH329" s="17">
        <f>IF(COUNT(C329:P329)=0,"",IFERROR(M329/K329,0))</f>
        <v/>
      </c>
      <c r="AI329" s="14">
        <f>IF(COUNT(C329:P329)=0,"",IFERROR(C329/M329,0))</f>
        <v/>
      </c>
      <c r="AJ329" s="17">
        <f>IF(COUNT(C329:P329)=0,"",IFERROR(N329/M329,0))</f>
        <v/>
      </c>
      <c r="AK329" s="16">
        <f>IF(COUNT(C329:P329)=0,"",IFERROR(N329/H329,0))</f>
        <v/>
      </c>
      <c r="AL329" s="14">
        <f>IF(COUNT(C329:P329)=0,"",IFERROR(C329/N329,0))</f>
        <v/>
      </c>
      <c r="AM329" s="17">
        <f>IF(COUNT(C329:P329)=0,"",IFERROR(O329/N329,0))</f>
        <v/>
      </c>
      <c r="AN329" s="17">
        <f>IF(COUNT(C329:P329)=0,"",IFERROR(P329/N329,0))</f>
        <v/>
      </c>
      <c r="AO329" s="19">
        <f>IF(COUNT(C329:P329)=0,"",IFERROR(N329*Config!$C$7+O329*Config!$C$8+P329*Config!$C$9,0))</f>
        <v/>
      </c>
      <c r="AP329" s="14">
        <f>IF(COUNT(C329:P329)=0,"",IFERROR(AO329/N329,0))</f>
        <v/>
      </c>
      <c r="AQ329" s="19">
        <f>IF(COUNT(C329:P329)=0,"",IFERROR(AO329*(1-Config!$C$10-Config!$C$11-Config!$C$12),0))</f>
        <v/>
      </c>
      <c r="AR329" s="19">
        <f>IF(COUNT(C329:P329)=0,"",IFERROR(AQ329-C329-Config!$C$13,0))</f>
        <v/>
      </c>
      <c r="AS329" s="20">
        <f>IF(COUNT(C329:P329)=0,"",IFERROR(AQ329/C329,0))</f>
        <v/>
      </c>
      <c r="AT329" s="14">
        <f>IF(COUNT(C329:P329)=0,"",IFERROR(AR329/G329,0))</f>
        <v/>
      </c>
      <c r="AU329" s="20">
        <f>IF(COUNT(C329:P329)=0,"",IFERROR(AT329/V329,0))</f>
        <v/>
      </c>
      <c r="AV329" s="14">
        <f>IF(COUNT(C329:P329)=0,"",IFERROR(AR329/H329,0))</f>
        <v/>
      </c>
    </row>
    <row r="330">
      <c r="A330" s="11">
        <f>Config!$C$6+324</f>
        <v/>
      </c>
      <c r="B330" s="12">
        <f>INT((A330-Config!$C$6)/7)+1</f>
        <v/>
      </c>
      <c r="C330" s="9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4">
        <f>IF(COUNT(C330:P330)=0,"",IFERROR(C330/D330*1000,0))</f>
        <v/>
      </c>
      <c r="R330" s="15">
        <f>IF(COUNT(C330:P330)=0,"",IFERROR(D330/E330,0))</f>
        <v/>
      </c>
      <c r="S330" s="16">
        <f>IF(COUNT(C330:P330)=0,"",IFERROR(F330/D330,0))</f>
        <v/>
      </c>
      <c r="T330" s="14">
        <f>IF(COUNT(C330:P330)=0,"",IFERROR(C330/F330,0))</f>
        <v/>
      </c>
      <c r="U330" s="17">
        <f>IF(COUNT(C330:P330)=0,"",IFERROR(G330/F330,0))</f>
        <v/>
      </c>
      <c r="V330" s="14">
        <f>IF(COUNT(C330:P330)=0,"",IFERROR(C330/G330,0))</f>
        <v/>
      </c>
      <c r="W330" s="18">
        <f>IF(COUNT(C330:P330)=0,"",IFERROR(G330/D330*1000,0))</f>
        <v/>
      </c>
      <c r="X330" s="17">
        <f>IF(COUNT(C330:P330)=0,"",IFERROR(H330/G330,0))</f>
        <v/>
      </c>
      <c r="Y330" s="14">
        <f>IF(COUNT(C330:P330)=0,"",IFERROR(C330/H330,0))</f>
        <v/>
      </c>
      <c r="Z330" s="14">
        <f>IF(COUNT(C330:P330)=0,"",IFERROR(C330/I330,0))</f>
        <v/>
      </c>
      <c r="AA330" s="17">
        <f>IF(COUNT(C330:P330)=0,"",IFERROR(Y330/Q330,0))</f>
        <v/>
      </c>
      <c r="AB330" s="18">
        <f>IF(COUNT(C330:P330)=0,"",IFERROR(H330/D330*1000,0))</f>
        <v/>
      </c>
      <c r="AC330" s="17">
        <f>IF(COUNT(C330:P330)=0,"",IFERROR(J330/H330,0))</f>
        <v/>
      </c>
      <c r="AD330" s="14">
        <f>IF(COUNT(C330:P330)=0,"",IFERROR(C330/J330,0))</f>
        <v/>
      </c>
      <c r="AE330" s="17">
        <f>IF(COUNT(C330:P330)=0,"",IFERROR(K330/H330,0))</f>
        <v/>
      </c>
      <c r="AF330" s="17">
        <f>IF(COUNT(C330:P330)=0,"",IFERROR(L330/H330,0))</f>
        <v/>
      </c>
      <c r="AG330" s="14">
        <f>IF(COUNT(C330:P330)=0,"",IFERROR(C330/K330,0))</f>
        <v/>
      </c>
      <c r="AH330" s="17">
        <f>IF(COUNT(C330:P330)=0,"",IFERROR(M330/K330,0))</f>
        <v/>
      </c>
      <c r="AI330" s="14">
        <f>IF(COUNT(C330:P330)=0,"",IFERROR(C330/M330,0))</f>
        <v/>
      </c>
      <c r="AJ330" s="17">
        <f>IF(COUNT(C330:P330)=0,"",IFERROR(N330/M330,0))</f>
        <v/>
      </c>
      <c r="AK330" s="16">
        <f>IF(COUNT(C330:P330)=0,"",IFERROR(N330/H330,0))</f>
        <v/>
      </c>
      <c r="AL330" s="14">
        <f>IF(COUNT(C330:P330)=0,"",IFERROR(C330/N330,0))</f>
        <v/>
      </c>
      <c r="AM330" s="17">
        <f>IF(COUNT(C330:P330)=0,"",IFERROR(O330/N330,0))</f>
        <v/>
      </c>
      <c r="AN330" s="17">
        <f>IF(COUNT(C330:P330)=0,"",IFERROR(P330/N330,0))</f>
        <v/>
      </c>
      <c r="AO330" s="19">
        <f>IF(COUNT(C330:P330)=0,"",IFERROR(N330*Config!$C$7+O330*Config!$C$8+P330*Config!$C$9,0))</f>
        <v/>
      </c>
      <c r="AP330" s="14">
        <f>IF(COUNT(C330:P330)=0,"",IFERROR(AO330/N330,0))</f>
        <v/>
      </c>
      <c r="AQ330" s="19">
        <f>IF(COUNT(C330:P330)=0,"",IFERROR(AO330*(1-Config!$C$10-Config!$C$11-Config!$C$12),0))</f>
        <v/>
      </c>
      <c r="AR330" s="19">
        <f>IF(COUNT(C330:P330)=0,"",IFERROR(AQ330-C330-Config!$C$13,0))</f>
        <v/>
      </c>
      <c r="AS330" s="20">
        <f>IF(COUNT(C330:P330)=0,"",IFERROR(AQ330/C330,0))</f>
        <v/>
      </c>
      <c r="AT330" s="14">
        <f>IF(COUNT(C330:P330)=0,"",IFERROR(AR330/G330,0))</f>
        <v/>
      </c>
      <c r="AU330" s="20">
        <f>IF(COUNT(C330:P330)=0,"",IFERROR(AT330/V330,0))</f>
        <v/>
      </c>
      <c r="AV330" s="14">
        <f>IF(COUNT(C330:P330)=0,"",IFERROR(AR330/H330,0))</f>
        <v/>
      </c>
    </row>
    <row r="331">
      <c r="A331" s="11">
        <f>Config!$C$6+325</f>
        <v/>
      </c>
      <c r="B331" s="12">
        <f>INT((A331-Config!$C$6)/7)+1</f>
        <v/>
      </c>
      <c r="C331" s="9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4">
        <f>IF(COUNT(C331:P331)=0,"",IFERROR(C331/D331*1000,0))</f>
        <v/>
      </c>
      <c r="R331" s="15">
        <f>IF(COUNT(C331:P331)=0,"",IFERROR(D331/E331,0))</f>
        <v/>
      </c>
      <c r="S331" s="16">
        <f>IF(COUNT(C331:P331)=0,"",IFERROR(F331/D331,0))</f>
        <v/>
      </c>
      <c r="T331" s="14">
        <f>IF(COUNT(C331:P331)=0,"",IFERROR(C331/F331,0))</f>
        <v/>
      </c>
      <c r="U331" s="17">
        <f>IF(COUNT(C331:P331)=0,"",IFERROR(G331/F331,0))</f>
        <v/>
      </c>
      <c r="V331" s="14">
        <f>IF(COUNT(C331:P331)=0,"",IFERROR(C331/G331,0))</f>
        <v/>
      </c>
      <c r="W331" s="18">
        <f>IF(COUNT(C331:P331)=0,"",IFERROR(G331/D331*1000,0))</f>
        <v/>
      </c>
      <c r="X331" s="17">
        <f>IF(COUNT(C331:P331)=0,"",IFERROR(H331/G331,0))</f>
        <v/>
      </c>
      <c r="Y331" s="14">
        <f>IF(COUNT(C331:P331)=0,"",IFERROR(C331/H331,0))</f>
        <v/>
      </c>
      <c r="Z331" s="14">
        <f>IF(COUNT(C331:P331)=0,"",IFERROR(C331/I331,0))</f>
        <v/>
      </c>
      <c r="AA331" s="17">
        <f>IF(COUNT(C331:P331)=0,"",IFERROR(Y331/Q331,0))</f>
        <v/>
      </c>
      <c r="AB331" s="18">
        <f>IF(COUNT(C331:P331)=0,"",IFERROR(H331/D331*1000,0))</f>
        <v/>
      </c>
      <c r="AC331" s="17">
        <f>IF(COUNT(C331:P331)=0,"",IFERROR(J331/H331,0))</f>
        <v/>
      </c>
      <c r="AD331" s="14">
        <f>IF(COUNT(C331:P331)=0,"",IFERROR(C331/J331,0))</f>
        <v/>
      </c>
      <c r="AE331" s="17">
        <f>IF(COUNT(C331:P331)=0,"",IFERROR(K331/H331,0))</f>
        <v/>
      </c>
      <c r="AF331" s="17">
        <f>IF(COUNT(C331:P331)=0,"",IFERROR(L331/H331,0))</f>
        <v/>
      </c>
      <c r="AG331" s="14">
        <f>IF(COUNT(C331:P331)=0,"",IFERROR(C331/K331,0))</f>
        <v/>
      </c>
      <c r="AH331" s="17">
        <f>IF(COUNT(C331:P331)=0,"",IFERROR(M331/K331,0))</f>
        <v/>
      </c>
      <c r="AI331" s="14">
        <f>IF(COUNT(C331:P331)=0,"",IFERROR(C331/M331,0))</f>
        <v/>
      </c>
      <c r="AJ331" s="17">
        <f>IF(COUNT(C331:P331)=0,"",IFERROR(N331/M331,0))</f>
        <v/>
      </c>
      <c r="AK331" s="16">
        <f>IF(COUNT(C331:P331)=0,"",IFERROR(N331/H331,0))</f>
        <v/>
      </c>
      <c r="AL331" s="14">
        <f>IF(COUNT(C331:P331)=0,"",IFERROR(C331/N331,0))</f>
        <v/>
      </c>
      <c r="AM331" s="17">
        <f>IF(COUNT(C331:P331)=0,"",IFERROR(O331/N331,0))</f>
        <v/>
      </c>
      <c r="AN331" s="17">
        <f>IF(COUNT(C331:P331)=0,"",IFERROR(P331/N331,0))</f>
        <v/>
      </c>
      <c r="AO331" s="19">
        <f>IF(COUNT(C331:P331)=0,"",IFERROR(N331*Config!$C$7+O331*Config!$C$8+P331*Config!$C$9,0))</f>
        <v/>
      </c>
      <c r="AP331" s="14">
        <f>IF(COUNT(C331:P331)=0,"",IFERROR(AO331/N331,0))</f>
        <v/>
      </c>
      <c r="AQ331" s="19">
        <f>IF(COUNT(C331:P331)=0,"",IFERROR(AO331*(1-Config!$C$10-Config!$C$11-Config!$C$12),0))</f>
        <v/>
      </c>
      <c r="AR331" s="19">
        <f>IF(COUNT(C331:P331)=0,"",IFERROR(AQ331-C331-Config!$C$13,0))</f>
        <v/>
      </c>
      <c r="AS331" s="20">
        <f>IF(COUNT(C331:P331)=0,"",IFERROR(AQ331/C331,0))</f>
        <v/>
      </c>
      <c r="AT331" s="14">
        <f>IF(COUNT(C331:P331)=0,"",IFERROR(AR331/G331,0))</f>
        <v/>
      </c>
      <c r="AU331" s="20">
        <f>IF(COUNT(C331:P331)=0,"",IFERROR(AT331/V331,0))</f>
        <v/>
      </c>
      <c r="AV331" s="14">
        <f>IF(COUNT(C331:P331)=0,"",IFERROR(AR331/H331,0))</f>
        <v/>
      </c>
    </row>
    <row r="332">
      <c r="A332" s="11">
        <f>Config!$C$6+326</f>
        <v/>
      </c>
      <c r="B332" s="12">
        <f>INT((A332-Config!$C$6)/7)+1</f>
        <v/>
      </c>
      <c r="C332" s="9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4">
        <f>IF(COUNT(C332:P332)=0,"",IFERROR(C332/D332*1000,0))</f>
        <v/>
      </c>
      <c r="R332" s="15">
        <f>IF(COUNT(C332:P332)=0,"",IFERROR(D332/E332,0))</f>
        <v/>
      </c>
      <c r="S332" s="16">
        <f>IF(COUNT(C332:P332)=0,"",IFERROR(F332/D332,0))</f>
        <v/>
      </c>
      <c r="T332" s="14">
        <f>IF(COUNT(C332:P332)=0,"",IFERROR(C332/F332,0))</f>
        <v/>
      </c>
      <c r="U332" s="17">
        <f>IF(COUNT(C332:P332)=0,"",IFERROR(G332/F332,0))</f>
        <v/>
      </c>
      <c r="V332" s="14">
        <f>IF(COUNT(C332:P332)=0,"",IFERROR(C332/G332,0))</f>
        <v/>
      </c>
      <c r="W332" s="18">
        <f>IF(COUNT(C332:P332)=0,"",IFERROR(G332/D332*1000,0))</f>
        <v/>
      </c>
      <c r="X332" s="17">
        <f>IF(COUNT(C332:P332)=0,"",IFERROR(H332/G332,0))</f>
        <v/>
      </c>
      <c r="Y332" s="14">
        <f>IF(COUNT(C332:P332)=0,"",IFERROR(C332/H332,0))</f>
        <v/>
      </c>
      <c r="Z332" s="14">
        <f>IF(COUNT(C332:P332)=0,"",IFERROR(C332/I332,0))</f>
        <v/>
      </c>
      <c r="AA332" s="17">
        <f>IF(COUNT(C332:P332)=0,"",IFERROR(Y332/Q332,0))</f>
        <v/>
      </c>
      <c r="AB332" s="18">
        <f>IF(COUNT(C332:P332)=0,"",IFERROR(H332/D332*1000,0))</f>
        <v/>
      </c>
      <c r="AC332" s="17">
        <f>IF(COUNT(C332:P332)=0,"",IFERROR(J332/H332,0))</f>
        <v/>
      </c>
      <c r="AD332" s="14">
        <f>IF(COUNT(C332:P332)=0,"",IFERROR(C332/J332,0))</f>
        <v/>
      </c>
      <c r="AE332" s="17">
        <f>IF(COUNT(C332:P332)=0,"",IFERROR(K332/H332,0))</f>
        <v/>
      </c>
      <c r="AF332" s="17">
        <f>IF(COUNT(C332:P332)=0,"",IFERROR(L332/H332,0))</f>
        <v/>
      </c>
      <c r="AG332" s="14">
        <f>IF(COUNT(C332:P332)=0,"",IFERROR(C332/K332,0))</f>
        <v/>
      </c>
      <c r="AH332" s="17">
        <f>IF(COUNT(C332:P332)=0,"",IFERROR(M332/K332,0))</f>
        <v/>
      </c>
      <c r="AI332" s="14">
        <f>IF(COUNT(C332:P332)=0,"",IFERROR(C332/M332,0))</f>
        <v/>
      </c>
      <c r="AJ332" s="17">
        <f>IF(COUNT(C332:P332)=0,"",IFERROR(N332/M332,0))</f>
        <v/>
      </c>
      <c r="AK332" s="16">
        <f>IF(COUNT(C332:P332)=0,"",IFERROR(N332/H332,0))</f>
        <v/>
      </c>
      <c r="AL332" s="14">
        <f>IF(COUNT(C332:P332)=0,"",IFERROR(C332/N332,0))</f>
        <v/>
      </c>
      <c r="AM332" s="17">
        <f>IF(COUNT(C332:P332)=0,"",IFERROR(O332/N332,0))</f>
        <v/>
      </c>
      <c r="AN332" s="17">
        <f>IF(COUNT(C332:P332)=0,"",IFERROR(P332/N332,0))</f>
        <v/>
      </c>
      <c r="AO332" s="19">
        <f>IF(COUNT(C332:P332)=0,"",IFERROR(N332*Config!$C$7+O332*Config!$C$8+P332*Config!$C$9,0))</f>
        <v/>
      </c>
      <c r="AP332" s="14">
        <f>IF(COUNT(C332:P332)=0,"",IFERROR(AO332/N332,0))</f>
        <v/>
      </c>
      <c r="AQ332" s="19">
        <f>IF(COUNT(C332:P332)=0,"",IFERROR(AO332*(1-Config!$C$10-Config!$C$11-Config!$C$12),0))</f>
        <v/>
      </c>
      <c r="AR332" s="19">
        <f>IF(COUNT(C332:P332)=0,"",IFERROR(AQ332-C332-Config!$C$13,0))</f>
        <v/>
      </c>
      <c r="AS332" s="20">
        <f>IF(COUNT(C332:P332)=0,"",IFERROR(AQ332/C332,0))</f>
        <v/>
      </c>
      <c r="AT332" s="14">
        <f>IF(COUNT(C332:P332)=0,"",IFERROR(AR332/G332,0))</f>
        <v/>
      </c>
      <c r="AU332" s="20">
        <f>IF(COUNT(C332:P332)=0,"",IFERROR(AT332/V332,0))</f>
        <v/>
      </c>
      <c r="AV332" s="14">
        <f>IF(COUNT(C332:P332)=0,"",IFERROR(AR332/H332,0))</f>
        <v/>
      </c>
    </row>
    <row r="333">
      <c r="A333" s="11">
        <f>Config!$C$6+327</f>
        <v/>
      </c>
      <c r="B333" s="12">
        <f>INT((A333-Config!$C$6)/7)+1</f>
        <v/>
      </c>
      <c r="C333" s="9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4">
        <f>IF(COUNT(C333:P333)=0,"",IFERROR(C333/D333*1000,0))</f>
        <v/>
      </c>
      <c r="R333" s="15">
        <f>IF(COUNT(C333:P333)=0,"",IFERROR(D333/E333,0))</f>
        <v/>
      </c>
      <c r="S333" s="16">
        <f>IF(COUNT(C333:P333)=0,"",IFERROR(F333/D333,0))</f>
        <v/>
      </c>
      <c r="T333" s="14">
        <f>IF(COUNT(C333:P333)=0,"",IFERROR(C333/F333,0))</f>
        <v/>
      </c>
      <c r="U333" s="17">
        <f>IF(COUNT(C333:P333)=0,"",IFERROR(G333/F333,0))</f>
        <v/>
      </c>
      <c r="V333" s="14">
        <f>IF(COUNT(C333:P333)=0,"",IFERROR(C333/G333,0))</f>
        <v/>
      </c>
      <c r="W333" s="18">
        <f>IF(COUNT(C333:P333)=0,"",IFERROR(G333/D333*1000,0))</f>
        <v/>
      </c>
      <c r="X333" s="17">
        <f>IF(COUNT(C333:P333)=0,"",IFERROR(H333/G333,0))</f>
        <v/>
      </c>
      <c r="Y333" s="14">
        <f>IF(COUNT(C333:P333)=0,"",IFERROR(C333/H333,0))</f>
        <v/>
      </c>
      <c r="Z333" s="14">
        <f>IF(COUNT(C333:P333)=0,"",IFERROR(C333/I333,0))</f>
        <v/>
      </c>
      <c r="AA333" s="17">
        <f>IF(COUNT(C333:P333)=0,"",IFERROR(Y333/Q333,0))</f>
        <v/>
      </c>
      <c r="AB333" s="18">
        <f>IF(COUNT(C333:P333)=0,"",IFERROR(H333/D333*1000,0))</f>
        <v/>
      </c>
      <c r="AC333" s="17">
        <f>IF(COUNT(C333:P333)=0,"",IFERROR(J333/H333,0))</f>
        <v/>
      </c>
      <c r="AD333" s="14">
        <f>IF(COUNT(C333:P333)=0,"",IFERROR(C333/J333,0))</f>
        <v/>
      </c>
      <c r="AE333" s="17">
        <f>IF(COUNT(C333:P333)=0,"",IFERROR(K333/H333,0))</f>
        <v/>
      </c>
      <c r="AF333" s="17">
        <f>IF(COUNT(C333:P333)=0,"",IFERROR(L333/H333,0))</f>
        <v/>
      </c>
      <c r="AG333" s="14">
        <f>IF(COUNT(C333:P333)=0,"",IFERROR(C333/K333,0))</f>
        <v/>
      </c>
      <c r="AH333" s="17">
        <f>IF(COUNT(C333:P333)=0,"",IFERROR(M333/K333,0))</f>
        <v/>
      </c>
      <c r="AI333" s="14">
        <f>IF(COUNT(C333:P333)=0,"",IFERROR(C333/M333,0))</f>
        <v/>
      </c>
      <c r="AJ333" s="17">
        <f>IF(COUNT(C333:P333)=0,"",IFERROR(N333/M333,0))</f>
        <v/>
      </c>
      <c r="AK333" s="16">
        <f>IF(COUNT(C333:P333)=0,"",IFERROR(N333/H333,0))</f>
        <v/>
      </c>
      <c r="AL333" s="14">
        <f>IF(COUNT(C333:P333)=0,"",IFERROR(C333/N333,0))</f>
        <v/>
      </c>
      <c r="AM333" s="17">
        <f>IF(COUNT(C333:P333)=0,"",IFERROR(O333/N333,0))</f>
        <v/>
      </c>
      <c r="AN333" s="17">
        <f>IF(COUNT(C333:P333)=0,"",IFERROR(P333/N333,0))</f>
        <v/>
      </c>
      <c r="AO333" s="19">
        <f>IF(COUNT(C333:P333)=0,"",IFERROR(N333*Config!$C$7+O333*Config!$C$8+P333*Config!$C$9,0))</f>
        <v/>
      </c>
      <c r="AP333" s="14">
        <f>IF(COUNT(C333:P333)=0,"",IFERROR(AO333/N333,0))</f>
        <v/>
      </c>
      <c r="AQ333" s="19">
        <f>IF(COUNT(C333:P333)=0,"",IFERROR(AO333*(1-Config!$C$10-Config!$C$11-Config!$C$12),0))</f>
        <v/>
      </c>
      <c r="AR333" s="19">
        <f>IF(COUNT(C333:P333)=0,"",IFERROR(AQ333-C333-Config!$C$13,0))</f>
        <v/>
      </c>
      <c r="AS333" s="20">
        <f>IF(COUNT(C333:P333)=0,"",IFERROR(AQ333/C333,0))</f>
        <v/>
      </c>
      <c r="AT333" s="14">
        <f>IF(COUNT(C333:P333)=0,"",IFERROR(AR333/G333,0))</f>
        <v/>
      </c>
      <c r="AU333" s="20">
        <f>IF(COUNT(C333:P333)=0,"",IFERROR(AT333/V333,0))</f>
        <v/>
      </c>
      <c r="AV333" s="14">
        <f>IF(COUNT(C333:P333)=0,"",IFERROR(AR333/H333,0))</f>
        <v/>
      </c>
    </row>
    <row r="334">
      <c r="A334" s="11">
        <f>Config!$C$6+328</f>
        <v/>
      </c>
      <c r="B334" s="12">
        <f>INT((A334-Config!$C$6)/7)+1</f>
        <v/>
      </c>
      <c r="C334" s="9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4">
        <f>IF(COUNT(C334:P334)=0,"",IFERROR(C334/D334*1000,0))</f>
        <v/>
      </c>
      <c r="R334" s="15">
        <f>IF(COUNT(C334:P334)=0,"",IFERROR(D334/E334,0))</f>
        <v/>
      </c>
      <c r="S334" s="16">
        <f>IF(COUNT(C334:P334)=0,"",IFERROR(F334/D334,0))</f>
        <v/>
      </c>
      <c r="T334" s="14">
        <f>IF(COUNT(C334:P334)=0,"",IFERROR(C334/F334,0))</f>
        <v/>
      </c>
      <c r="U334" s="17">
        <f>IF(COUNT(C334:P334)=0,"",IFERROR(G334/F334,0))</f>
        <v/>
      </c>
      <c r="V334" s="14">
        <f>IF(COUNT(C334:P334)=0,"",IFERROR(C334/G334,0))</f>
        <v/>
      </c>
      <c r="W334" s="18">
        <f>IF(COUNT(C334:P334)=0,"",IFERROR(G334/D334*1000,0))</f>
        <v/>
      </c>
      <c r="X334" s="17">
        <f>IF(COUNT(C334:P334)=0,"",IFERROR(H334/G334,0))</f>
        <v/>
      </c>
      <c r="Y334" s="14">
        <f>IF(COUNT(C334:P334)=0,"",IFERROR(C334/H334,0))</f>
        <v/>
      </c>
      <c r="Z334" s="14">
        <f>IF(COUNT(C334:P334)=0,"",IFERROR(C334/I334,0))</f>
        <v/>
      </c>
      <c r="AA334" s="17">
        <f>IF(COUNT(C334:P334)=0,"",IFERROR(Y334/Q334,0))</f>
        <v/>
      </c>
      <c r="AB334" s="18">
        <f>IF(COUNT(C334:P334)=0,"",IFERROR(H334/D334*1000,0))</f>
        <v/>
      </c>
      <c r="AC334" s="17">
        <f>IF(COUNT(C334:P334)=0,"",IFERROR(J334/H334,0))</f>
        <v/>
      </c>
      <c r="AD334" s="14">
        <f>IF(COUNT(C334:P334)=0,"",IFERROR(C334/J334,0))</f>
        <v/>
      </c>
      <c r="AE334" s="17">
        <f>IF(COUNT(C334:P334)=0,"",IFERROR(K334/H334,0))</f>
        <v/>
      </c>
      <c r="AF334" s="17">
        <f>IF(COUNT(C334:P334)=0,"",IFERROR(L334/H334,0))</f>
        <v/>
      </c>
      <c r="AG334" s="14">
        <f>IF(COUNT(C334:P334)=0,"",IFERROR(C334/K334,0))</f>
        <v/>
      </c>
      <c r="AH334" s="17">
        <f>IF(COUNT(C334:P334)=0,"",IFERROR(M334/K334,0))</f>
        <v/>
      </c>
      <c r="AI334" s="14">
        <f>IF(COUNT(C334:P334)=0,"",IFERROR(C334/M334,0))</f>
        <v/>
      </c>
      <c r="AJ334" s="17">
        <f>IF(COUNT(C334:P334)=0,"",IFERROR(N334/M334,0))</f>
        <v/>
      </c>
      <c r="AK334" s="16">
        <f>IF(COUNT(C334:P334)=0,"",IFERROR(N334/H334,0))</f>
        <v/>
      </c>
      <c r="AL334" s="14">
        <f>IF(COUNT(C334:P334)=0,"",IFERROR(C334/N334,0))</f>
        <v/>
      </c>
      <c r="AM334" s="17">
        <f>IF(COUNT(C334:P334)=0,"",IFERROR(O334/N334,0))</f>
        <v/>
      </c>
      <c r="AN334" s="17">
        <f>IF(COUNT(C334:P334)=0,"",IFERROR(P334/N334,0))</f>
        <v/>
      </c>
      <c r="AO334" s="19">
        <f>IF(COUNT(C334:P334)=0,"",IFERROR(N334*Config!$C$7+O334*Config!$C$8+P334*Config!$C$9,0))</f>
        <v/>
      </c>
      <c r="AP334" s="14">
        <f>IF(COUNT(C334:P334)=0,"",IFERROR(AO334/N334,0))</f>
        <v/>
      </c>
      <c r="AQ334" s="19">
        <f>IF(COUNT(C334:P334)=0,"",IFERROR(AO334*(1-Config!$C$10-Config!$C$11-Config!$C$12),0))</f>
        <v/>
      </c>
      <c r="AR334" s="19">
        <f>IF(COUNT(C334:P334)=0,"",IFERROR(AQ334-C334-Config!$C$13,0))</f>
        <v/>
      </c>
      <c r="AS334" s="20">
        <f>IF(COUNT(C334:P334)=0,"",IFERROR(AQ334/C334,0))</f>
        <v/>
      </c>
      <c r="AT334" s="14">
        <f>IF(COUNT(C334:P334)=0,"",IFERROR(AR334/G334,0))</f>
        <v/>
      </c>
      <c r="AU334" s="20">
        <f>IF(COUNT(C334:P334)=0,"",IFERROR(AT334/V334,0))</f>
        <v/>
      </c>
      <c r="AV334" s="14">
        <f>IF(COUNT(C334:P334)=0,"",IFERROR(AR334/H334,0))</f>
        <v/>
      </c>
    </row>
    <row r="335">
      <c r="A335" s="11">
        <f>Config!$C$6+329</f>
        <v/>
      </c>
      <c r="B335" s="12">
        <f>INT((A335-Config!$C$6)/7)+1</f>
        <v/>
      </c>
      <c r="C335" s="9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4">
        <f>IF(COUNT(C335:P335)=0,"",IFERROR(C335/D335*1000,0))</f>
        <v/>
      </c>
      <c r="R335" s="15">
        <f>IF(COUNT(C335:P335)=0,"",IFERROR(D335/E335,0))</f>
        <v/>
      </c>
      <c r="S335" s="16">
        <f>IF(COUNT(C335:P335)=0,"",IFERROR(F335/D335,0))</f>
        <v/>
      </c>
      <c r="T335" s="14">
        <f>IF(COUNT(C335:P335)=0,"",IFERROR(C335/F335,0))</f>
        <v/>
      </c>
      <c r="U335" s="17">
        <f>IF(COUNT(C335:P335)=0,"",IFERROR(G335/F335,0))</f>
        <v/>
      </c>
      <c r="V335" s="14">
        <f>IF(COUNT(C335:P335)=0,"",IFERROR(C335/G335,0))</f>
        <v/>
      </c>
      <c r="W335" s="18">
        <f>IF(COUNT(C335:P335)=0,"",IFERROR(G335/D335*1000,0))</f>
        <v/>
      </c>
      <c r="X335" s="17">
        <f>IF(COUNT(C335:P335)=0,"",IFERROR(H335/G335,0))</f>
        <v/>
      </c>
      <c r="Y335" s="14">
        <f>IF(COUNT(C335:P335)=0,"",IFERROR(C335/H335,0))</f>
        <v/>
      </c>
      <c r="Z335" s="14">
        <f>IF(COUNT(C335:P335)=0,"",IFERROR(C335/I335,0))</f>
        <v/>
      </c>
      <c r="AA335" s="17">
        <f>IF(COUNT(C335:P335)=0,"",IFERROR(Y335/Q335,0))</f>
        <v/>
      </c>
      <c r="AB335" s="18">
        <f>IF(COUNT(C335:P335)=0,"",IFERROR(H335/D335*1000,0))</f>
        <v/>
      </c>
      <c r="AC335" s="17">
        <f>IF(COUNT(C335:P335)=0,"",IFERROR(J335/H335,0))</f>
        <v/>
      </c>
      <c r="AD335" s="14">
        <f>IF(COUNT(C335:P335)=0,"",IFERROR(C335/J335,0))</f>
        <v/>
      </c>
      <c r="AE335" s="17">
        <f>IF(COUNT(C335:P335)=0,"",IFERROR(K335/H335,0))</f>
        <v/>
      </c>
      <c r="AF335" s="17">
        <f>IF(COUNT(C335:P335)=0,"",IFERROR(L335/H335,0))</f>
        <v/>
      </c>
      <c r="AG335" s="14">
        <f>IF(COUNT(C335:P335)=0,"",IFERROR(C335/K335,0))</f>
        <v/>
      </c>
      <c r="AH335" s="17">
        <f>IF(COUNT(C335:P335)=0,"",IFERROR(M335/K335,0))</f>
        <v/>
      </c>
      <c r="AI335" s="14">
        <f>IF(COUNT(C335:P335)=0,"",IFERROR(C335/M335,0))</f>
        <v/>
      </c>
      <c r="AJ335" s="17">
        <f>IF(COUNT(C335:P335)=0,"",IFERROR(N335/M335,0))</f>
        <v/>
      </c>
      <c r="AK335" s="16">
        <f>IF(COUNT(C335:P335)=0,"",IFERROR(N335/H335,0))</f>
        <v/>
      </c>
      <c r="AL335" s="14">
        <f>IF(COUNT(C335:P335)=0,"",IFERROR(C335/N335,0))</f>
        <v/>
      </c>
      <c r="AM335" s="17">
        <f>IF(COUNT(C335:P335)=0,"",IFERROR(O335/N335,0))</f>
        <v/>
      </c>
      <c r="AN335" s="17">
        <f>IF(COUNT(C335:P335)=0,"",IFERROR(P335/N335,0))</f>
        <v/>
      </c>
      <c r="AO335" s="19">
        <f>IF(COUNT(C335:P335)=0,"",IFERROR(N335*Config!$C$7+O335*Config!$C$8+P335*Config!$C$9,0))</f>
        <v/>
      </c>
      <c r="AP335" s="14">
        <f>IF(COUNT(C335:P335)=0,"",IFERROR(AO335/N335,0))</f>
        <v/>
      </c>
      <c r="AQ335" s="19">
        <f>IF(COUNT(C335:P335)=0,"",IFERROR(AO335*(1-Config!$C$10-Config!$C$11-Config!$C$12),0))</f>
        <v/>
      </c>
      <c r="AR335" s="19">
        <f>IF(COUNT(C335:P335)=0,"",IFERROR(AQ335-C335-Config!$C$13,0))</f>
        <v/>
      </c>
      <c r="AS335" s="20">
        <f>IF(COUNT(C335:P335)=0,"",IFERROR(AQ335/C335,0))</f>
        <v/>
      </c>
      <c r="AT335" s="14">
        <f>IF(COUNT(C335:P335)=0,"",IFERROR(AR335/G335,0))</f>
        <v/>
      </c>
      <c r="AU335" s="20">
        <f>IF(COUNT(C335:P335)=0,"",IFERROR(AT335/V335,0))</f>
        <v/>
      </c>
      <c r="AV335" s="14">
        <f>IF(COUNT(C335:P335)=0,"",IFERROR(AR335/H335,0))</f>
        <v/>
      </c>
    </row>
    <row r="336">
      <c r="A336" s="11">
        <f>Config!$C$6+330</f>
        <v/>
      </c>
      <c r="B336" s="12">
        <f>INT((A336-Config!$C$6)/7)+1</f>
        <v/>
      </c>
      <c r="C336" s="9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4">
        <f>IF(COUNT(C336:P336)=0,"",IFERROR(C336/D336*1000,0))</f>
        <v/>
      </c>
      <c r="R336" s="15">
        <f>IF(COUNT(C336:P336)=0,"",IFERROR(D336/E336,0))</f>
        <v/>
      </c>
      <c r="S336" s="16">
        <f>IF(COUNT(C336:P336)=0,"",IFERROR(F336/D336,0))</f>
        <v/>
      </c>
      <c r="T336" s="14">
        <f>IF(COUNT(C336:P336)=0,"",IFERROR(C336/F336,0))</f>
        <v/>
      </c>
      <c r="U336" s="17">
        <f>IF(COUNT(C336:P336)=0,"",IFERROR(G336/F336,0))</f>
        <v/>
      </c>
      <c r="V336" s="14">
        <f>IF(COUNT(C336:P336)=0,"",IFERROR(C336/G336,0))</f>
        <v/>
      </c>
      <c r="W336" s="18">
        <f>IF(COUNT(C336:P336)=0,"",IFERROR(G336/D336*1000,0))</f>
        <v/>
      </c>
      <c r="X336" s="17">
        <f>IF(COUNT(C336:P336)=0,"",IFERROR(H336/G336,0))</f>
        <v/>
      </c>
      <c r="Y336" s="14">
        <f>IF(COUNT(C336:P336)=0,"",IFERROR(C336/H336,0))</f>
        <v/>
      </c>
      <c r="Z336" s="14">
        <f>IF(COUNT(C336:P336)=0,"",IFERROR(C336/I336,0))</f>
        <v/>
      </c>
      <c r="AA336" s="17">
        <f>IF(COUNT(C336:P336)=0,"",IFERROR(Y336/Q336,0))</f>
        <v/>
      </c>
      <c r="AB336" s="18">
        <f>IF(COUNT(C336:P336)=0,"",IFERROR(H336/D336*1000,0))</f>
        <v/>
      </c>
      <c r="AC336" s="17">
        <f>IF(COUNT(C336:P336)=0,"",IFERROR(J336/H336,0))</f>
        <v/>
      </c>
      <c r="AD336" s="14">
        <f>IF(COUNT(C336:P336)=0,"",IFERROR(C336/J336,0))</f>
        <v/>
      </c>
      <c r="AE336" s="17">
        <f>IF(COUNT(C336:P336)=0,"",IFERROR(K336/H336,0))</f>
        <v/>
      </c>
      <c r="AF336" s="17">
        <f>IF(COUNT(C336:P336)=0,"",IFERROR(L336/H336,0))</f>
        <v/>
      </c>
      <c r="AG336" s="14">
        <f>IF(COUNT(C336:P336)=0,"",IFERROR(C336/K336,0))</f>
        <v/>
      </c>
      <c r="AH336" s="17">
        <f>IF(COUNT(C336:P336)=0,"",IFERROR(M336/K336,0))</f>
        <v/>
      </c>
      <c r="AI336" s="14">
        <f>IF(COUNT(C336:P336)=0,"",IFERROR(C336/M336,0))</f>
        <v/>
      </c>
      <c r="AJ336" s="17">
        <f>IF(COUNT(C336:P336)=0,"",IFERROR(N336/M336,0))</f>
        <v/>
      </c>
      <c r="AK336" s="16">
        <f>IF(COUNT(C336:P336)=0,"",IFERROR(N336/H336,0))</f>
        <v/>
      </c>
      <c r="AL336" s="14">
        <f>IF(COUNT(C336:P336)=0,"",IFERROR(C336/N336,0))</f>
        <v/>
      </c>
      <c r="AM336" s="17">
        <f>IF(COUNT(C336:P336)=0,"",IFERROR(O336/N336,0))</f>
        <v/>
      </c>
      <c r="AN336" s="17">
        <f>IF(COUNT(C336:P336)=0,"",IFERROR(P336/N336,0))</f>
        <v/>
      </c>
      <c r="AO336" s="19">
        <f>IF(COUNT(C336:P336)=0,"",IFERROR(N336*Config!$C$7+O336*Config!$C$8+P336*Config!$C$9,0))</f>
        <v/>
      </c>
      <c r="AP336" s="14">
        <f>IF(COUNT(C336:P336)=0,"",IFERROR(AO336/N336,0))</f>
        <v/>
      </c>
      <c r="AQ336" s="19">
        <f>IF(COUNT(C336:P336)=0,"",IFERROR(AO336*(1-Config!$C$10-Config!$C$11-Config!$C$12),0))</f>
        <v/>
      </c>
      <c r="AR336" s="19">
        <f>IF(COUNT(C336:P336)=0,"",IFERROR(AQ336-C336-Config!$C$13,0))</f>
        <v/>
      </c>
      <c r="AS336" s="20">
        <f>IF(COUNT(C336:P336)=0,"",IFERROR(AQ336/C336,0))</f>
        <v/>
      </c>
      <c r="AT336" s="14">
        <f>IF(COUNT(C336:P336)=0,"",IFERROR(AR336/G336,0))</f>
        <v/>
      </c>
      <c r="AU336" s="20">
        <f>IF(COUNT(C336:P336)=0,"",IFERROR(AT336/V336,0))</f>
        <v/>
      </c>
      <c r="AV336" s="14">
        <f>IF(COUNT(C336:P336)=0,"",IFERROR(AR336/H336,0))</f>
        <v/>
      </c>
    </row>
    <row r="337">
      <c r="A337" s="11">
        <f>Config!$C$6+331</f>
        <v/>
      </c>
      <c r="B337" s="12">
        <f>INT((A337-Config!$C$6)/7)+1</f>
        <v/>
      </c>
      <c r="C337" s="9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4">
        <f>IF(COUNT(C337:P337)=0,"",IFERROR(C337/D337*1000,0))</f>
        <v/>
      </c>
      <c r="R337" s="15">
        <f>IF(COUNT(C337:P337)=0,"",IFERROR(D337/E337,0))</f>
        <v/>
      </c>
      <c r="S337" s="16">
        <f>IF(COUNT(C337:P337)=0,"",IFERROR(F337/D337,0))</f>
        <v/>
      </c>
      <c r="T337" s="14">
        <f>IF(COUNT(C337:P337)=0,"",IFERROR(C337/F337,0))</f>
        <v/>
      </c>
      <c r="U337" s="17">
        <f>IF(COUNT(C337:P337)=0,"",IFERROR(G337/F337,0))</f>
        <v/>
      </c>
      <c r="V337" s="14">
        <f>IF(COUNT(C337:P337)=0,"",IFERROR(C337/G337,0))</f>
        <v/>
      </c>
      <c r="W337" s="18">
        <f>IF(COUNT(C337:P337)=0,"",IFERROR(G337/D337*1000,0))</f>
        <v/>
      </c>
      <c r="X337" s="17">
        <f>IF(COUNT(C337:P337)=0,"",IFERROR(H337/G337,0))</f>
        <v/>
      </c>
      <c r="Y337" s="14">
        <f>IF(COUNT(C337:P337)=0,"",IFERROR(C337/H337,0))</f>
        <v/>
      </c>
      <c r="Z337" s="14">
        <f>IF(COUNT(C337:P337)=0,"",IFERROR(C337/I337,0))</f>
        <v/>
      </c>
      <c r="AA337" s="17">
        <f>IF(COUNT(C337:P337)=0,"",IFERROR(Y337/Q337,0))</f>
        <v/>
      </c>
      <c r="AB337" s="18">
        <f>IF(COUNT(C337:P337)=0,"",IFERROR(H337/D337*1000,0))</f>
        <v/>
      </c>
      <c r="AC337" s="17">
        <f>IF(COUNT(C337:P337)=0,"",IFERROR(J337/H337,0))</f>
        <v/>
      </c>
      <c r="AD337" s="14">
        <f>IF(COUNT(C337:P337)=0,"",IFERROR(C337/J337,0))</f>
        <v/>
      </c>
      <c r="AE337" s="17">
        <f>IF(COUNT(C337:P337)=0,"",IFERROR(K337/H337,0))</f>
        <v/>
      </c>
      <c r="AF337" s="17">
        <f>IF(COUNT(C337:P337)=0,"",IFERROR(L337/H337,0))</f>
        <v/>
      </c>
      <c r="AG337" s="14">
        <f>IF(COUNT(C337:P337)=0,"",IFERROR(C337/K337,0))</f>
        <v/>
      </c>
      <c r="AH337" s="17">
        <f>IF(COUNT(C337:P337)=0,"",IFERROR(M337/K337,0))</f>
        <v/>
      </c>
      <c r="AI337" s="14">
        <f>IF(COUNT(C337:P337)=0,"",IFERROR(C337/M337,0))</f>
        <v/>
      </c>
      <c r="AJ337" s="17">
        <f>IF(COUNT(C337:P337)=0,"",IFERROR(N337/M337,0))</f>
        <v/>
      </c>
      <c r="AK337" s="16">
        <f>IF(COUNT(C337:P337)=0,"",IFERROR(N337/H337,0))</f>
        <v/>
      </c>
      <c r="AL337" s="14">
        <f>IF(COUNT(C337:P337)=0,"",IFERROR(C337/N337,0))</f>
        <v/>
      </c>
      <c r="AM337" s="17">
        <f>IF(COUNT(C337:P337)=0,"",IFERROR(O337/N337,0))</f>
        <v/>
      </c>
      <c r="AN337" s="17">
        <f>IF(COUNT(C337:P337)=0,"",IFERROR(P337/N337,0))</f>
        <v/>
      </c>
      <c r="AO337" s="19">
        <f>IF(COUNT(C337:P337)=0,"",IFERROR(N337*Config!$C$7+O337*Config!$C$8+P337*Config!$C$9,0))</f>
        <v/>
      </c>
      <c r="AP337" s="14">
        <f>IF(COUNT(C337:P337)=0,"",IFERROR(AO337/N337,0))</f>
        <v/>
      </c>
      <c r="AQ337" s="19">
        <f>IF(COUNT(C337:P337)=0,"",IFERROR(AO337*(1-Config!$C$10-Config!$C$11-Config!$C$12),0))</f>
        <v/>
      </c>
      <c r="AR337" s="19">
        <f>IF(COUNT(C337:P337)=0,"",IFERROR(AQ337-C337-Config!$C$13,0))</f>
        <v/>
      </c>
      <c r="AS337" s="20">
        <f>IF(COUNT(C337:P337)=0,"",IFERROR(AQ337/C337,0))</f>
        <v/>
      </c>
      <c r="AT337" s="14">
        <f>IF(COUNT(C337:P337)=0,"",IFERROR(AR337/G337,0))</f>
        <v/>
      </c>
      <c r="AU337" s="20">
        <f>IF(COUNT(C337:P337)=0,"",IFERROR(AT337/V337,0))</f>
        <v/>
      </c>
      <c r="AV337" s="14">
        <f>IF(COUNT(C337:P337)=0,"",IFERROR(AR337/H337,0))</f>
        <v/>
      </c>
    </row>
    <row r="338">
      <c r="A338" s="11">
        <f>Config!$C$6+332</f>
        <v/>
      </c>
      <c r="B338" s="12">
        <f>INT((A338-Config!$C$6)/7)+1</f>
        <v/>
      </c>
      <c r="C338" s="9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4">
        <f>IF(COUNT(C338:P338)=0,"",IFERROR(C338/D338*1000,0))</f>
        <v/>
      </c>
      <c r="R338" s="15">
        <f>IF(COUNT(C338:P338)=0,"",IFERROR(D338/E338,0))</f>
        <v/>
      </c>
      <c r="S338" s="16">
        <f>IF(COUNT(C338:P338)=0,"",IFERROR(F338/D338,0))</f>
        <v/>
      </c>
      <c r="T338" s="14">
        <f>IF(COUNT(C338:P338)=0,"",IFERROR(C338/F338,0))</f>
        <v/>
      </c>
      <c r="U338" s="17">
        <f>IF(COUNT(C338:P338)=0,"",IFERROR(G338/F338,0))</f>
        <v/>
      </c>
      <c r="V338" s="14">
        <f>IF(COUNT(C338:P338)=0,"",IFERROR(C338/G338,0))</f>
        <v/>
      </c>
      <c r="W338" s="18">
        <f>IF(COUNT(C338:P338)=0,"",IFERROR(G338/D338*1000,0))</f>
        <v/>
      </c>
      <c r="X338" s="17">
        <f>IF(COUNT(C338:P338)=0,"",IFERROR(H338/G338,0))</f>
        <v/>
      </c>
      <c r="Y338" s="14">
        <f>IF(COUNT(C338:P338)=0,"",IFERROR(C338/H338,0))</f>
        <v/>
      </c>
      <c r="Z338" s="14">
        <f>IF(COUNT(C338:P338)=0,"",IFERROR(C338/I338,0))</f>
        <v/>
      </c>
      <c r="AA338" s="17">
        <f>IF(COUNT(C338:P338)=0,"",IFERROR(Y338/Q338,0))</f>
        <v/>
      </c>
      <c r="AB338" s="18">
        <f>IF(COUNT(C338:P338)=0,"",IFERROR(H338/D338*1000,0))</f>
        <v/>
      </c>
      <c r="AC338" s="17">
        <f>IF(COUNT(C338:P338)=0,"",IFERROR(J338/H338,0))</f>
        <v/>
      </c>
      <c r="AD338" s="14">
        <f>IF(COUNT(C338:P338)=0,"",IFERROR(C338/J338,0))</f>
        <v/>
      </c>
      <c r="AE338" s="17">
        <f>IF(COUNT(C338:P338)=0,"",IFERROR(K338/H338,0))</f>
        <v/>
      </c>
      <c r="AF338" s="17">
        <f>IF(COUNT(C338:P338)=0,"",IFERROR(L338/H338,0))</f>
        <v/>
      </c>
      <c r="AG338" s="14">
        <f>IF(COUNT(C338:P338)=0,"",IFERROR(C338/K338,0))</f>
        <v/>
      </c>
      <c r="AH338" s="17">
        <f>IF(COUNT(C338:P338)=0,"",IFERROR(M338/K338,0))</f>
        <v/>
      </c>
      <c r="AI338" s="14">
        <f>IF(COUNT(C338:P338)=0,"",IFERROR(C338/M338,0))</f>
        <v/>
      </c>
      <c r="AJ338" s="17">
        <f>IF(COUNT(C338:P338)=0,"",IFERROR(N338/M338,0))</f>
        <v/>
      </c>
      <c r="AK338" s="16">
        <f>IF(COUNT(C338:P338)=0,"",IFERROR(N338/H338,0))</f>
        <v/>
      </c>
      <c r="AL338" s="14">
        <f>IF(COUNT(C338:P338)=0,"",IFERROR(C338/N338,0))</f>
        <v/>
      </c>
      <c r="AM338" s="17">
        <f>IF(COUNT(C338:P338)=0,"",IFERROR(O338/N338,0))</f>
        <v/>
      </c>
      <c r="AN338" s="17">
        <f>IF(COUNT(C338:P338)=0,"",IFERROR(P338/N338,0))</f>
        <v/>
      </c>
      <c r="AO338" s="19">
        <f>IF(COUNT(C338:P338)=0,"",IFERROR(N338*Config!$C$7+O338*Config!$C$8+P338*Config!$C$9,0))</f>
        <v/>
      </c>
      <c r="AP338" s="14">
        <f>IF(COUNT(C338:P338)=0,"",IFERROR(AO338/N338,0))</f>
        <v/>
      </c>
      <c r="AQ338" s="19">
        <f>IF(COUNT(C338:P338)=0,"",IFERROR(AO338*(1-Config!$C$10-Config!$C$11-Config!$C$12),0))</f>
        <v/>
      </c>
      <c r="AR338" s="19">
        <f>IF(COUNT(C338:P338)=0,"",IFERROR(AQ338-C338-Config!$C$13,0))</f>
        <v/>
      </c>
      <c r="AS338" s="20">
        <f>IF(COUNT(C338:P338)=0,"",IFERROR(AQ338/C338,0))</f>
        <v/>
      </c>
      <c r="AT338" s="14">
        <f>IF(COUNT(C338:P338)=0,"",IFERROR(AR338/G338,0))</f>
        <v/>
      </c>
      <c r="AU338" s="20">
        <f>IF(COUNT(C338:P338)=0,"",IFERROR(AT338/V338,0))</f>
        <v/>
      </c>
      <c r="AV338" s="14">
        <f>IF(COUNT(C338:P338)=0,"",IFERROR(AR338/H338,0))</f>
        <v/>
      </c>
    </row>
    <row r="339">
      <c r="A339" s="11">
        <f>Config!$C$6+333</f>
        <v/>
      </c>
      <c r="B339" s="12">
        <f>INT((A339-Config!$C$6)/7)+1</f>
        <v/>
      </c>
      <c r="C339" s="9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4">
        <f>IF(COUNT(C339:P339)=0,"",IFERROR(C339/D339*1000,0))</f>
        <v/>
      </c>
      <c r="R339" s="15">
        <f>IF(COUNT(C339:P339)=0,"",IFERROR(D339/E339,0))</f>
        <v/>
      </c>
      <c r="S339" s="16">
        <f>IF(COUNT(C339:P339)=0,"",IFERROR(F339/D339,0))</f>
        <v/>
      </c>
      <c r="T339" s="14">
        <f>IF(COUNT(C339:P339)=0,"",IFERROR(C339/F339,0))</f>
        <v/>
      </c>
      <c r="U339" s="17">
        <f>IF(COUNT(C339:P339)=0,"",IFERROR(G339/F339,0))</f>
        <v/>
      </c>
      <c r="V339" s="14">
        <f>IF(COUNT(C339:P339)=0,"",IFERROR(C339/G339,0))</f>
        <v/>
      </c>
      <c r="W339" s="18">
        <f>IF(COUNT(C339:P339)=0,"",IFERROR(G339/D339*1000,0))</f>
        <v/>
      </c>
      <c r="X339" s="17">
        <f>IF(COUNT(C339:P339)=0,"",IFERROR(H339/G339,0))</f>
        <v/>
      </c>
      <c r="Y339" s="14">
        <f>IF(COUNT(C339:P339)=0,"",IFERROR(C339/H339,0))</f>
        <v/>
      </c>
      <c r="Z339" s="14">
        <f>IF(COUNT(C339:P339)=0,"",IFERROR(C339/I339,0))</f>
        <v/>
      </c>
      <c r="AA339" s="17">
        <f>IF(COUNT(C339:P339)=0,"",IFERROR(Y339/Q339,0))</f>
        <v/>
      </c>
      <c r="AB339" s="18">
        <f>IF(COUNT(C339:P339)=0,"",IFERROR(H339/D339*1000,0))</f>
        <v/>
      </c>
      <c r="AC339" s="17">
        <f>IF(COUNT(C339:P339)=0,"",IFERROR(J339/H339,0))</f>
        <v/>
      </c>
      <c r="AD339" s="14">
        <f>IF(COUNT(C339:P339)=0,"",IFERROR(C339/J339,0))</f>
        <v/>
      </c>
      <c r="AE339" s="17">
        <f>IF(COUNT(C339:P339)=0,"",IFERROR(K339/H339,0))</f>
        <v/>
      </c>
      <c r="AF339" s="17">
        <f>IF(COUNT(C339:P339)=0,"",IFERROR(L339/H339,0))</f>
        <v/>
      </c>
      <c r="AG339" s="14">
        <f>IF(COUNT(C339:P339)=0,"",IFERROR(C339/K339,0))</f>
        <v/>
      </c>
      <c r="AH339" s="17">
        <f>IF(COUNT(C339:P339)=0,"",IFERROR(M339/K339,0))</f>
        <v/>
      </c>
      <c r="AI339" s="14">
        <f>IF(COUNT(C339:P339)=0,"",IFERROR(C339/M339,0))</f>
        <v/>
      </c>
      <c r="AJ339" s="17">
        <f>IF(COUNT(C339:P339)=0,"",IFERROR(N339/M339,0))</f>
        <v/>
      </c>
      <c r="AK339" s="16">
        <f>IF(COUNT(C339:P339)=0,"",IFERROR(N339/H339,0))</f>
        <v/>
      </c>
      <c r="AL339" s="14">
        <f>IF(COUNT(C339:P339)=0,"",IFERROR(C339/N339,0))</f>
        <v/>
      </c>
      <c r="AM339" s="17">
        <f>IF(COUNT(C339:P339)=0,"",IFERROR(O339/N339,0))</f>
        <v/>
      </c>
      <c r="AN339" s="17">
        <f>IF(COUNT(C339:P339)=0,"",IFERROR(P339/N339,0))</f>
        <v/>
      </c>
      <c r="AO339" s="19">
        <f>IF(COUNT(C339:P339)=0,"",IFERROR(N339*Config!$C$7+O339*Config!$C$8+P339*Config!$C$9,0))</f>
        <v/>
      </c>
      <c r="AP339" s="14">
        <f>IF(COUNT(C339:P339)=0,"",IFERROR(AO339/N339,0))</f>
        <v/>
      </c>
      <c r="AQ339" s="19">
        <f>IF(COUNT(C339:P339)=0,"",IFERROR(AO339*(1-Config!$C$10-Config!$C$11-Config!$C$12),0))</f>
        <v/>
      </c>
      <c r="AR339" s="19">
        <f>IF(COUNT(C339:P339)=0,"",IFERROR(AQ339-C339-Config!$C$13,0))</f>
        <v/>
      </c>
      <c r="AS339" s="20">
        <f>IF(COUNT(C339:P339)=0,"",IFERROR(AQ339/C339,0))</f>
        <v/>
      </c>
      <c r="AT339" s="14">
        <f>IF(COUNT(C339:P339)=0,"",IFERROR(AR339/G339,0))</f>
        <v/>
      </c>
      <c r="AU339" s="20">
        <f>IF(COUNT(C339:P339)=0,"",IFERROR(AT339/V339,0))</f>
        <v/>
      </c>
      <c r="AV339" s="14">
        <f>IF(COUNT(C339:P339)=0,"",IFERROR(AR339/H339,0))</f>
        <v/>
      </c>
    </row>
    <row r="340">
      <c r="A340" s="11">
        <f>Config!$C$6+334</f>
        <v/>
      </c>
      <c r="B340" s="12">
        <f>INT((A340-Config!$C$6)/7)+1</f>
        <v/>
      </c>
      <c r="C340" s="9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4">
        <f>IF(COUNT(C340:P340)=0,"",IFERROR(C340/D340*1000,0))</f>
        <v/>
      </c>
      <c r="R340" s="15">
        <f>IF(COUNT(C340:P340)=0,"",IFERROR(D340/E340,0))</f>
        <v/>
      </c>
      <c r="S340" s="16">
        <f>IF(COUNT(C340:P340)=0,"",IFERROR(F340/D340,0))</f>
        <v/>
      </c>
      <c r="T340" s="14">
        <f>IF(COUNT(C340:P340)=0,"",IFERROR(C340/F340,0))</f>
        <v/>
      </c>
      <c r="U340" s="17">
        <f>IF(COUNT(C340:P340)=0,"",IFERROR(G340/F340,0))</f>
        <v/>
      </c>
      <c r="V340" s="14">
        <f>IF(COUNT(C340:P340)=0,"",IFERROR(C340/G340,0))</f>
        <v/>
      </c>
      <c r="W340" s="18">
        <f>IF(COUNT(C340:P340)=0,"",IFERROR(G340/D340*1000,0))</f>
        <v/>
      </c>
      <c r="X340" s="17">
        <f>IF(COUNT(C340:P340)=0,"",IFERROR(H340/G340,0))</f>
        <v/>
      </c>
      <c r="Y340" s="14">
        <f>IF(COUNT(C340:P340)=0,"",IFERROR(C340/H340,0))</f>
        <v/>
      </c>
      <c r="Z340" s="14">
        <f>IF(COUNT(C340:P340)=0,"",IFERROR(C340/I340,0))</f>
        <v/>
      </c>
      <c r="AA340" s="17">
        <f>IF(COUNT(C340:P340)=0,"",IFERROR(Y340/Q340,0))</f>
        <v/>
      </c>
      <c r="AB340" s="18">
        <f>IF(COUNT(C340:P340)=0,"",IFERROR(H340/D340*1000,0))</f>
        <v/>
      </c>
      <c r="AC340" s="17">
        <f>IF(COUNT(C340:P340)=0,"",IFERROR(J340/H340,0))</f>
        <v/>
      </c>
      <c r="AD340" s="14">
        <f>IF(COUNT(C340:P340)=0,"",IFERROR(C340/J340,0))</f>
        <v/>
      </c>
      <c r="AE340" s="17">
        <f>IF(COUNT(C340:P340)=0,"",IFERROR(K340/H340,0))</f>
        <v/>
      </c>
      <c r="AF340" s="17">
        <f>IF(COUNT(C340:P340)=0,"",IFERROR(L340/H340,0))</f>
        <v/>
      </c>
      <c r="AG340" s="14">
        <f>IF(COUNT(C340:P340)=0,"",IFERROR(C340/K340,0))</f>
        <v/>
      </c>
      <c r="AH340" s="17">
        <f>IF(COUNT(C340:P340)=0,"",IFERROR(M340/K340,0))</f>
        <v/>
      </c>
      <c r="AI340" s="14">
        <f>IF(COUNT(C340:P340)=0,"",IFERROR(C340/M340,0))</f>
        <v/>
      </c>
      <c r="AJ340" s="17">
        <f>IF(COUNT(C340:P340)=0,"",IFERROR(N340/M340,0))</f>
        <v/>
      </c>
      <c r="AK340" s="16">
        <f>IF(COUNT(C340:P340)=0,"",IFERROR(N340/H340,0))</f>
        <v/>
      </c>
      <c r="AL340" s="14">
        <f>IF(COUNT(C340:P340)=0,"",IFERROR(C340/N340,0))</f>
        <v/>
      </c>
      <c r="AM340" s="17">
        <f>IF(COUNT(C340:P340)=0,"",IFERROR(O340/N340,0))</f>
        <v/>
      </c>
      <c r="AN340" s="17">
        <f>IF(COUNT(C340:P340)=0,"",IFERROR(P340/N340,0))</f>
        <v/>
      </c>
      <c r="AO340" s="19">
        <f>IF(COUNT(C340:P340)=0,"",IFERROR(N340*Config!$C$7+O340*Config!$C$8+P340*Config!$C$9,0))</f>
        <v/>
      </c>
      <c r="AP340" s="14">
        <f>IF(COUNT(C340:P340)=0,"",IFERROR(AO340/N340,0))</f>
        <v/>
      </c>
      <c r="AQ340" s="19">
        <f>IF(COUNT(C340:P340)=0,"",IFERROR(AO340*(1-Config!$C$10-Config!$C$11-Config!$C$12),0))</f>
        <v/>
      </c>
      <c r="AR340" s="19">
        <f>IF(COUNT(C340:P340)=0,"",IFERROR(AQ340-C340-Config!$C$13,0))</f>
        <v/>
      </c>
      <c r="AS340" s="20">
        <f>IF(COUNT(C340:P340)=0,"",IFERROR(AQ340/C340,0))</f>
        <v/>
      </c>
      <c r="AT340" s="14">
        <f>IF(COUNT(C340:P340)=0,"",IFERROR(AR340/G340,0))</f>
        <v/>
      </c>
      <c r="AU340" s="20">
        <f>IF(COUNT(C340:P340)=0,"",IFERROR(AT340/V340,0))</f>
        <v/>
      </c>
      <c r="AV340" s="14">
        <f>IF(COUNT(C340:P340)=0,"",IFERROR(AR340/H340,0))</f>
        <v/>
      </c>
    </row>
    <row r="341">
      <c r="A341" s="11">
        <f>Config!$C$6+335</f>
        <v/>
      </c>
      <c r="B341" s="12">
        <f>INT((A341-Config!$C$6)/7)+1</f>
        <v/>
      </c>
      <c r="C341" s="9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4">
        <f>IF(COUNT(C341:P341)=0,"",IFERROR(C341/D341*1000,0))</f>
        <v/>
      </c>
      <c r="R341" s="15">
        <f>IF(COUNT(C341:P341)=0,"",IFERROR(D341/E341,0))</f>
        <v/>
      </c>
      <c r="S341" s="16">
        <f>IF(COUNT(C341:P341)=0,"",IFERROR(F341/D341,0))</f>
        <v/>
      </c>
      <c r="T341" s="14">
        <f>IF(COUNT(C341:P341)=0,"",IFERROR(C341/F341,0))</f>
        <v/>
      </c>
      <c r="U341" s="17">
        <f>IF(COUNT(C341:P341)=0,"",IFERROR(G341/F341,0))</f>
        <v/>
      </c>
      <c r="V341" s="14">
        <f>IF(COUNT(C341:P341)=0,"",IFERROR(C341/G341,0))</f>
        <v/>
      </c>
      <c r="W341" s="18">
        <f>IF(COUNT(C341:P341)=0,"",IFERROR(G341/D341*1000,0))</f>
        <v/>
      </c>
      <c r="X341" s="17">
        <f>IF(COUNT(C341:P341)=0,"",IFERROR(H341/G341,0))</f>
        <v/>
      </c>
      <c r="Y341" s="14">
        <f>IF(COUNT(C341:P341)=0,"",IFERROR(C341/H341,0))</f>
        <v/>
      </c>
      <c r="Z341" s="14">
        <f>IF(COUNT(C341:P341)=0,"",IFERROR(C341/I341,0))</f>
        <v/>
      </c>
      <c r="AA341" s="17">
        <f>IF(COUNT(C341:P341)=0,"",IFERROR(Y341/Q341,0))</f>
        <v/>
      </c>
      <c r="AB341" s="18">
        <f>IF(COUNT(C341:P341)=0,"",IFERROR(H341/D341*1000,0))</f>
        <v/>
      </c>
      <c r="AC341" s="17">
        <f>IF(COUNT(C341:P341)=0,"",IFERROR(J341/H341,0))</f>
        <v/>
      </c>
      <c r="AD341" s="14">
        <f>IF(COUNT(C341:P341)=0,"",IFERROR(C341/J341,0))</f>
        <v/>
      </c>
      <c r="AE341" s="17">
        <f>IF(COUNT(C341:P341)=0,"",IFERROR(K341/H341,0))</f>
        <v/>
      </c>
      <c r="AF341" s="17">
        <f>IF(COUNT(C341:P341)=0,"",IFERROR(L341/H341,0))</f>
        <v/>
      </c>
      <c r="AG341" s="14">
        <f>IF(COUNT(C341:P341)=0,"",IFERROR(C341/K341,0))</f>
        <v/>
      </c>
      <c r="AH341" s="17">
        <f>IF(COUNT(C341:P341)=0,"",IFERROR(M341/K341,0))</f>
        <v/>
      </c>
      <c r="AI341" s="14">
        <f>IF(COUNT(C341:P341)=0,"",IFERROR(C341/M341,0))</f>
        <v/>
      </c>
      <c r="AJ341" s="17">
        <f>IF(COUNT(C341:P341)=0,"",IFERROR(N341/M341,0))</f>
        <v/>
      </c>
      <c r="AK341" s="16">
        <f>IF(COUNT(C341:P341)=0,"",IFERROR(N341/H341,0))</f>
        <v/>
      </c>
      <c r="AL341" s="14">
        <f>IF(COUNT(C341:P341)=0,"",IFERROR(C341/N341,0))</f>
        <v/>
      </c>
      <c r="AM341" s="17">
        <f>IF(COUNT(C341:P341)=0,"",IFERROR(O341/N341,0))</f>
        <v/>
      </c>
      <c r="AN341" s="17">
        <f>IF(COUNT(C341:P341)=0,"",IFERROR(P341/N341,0))</f>
        <v/>
      </c>
      <c r="AO341" s="19">
        <f>IF(COUNT(C341:P341)=0,"",IFERROR(N341*Config!$C$7+O341*Config!$C$8+P341*Config!$C$9,0))</f>
        <v/>
      </c>
      <c r="AP341" s="14">
        <f>IF(COUNT(C341:P341)=0,"",IFERROR(AO341/N341,0))</f>
        <v/>
      </c>
      <c r="AQ341" s="19">
        <f>IF(COUNT(C341:P341)=0,"",IFERROR(AO341*(1-Config!$C$10-Config!$C$11-Config!$C$12),0))</f>
        <v/>
      </c>
      <c r="AR341" s="19">
        <f>IF(COUNT(C341:P341)=0,"",IFERROR(AQ341-C341-Config!$C$13,0))</f>
        <v/>
      </c>
      <c r="AS341" s="20">
        <f>IF(COUNT(C341:P341)=0,"",IFERROR(AQ341/C341,0))</f>
        <v/>
      </c>
      <c r="AT341" s="14">
        <f>IF(COUNT(C341:P341)=0,"",IFERROR(AR341/G341,0))</f>
        <v/>
      </c>
      <c r="AU341" s="20">
        <f>IF(COUNT(C341:P341)=0,"",IFERROR(AT341/V341,0))</f>
        <v/>
      </c>
      <c r="AV341" s="14">
        <f>IF(COUNT(C341:P341)=0,"",IFERROR(AR341/H341,0))</f>
        <v/>
      </c>
    </row>
    <row r="342">
      <c r="A342" s="11">
        <f>Config!$C$6+336</f>
        <v/>
      </c>
      <c r="B342" s="12">
        <f>INT((A342-Config!$C$6)/7)+1</f>
        <v/>
      </c>
      <c r="C342" s="9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4">
        <f>IF(COUNT(C342:P342)=0,"",IFERROR(C342/D342*1000,0))</f>
        <v/>
      </c>
      <c r="R342" s="15">
        <f>IF(COUNT(C342:P342)=0,"",IFERROR(D342/E342,0))</f>
        <v/>
      </c>
      <c r="S342" s="16">
        <f>IF(COUNT(C342:P342)=0,"",IFERROR(F342/D342,0))</f>
        <v/>
      </c>
      <c r="T342" s="14">
        <f>IF(COUNT(C342:P342)=0,"",IFERROR(C342/F342,0))</f>
        <v/>
      </c>
      <c r="U342" s="17">
        <f>IF(COUNT(C342:P342)=0,"",IFERROR(G342/F342,0))</f>
        <v/>
      </c>
      <c r="V342" s="14">
        <f>IF(COUNT(C342:P342)=0,"",IFERROR(C342/G342,0))</f>
        <v/>
      </c>
      <c r="W342" s="18">
        <f>IF(COUNT(C342:P342)=0,"",IFERROR(G342/D342*1000,0))</f>
        <v/>
      </c>
      <c r="X342" s="17">
        <f>IF(COUNT(C342:P342)=0,"",IFERROR(H342/G342,0))</f>
        <v/>
      </c>
      <c r="Y342" s="14">
        <f>IF(COUNT(C342:P342)=0,"",IFERROR(C342/H342,0))</f>
        <v/>
      </c>
      <c r="Z342" s="14">
        <f>IF(COUNT(C342:P342)=0,"",IFERROR(C342/I342,0))</f>
        <v/>
      </c>
      <c r="AA342" s="17">
        <f>IF(COUNT(C342:P342)=0,"",IFERROR(Y342/Q342,0))</f>
        <v/>
      </c>
      <c r="AB342" s="18">
        <f>IF(COUNT(C342:P342)=0,"",IFERROR(H342/D342*1000,0))</f>
        <v/>
      </c>
      <c r="AC342" s="17">
        <f>IF(COUNT(C342:P342)=0,"",IFERROR(J342/H342,0))</f>
        <v/>
      </c>
      <c r="AD342" s="14">
        <f>IF(COUNT(C342:P342)=0,"",IFERROR(C342/J342,0))</f>
        <v/>
      </c>
      <c r="AE342" s="17">
        <f>IF(COUNT(C342:P342)=0,"",IFERROR(K342/H342,0))</f>
        <v/>
      </c>
      <c r="AF342" s="17">
        <f>IF(COUNT(C342:P342)=0,"",IFERROR(L342/H342,0))</f>
        <v/>
      </c>
      <c r="AG342" s="14">
        <f>IF(COUNT(C342:P342)=0,"",IFERROR(C342/K342,0))</f>
        <v/>
      </c>
      <c r="AH342" s="17">
        <f>IF(COUNT(C342:P342)=0,"",IFERROR(M342/K342,0))</f>
        <v/>
      </c>
      <c r="AI342" s="14">
        <f>IF(COUNT(C342:P342)=0,"",IFERROR(C342/M342,0))</f>
        <v/>
      </c>
      <c r="AJ342" s="17">
        <f>IF(COUNT(C342:P342)=0,"",IFERROR(N342/M342,0))</f>
        <v/>
      </c>
      <c r="AK342" s="16">
        <f>IF(COUNT(C342:P342)=0,"",IFERROR(N342/H342,0))</f>
        <v/>
      </c>
      <c r="AL342" s="14">
        <f>IF(COUNT(C342:P342)=0,"",IFERROR(C342/N342,0))</f>
        <v/>
      </c>
      <c r="AM342" s="17">
        <f>IF(COUNT(C342:P342)=0,"",IFERROR(O342/N342,0))</f>
        <v/>
      </c>
      <c r="AN342" s="17">
        <f>IF(COUNT(C342:P342)=0,"",IFERROR(P342/N342,0))</f>
        <v/>
      </c>
      <c r="AO342" s="19">
        <f>IF(COUNT(C342:P342)=0,"",IFERROR(N342*Config!$C$7+O342*Config!$C$8+P342*Config!$C$9,0))</f>
        <v/>
      </c>
      <c r="AP342" s="14">
        <f>IF(COUNT(C342:P342)=0,"",IFERROR(AO342/N342,0))</f>
        <v/>
      </c>
      <c r="AQ342" s="19">
        <f>IF(COUNT(C342:P342)=0,"",IFERROR(AO342*(1-Config!$C$10-Config!$C$11-Config!$C$12),0))</f>
        <v/>
      </c>
      <c r="AR342" s="19">
        <f>IF(COUNT(C342:P342)=0,"",IFERROR(AQ342-C342-Config!$C$13,0))</f>
        <v/>
      </c>
      <c r="AS342" s="20">
        <f>IF(COUNT(C342:P342)=0,"",IFERROR(AQ342/C342,0))</f>
        <v/>
      </c>
      <c r="AT342" s="14">
        <f>IF(COUNT(C342:P342)=0,"",IFERROR(AR342/G342,0))</f>
        <v/>
      </c>
      <c r="AU342" s="20">
        <f>IF(COUNT(C342:P342)=0,"",IFERROR(AT342/V342,0))</f>
        <v/>
      </c>
      <c r="AV342" s="14">
        <f>IF(COUNT(C342:P342)=0,"",IFERROR(AR342/H342,0))</f>
        <v/>
      </c>
    </row>
    <row r="343">
      <c r="A343" s="11">
        <f>Config!$C$6+337</f>
        <v/>
      </c>
      <c r="B343" s="12">
        <f>INT((A343-Config!$C$6)/7)+1</f>
        <v/>
      </c>
      <c r="C343" s="9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4">
        <f>IF(COUNT(C343:P343)=0,"",IFERROR(C343/D343*1000,0))</f>
        <v/>
      </c>
      <c r="R343" s="15">
        <f>IF(COUNT(C343:P343)=0,"",IFERROR(D343/E343,0))</f>
        <v/>
      </c>
      <c r="S343" s="16">
        <f>IF(COUNT(C343:P343)=0,"",IFERROR(F343/D343,0))</f>
        <v/>
      </c>
      <c r="T343" s="14">
        <f>IF(COUNT(C343:P343)=0,"",IFERROR(C343/F343,0))</f>
        <v/>
      </c>
      <c r="U343" s="17">
        <f>IF(COUNT(C343:P343)=0,"",IFERROR(G343/F343,0))</f>
        <v/>
      </c>
      <c r="V343" s="14">
        <f>IF(COUNT(C343:P343)=0,"",IFERROR(C343/G343,0))</f>
        <v/>
      </c>
      <c r="W343" s="18">
        <f>IF(COUNT(C343:P343)=0,"",IFERROR(G343/D343*1000,0))</f>
        <v/>
      </c>
      <c r="X343" s="17">
        <f>IF(COUNT(C343:P343)=0,"",IFERROR(H343/G343,0))</f>
        <v/>
      </c>
      <c r="Y343" s="14">
        <f>IF(COUNT(C343:P343)=0,"",IFERROR(C343/H343,0))</f>
        <v/>
      </c>
      <c r="Z343" s="14">
        <f>IF(COUNT(C343:P343)=0,"",IFERROR(C343/I343,0))</f>
        <v/>
      </c>
      <c r="AA343" s="17">
        <f>IF(COUNT(C343:P343)=0,"",IFERROR(Y343/Q343,0))</f>
        <v/>
      </c>
      <c r="AB343" s="18">
        <f>IF(COUNT(C343:P343)=0,"",IFERROR(H343/D343*1000,0))</f>
        <v/>
      </c>
      <c r="AC343" s="17">
        <f>IF(COUNT(C343:P343)=0,"",IFERROR(J343/H343,0))</f>
        <v/>
      </c>
      <c r="AD343" s="14">
        <f>IF(COUNT(C343:P343)=0,"",IFERROR(C343/J343,0))</f>
        <v/>
      </c>
      <c r="AE343" s="17">
        <f>IF(COUNT(C343:P343)=0,"",IFERROR(K343/H343,0))</f>
        <v/>
      </c>
      <c r="AF343" s="17">
        <f>IF(COUNT(C343:P343)=0,"",IFERROR(L343/H343,0))</f>
        <v/>
      </c>
      <c r="AG343" s="14">
        <f>IF(COUNT(C343:P343)=0,"",IFERROR(C343/K343,0))</f>
        <v/>
      </c>
      <c r="AH343" s="17">
        <f>IF(COUNT(C343:P343)=0,"",IFERROR(M343/K343,0))</f>
        <v/>
      </c>
      <c r="AI343" s="14">
        <f>IF(COUNT(C343:P343)=0,"",IFERROR(C343/M343,0))</f>
        <v/>
      </c>
      <c r="AJ343" s="17">
        <f>IF(COUNT(C343:P343)=0,"",IFERROR(N343/M343,0))</f>
        <v/>
      </c>
      <c r="AK343" s="16">
        <f>IF(COUNT(C343:P343)=0,"",IFERROR(N343/H343,0))</f>
        <v/>
      </c>
      <c r="AL343" s="14">
        <f>IF(COUNT(C343:P343)=0,"",IFERROR(C343/N343,0))</f>
        <v/>
      </c>
      <c r="AM343" s="17">
        <f>IF(COUNT(C343:P343)=0,"",IFERROR(O343/N343,0))</f>
        <v/>
      </c>
      <c r="AN343" s="17">
        <f>IF(COUNT(C343:P343)=0,"",IFERROR(P343/N343,0))</f>
        <v/>
      </c>
      <c r="AO343" s="19">
        <f>IF(COUNT(C343:P343)=0,"",IFERROR(N343*Config!$C$7+O343*Config!$C$8+P343*Config!$C$9,0))</f>
        <v/>
      </c>
      <c r="AP343" s="14">
        <f>IF(COUNT(C343:P343)=0,"",IFERROR(AO343/N343,0))</f>
        <v/>
      </c>
      <c r="AQ343" s="19">
        <f>IF(COUNT(C343:P343)=0,"",IFERROR(AO343*(1-Config!$C$10-Config!$C$11-Config!$C$12),0))</f>
        <v/>
      </c>
      <c r="AR343" s="19">
        <f>IF(COUNT(C343:P343)=0,"",IFERROR(AQ343-C343-Config!$C$13,0))</f>
        <v/>
      </c>
      <c r="AS343" s="20">
        <f>IF(COUNT(C343:P343)=0,"",IFERROR(AQ343/C343,0))</f>
        <v/>
      </c>
      <c r="AT343" s="14">
        <f>IF(COUNT(C343:P343)=0,"",IFERROR(AR343/G343,0))</f>
        <v/>
      </c>
      <c r="AU343" s="20">
        <f>IF(COUNT(C343:P343)=0,"",IFERROR(AT343/V343,0))</f>
        <v/>
      </c>
      <c r="AV343" s="14">
        <f>IF(COUNT(C343:P343)=0,"",IFERROR(AR343/H343,0))</f>
        <v/>
      </c>
    </row>
    <row r="344">
      <c r="A344" s="11">
        <f>Config!$C$6+338</f>
        <v/>
      </c>
      <c r="B344" s="12">
        <f>INT((A344-Config!$C$6)/7)+1</f>
        <v/>
      </c>
      <c r="C344" s="9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4">
        <f>IF(COUNT(C344:P344)=0,"",IFERROR(C344/D344*1000,0))</f>
        <v/>
      </c>
      <c r="R344" s="15">
        <f>IF(COUNT(C344:P344)=0,"",IFERROR(D344/E344,0))</f>
        <v/>
      </c>
      <c r="S344" s="16">
        <f>IF(COUNT(C344:P344)=0,"",IFERROR(F344/D344,0))</f>
        <v/>
      </c>
      <c r="T344" s="14">
        <f>IF(COUNT(C344:P344)=0,"",IFERROR(C344/F344,0))</f>
        <v/>
      </c>
      <c r="U344" s="17">
        <f>IF(COUNT(C344:P344)=0,"",IFERROR(G344/F344,0))</f>
        <v/>
      </c>
      <c r="V344" s="14">
        <f>IF(COUNT(C344:P344)=0,"",IFERROR(C344/G344,0))</f>
        <v/>
      </c>
      <c r="W344" s="18">
        <f>IF(COUNT(C344:P344)=0,"",IFERROR(G344/D344*1000,0))</f>
        <v/>
      </c>
      <c r="X344" s="17">
        <f>IF(COUNT(C344:P344)=0,"",IFERROR(H344/G344,0))</f>
        <v/>
      </c>
      <c r="Y344" s="14">
        <f>IF(COUNT(C344:P344)=0,"",IFERROR(C344/H344,0))</f>
        <v/>
      </c>
      <c r="Z344" s="14">
        <f>IF(COUNT(C344:P344)=0,"",IFERROR(C344/I344,0))</f>
        <v/>
      </c>
      <c r="AA344" s="17">
        <f>IF(COUNT(C344:P344)=0,"",IFERROR(Y344/Q344,0))</f>
        <v/>
      </c>
      <c r="AB344" s="18">
        <f>IF(COUNT(C344:P344)=0,"",IFERROR(H344/D344*1000,0))</f>
        <v/>
      </c>
      <c r="AC344" s="17">
        <f>IF(COUNT(C344:P344)=0,"",IFERROR(J344/H344,0))</f>
        <v/>
      </c>
      <c r="AD344" s="14">
        <f>IF(COUNT(C344:P344)=0,"",IFERROR(C344/J344,0))</f>
        <v/>
      </c>
      <c r="AE344" s="17">
        <f>IF(COUNT(C344:P344)=0,"",IFERROR(K344/H344,0))</f>
        <v/>
      </c>
      <c r="AF344" s="17">
        <f>IF(COUNT(C344:P344)=0,"",IFERROR(L344/H344,0))</f>
        <v/>
      </c>
      <c r="AG344" s="14">
        <f>IF(COUNT(C344:P344)=0,"",IFERROR(C344/K344,0))</f>
        <v/>
      </c>
      <c r="AH344" s="17">
        <f>IF(COUNT(C344:P344)=0,"",IFERROR(M344/K344,0))</f>
        <v/>
      </c>
      <c r="AI344" s="14">
        <f>IF(COUNT(C344:P344)=0,"",IFERROR(C344/M344,0))</f>
        <v/>
      </c>
      <c r="AJ344" s="17">
        <f>IF(COUNT(C344:P344)=0,"",IFERROR(N344/M344,0))</f>
        <v/>
      </c>
      <c r="AK344" s="16">
        <f>IF(COUNT(C344:P344)=0,"",IFERROR(N344/H344,0))</f>
        <v/>
      </c>
      <c r="AL344" s="14">
        <f>IF(COUNT(C344:P344)=0,"",IFERROR(C344/N344,0))</f>
        <v/>
      </c>
      <c r="AM344" s="17">
        <f>IF(COUNT(C344:P344)=0,"",IFERROR(O344/N344,0))</f>
        <v/>
      </c>
      <c r="AN344" s="17">
        <f>IF(COUNT(C344:P344)=0,"",IFERROR(P344/N344,0))</f>
        <v/>
      </c>
      <c r="AO344" s="19">
        <f>IF(COUNT(C344:P344)=0,"",IFERROR(N344*Config!$C$7+O344*Config!$C$8+P344*Config!$C$9,0))</f>
        <v/>
      </c>
      <c r="AP344" s="14">
        <f>IF(COUNT(C344:P344)=0,"",IFERROR(AO344/N344,0))</f>
        <v/>
      </c>
      <c r="AQ344" s="19">
        <f>IF(COUNT(C344:P344)=0,"",IFERROR(AO344*(1-Config!$C$10-Config!$C$11-Config!$C$12),0))</f>
        <v/>
      </c>
      <c r="AR344" s="19">
        <f>IF(COUNT(C344:P344)=0,"",IFERROR(AQ344-C344-Config!$C$13,0))</f>
        <v/>
      </c>
      <c r="AS344" s="20">
        <f>IF(COUNT(C344:P344)=0,"",IFERROR(AQ344/C344,0))</f>
        <v/>
      </c>
      <c r="AT344" s="14">
        <f>IF(COUNT(C344:P344)=0,"",IFERROR(AR344/G344,0))</f>
        <v/>
      </c>
      <c r="AU344" s="20">
        <f>IF(COUNT(C344:P344)=0,"",IFERROR(AT344/V344,0))</f>
        <v/>
      </c>
      <c r="AV344" s="14">
        <f>IF(COUNT(C344:P344)=0,"",IFERROR(AR344/H344,0))</f>
        <v/>
      </c>
    </row>
    <row r="345">
      <c r="A345" s="11">
        <f>Config!$C$6+339</f>
        <v/>
      </c>
      <c r="B345" s="12">
        <f>INT((A345-Config!$C$6)/7)+1</f>
        <v/>
      </c>
      <c r="C345" s="9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4">
        <f>IF(COUNT(C345:P345)=0,"",IFERROR(C345/D345*1000,0))</f>
        <v/>
      </c>
      <c r="R345" s="15">
        <f>IF(COUNT(C345:P345)=0,"",IFERROR(D345/E345,0))</f>
        <v/>
      </c>
      <c r="S345" s="16">
        <f>IF(COUNT(C345:P345)=0,"",IFERROR(F345/D345,0))</f>
        <v/>
      </c>
      <c r="T345" s="14">
        <f>IF(COUNT(C345:P345)=0,"",IFERROR(C345/F345,0))</f>
        <v/>
      </c>
      <c r="U345" s="17">
        <f>IF(COUNT(C345:P345)=0,"",IFERROR(G345/F345,0))</f>
        <v/>
      </c>
      <c r="V345" s="14">
        <f>IF(COUNT(C345:P345)=0,"",IFERROR(C345/G345,0))</f>
        <v/>
      </c>
      <c r="W345" s="18">
        <f>IF(COUNT(C345:P345)=0,"",IFERROR(G345/D345*1000,0))</f>
        <v/>
      </c>
      <c r="X345" s="17">
        <f>IF(COUNT(C345:P345)=0,"",IFERROR(H345/G345,0))</f>
        <v/>
      </c>
      <c r="Y345" s="14">
        <f>IF(COUNT(C345:P345)=0,"",IFERROR(C345/H345,0))</f>
        <v/>
      </c>
      <c r="Z345" s="14">
        <f>IF(COUNT(C345:P345)=0,"",IFERROR(C345/I345,0))</f>
        <v/>
      </c>
      <c r="AA345" s="17">
        <f>IF(COUNT(C345:P345)=0,"",IFERROR(Y345/Q345,0))</f>
        <v/>
      </c>
      <c r="AB345" s="18">
        <f>IF(COUNT(C345:P345)=0,"",IFERROR(H345/D345*1000,0))</f>
        <v/>
      </c>
      <c r="AC345" s="17">
        <f>IF(COUNT(C345:P345)=0,"",IFERROR(J345/H345,0))</f>
        <v/>
      </c>
      <c r="AD345" s="14">
        <f>IF(COUNT(C345:P345)=0,"",IFERROR(C345/J345,0))</f>
        <v/>
      </c>
      <c r="AE345" s="17">
        <f>IF(COUNT(C345:P345)=0,"",IFERROR(K345/H345,0))</f>
        <v/>
      </c>
      <c r="AF345" s="17">
        <f>IF(COUNT(C345:P345)=0,"",IFERROR(L345/H345,0))</f>
        <v/>
      </c>
      <c r="AG345" s="14">
        <f>IF(COUNT(C345:P345)=0,"",IFERROR(C345/K345,0))</f>
        <v/>
      </c>
      <c r="AH345" s="17">
        <f>IF(COUNT(C345:P345)=0,"",IFERROR(M345/K345,0))</f>
        <v/>
      </c>
      <c r="AI345" s="14">
        <f>IF(COUNT(C345:P345)=0,"",IFERROR(C345/M345,0))</f>
        <v/>
      </c>
      <c r="AJ345" s="17">
        <f>IF(COUNT(C345:P345)=0,"",IFERROR(N345/M345,0))</f>
        <v/>
      </c>
      <c r="AK345" s="16">
        <f>IF(COUNT(C345:P345)=0,"",IFERROR(N345/H345,0))</f>
        <v/>
      </c>
      <c r="AL345" s="14">
        <f>IF(COUNT(C345:P345)=0,"",IFERROR(C345/N345,0))</f>
        <v/>
      </c>
      <c r="AM345" s="17">
        <f>IF(COUNT(C345:P345)=0,"",IFERROR(O345/N345,0))</f>
        <v/>
      </c>
      <c r="AN345" s="17">
        <f>IF(COUNT(C345:P345)=0,"",IFERROR(P345/N345,0))</f>
        <v/>
      </c>
      <c r="AO345" s="19">
        <f>IF(COUNT(C345:P345)=0,"",IFERROR(N345*Config!$C$7+O345*Config!$C$8+P345*Config!$C$9,0))</f>
        <v/>
      </c>
      <c r="AP345" s="14">
        <f>IF(COUNT(C345:P345)=0,"",IFERROR(AO345/N345,0))</f>
        <v/>
      </c>
      <c r="AQ345" s="19">
        <f>IF(COUNT(C345:P345)=0,"",IFERROR(AO345*(1-Config!$C$10-Config!$C$11-Config!$C$12),0))</f>
        <v/>
      </c>
      <c r="AR345" s="19">
        <f>IF(COUNT(C345:P345)=0,"",IFERROR(AQ345-C345-Config!$C$13,0))</f>
        <v/>
      </c>
      <c r="AS345" s="20">
        <f>IF(COUNT(C345:P345)=0,"",IFERROR(AQ345/C345,0))</f>
        <v/>
      </c>
      <c r="AT345" s="14">
        <f>IF(COUNT(C345:P345)=0,"",IFERROR(AR345/G345,0))</f>
        <v/>
      </c>
      <c r="AU345" s="20">
        <f>IF(COUNT(C345:P345)=0,"",IFERROR(AT345/V345,0))</f>
        <v/>
      </c>
      <c r="AV345" s="14">
        <f>IF(COUNT(C345:P345)=0,"",IFERROR(AR345/H345,0))</f>
        <v/>
      </c>
    </row>
    <row r="346">
      <c r="A346" s="11">
        <f>Config!$C$6+340</f>
        <v/>
      </c>
      <c r="B346" s="12">
        <f>INT((A346-Config!$C$6)/7)+1</f>
        <v/>
      </c>
      <c r="C346" s="9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4">
        <f>IF(COUNT(C346:P346)=0,"",IFERROR(C346/D346*1000,0))</f>
        <v/>
      </c>
      <c r="R346" s="15">
        <f>IF(COUNT(C346:P346)=0,"",IFERROR(D346/E346,0))</f>
        <v/>
      </c>
      <c r="S346" s="16">
        <f>IF(COUNT(C346:P346)=0,"",IFERROR(F346/D346,0))</f>
        <v/>
      </c>
      <c r="T346" s="14">
        <f>IF(COUNT(C346:P346)=0,"",IFERROR(C346/F346,0))</f>
        <v/>
      </c>
      <c r="U346" s="17">
        <f>IF(COUNT(C346:P346)=0,"",IFERROR(G346/F346,0))</f>
        <v/>
      </c>
      <c r="V346" s="14">
        <f>IF(COUNT(C346:P346)=0,"",IFERROR(C346/G346,0))</f>
        <v/>
      </c>
      <c r="W346" s="18">
        <f>IF(COUNT(C346:P346)=0,"",IFERROR(G346/D346*1000,0))</f>
        <v/>
      </c>
      <c r="X346" s="17">
        <f>IF(COUNT(C346:P346)=0,"",IFERROR(H346/G346,0))</f>
        <v/>
      </c>
      <c r="Y346" s="14">
        <f>IF(COUNT(C346:P346)=0,"",IFERROR(C346/H346,0))</f>
        <v/>
      </c>
      <c r="Z346" s="14">
        <f>IF(COUNT(C346:P346)=0,"",IFERROR(C346/I346,0))</f>
        <v/>
      </c>
      <c r="AA346" s="17">
        <f>IF(COUNT(C346:P346)=0,"",IFERROR(Y346/Q346,0))</f>
        <v/>
      </c>
      <c r="AB346" s="18">
        <f>IF(COUNT(C346:P346)=0,"",IFERROR(H346/D346*1000,0))</f>
        <v/>
      </c>
      <c r="AC346" s="17">
        <f>IF(COUNT(C346:P346)=0,"",IFERROR(J346/H346,0))</f>
        <v/>
      </c>
      <c r="AD346" s="14">
        <f>IF(COUNT(C346:P346)=0,"",IFERROR(C346/J346,0))</f>
        <v/>
      </c>
      <c r="AE346" s="17">
        <f>IF(COUNT(C346:P346)=0,"",IFERROR(K346/H346,0))</f>
        <v/>
      </c>
      <c r="AF346" s="17">
        <f>IF(COUNT(C346:P346)=0,"",IFERROR(L346/H346,0))</f>
        <v/>
      </c>
      <c r="AG346" s="14">
        <f>IF(COUNT(C346:P346)=0,"",IFERROR(C346/K346,0))</f>
        <v/>
      </c>
      <c r="AH346" s="17">
        <f>IF(COUNT(C346:P346)=0,"",IFERROR(M346/K346,0))</f>
        <v/>
      </c>
      <c r="AI346" s="14">
        <f>IF(COUNT(C346:P346)=0,"",IFERROR(C346/M346,0))</f>
        <v/>
      </c>
      <c r="AJ346" s="17">
        <f>IF(COUNT(C346:P346)=0,"",IFERROR(N346/M346,0))</f>
        <v/>
      </c>
      <c r="AK346" s="16">
        <f>IF(COUNT(C346:P346)=0,"",IFERROR(N346/H346,0))</f>
        <v/>
      </c>
      <c r="AL346" s="14">
        <f>IF(COUNT(C346:P346)=0,"",IFERROR(C346/N346,0))</f>
        <v/>
      </c>
      <c r="AM346" s="17">
        <f>IF(COUNT(C346:P346)=0,"",IFERROR(O346/N346,0))</f>
        <v/>
      </c>
      <c r="AN346" s="17">
        <f>IF(COUNT(C346:P346)=0,"",IFERROR(P346/N346,0))</f>
        <v/>
      </c>
      <c r="AO346" s="19">
        <f>IF(COUNT(C346:P346)=0,"",IFERROR(N346*Config!$C$7+O346*Config!$C$8+P346*Config!$C$9,0))</f>
        <v/>
      </c>
      <c r="AP346" s="14">
        <f>IF(COUNT(C346:P346)=0,"",IFERROR(AO346/N346,0))</f>
        <v/>
      </c>
      <c r="AQ346" s="19">
        <f>IF(COUNT(C346:P346)=0,"",IFERROR(AO346*(1-Config!$C$10-Config!$C$11-Config!$C$12),0))</f>
        <v/>
      </c>
      <c r="AR346" s="19">
        <f>IF(COUNT(C346:P346)=0,"",IFERROR(AQ346-C346-Config!$C$13,0))</f>
        <v/>
      </c>
      <c r="AS346" s="20">
        <f>IF(COUNT(C346:P346)=0,"",IFERROR(AQ346/C346,0))</f>
        <v/>
      </c>
      <c r="AT346" s="14">
        <f>IF(COUNT(C346:P346)=0,"",IFERROR(AR346/G346,0))</f>
        <v/>
      </c>
      <c r="AU346" s="20">
        <f>IF(COUNT(C346:P346)=0,"",IFERROR(AT346/V346,0))</f>
        <v/>
      </c>
      <c r="AV346" s="14">
        <f>IF(COUNT(C346:P346)=0,"",IFERROR(AR346/H346,0))</f>
        <v/>
      </c>
    </row>
    <row r="347">
      <c r="A347" s="11">
        <f>Config!$C$6+341</f>
        <v/>
      </c>
      <c r="B347" s="12">
        <f>INT((A347-Config!$C$6)/7)+1</f>
        <v/>
      </c>
      <c r="C347" s="9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4">
        <f>IF(COUNT(C347:P347)=0,"",IFERROR(C347/D347*1000,0))</f>
        <v/>
      </c>
      <c r="R347" s="15">
        <f>IF(COUNT(C347:P347)=0,"",IFERROR(D347/E347,0))</f>
        <v/>
      </c>
      <c r="S347" s="16">
        <f>IF(COUNT(C347:P347)=0,"",IFERROR(F347/D347,0))</f>
        <v/>
      </c>
      <c r="T347" s="14">
        <f>IF(COUNT(C347:P347)=0,"",IFERROR(C347/F347,0))</f>
        <v/>
      </c>
      <c r="U347" s="17">
        <f>IF(COUNT(C347:P347)=0,"",IFERROR(G347/F347,0))</f>
        <v/>
      </c>
      <c r="V347" s="14">
        <f>IF(COUNT(C347:P347)=0,"",IFERROR(C347/G347,0))</f>
        <v/>
      </c>
      <c r="W347" s="18">
        <f>IF(COUNT(C347:P347)=0,"",IFERROR(G347/D347*1000,0))</f>
        <v/>
      </c>
      <c r="X347" s="17">
        <f>IF(COUNT(C347:P347)=0,"",IFERROR(H347/G347,0))</f>
        <v/>
      </c>
      <c r="Y347" s="14">
        <f>IF(COUNT(C347:P347)=0,"",IFERROR(C347/H347,0))</f>
        <v/>
      </c>
      <c r="Z347" s="14">
        <f>IF(COUNT(C347:P347)=0,"",IFERROR(C347/I347,0))</f>
        <v/>
      </c>
      <c r="AA347" s="17">
        <f>IF(COUNT(C347:P347)=0,"",IFERROR(Y347/Q347,0))</f>
        <v/>
      </c>
      <c r="AB347" s="18">
        <f>IF(COUNT(C347:P347)=0,"",IFERROR(H347/D347*1000,0))</f>
        <v/>
      </c>
      <c r="AC347" s="17">
        <f>IF(COUNT(C347:P347)=0,"",IFERROR(J347/H347,0))</f>
        <v/>
      </c>
      <c r="AD347" s="14">
        <f>IF(COUNT(C347:P347)=0,"",IFERROR(C347/J347,0))</f>
        <v/>
      </c>
      <c r="AE347" s="17">
        <f>IF(COUNT(C347:P347)=0,"",IFERROR(K347/H347,0))</f>
        <v/>
      </c>
      <c r="AF347" s="17">
        <f>IF(COUNT(C347:P347)=0,"",IFERROR(L347/H347,0))</f>
        <v/>
      </c>
      <c r="AG347" s="14">
        <f>IF(COUNT(C347:P347)=0,"",IFERROR(C347/K347,0))</f>
        <v/>
      </c>
      <c r="AH347" s="17">
        <f>IF(COUNT(C347:P347)=0,"",IFERROR(M347/K347,0))</f>
        <v/>
      </c>
      <c r="AI347" s="14">
        <f>IF(COUNT(C347:P347)=0,"",IFERROR(C347/M347,0))</f>
        <v/>
      </c>
      <c r="AJ347" s="17">
        <f>IF(COUNT(C347:P347)=0,"",IFERROR(N347/M347,0))</f>
        <v/>
      </c>
      <c r="AK347" s="16">
        <f>IF(COUNT(C347:P347)=0,"",IFERROR(N347/H347,0))</f>
        <v/>
      </c>
      <c r="AL347" s="14">
        <f>IF(COUNT(C347:P347)=0,"",IFERROR(C347/N347,0))</f>
        <v/>
      </c>
      <c r="AM347" s="17">
        <f>IF(COUNT(C347:P347)=0,"",IFERROR(O347/N347,0))</f>
        <v/>
      </c>
      <c r="AN347" s="17">
        <f>IF(COUNT(C347:P347)=0,"",IFERROR(P347/N347,0))</f>
        <v/>
      </c>
      <c r="AO347" s="19">
        <f>IF(COUNT(C347:P347)=0,"",IFERROR(N347*Config!$C$7+O347*Config!$C$8+P347*Config!$C$9,0))</f>
        <v/>
      </c>
      <c r="AP347" s="14">
        <f>IF(COUNT(C347:P347)=0,"",IFERROR(AO347/N347,0))</f>
        <v/>
      </c>
      <c r="AQ347" s="19">
        <f>IF(COUNT(C347:P347)=0,"",IFERROR(AO347*(1-Config!$C$10-Config!$C$11-Config!$C$12),0))</f>
        <v/>
      </c>
      <c r="AR347" s="19">
        <f>IF(COUNT(C347:P347)=0,"",IFERROR(AQ347-C347-Config!$C$13,0))</f>
        <v/>
      </c>
      <c r="AS347" s="20">
        <f>IF(COUNT(C347:P347)=0,"",IFERROR(AQ347/C347,0))</f>
        <v/>
      </c>
      <c r="AT347" s="14">
        <f>IF(COUNT(C347:P347)=0,"",IFERROR(AR347/G347,0))</f>
        <v/>
      </c>
      <c r="AU347" s="20">
        <f>IF(COUNT(C347:P347)=0,"",IFERROR(AT347/V347,0))</f>
        <v/>
      </c>
      <c r="AV347" s="14">
        <f>IF(COUNT(C347:P347)=0,"",IFERROR(AR347/H347,0))</f>
        <v/>
      </c>
    </row>
    <row r="348">
      <c r="A348" s="11">
        <f>Config!$C$6+342</f>
        <v/>
      </c>
      <c r="B348" s="12">
        <f>INT((A348-Config!$C$6)/7)+1</f>
        <v/>
      </c>
      <c r="C348" s="9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4">
        <f>IF(COUNT(C348:P348)=0,"",IFERROR(C348/D348*1000,0))</f>
        <v/>
      </c>
      <c r="R348" s="15">
        <f>IF(COUNT(C348:P348)=0,"",IFERROR(D348/E348,0))</f>
        <v/>
      </c>
      <c r="S348" s="16">
        <f>IF(COUNT(C348:P348)=0,"",IFERROR(F348/D348,0))</f>
        <v/>
      </c>
      <c r="T348" s="14">
        <f>IF(COUNT(C348:P348)=0,"",IFERROR(C348/F348,0))</f>
        <v/>
      </c>
      <c r="U348" s="17">
        <f>IF(COUNT(C348:P348)=0,"",IFERROR(G348/F348,0))</f>
        <v/>
      </c>
      <c r="V348" s="14">
        <f>IF(COUNT(C348:P348)=0,"",IFERROR(C348/G348,0))</f>
        <v/>
      </c>
      <c r="W348" s="18">
        <f>IF(COUNT(C348:P348)=0,"",IFERROR(G348/D348*1000,0))</f>
        <v/>
      </c>
      <c r="X348" s="17">
        <f>IF(COUNT(C348:P348)=0,"",IFERROR(H348/G348,0))</f>
        <v/>
      </c>
      <c r="Y348" s="14">
        <f>IF(COUNT(C348:P348)=0,"",IFERROR(C348/H348,0))</f>
        <v/>
      </c>
      <c r="Z348" s="14">
        <f>IF(COUNT(C348:P348)=0,"",IFERROR(C348/I348,0))</f>
        <v/>
      </c>
      <c r="AA348" s="17">
        <f>IF(COUNT(C348:P348)=0,"",IFERROR(Y348/Q348,0))</f>
        <v/>
      </c>
      <c r="AB348" s="18">
        <f>IF(COUNT(C348:P348)=0,"",IFERROR(H348/D348*1000,0))</f>
        <v/>
      </c>
      <c r="AC348" s="17">
        <f>IF(COUNT(C348:P348)=0,"",IFERROR(J348/H348,0))</f>
        <v/>
      </c>
      <c r="AD348" s="14">
        <f>IF(COUNT(C348:P348)=0,"",IFERROR(C348/J348,0))</f>
        <v/>
      </c>
      <c r="AE348" s="17">
        <f>IF(COUNT(C348:P348)=0,"",IFERROR(K348/H348,0))</f>
        <v/>
      </c>
      <c r="AF348" s="17">
        <f>IF(COUNT(C348:P348)=0,"",IFERROR(L348/H348,0))</f>
        <v/>
      </c>
      <c r="AG348" s="14">
        <f>IF(COUNT(C348:P348)=0,"",IFERROR(C348/K348,0))</f>
        <v/>
      </c>
      <c r="AH348" s="17">
        <f>IF(COUNT(C348:P348)=0,"",IFERROR(M348/K348,0))</f>
        <v/>
      </c>
      <c r="AI348" s="14">
        <f>IF(COUNT(C348:P348)=0,"",IFERROR(C348/M348,0))</f>
        <v/>
      </c>
      <c r="AJ348" s="17">
        <f>IF(COUNT(C348:P348)=0,"",IFERROR(N348/M348,0))</f>
        <v/>
      </c>
      <c r="AK348" s="16">
        <f>IF(COUNT(C348:P348)=0,"",IFERROR(N348/H348,0))</f>
        <v/>
      </c>
      <c r="AL348" s="14">
        <f>IF(COUNT(C348:P348)=0,"",IFERROR(C348/N348,0))</f>
        <v/>
      </c>
      <c r="AM348" s="17">
        <f>IF(COUNT(C348:P348)=0,"",IFERROR(O348/N348,0))</f>
        <v/>
      </c>
      <c r="AN348" s="17">
        <f>IF(COUNT(C348:P348)=0,"",IFERROR(P348/N348,0))</f>
        <v/>
      </c>
      <c r="AO348" s="19">
        <f>IF(COUNT(C348:P348)=0,"",IFERROR(N348*Config!$C$7+O348*Config!$C$8+P348*Config!$C$9,0))</f>
        <v/>
      </c>
      <c r="AP348" s="14">
        <f>IF(COUNT(C348:P348)=0,"",IFERROR(AO348/N348,0))</f>
        <v/>
      </c>
      <c r="AQ348" s="19">
        <f>IF(COUNT(C348:P348)=0,"",IFERROR(AO348*(1-Config!$C$10-Config!$C$11-Config!$C$12),0))</f>
        <v/>
      </c>
      <c r="AR348" s="19">
        <f>IF(COUNT(C348:P348)=0,"",IFERROR(AQ348-C348-Config!$C$13,0))</f>
        <v/>
      </c>
      <c r="AS348" s="20">
        <f>IF(COUNT(C348:P348)=0,"",IFERROR(AQ348/C348,0))</f>
        <v/>
      </c>
      <c r="AT348" s="14">
        <f>IF(COUNT(C348:P348)=0,"",IFERROR(AR348/G348,0))</f>
        <v/>
      </c>
      <c r="AU348" s="20">
        <f>IF(COUNT(C348:P348)=0,"",IFERROR(AT348/V348,0))</f>
        <v/>
      </c>
      <c r="AV348" s="14">
        <f>IF(COUNT(C348:P348)=0,"",IFERROR(AR348/H348,0))</f>
        <v/>
      </c>
    </row>
    <row r="349">
      <c r="A349" s="11">
        <f>Config!$C$6+343</f>
        <v/>
      </c>
      <c r="B349" s="12">
        <f>INT((A349-Config!$C$6)/7)+1</f>
        <v/>
      </c>
      <c r="C349" s="9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4">
        <f>IF(COUNT(C349:P349)=0,"",IFERROR(C349/D349*1000,0))</f>
        <v/>
      </c>
      <c r="R349" s="15">
        <f>IF(COUNT(C349:P349)=0,"",IFERROR(D349/E349,0))</f>
        <v/>
      </c>
      <c r="S349" s="16">
        <f>IF(COUNT(C349:P349)=0,"",IFERROR(F349/D349,0))</f>
        <v/>
      </c>
      <c r="T349" s="14">
        <f>IF(COUNT(C349:P349)=0,"",IFERROR(C349/F349,0))</f>
        <v/>
      </c>
      <c r="U349" s="17">
        <f>IF(COUNT(C349:P349)=0,"",IFERROR(G349/F349,0))</f>
        <v/>
      </c>
      <c r="V349" s="14">
        <f>IF(COUNT(C349:P349)=0,"",IFERROR(C349/G349,0))</f>
        <v/>
      </c>
      <c r="W349" s="18">
        <f>IF(COUNT(C349:P349)=0,"",IFERROR(G349/D349*1000,0))</f>
        <v/>
      </c>
      <c r="X349" s="17">
        <f>IF(COUNT(C349:P349)=0,"",IFERROR(H349/G349,0))</f>
        <v/>
      </c>
      <c r="Y349" s="14">
        <f>IF(COUNT(C349:P349)=0,"",IFERROR(C349/H349,0))</f>
        <v/>
      </c>
      <c r="Z349" s="14">
        <f>IF(COUNT(C349:P349)=0,"",IFERROR(C349/I349,0))</f>
        <v/>
      </c>
      <c r="AA349" s="17">
        <f>IF(COUNT(C349:P349)=0,"",IFERROR(Y349/Q349,0))</f>
        <v/>
      </c>
      <c r="AB349" s="18">
        <f>IF(COUNT(C349:P349)=0,"",IFERROR(H349/D349*1000,0))</f>
        <v/>
      </c>
      <c r="AC349" s="17">
        <f>IF(COUNT(C349:P349)=0,"",IFERROR(J349/H349,0))</f>
        <v/>
      </c>
      <c r="AD349" s="14">
        <f>IF(COUNT(C349:P349)=0,"",IFERROR(C349/J349,0))</f>
        <v/>
      </c>
      <c r="AE349" s="17">
        <f>IF(COUNT(C349:P349)=0,"",IFERROR(K349/H349,0))</f>
        <v/>
      </c>
      <c r="AF349" s="17">
        <f>IF(COUNT(C349:P349)=0,"",IFERROR(L349/H349,0))</f>
        <v/>
      </c>
      <c r="AG349" s="14">
        <f>IF(COUNT(C349:P349)=0,"",IFERROR(C349/K349,0))</f>
        <v/>
      </c>
      <c r="AH349" s="17">
        <f>IF(COUNT(C349:P349)=0,"",IFERROR(M349/K349,0))</f>
        <v/>
      </c>
      <c r="AI349" s="14">
        <f>IF(COUNT(C349:P349)=0,"",IFERROR(C349/M349,0))</f>
        <v/>
      </c>
      <c r="AJ349" s="17">
        <f>IF(COUNT(C349:P349)=0,"",IFERROR(N349/M349,0))</f>
        <v/>
      </c>
      <c r="AK349" s="16">
        <f>IF(COUNT(C349:P349)=0,"",IFERROR(N349/H349,0))</f>
        <v/>
      </c>
      <c r="AL349" s="14">
        <f>IF(COUNT(C349:P349)=0,"",IFERROR(C349/N349,0))</f>
        <v/>
      </c>
      <c r="AM349" s="17">
        <f>IF(COUNT(C349:P349)=0,"",IFERROR(O349/N349,0))</f>
        <v/>
      </c>
      <c r="AN349" s="17">
        <f>IF(COUNT(C349:P349)=0,"",IFERROR(P349/N349,0))</f>
        <v/>
      </c>
      <c r="AO349" s="19">
        <f>IF(COUNT(C349:P349)=0,"",IFERROR(N349*Config!$C$7+O349*Config!$C$8+P349*Config!$C$9,0))</f>
        <v/>
      </c>
      <c r="AP349" s="14">
        <f>IF(COUNT(C349:P349)=0,"",IFERROR(AO349/N349,0))</f>
        <v/>
      </c>
      <c r="AQ349" s="19">
        <f>IF(COUNT(C349:P349)=0,"",IFERROR(AO349*(1-Config!$C$10-Config!$C$11-Config!$C$12),0))</f>
        <v/>
      </c>
      <c r="AR349" s="19">
        <f>IF(COUNT(C349:P349)=0,"",IFERROR(AQ349-C349-Config!$C$13,0))</f>
        <v/>
      </c>
      <c r="AS349" s="20">
        <f>IF(COUNT(C349:P349)=0,"",IFERROR(AQ349/C349,0))</f>
        <v/>
      </c>
      <c r="AT349" s="14">
        <f>IF(COUNT(C349:P349)=0,"",IFERROR(AR349/G349,0))</f>
        <v/>
      </c>
      <c r="AU349" s="20">
        <f>IF(COUNT(C349:P349)=0,"",IFERROR(AT349/V349,0))</f>
        <v/>
      </c>
      <c r="AV349" s="14">
        <f>IF(COUNT(C349:P349)=0,"",IFERROR(AR349/H349,0))</f>
        <v/>
      </c>
    </row>
    <row r="350">
      <c r="A350" s="11">
        <f>Config!$C$6+344</f>
        <v/>
      </c>
      <c r="B350" s="12">
        <f>INT((A350-Config!$C$6)/7)+1</f>
        <v/>
      </c>
      <c r="C350" s="9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4">
        <f>IF(COUNT(C350:P350)=0,"",IFERROR(C350/D350*1000,0))</f>
        <v/>
      </c>
      <c r="R350" s="15">
        <f>IF(COUNT(C350:P350)=0,"",IFERROR(D350/E350,0))</f>
        <v/>
      </c>
      <c r="S350" s="16">
        <f>IF(COUNT(C350:P350)=0,"",IFERROR(F350/D350,0))</f>
        <v/>
      </c>
      <c r="T350" s="14">
        <f>IF(COUNT(C350:P350)=0,"",IFERROR(C350/F350,0))</f>
        <v/>
      </c>
      <c r="U350" s="17">
        <f>IF(COUNT(C350:P350)=0,"",IFERROR(G350/F350,0))</f>
        <v/>
      </c>
      <c r="V350" s="14">
        <f>IF(COUNT(C350:P350)=0,"",IFERROR(C350/G350,0))</f>
        <v/>
      </c>
      <c r="W350" s="18">
        <f>IF(COUNT(C350:P350)=0,"",IFERROR(G350/D350*1000,0))</f>
        <v/>
      </c>
      <c r="X350" s="17">
        <f>IF(COUNT(C350:P350)=0,"",IFERROR(H350/G350,0))</f>
        <v/>
      </c>
      <c r="Y350" s="14">
        <f>IF(COUNT(C350:P350)=0,"",IFERROR(C350/H350,0))</f>
        <v/>
      </c>
      <c r="Z350" s="14">
        <f>IF(COUNT(C350:P350)=0,"",IFERROR(C350/I350,0))</f>
        <v/>
      </c>
      <c r="AA350" s="17">
        <f>IF(COUNT(C350:P350)=0,"",IFERROR(Y350/Q350,0))</f>
        <v/>
      </c>
      <c r="AB350" s="18">
        <f>IF(COUNT(C350:P350)=0,"",IFERROR(H350/D350*1000,0))</f>
        <v/>
      </c>
      <c r="AC350" s="17">
        <f>IF(COUNT(C350:P350)=0,"",IFERROR(J350/H350,0))</f>
        <v/>
      </c>
      <c r="AD350" s="14">
        <f>IF(COUNT(C350:P350)=0,"",IFERROR(C350/J350,0))</f>
        <v/>
      </c>
      <c r="AE350" s="17">
        <f>IF(COUNT(C350:P350)=0,"",IFERROR(K350/H350,0))</f>
        <v/>
      </c>
      <c r="AF350" s="17">
        <f>IF(COUNT(C350:P350)=0,"",IFERROR(L350/H350,0))</f>
        <v/>
      </c>
      <c r="AG350" s="14">
        <f>IF(COUNT(C350:P350)=0,"",IFERROR(C350/K350,0))</f>
        <v/>
      </c>
      <c r="AH350" s="17">
        <f>IF(COUNT(C350:P350)=0,"",IFERROR(M350/K350,0))</f>
        <v/>
      </c>
      <c r="AI350" s="14">
        <f>IF(COUNT(C350:P350)=0,"",IFERROR(C350/M350,0))</f>
        <v/>
      </c>
      <c r="AJ350" s="17">
        <f>IF(COUNT(C350:P350)=0,"",IFERROR(N350/M350,0))</f>
        <v/>
      </c>
      <c r="AK350" s="16">
        <f>IF(COUNT(C350:P350)=0,"",IFERROR(N350/H350,0))</f>
        <v/>
      </c>
      <c r="AL350" s="14">
        <f>IF(COUNT(C350:P350)=0,"",IFERROR(C350/N350,0))</f>
        <v/>
      </c>
      <c r="AM350" s="17">
        <f>IF(COUNT(C350:P350)=0,"",IFERROR(O350/N350,0))</f>
        <v/>
      </c>
      <c r="AN350" s="17">
        <f>IF(COUNT(C350:P350)=0,"",IFERROR(P350/N350,0))</f>
        <v/>
      </c>
      <c r="AO350" s="19">
        <f>IF(COUNT(C350:P350)=0,"",IFERROR(N350*Config!$C$7+O350*Config!$C$8+P350*Config!$C$9,0))</f>
        <v/>
      </c>
      <c r="AP350" s="14">
        <f>IF(COUNT(C350:P350)=0,"",IFERROR(AO350/N350,0))</f>
        <v/>
      </c>
      <c r="AQ350" s="19">
        <f>IF(COUNT(C350:P350)=0,"",IFERROR(AO350*(1-Config!$C$10-Config!$C$11-Config!$C$12),0))</f>
        <v/>
      </c>
      <c r="AR350" s="19">
        <f>IF(COUNT(C350:P350)=0,"",IFERROR(AQ350-C350-Config!$C$13,0))</f>
        <v/>
      </c>
      <c r="AS350" s="20">
        <f>IF(COUNT(C350:P350)=0,"",IFERROR(AQ350/C350,0))</f>
        <v/>
      </c>
      <c r="AT350" s="14">
        <f>IF(COUNT(C350:P350)=0,"",IFERROR(AR350/G350,0))</f>
        <v/>
      </c>
      <c r="AU350" s="20">
        <f>IF(COUNT(C350:P350)=0,"",IFERROR(AT350/V350,0))</f>
        <v/>
      </c>
      <c r="AV350" s="14">
        <f>IF(COUNT(C350:P350)=0,"",IFERROR(AR350/H350,0))</f>
        <v/>
      </c>
    </row>
    <row r="351">
      <c r="A351" s="11">
        <f>Config!$C$6+345</f>
        <v/>
      </c>
      <c r="B351" s="12">
        <f>INT((A351-Config!$C$6)/7)+1</f>
        <v/>
      </c>
      <c r="C351" s="9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4">
        <f>IF(COUNT(C351:P351)=0,"",IFERROR(C351/D351*1000,0))</f>
        <v/>
      </c>
      <c r="R351" s="15">
        <f>IF(COUNT(C351:P351)=0,"",IFERROR(D351/E351,0))</f>
        <v/>
      </c>
      <c r="S351" s="16">
        <f>IF(COUNT(C351:P351)=0,"",IFERROR(F351/D351,0))</f>
        <v/>
      </c>
      <c r="T351" s="14">
        <f>IF(COUNT(C351:P351)=0,"",IFERROR(C351/F351,0))</f>
        <v/>
      </c>
      <c r="U351" s="17">
        <f>IF(COUNT(C351:P351)=0,"",IFERROR(G351/F351,0))</f>
        <v/>
      </c>
      <c r="V351" s="14">
        <f>IF(COUNT(C351:P351)=0,"",IFERROR(C351/G351,0))</f>
        <v/>
      </c>
      <c r="W351" s="18">
        <f>IF(COUNT(C351:P351)=0,"",IFERROR(G351/D351*1000,0))</f>
        <v/>
      </c>
      <c r="X351" s="17">
        <f>IF(COUNT(C351:P351)=0,"",IFERROR(H351/G351,0))</f>
        <v/>
      </c>
      <c r="Y351" s="14">
        <f>IF(COUNT(C351:P351)=0,"",IFERROR(C351/H351,0))</f>
        <v/>
      </c>
      <c r="Z351" s="14">
        <f>IF(COUNT(C351:P351)=0,"",IFERROR(C351/I351,0))</f>
        <v/>
      </c>
      <c r="AA351" s="17">
        <f>IF(COUNT(C351:P351)=0,"",IFERROR(Y351/Q351,0))</f>
        <v/>
      </c>
      <c r="AB351" s="18">
        <f>IF(COUNT(C351:P351)=0,"",IFERROR(H351/D351*1000,0))</f>
        <v/>
      </c>
      <c r="AC351" s="17">
        <f>IF(COUNT(C351:P351)=0,"",IFERROR(J351/H351,0))</f>
        <v/>
      </c>
      <c r="AD351" s="14">
        <f>IF(COUNT(C351:P351)=0,"",IFERROR(C351/J351,0))</f>
        <v/>
      </c>
      <c r="AE351" s="17">
        <f>IF(COUNT(C351:P351)=0,"",IFERROR(K351/H351,0))</f>
        <v/>
      </c>
      <c r="AF351" s="17">
        <f>IF(COUNT(C351:P351)=0,"",IFERROR(L351/H351,0))</f>
        <v/>
      </c>
      <c r="AG351" s="14">
        <f>IF(COUNT(C351:P351)=0,"",IFERROR(C351/K351,0))</f>
        <v/>
      </c>
      <c r="AH351" s="17">
        <f>IF(COUNT(C351:P351)=0,"",IFERROR(M351/K351,0))</f>
        <v/>
      </c>
      <c r="AI351" s="14">
        <f>IF(COUNT(C351:P351)=0,"",IFERROR(C351/M351,0))</f>
        <v/>
      </c>
      <c r="AJ351" s="17">
        <f>IF(COUNT(C351:P351)=0,"",IFERROR(N351/M351,0))</f>
        <v/>
      </c>
      <c r="AK351" s="16">
        <f>IF(COUNT(C351:P351)=0,"",IFERROR(N351/H351,0))</f>
        <v/>
      </c>
      <c r="AL351" s="14">
        <f>IF(COUNT(C351:P351)=0,"",IFERROR(C351/N351,0))</f>
        <v/>
      </c>
      <c r="AM351" s="17">
        <f>IF(COUNT(C351:P351)=0,"",IFERROR(O351/N351,0))</f>
        <v/>
      </c>
      <c r="AN351" s="17">
        <f>IF(COUNT(C351:P351)=0,"",IFERROR(P351/N351,0))</f>
        <v/>
      </c>
      <c r="AO351" s="19">
        <f>IF(COUNT(C351:P351)=0,"",IFERROR(N351*Config!$C$7+O351*Config!$C$8+P351*Config!$C$9,0))</f>
        <v/>
      </c>
      <c r="AP351" s="14">
        <f>IF(COUNT(C351:P351)=0,"",IFERROR(AO351/N351,0))</f>
        <v/>
      </c>
      <c r="AQ351" s="19">
        <f>IF(COUNT(C351:P351)=0,"",IFERROR(AO351*(1-Config!$C$10-Config!$C$11-Config!$C$12),0))</f>
        <v/>
      </c>
      <c r="AR351" s="19">
        <f>IF(COUNT(C351:P351)=0,"",IFERROR(AQ351-C351-Config!$C$13,0))</f>
        <v/>
      </c>
      <c r="AS351" s="20">
        <f>IF(COUNT(C351:P351)=0,"",IFERROR(AQ351/C351,0))</f>
        <v/>
      </c>
      <c r="AT351" s="14">
        <f>IF(COUNT(C351:P351)=0,"",IFERROR(AR351/G351,0))</f>
        <v/>
      </c>
      <c r="AU351" s="20">
        <f>IF(COUNT(C351:P351)=0,"",IFERROR(AT351/V351,0))</f>
        <v/>
      </c>
      <c r="AV351" s="14">
        <f>IF(COUNT(C351:P351)=0,"",IFERROR(AR351/H351,0))</f>
        <v/>
      </c>
    </row>
    <row r="352">
      <c r="A352" s="11">
        <f>Config!$C$6+346</f>
        <v/>
      </c>
      <c r="B352" s="12">
        <f>INT((A352-Config!$C$6)/7)+1</f>
        <v/>
      </c>
      <c r="C352" s="9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4">
        <f>IF(COUNT(C352:P352)=0,"",IFERROR(C352/D352*1000,0))</f>
        <v/>
      </c>
      <c r="R352" s="15">
        <f>IF(COUNT(C352:P352)=0,"",IFERROR(D352/E352,0))</f>
        <v/>
      </c>
      <c r="S352" s="16">
        <f>IF(COUNT(C352:P352)=0,"",IFERROR(F352/D352,0))</f>
        <v/>
      </c>
      <c r="T352" s="14">
        <f>IF(COUNT(C352:P352)=0,"",IFERROR(C352/F352,0))</f>
        <v/>
      </c>
      <c r="U352" s="17">
        <f>IF(COUNT(C352:P352)=0,"",IFERROR(G352/F352,0))</f>
        <v/>
      </c>
      <c r="V352" s="14">
        <f>IF(COUNT(C352:P352)=0,"",IFERROR(C352/G352,0))</f>
        <v/>
      </c>
      <c r="W352" s="18">
        <f>IF(COUNT(C352:P352)=0,"",IFERROR(G352/D352*1000,0))</f>
        <v/>
      </c>
      <c r="X352" s="17">
        <f>IF(COUNT(C352:P352)=0,"",IFERROR(H352/G352,0))</f>
        <v/>
      </c>
      <c r="Y352" s="14">
        <f>IF(COUNT(C352:P352)=0,"",IFERROR(C352/H352,0))</f>
        <v/>
      </c>
      <c r="Z352" s="14">
        <f>IF(COUNT(C352:P352)=0,"",IFERROR(C352/I352,0))</f>
        <v/>
      </c>
      <c r="AA352" s="17">
        <f>IF(COUNT(C352:P352)=0,"",IFERROR(Y352/Q352,0))</f>
        <v/>
      </c>
      <c r="AB352" s="18">
        <f>IF(COUNT(C352:P352)=0,"",IFERROR(H352/D352*1000,0))</f>
        <v/>
      </c>
      <c r="AC352" s="17">
        <f>IF(COUNT(C352:P352)=0,"",IFERROR(J352/H352,0))</f>
        <v/>
      </c>
      <c r="AD352" s="14">
        <f>IF(COUNT(C352:P352)=0,"",IFERROR(C352/J352,0))</f>
        <v/>
      </c>
      <c r="AE352" s="17">
        <f>IF(COUNT(C352:P352)=0,"",IFERROR(K352/H352,0))</f>
        <v/>
      </c>
      <c r="AF352" s="17">
        <f>IF(COUNT(C352:P352)=0,"",IFERROR(L352/H352,0))</f>
        <v/>
      </c>
      <c r="AG352" s="14">
        <f>IF(COUNT(C352:P352)=0,"",IFERROR(C352/K352,0))</f>
        <v/>
      </c>
      <c r="AH352" s="17">
        <f>IF(COUNT(C352:P352)=0,"",IFERROR(M352/K352,0))</f>
        <v/>
      </c>
      <c r="AI352" s="14">
        <f>IF(COUNT(C352:P352)=0,"",IFERROR(C352/M352,0))</f>
        <v/>
      </c>
      <c r="AJ352" s="17">
        <f>IF(COUNT(C352:P352)=0,"",IFERROR(N352/M352,0))</f>
        <v/>
      </c>
      <c r="AK352" s="16">
        <f>IF(COUNT(C352:P352)=0,"",IFERROR(N352/H352,0))</f>
        <v/>
      </c>
      <c r="AL352" s="14">
        <f>IF(COUNT(C352:P352)=0,"",IFERROR(C352/N352,0))</f>
        <v/>
      </c>
      <c r="AM352" s="17">
        <f>IF(COUNT(C352:P352)=0,"",IFERROR(O352/N352,0))</f>
        <v/>
      </c>
      <c r="AN352" s="17">
        <f>IF(COUNT(C352:P352)=0,"",IFERROR(P352/N352,0))</f>
        <v/>
      </c>
      <c r="AO352" s="19">
        <f>IF(COUNT(C352:P352)=0,"",IFERROR(N352*Config!$C$7+O352*Config!$C$8+P352*Config!$C$9,0))</f>
        <v/>
      </c>
      <c r="AP352" s="14">
        <f>IF(COUNT(C352:P352)=0,"",IFERROR(AO352/N352,0))</f>
        <v/>
      </c>
      <c r="AQ352" s="19">
        <f>IF(COUNT(C352:P352)=0,"",IFERROR(AO352*(1-Config!$C$10-Config!$C$11-Config!$C$12),0))</f>
        <v/>
      </c>
      <c r="AR352" s="19">
        <f>IF(COUNT(C352:P352)=0,"",IFERROR(AQ352-C352-Config!$C$13,0))</f>
        <v/>
      </c>
      <c r="AS352" s="20">
        <f>IF(COUNT(C352:P352)=0,"",IFERROR(AQ352/C352,0))</f>
        <v/>
      </c>
      <c r="AT352" s="14">
        <f>IF(COUNT(C352:P352)=0,"",IFERROR(AR352/G352,0))</f>
        <v/>
      </c>
      <c r="AU352" s="20">
        <f>IF(COUNT(C352:P352)=0,"",IFERROR(AT352/V352,0))</f>
        <v/>
      </c>
      <c r="AV352" s="14">
        <f>IF(COUNT(C352:P352)=0,"",IFERROR(AR352/H352,0))</f>
        <v/>
      </c>
    </row>
    <row r="353">
      <c r="A353" s="11">
        <f>Config!$C$6+347</f>
        <v/>
      </c>
      <c r="B353" s="12">
        <f>INT((A353-Config!$C$6)/7)+1</f>
        <v/>
      </c>
      <c r="C353" s="9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4">
        <f>IF(COUNT(C353:P353)=0,"",IFERROR(C353/D353*1000,0))</f>
        <v/>
      </c>
      <c r="R353" s="15">
        <f>IF(COUNT(C353:P353)=0,"",IFERROR(D353/E353,0))</f>
        <v/>
      </c>
      <c r="S353" s="16">
        <f>IF(COUNT(C353:P353)=0,"",IFERROR(F353/D353,0))</f>
        <v/>
      </c>
      <c r="T353" s="14">
        <f>IF(COUNT(C353:P353)=0,"",IFERROR(C353/F353,0))</f>
        <v/>
      </c>
      <c r="U353" s="17">
        <f>IF(COUNT(C353:P353)=0,"",IFERROR(G353/F353,0))</f>
        <v/>
      </c>
      <c r="V353" s="14">
        <f>IF(COUNT(C353:P353)=0,"",IFERROR(C353/G353,0))</f>
        <v/>
      </c>
      <c r="W353" s="18">
        <f>IF(COUNT(C353:P353)=0,"",IFERROR(G353/D353*1000,0))</f>
        <v/>
      </c>
      <c r="X353" s="17">
        <f>IF(COUNT(C353:P353)=0,"",IFERROR(H353/G353,0))</f>
        <v/>
      </c>
      <c r="Y353" s="14">
        <f>IF(COUNT(C353:P353)=0,"",IFERROR(C353/H353,0))</f>
        <v/>
      </c>
      <c r="Z353" s="14">
        <f>IF(COUNT(C353:P353)=0,"",IFERROR(C353/I353,0))</f>
        <v/>
      </c>
      <c r="AA353" s="17">
        <f>IF(COUNT(C353:P353)=0,"",IFERROR(Y353/Q353,0))</f>
        <v/>
      </c>
      <c r="AB353" s="18">
        <f>IF(COUNT(C353:P353)=0,"",IFERROR(H353/D353*1000,0))</f>
        <v/>
      </c>
      <c r="AC353" s="17">
        <f>IF(COUNT(C353:P353)=0,"",IFERROR(J353/H353,0))</f>
        <v/>
      </c>
      <c r="AD353" s="14">
        <f>IF(COUNT(C353:P353)=0,"",IFERROR(C353/J353,0))</f>
        <v/>
      </c>
      <c r="AE353" s="17">
        <f>IF(COUNT(C353:P353)=0,"",IFERROR(K353/H353,0))</f>
        <v/>
      </c>
      <c r="AF353" s="17">
        <f>IF(COUNT(C353:P353)=0,"",IFERROR(L353/H353,0))</f>
        <v/>
      </c>
      <c r="AG353" s="14">
        <f>IF(COUNT(C353:P353)=0,"",IFERROR(C353/K353,0))</f>
        <v/>
      </c>
      <c r="AH353" s="17">
        <f>IF(COUNT(C353:P353)=0,"",IFERROR(M353/K353,0))</f>
        <v/>
      </c>
      <c r="AI353" s="14">
        <f>IF(COUNT(C353:P353)=0,"",IFERROR(C353/M353,0))</f>
        <v/>
      </c>
      <c r="AJ353" s="17">
        <f>IF(COUNT(C353:P353)=0,"",IFERROR(N353/M353,0))</f>
        <v/>
      </c>
      <c r="AK353" s="16">
        <f>IF(COUNT(C353:P353)=0,"",IFERROR(N353/H353,0))</f>
        <v/>
      </c>
      <c r="AL353" s="14">
        <f>IF(COUNT(C353:P353)=0,"",IFERROR(C353/N353,0))</f>
        <v/>
      </c>
      <c r="AM353" s="17">
        <f>IF(COUNT(C353:P353)=0,"",IFERROR(O353/N353,0))</f>
        <v/>
      </c>
      <c r="AN353" s="17">
        <f>IF(COUNT(C353:P353)=0,"",IFERROR(P353/N353,0))</f>
        <v/>
      </c>
      <c r="AO353" s="19">
        <f>IF(COUNT(C353:P353)=0,"",IFERROR(N353*Config!$C$7+O353*Config!$C$8+P353*Config!$C$9,0))</f>
        <v/>
      </c>
      <c r="AP353" s="14">
        <f>IF(COUNT(C353:P353)=0,"",IFERROR(AO353/N353,0))</f>
        <v/>
      </c>
      <c r="AQ353" s="19">
        <f>IF(COUNT(C353:P353)=0,"",IFERROR(AO353*(1-Config!$C$10-Config!$C$11-Config!$C$12),0))</f>
        <v/>
      </c>
      <c r="AR353" s="19">
        <f>IF(COUNT(C353:P353)=0,"",IFERROR(AQ353-C353-Config!$C$13,0))</f>
        <v/>
      </c>
      <c r="AS353" s="20">
        <f>IF(COUNT(C353:P353)=0,"",IFERROR(AQ353/C353,0))</f>
        <v/>
      </c>
      <c r="AT353" s="14">
        <f>IF(COUNT(C353:P353)=0,"",IFERROR(AR353/G353,0))</f>
        <v/>
      </c>
      <c r="AU353" s="20">
        <f>IF(COUNT(C353:P353)=0,"",IFERROR(AT353/V353,0))</f>
        <v/>
      </c>
      <c r="AV353" s="14">
        <f>IF(COUNT(C353:P353)=0,"",IFERROR(AR353/H353,0))</f>
        <v/>
      </c>
    </row>
    <row r="354">
      <c r="A354" s="11">
        <f>Config!$C$6+348</f>
        <v/>
      </c>
      <c r="B354" s="12">
        <f>INT((A354-Config!$C$6)/7)+1</f>
        <v/>
      </c>
      <c r="C354" s="9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4">
        <f>IF(COUNT(C354:P354)=0,"",IFERROR(C354/D354*1000,0))</f>
        <v/>
      </c>
      <c r="R354" s="15">
        <f>IF(COUNT(C354:P354)=0,"",IFERROR(D354/E354,0))</f>
        <v/>
      </c>
      <c r="S354" s="16">
        <f>IF(COUNT(C354:P354)=0,"",IFERROR(F354/D354,0))</f>
        <v/>
      </c>
      <c r="T354" s="14">
        <f>IF(COUNT(C354:P354)=0,"",IFERROR(C354/F354,0))</f>
        <v/>
      </c>
      <c r="U354" s="17">
        <f>IF(COUNT(C354:P354)=0,"",IFERROR(G354/F354,0))</f>
        <v/>
      </c>
      <c r="V354" s="14">
        <f>IF(COUNT(C354:P354)=0,"",IFERROR(C354/G354,0))</f>
        <v/>
      </c>
      <c r="W354" s="18">
        <f>IF(COUNT(C354:P354)=0,"",IFERROR(G354/D354*1000,0))</f>
        <v/>
      </c>
      <c r="X354" s="17">
        <f>IF(COUNT(C354:P354)=0,"",IFERROR(H354/G354,0))</f>
        <v/>
      </c>
      <c r="Y354" s="14">
        <f>IF(COUNT(C354:P354)=0,"",IFERROR(C354/H354,0))</f>
        <v/>
      </c>
      <c r="Z354" s="14">
        <f>IF(COUNT(C354:P354)=0,"",IFERROR(C354/I354,0))</f>
        <v/>
      </c>
      <c r="AA354" s="17">
        <f>IF(COUNT(C354:P354)=0,"",IFERROR(Y354/Q354,0))</f>
        <v/>
      </c>
      <c r="AB354" s="18">
        <f>IF(COUNT(C354:P354)=0,"",IFERROR(H354/D354*1000,0))</f>
        <v/>
      </c>
      <c r="AC354" s="17">
        <f>IF(COUNT(C354:P354)=0,"",IFERROR(J354/H354,0))</f>
        <v/>
      </c>
      <c r="AD354" s="14">
        <f>IF(COUNT(C354:P354)=0,"",IFERROR(C354/J354,0))</f>
        <v/>
      </c>
      <c r="AE354" s="17">
        <f>IF(COUNT(C354:P354)=0,"",IFERROR(K354/H354,0))</f>
        <v/>
      </c>
      <c r="AF354" s="17">
        <f>IF(COUNT(C354:P354)=0,"",IFERROR(L354/H354,0))</f>
        <v/>
      </c>
      <c r="AG354" s="14">
        <f>IF(COUNT(C354:P354)=0,"",IFERROR(C354/K354,0))</f>
        <v/>
      </c>
      <c r="AH354" s="17">
        <f>IF(COUNT(C354:P354)=0,"",IFERROR(M354/K354,0))</f>
        <v/>
      </c>
      <c r="AI354" s="14">
        <f>IF(COUNT(C354:P354)=0,"",IFERROR(C354/M354,0))</f>
        <v/>
      </c>
      <c r="AJ354" s="17">
        <f>IF(COUNT(C354:P354)=0,"",IFERROR(N354/M354,0))</f>
        <v/>
      </c>
      <c r="AK354" s="16">
        <f>IF(COUNT(C354:P354)=0,"",IFERROR(N354/H354,0))</f>
        <v/>
      </c>
      <c r="AL354" s="14">
        <f>IF(COUNT(C354:P354)=0,"",IFERROR(C354/N354,0))</f>
        <v/>
      </c>
      <c r="AM354" s="17">
        <f>IF(COUNT(C354:P354)=0,"",IFERROR(O354/N354,0))</f>
        <v/>
      </c>
      <c r="AN354" s="17">
        <f>IF(COUNT(C354:P354)=0,"",IFERROR(P354/N354,0))</f>
        <v/>
      </c>
      <c r="AO354" s="19">
        <f>IF(COUNT(C354:P354)=0,"",IFERROR(N354*Config!$C$7+O354*Config!$C$8+P354*Config!$C$9,0))</f>
        <v/>
      </c>
      <c r="AP354" s="14">
        <f>IF(COUNT(C354:P354)=0,"",IFERROR(AO354/N354,0))</f>
        <v/>
      </c>
      <c r="AQ354" s="19">
        <f>IF(COUNT(C354:P354)=0,"",IFERROR(AO354*(1-Config!$C$10-Config!$C$11-Config!$C$12),0))</f>
        <v/>
      </c>
      <c r="AR354" s="19">
        <f>IF(COUNT(C354:P354)=0,"",IFERROR(AQ354-C354-Config!$C$13,0))</f>
        <v/>
      </c>
      <c r="AS354" s="20">
        <f>IF(COUNT(C354:P354)=0,"",IFERROR(AQ354/C354,0))</f>
        <v/>
      </c>
      <c r="AT354" s="14">
        <f>IF(COUNT(C354:P354)=0,"",IFERROR(AR354/G354,0))</f>
        <v/>
      </c>
      <c r="AU354" s="20">
        <f>IF(COUNT(C354:P354)=0,"",IFERROR(AT354/V354,0))</f>
        <v/>
      </c>
      <c r="AV354" s="14">
        <f>IF(COUNT(C354:P354)=0,"",IFERROR(AR354/H354,0))</f>
        <v/>
      </c>
    </row>
    <row r="355">
      <c r="A355" s="11">
        <f>Config!$C$6+349</f>
        <v/>
      </c>
      <c r="B355" s="12">
        <f>INT((A355-Config!$C$6)/7)+1</f>
        <v/>
      </c>
      <c r="C355" s="9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4">
        <f>IF(COUNT(C355:P355)=0,"",IFERROR(C355/D355*1000,0))</f>
        <v/>
      </c>
      <c r="R355" s="15">
        <f>IF(COUNT(C355:P355)=0,"",IFERROR(D355/E355,0))</f>
        <v/>
      </c>
      <c r="S355" s="16">
        <f>IF(COUNT(C355:P355)=0,"",IFERROR(F355/D355,0))</f>
        <v/>
      </c>
      <c r="T355" s="14">
        <f>IF(COUNT(C355:P355)=0,"",IFERROR(C355/F355,0))</f>
        <v/>
      </c>
      <c r="U355" s="17">
        <f>IF(COUNT(C355:P355)=0,"",IFERROR(G355/F355,0))</f>
        <v/>
      </c>
      <c r="V355" s="14">
        <f>IF(COUNT(C355:P355)=0,"",IFERROR(C355/G355,0))</f>
        <v/>
      </c>
      <c r="W355" s="18">
        <f>IF(COUNT(C355:P355)=0,"",IFERROR(G355/D355*1000,0))</f>
        <v/>
      </c>
      <c r="X355" s="17">
        <f>IF(COUNT(C355:P355)=0,"",IFERROR(H355/G355,0))</f>
        <v/>
      </c>
      <c r="Y355" s="14">
        <f>IF(COUNT(C355:P355)=0,"",IFERROR(C355/H355,0))</f>
        <v/>
      </c>
      <c r="Z355" s="14">
        <f>IF(COUNT(C355:P355)=0,"",IFERROR(C355/I355,0))</f>
        <v/>
      </c>
      <c r="AA355" s="17">
        <f>IF(COUNT(C355:P355)=0,"",IFERROR(Y355/Q355,0))</f>
        <v/>
      </c>
      <c r="AB355" s="18">
        <f>IF(COUNT(C355:P355)=0,"",IFERROR(H355/D355*1000,0))</f>
        <v/>
      </c>
      <c r="AC355" s="17">
        <f>IF(COUNT(C355:P355)=0,"",IFERROR(J355/H355,0))</f>
        <v/>
      </c>
      <c r="AD355" s="14">
        <f>IF(COUNT(C355:P355)=0,"",IFERROR(C355/J355,0))</f>
        <v/>
      </c>
      <c r="AE355" s="17">
        <f>IF(COUNT(C355:P355)=0,"",IFERROR(K355/H355,0))</f>
        <v/>
      </c>
      <c r="AF355" s="17">
        <f>IF(COUNT(C355:P355)=0,"",IFERROR(L355/H355,0))</f>
        <v/>
      </c>
      <c r="AG355" s="14">
        <f>IF(COUNT(C355:P355)=0,"",IFERROR(C355/K355,0))</f>
        <v/>
      </c>
      <c r="AH355" s="17">
        <f>IF(COUNT(C355:P355)=0,"",IFERROR(M355/K355,0))</f>
        <v/>
      </c>
      <c r="AI355" s="14">
        <f>IF(COUNT(C355:P355)=0,"",IFERROR(C355/M355,0))</f>
        <v/>
      </c>
      <c r="AJ355" s="17">
        <f>IF(COUNT(C355:P355)=0,"",IFERROR(N355/M355,0))</f>
        <v/>
      </c>
      <c r="AK355" s="16">
        <f>IF(COUNT(C355:P355)=0,"",IFERROR(N355/H355,0))</f>
        <v/>
      </c>
      <c r="AL355" s="14">
        <f>IF(COUNT(C355:P355)=0,"",IFERROR(C355/N355,0))</f>
        <v/>
      </c>
      <c r="AM355" s="17">
        <f>IF(COUNT(C355:P355)=0,"",IFERROR(O355/N355,0))</f>
        <v/>
      </c>
      <c r="AN355" s="17">
        <f>IF(COUNT(C355:P355)=0,"",IFERROR(P355/N355,0))</f>
        <v/>
      </c>
      <c r="AO355" s="19">
        <f>IF(COUNT(C355:P355)=0,"",IFERROR(N355*Config!$C$7+O355*Config!$C$8+P355*Config!$C$9,0))</f>
        <v/>
      </c>
      <c r="AP355" s="14">
        <f>IF(COUNT(C355:P355)=0,"",IFERROR(AO355/N355,0))</f>
        <v/>
      </c>
      <c r="AQ355" s="19">
        <f>IF(COUNT(C355:P355)=0,"",IFERROR(AO355*(1-Config!$C$10-Config!$C$11-Config!$C$12),0))</f>
        <v/>
      </c>
      <c r="AR355" s="19">
        <f>IF(COUNT(C355:P355)=0,"",IFERROR(AQ355-C355-Config!$C$13,0))</f>
        <v/>
      </c>
      <c r="AS355" s="20">
        <f>IF(COUNT(C355:P355)=0,"",IFERROR(AQ355/C355,0))</f>
        <v/>
      </c>
      <c r="AT355" s="14">
        <f>IF(COUNT(C355:P355)=0,"",IFERROR(AR355/G355,0))</f>
        <v/>
      </c>
      <c r="AU355" s="20">
        <f>IF(COUNT(C355:P355)=0,"",IFERROR(AT355/V355,0))</f>
        <v/>
      </c>
      <c r="AV355" s="14">
        <f>IF(COUNT(C355:P355)=0,"",IFERROR(AR355/H355,0))</f>
        <v/>
      </c>
    </row>
    <row r="356">
      <c r="A356" s="11">
        <f>Config!$C$6+350</f>
        <v/>
      </c>
      <c r="B356" s="12">
        <f>INT((A356-Config!$C$6)/7)+1</f>
        <v/>
      </c>
      <c r="C356" s="9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4">
        <f>IF(COUNT(C356:P356)=0,"",IFERROR(C356/D356*1000,0))</f>
        <v/>
      </c>
      <c r="R356" s="15">
        <f>IF(COUNT(C356:P356)=0,"",IFERROR(D356/E356,0))</f>
        <v/>
      </c>
      <c r="S356" s="16">
        <f>IF(COUNT(C356:P356)=0,"",IFERROR(F356/D356,0))</f>
        <v/>
      </c>
      <c r="T356" s="14">
        <f>IF(COUNT(C356:P356)=0,"",IFERROR(C356/F356,0))</f>
        <v/>
      </c>
      <c r="U356" s="17">
        <f>IF(COUNT(C356:P356)=0,"",IFERROR(G356/F356,0))</f>
        <v/>
      </c>
      <c r="V356" s="14">
        <f>IF(COUNT(C356:P356)=0,"",IFERROR(C356/G356,0))</f>
        <v/>
      </c>
      <c r="W356" s="18">
        <f>IF(COUNT(C356:P356)=0,"",IFERROR(G356/D356*1000,0))</f>
        <v/>
      </c>
      <c r="X356" s="17">
        <f>IF(COUNT(C356:P356)=0,"",IFERROR(H356/G356,0))</f>
        <v/>
      </c>
      <c r="Y356" s="14">
        <f>IF(COUNT(C356:P356)=0,"",IFERROR(C356/H356,0))</f>
        <v/>
      </c>
      <c r="Z356" s="14">
        <f>IF(COUNT(C356:P356)=0,"",IFERROR(C356/I356,0))</f>
        <v/>
      </c>
      <c r="AA356" s="17">
        <f>IF(COUNT(C356:P356)=0,"",IFERROR(Y356/Q356,0))</f>
        <v/>
      </c>
      <c r="AB356" s="18">
        <f>IF(COUNT(C356:P356)=0,"",IFERROR(H356/D356*1000,0))</f>
        <v/>
      </c>
      <c r="AC356" s="17">
        <f>IF(COUNT(C356:P356)=0,"",IFERROR(J356/H356,0))</f>
        <v/>
      </c>
      <c r="AD356" s="14">
        <f>IF(COUNT(C356:P356)=0,"",IFERROR(C356/J356,0))</f>
        <v/>
      </c>
      <c r="AE356" s="17">
        <f>IF(COUNT(C356:P356)=0,"",IFERROR(K356/H356,0))</f>
        <v/>
      </c>
      <c r="AF356" s="17">
        <f>IF(COUNT(C356:P356)=0,"",IFERROR(L356/H356,0))</f>
        <v/>
      </c>
      <c r="AG356" s="14">
        <f>IF(COUNT(C356:P356)=0,"",IFERROR(C356/K356,0))</f>
        <v/>
      </c>
      <c r="AH356" s="17">
        <f>IF(COUNT(C356:P356)=0,"",IFERROR(M356/K356,0))</f>
        <v/>
      </c>
      <c r="AI356" s="14">
        <f>IF(COUNT(C356:P356)=0,"",IFERROR(C356/M356,0))</f>
        <v/>
      </c>
      <c r="AJ356" s="17">
        <f>IF(COUNT(C356:P356)=0,"",IFERROR(N356/M356,0))</f>
        <v/>
      </c>
      <c r="AK356" s="16">
        <f>IF(COUNT(C356:P356)=0,"",IFERROR(N356/H356,0))</f>
        <v/>
      </c>
      <c r="AL356" s="14">
        <f>IF(COUNT(C356:P356)=0,"",IFERROR(C356/N356,0))</f>
        <v/>
      </c>
      <c r="AM356" s="17">
        <f>IF(COUNT(C356:P356)=0,"",IFERROR(O356/N356,0))</f>
        <v/>
      </c>
      <c r="AN356" s="17">
        <f>IF(COUNT(C356:P356)=0,"",IFERROR(P356/N356,0))</f>
        <v/>
      </c>
      <c r="AO356" s="19">
        <f>IF(COUNT(C356:P356)=0,"",IFERROR(N356*Config!$C$7+O356*Config!$C$8+P356*Config!$C$9,0))</f>
        <v/>
      </c>
      <c r="AP356" s="14">
        <f>IF(COUNT(C356:P356)=0,"",IFERROR(AO356/N356,0))</f>
        <v/>
      </c>
      <c r="AQ356" s="19">
        <f>IF(COUNT(C356:P356)=0,"",IFERROR(AO356*(1-Config!$C$10-Config!$C$11-Config!$C$12),0))</f>
        <v/>
      </c>
      <c r="AR356" s="19">
        <f>IF(COUNT(C356:P356)=0,"",IFERROR(AQ356-C356-Config!$C$13,0))</f>
        <v/>
      </c>
      <c r="AS356" s="20">
        <f>IF(COUNT(C356:P356)=0,"",IFERROR(AQ356/C356,0))</f>
        <v/>
      </c>
      <c r="AT356" s="14">
        <f>IF(COUNT(C356:P356)=0,"",IFERROR(AR356/G356,0))</f>
        <v/>
      </c>
      <c r="AU356" s="20">
        <f>IF(COUNT(C356:P356)=0,"",IFERROR(AT356/V356,0))</f>
        <v/>
      </c>
      <c r="AV356" s="14">
        <f>IF(COUNT(C356:P356)=0,"",IFERROR(AR356/H356,0))</f>
        <v/>
      </c>
    </row>
    <row r="357">
      <c r="A357" s="11">
        <f>Config!$C$6+351</f>
        <v/>
      </c>
      <c r="B357" s="12">
        <f>INT((A357-Config!$C$6)/7)+1</f>
        <v/>
      </c>
      <c r="C357" s="9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4">
        <f>IF(COUNT(C357:P357)=0,"",IFERROR(C357/D357*1000,0))</f>
        <v/>
      </c>
      <c r="R357" s="15">
        <f>IF(COUNT(C357:P357)=0,"",IFERROR(D357/E357,0))</f>
        <v/>
      </c>
      <c r="S357" s="16">
        <f>IF(COUNT(C357:P357)=0,"",IFERROR(F357/D357,0))</f>
        <v/>
      </c>
      <c r="T357" s="14">
        <f>IF(COUNT(C357:P357)=0,"",IFERROR(C357/F357,0))</f>
        <v/>
      </c>
      <c r="U357" s="17">
        <f>IF(COUNT(C357:P357)=0,"",IFERROR(G357/F357,0))</f>
        <v/>
      </c>
      <c r="V357" s="14">
        <f>IF(COUNT(C357:P357)=0,"",IFERROR(C357/G357,0))</f>
        <v/>
      </c>
      <c r="W357" s="18">
        <f>IF(COUNT(C357:P357)=0,"",IFERROR(G357/D357*1000,0))</f>
        <v/>
      </c>
      <c r="X357" s="17">
        <f>IF(COUNT(C357:P357)=0,"",IFERROR(H357/G357,0))</f>
        <v/>
      </c>
      <c r="Y357" s="14">
        <f>IF(COUNT(C357:P357)=0,"",IFERROR(C357/H357,0))</f>
        <v/>
      </c>
      <c r="Z357" s="14">
        <f>IF(COUNT(C357:P357)=0,"",IFERROR(C357/I357,0))</f>
        <v/>
      </c>
      <c r="AA357" s="17">
        <f>IF(COUNT(C357:P357)=0,"",IFERROR(Y357/Q357,0))</f>
        <v/>
      </c>
      <c r="AB357" s="18">
        <f>IF(COUNT(C357:P357)=0,"",IFERROR(H357/D357*1000,0))</f>
        <v/>
      </c>
      <c r="AC357" s="17">
        <f>IF(COUNT(C357:P357)=0,"",IFERROR(J357/H357,0))</f>
        <v/>
      </c>
      <c r="AD357" s="14">
        <f>IF(COUNT(C357:P357)=0,"",IFERROR(C357/J357,0))</f>
        <v/>
      </c>
      <c r="AE357" s="17">
        <f>IF(COUNT(C357:P357)=0,"",IFERROR(K357/H357,0))</f>
        <v/>
      </c>
      <c r="AF357" s="17">
        <f>IF(COUNT(C357:P357)=0,"",IFERROR(L357/H357,0))</f>
        <v/>
      </c>
      <c r="AG357" s="14">
        <f>IF(COUNT(C357:P357)=0,"",IFERROR(C357/K357,0))</f>
        <v/>
      </c>
      <c r="AH357" s="17">
        <f>IF(COUNT(C357:P357)=0,"",IFERROR(M357/K357,0))</f>
        <v/>
      </c>
      <c r="AI357" s="14">
        <f>IF(COUNT(C357:P357)=0,"",IFERROR(C357/M357,0))</f>
        <v/>
      </c>
      <c r="AJ357" s="17">
        <f>IF(COUNT(C357:P357)=0,"",IFERROR(N357/M357,0))</f>
        <v/>
      </c>
      <c r="AK357" s="16">
        <f>IF(COUNT(C357:P357)=0,"",IFERROR(N357/H357,0))</f>
        <v/>
      </c>
      <c r="AL357" s="14">
        <f>IF(COUNT(C357:P357)=0,"",IFERROR(C357/N357,0))</f>
        <v/>
      </c>
      <c r="AM357" s="17">
        <f>IF(COUNT(C357:P357)=0,"",IFERROR(O357/N357,0))</f>
        <v/>
      </c>
      <c r="AN357" s="17">
        <f>IF(COUNT(C357:P357)=0,"",IFERROR(P357/N357,0))</f>
        <v/>
      </c>
      <c r="AO357" s="19">
        <f>IF(COUNT(C357:P357)=0,"",IFERROR(N357*Config!$C$7+O357*Config!$C$8+P357*Config!$C$9,0))</f>
        <v/>
      </c>
      <c r="AP357" s="14">
        <f>IF(COUNT(C357:P357)=0,"",IFERROR(AO357/N357,0))</f>
        <v/>
      </c>
      <c r="AQ357" s="19">
        <f>IF(COUNT(C357:P357)=0,"",IFERROR(AO357*(1-Config!$C$10-Config!$C$11-Config!$C$12),0))</f>
        <v/>
      </c>
      <c r="AR357" s="19">
        <f>IF(COUNT(C357:P357)=0,"",IFERROR(AQ357-C357-Config!$C$13,0))</f>
        <v/>
      </c>
      <c r="AS357" s="20">
        <f>IF(COUNT(C357:P357)=0,"",IFERROR(AQ357/C357,0))</f>
        <v/>
      </c>
      <c r="AT357" s="14">
        <f>IF(COUNT(C357:P357)=0,"",IFERROR(AR357/G357,0))</f>
        <v/>
      </c>
      <c r="AU357" s="20">
        <f>IF(COUNT(C357:P357)=0,"",IFERROR(AT357/V357,0))</f>
        <v/>
      </c>
      <c r="AV357" s="14">
        <f>IF(COUNT(C357:P357)=0,"",IFERROR(AR357/H357,0))</f>
        <v/>
      </c>
    </row>
    <row r="358">
      <c r="A358" s="11">
        <f>Config!$C$6+352</f>
        <v/>
      </c>
      <c r="B358" s="12">
        <f>INT((A358-Config!$C$6)/7)+1</f>
        <v/>
      </c>
      <c r="C358" s="9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4">
        <f>IF(COUNT(C358:P358)=0,"",IFERROR(C358/D358*1000,0))</f>
        <v/>
      </c>
      <c r="R358" s="15">
        <f>IF(COUNT(C358:P358)=0,"",IFERROR(D358/E358,0))</f>
        <v/>
      </c>
      <c r="S358" s="16">
        <f>IF(COUNT(C358:P358)=0,"",IFERROR(F358/D358,0))</f>
        <v/>
      </c>
      <c r="T358" s="14">
        <f>IF(COUNT(C358:P358)=0,"",IFERROR(C358/F358,0))</f>
        <v/>
      </c>
      <c r="U358" s="17">
        <f>IF(COUNT(C358:P358)=0,"",IFERROR(G358/F358,0))</f>
        <v/>
      </c>
      <c r="V358" s="14">
        <f>IF(COUNT(C358:P358)=0,"",IFERROR(C358/G358,0))</f>
        <v/>
      </c>
      <c r="W358" s="18">
        <f>IF(COUNT(C358:P358)=0,"",IFERROR(G358/D358*1000,0))</f>
        <v/>
      </c>
      <c r="X358" s="17">
        <f>IF(COUNT(C358:P358)=0,"",IFERROR(H358/G358,0))</f>
        <v/>
      </c>
      <c r="Y358" s="14">
        <f>IF(COUNT(C358:P358)=0,"",IFERROR(C358/H358,0))</f>
        <v/>
      </c>
      <c r="Z358" s="14">
        <f>IF(COUNT(C358:P358)=0,"",IFERROR(C358/I358,0))</f>
        <v/>
      </c>
      <c r="AA358" s="17">
        <f>IF(COUNT(C358:P358)=0,"",IFERROR(Y358/Q358,0))</f>
        <v/>
      </c>
      <c r="AB358" s="18">
        <f>IF(COUNT(C358:P358)=0,"",IFERROR(H358/D358*1000,0))</f>
        <v/>
      </c>
      <c r="AC358" s="17">
        <f>IF(COUNT(C358:P358)=0,"",IFERROR(J358/H358,0))</f>
        <v/>
      </c>
      <c r="AD358" s="14">
        <f>IF(COUNT(C358:P358)=0,"",IFERROR(C358/J358,0))</f>
        <v/>
      </c>
      <c r="AE358" s="17">
        <f>IF(COUNT(C358:P358)=0,"",IFERROR(K358/H358,0))</f>
        <v/>
      </c>
      <c r="AF358" s="17">
        <f>IF(COUNT(C358:P358)=0,"",IFERROR(L358/H358,0))</f>
        <v/>
      </c>
      <c r="AG358" s="14">
        <f>IF(COUNT(C358:P358)=0,"",IFERROR(C358/K358,0))</f>
        <v/>
      </c>
      <c r="AH358" s="17">
        <f>IF(COUNT(C358:P358)=0,"",IFERROR(M358/K358,0))</f>
        <v/>
      </c>
      <c r="AI358" s="14">
        <f>IF(COUNT(C358:P358)=0,"",IFERROR(C358/M358,0))</f>
        <v/>
      </c>
      <c r="AJ358" s="17">
        <f>IF(COUNT(C358:P358)=0,"",IFERROR(N358/M358,0))</f>
        <v/>
      </c>
      <c r="AK358" s="16">
        <f>IF(COUNT(C358:P358)=0,"",IFERROR(N358/H358,0))</f>
        <v/>
      </c>
      <c r="AL358" s="14">
        <f>IF(COUNT(C358:P358)=0,"",IFERROR(C358/N358,0))</f>
        <v/>
      </c>
      <c r="AM358" s="17">
        <f>IF(COUNT(C358:P358)=0,"",IFERROR(O358/N358,0))</f>
        <v/>
      </c>
      <c r="AN358" s="17">
        <f>IF(COUNT(C358:P358)=0,"",IFERROR(P358/N358,0))</f>
        <v/>
      </c>
      <c r="AO358" s="19">
        <f>IF(COUNT(C358:P358)=0,"",IFERROR(N358*Config!$C$7+O358*Config!$C$8+P358*Config!$C$9,0))</f>
        <v/>
      </c>
      <c r="AP358" s="14">
        <f>IF(COUNT(C358:P358)=0,"",IFERROR(AO358/N358,0))</f>
        <v/>
      </c>
      <c r="AQ358" s="19">
        <f>IF(COUNT(C358:P358)=0,"",IFERROR(AO358*(1-Config!$C$10-Config!$C$11-Config!$C$12),0))</f>
        <v/>
      </c>
      <c r="AR358" s="19">
        <f>IF(COUNT(C358:P358)=0,"",IFERROR(AQ358-C358-Config!$C$13,0))</f>
        <v/>
      </c>
      <c r="AS358" s="20">
        <f>IF(COUNT(C358:P358)=0,"",IFERROR(AQ358/C358,0))</f>
        <v/>
      </c>
      <c r="AT358" s="14">
        <f>IF(COUNT(C358:P358)=0,"",IFERROR(AR358/G358,0))</f>
        <v/>
      </c>
      <c r="AU358" s="20">
        <f>IF(COUNT(C358:P358)=0,"",IFERROR(AT358/V358,0))</f>
        <v/>
      </c>
      <c r="AV358" s="14">
        <f>IF(COUNT(C358:P358)=0,"",IFERROR(AR358/H358,0))</f>
        <v/>
      </c>
    </row>
    <row r="359">
      <c r="A359" s="11">
        <f>Config!$C$6+353</f>
        <v/>
      </c>
      <c r="B359" s="12">
        <f>INT((A359-Config!$C$6)/7)+1</f>
        <v/>
      </c>
      <c r="C359" s="9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4">
        <f>IF(COUNT(C359:P359)=0,"",IFERROR(C359/D359*1000,0))</f>
        <v/>
      </c>
      <c r="R359" s="15">
        <f>IF(COUNT(C359:P359)=0,"",IFERROR(D359/E359,0))</f>
        <v/>
      </c>
      <c r="S359" s="16">
        <f>IF(COUNT(C359:P359)=0,"",IFERROR(F359/D359,0))</f>
        <v/>
      </c>
      <c r="T359" s="14">
        <f>IF(COUNT(C359:P359)=0,"",IFERROR(C359/F359,0))</f>
        <v/>
      </c>
      <c r="U359" s="17">
        <f>IF(COUNT(C359:P359)=0,"",IFERROR(G359/F359,0))</f>
        <v/>
      </c>
      <c r="V359" s="14">
        <f>IF(COUNT(C359:P359)=0,"",IFERROR(C359/G359,0))</f>
        <v/>
      </c>
      <c r="W359" s="18">
        <f>IF(COUNT(C359:P359)=0,"",IFERROR(G359/D359*1000,0))</f>
        <v/>
      </c>
      <c r="X359" s="17">
        <f>IF(COUNT(C359:P359)=0,"",IFERROR(H359/G359,0))</f>
        <v/>
      </c>
      <c r="Y359" s="14">
        <f>IF(COUNT(C359:P359)=0,"",IFERROR(C359/H359,0))</f>
        <v/>
      </c>
      <c r="Z359" s="14">
        <f>IF(COUNT(C359:P359)=0,"",IFERROR(C359/I359,0))</f>
        <v/>
      </c>
      <c r="AA359" s="17">
        <f>IF(COUNT(C359:P359)=0,"",IFERROR(Y359/Q359,0))</f>
        <v/>
      </c>
      <c r="AB359" s="18">
        <f>IF(COUNT(C359:P359)=0,"",IFERROR(H359/D359*1000,0))</f>
        <v/>
      </c>
      <c r="AC359" s="17">
        <f>IF(COUNT(C359:P359)=0,"",IFERROR(J359/H359,0))</f>
        <v/>
      </c>
      <c r="AD359" s="14">
        <f>IF(COUNT(C359:P359)=0,"",IFERROR(C359/J359,0))</f>
        <v/>
      </c>
      <c r="AE359" s="17">
        <f>IF(COUNT(C359:P359)=0,"",IFERROR(K359/H359,0))</f>
        <v/>
      </c>
      <c r="AF359" s="17">
        <f>IF(COUNT(C359:P359)=0,"",IFERROR(L359/H359,0))</f>
        <v/>
      </c>
      <c r="AG359" s="14">
        <f>IF(COUNT(C359:P359)=0,"",IFERROR(C359/K359,0))</f>
        <v/>
      </c>
      <c r="AH359" s="17">
        <f>IF(COUNT(C359:P359)=0,"",IFERROR(M359/K359,0))</f>
        <v/>
      </c>
      <c r="AI359" s="14">
        <f>IF(COUNT(C359:P359)=0,"",IFERROR(C359/M359,0))</f>
        <v/>
      </c>
      <c r="AJ359" s="17">
        <f>IF(COUNT(C359:P359)=0,"",IFERROR(N359/M359,0))</f>
        <v/>
      </c>
      <c r="AK359" s="16">
        <f>IF(COUNT(C359:P359)=0,"",IFERROR(N359/H359,0))</f>
        <v/>
      </c>
      <c r="AL359" s="14">
        <f>IF(COUNT(C359:P359)=0,"",IFERROR(C359/N359,0))</f>
        <v/>
      </c>
      <c r="AM359" s="17">
        <f>IF(COUNT(C359:P359)=0,"",IFERROR(O359/N359,0))</f>
        <v/>
      </c>
      <c r="AN359" s="17">
        <f>IF(COUNT(C359:P359)=0,"",IFERROR(P359/N359,0))</f>
        <v/>
      </c>
      <c r="AO359" s="19">
        <f>IF(COUNT(C359:P359)=0,"",IFERROR(N359*Config!$C$7+O359*Config!$C$8+P359*Config!$C$9,0))</f>
        <v/>
      </c>
      <c r="AP359" s="14">
        <f>IF(COUNT(C359:P359)=0,"",IFERROR(AO359/N359,0))</f>
        <v/>
      </c>
      <c r="AQ359" s="19">
        <f>IF(COUNT(C359:P359)=0,"",IFERROR(AO359*(1-Config!$C$10-Config!$C$11-Config!$C$12),0))</f>
        <v/>
      </c>
      <c r="AR359" s="19">
        <f>IF(COUNT(C359:P359)=0,"",IFERROR(AQ359-C359-Config!$C$13,0))</f>
        <v/>
      </c>
      <c r="AS359" s="20">
        <f>IF(COUNT(C359:P359)=0,"",IFERROR(AQ359/C359,0))</f>
        <v/>
      </c>
      <c r="AT359" s="14">
        <f>IF(COUNT(C359:P359)=0,"",IFERROR(AR359/G359,0))</f>
        <v/>
      </c>
      <c r="AU359" s="20">
        <f>IF(COUNT(C359:P359)=0,"",IFERROR(AT359/V359,0))</f>
        <v/>
      </c>
      <c r="AV359" s="14">
        <f>IF(COUNT(C359:P359)=0,"",IFERROR(AR359/H359,0))</f>
        <v/>
      </c>
    </row>
    <row r="360">
      <c r="A360" s="11">
        <f>Config!$C$6+354</f>
        <v/>
      </c>
      <c r="B360" s="12">
        <f>INT((A360-Config!$C$6)/7)+1</f>
        <v/>
      </c>
      <c r="C360" s="9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4">
        <f>IF(COUNT(C360:P360)=0,"",IFERROR(C360/D360*1000,0))</f>
        <v/>
      </c>
      <c r="R360" s="15">
        <f>IF(COUNT(C360:P360)=0,"",IFERROR(D360/E360,0))</f>
        <v/>
      </c>
      <c r="S360" s="16">
        <f>IF(COUNT(C360:P360)=0,"",IFERROR(F360/D360,0))</f>
        <v/>
      </c>
      <c r="T360" s="14">
        <f>IF(COUNT(C360:P360)=0,"",IFERROR(C360/F360,0))</f>
        <v/>
      </c>
      <c r="U360" s="17">
        <f>IF(COUNT(C360:P360)=0,"",IFERROR(G360/F360,0))</f>
        <v/>
      </c>
      <c r="V360" s="14">
        <f>IF(COUNT(C360:P360)=0,"",IFERROR(C360/G360,0))</f>
        <v/>
      </c>
      <c r="W360" s="18">
        <f>IF(COUNT(C360:P360)=0,"",IFERROR(G360/D360*1000,0))</f>
        <v/>
      </c>
      <c r="X360" s="17">
        <f>IF(COUNT(C360:P360)=0,"",IFERROR(H360/G360,0))</f>
        <v/>
      </c>
      <c r="Y360" s="14">
        <f>IF(COUNT(C360:P360)=0,"",IFERROR(C360/H360,0))</f>
        <v/>
      </c>
      <c r="Z360" s="14">
        <f>IF(COUNT(C360:P360)=0,"",IFERROR(C360/I360,0))</f>
        <v/>
      </c>
      <c r="AA360" s="17">
        <f>IF(COUNT(C360:P360)=0,"",IFERROR(Y360/Q360,0))</f>
        <v/>
      </c>
      <c r="AB360" s="18">
        <f>IF(COUNT(C360:P360)=0,"",IFERROR(H360/D360*1000,0))</f>
        <v/>
      </c>
      <c r="AC360" s="17">
        <f>IF(COUNT(C360:P360)=0,"",IFERROR(J360/H360,0))</f>
        <v/>
      </c>
      <c r="AD360" s="14">
        <f>IF(COUNT(C360:P360)=0,"",IFERROR(C360/J360,0))</f>
        <v/>
      </c>
      <c r="AE360" s="17">
        <f>IF(COUNT(C360:P360)=0,"",IFERROR(K360/H360,0))</f>
        <v/>
      </c>
      <c r="AF360" s="17">
        <f>IF(COUNT(C360:P360)=0,"",IFERROR(L360/H360,0))</f>
        <v/>
      </c>
      <c r="AG360" s="14">
        <f>IF(COUNT(C360:P360)=0,"",IFERROR(C360/K360,0))</f>
        <v/>
      </c>
      <c r="AH360" s="17">
        <f>IF(COUNT(C360:P360)=0,"",IFERROR(M360/K360,0))</f>
        <v/>
      </c>
      <c r="AI360" s="14">
        <f>IF(COUNT(C360:P360)=0,"",IFERROR(C360/M360,0))</f>
        <v/>
      </c>
      <c r="AJ360" s="17">
        <f>IF(COUNT(C360:P360)=0,"",IFERROR(N360/M360,0))</f>
        <v/>
      </c>
      <c r="AK360" s="16">
        <f>IF(COUNT(C360:P360)=0,"",IFERROR(N360/H360,0))</f>
        <v/>
      </c>
      <c r="AL360" s="14">
        <f>IF(COUNT(C360:P360)=0,"",IFERROR(C360/N360,0))</f>
        <v/>
      </c>
      <c r="AM360" s="17">
        <f>IF(COUNT(C360:P360)=0,"",IFERROR(O360/N360,0))</f>
        <v/>
      </c>
      <c r="AN360" s="17">
        <f>IF(COUNT(C360:P360)=0,"",IFERROR(P360/N360,0))</f>
        <v/>
      </c>
      <c r="AO360" s="19">
        <f>IF(COUNT(C360:P360)=0,"",IFERROR(N360*Config!$C$7+O360*Config!$C$8+P360*Config!$C$9,0))</f>
        <v/>
      </c>
      <c r="AP360" s="14">
        <f>IF(COUNT(C360:P360)=0,"",IFERROR(AO360/N360,0))</f>
        <v/>
      </c>
      <c r="AQ360" s="19">
        <f>IF(COUNT(C360:P360)=0,"",IFERROR(AO360*(1-Config!$C$10-Config!$C$11-Config!$C$12),0))</f>
        <v/>
      </c>
      <c r="AR360" s="19">
        <f>IF(COUNT(C360:P360)=0,"",IFERROR(AQ360-C360-Config!$C$13,0))</f>
        <v/>
      </c>
      <c r="AS360" s="20">
        <f>IF(COUNT(C360:P360)=0,"",IFERROR(AQ360/C360,0))</f>
        <v/>
      </c>
      <c r="AT360" s="14">
        <f>IF(COUNT(C360:P360)=0,"",IFERROR(AR360/G360,0))</f>
        <v/>
      </c>
      <c r="AU360" s="20">
        <f>IF(COUNT(C360:P360)=0,"",IFERROR(AT360/V360,0))</f>
        <v/>
      </c>
      <c r="AV360" s="14">
        <f>IF(COUNT(C360:P360)=0,"",IFERROR(AR360/H360,0))</f>
        <v/>
      </c>
    </row>
    <row r="361">
      <c r="A361" s="11">
        <f>Config!$C$6+355</f>
        <v/>
      </c>
      <c r="B361" s="12">
        <f>INT((A361-Config!$C$6)/7)+1</f>
        <v/>
      </c>
      <c r="C361" s="9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4">
        <f>IF(COUNT(C361:P361)=0,"",IFERROR(C361/D361*1000,0))</f>
        <v/>
      </c>
      <c r="R361" s="15">
        <f>IF(COUNT(C361:P361)=0,"",IFERROR(D361/E361,0))</f>
        <v/>
      </c>
      <c r="S361" s="16">
        <f>IF(COUNT(C361:P361)=0,"",IFERROR(F361/D361,0))</f>
        <v/>
      </c>
      <c r="T361" s="14">
        <f>IF(COUNT(C361:P361)=0,"",IFERROR(C361/F361,0))</f>
        <v/>
      </c>
      <c r="U361" s="17">
        <f>IF(COUNT(C361:P361)=0,"",IFERROR(G361/F361,0))</f>
        <v/>
      </c>
      <c r="V361" s="14">
        <f>IF(COUNT(C361:P361)=0,"",IFERROR(C361/G361,0))</f>
        <v/>
      </c>
      <c r="W361" s="18">
        <f>IF(COUNT(C361:P361)=0,"",IFERROR(G361/D361*1000,0))</f>
        <v/>
      </c>
      <c r="X361" s="17">
        <f>IF(COUNT(C361:P361)=0,"",IFERROR(H361/G361,0))</f>
        <v/>
      </c>
      <c r="Y361" s="14">
        <f>IF(COUNT(C361:P361)=0,"",IFERROR(C361/H361,0))</f>
        <v/>
      </c>
      <c r="Z361" s="14">
        <f>IF(COUNT(C361:P361)=0,"",IFERROR(C361/I361,0))</f>
        <v/>
      </c>
      <c r="AA361" s="17">
        <f>IF(COUNT(C361:P361)=0,"",IFERROR(Y361/Q361,0))</f>
        <v/>
      </c>
      <c r="AB361" s="18">
        <f>IF(COUNT(C361:P361)=0,"",IFERROR(H361/D361*1000,0))</f>
        <v/>
      </c>
      <c r="AC361" s="17">
        <f>IF(COUNT(C361:P361)=0,"",IFERROR(J361/H361,0))</f>
        <v/>
      </c>
      <c r="AD361" s="14">
        <f>IF(COUNT(C361:P361)=0,"",IFERROR(C361/J361,0))</f>
        <v/>
      </c>
      <c r="AE361" s="17">
        <f>IF(COUNT(C361:P361)=0,"",IFERROR(K361/H361,0))</f>
        <v/>
      </c>
      <c r="AF361" s="17">
        <f>IF(COUNT(C361:P361)=0,"",IFERROR(L361/H361,0))</f>
        <v/>
      </c>
      <c r="AG361" s="14">
        <f>IF(COUNT(C361:P361)=0,"",IFERROR(C361/K361,0))</f>
        <v/>
      </c>
      <c r="AH361" s="17">
        <f>IF(COUNT(C361:P361)=0,"",IFERROR(M361/K361,0))</f>
        <v/>
      </c>
      <c r="AI361" s="14">
        <f>IF(COUNT(C361:P361)=0,"",IFERROR(C361/M361,0))</f>
        <v/>
      </c>
      <c r="AJ361" s="17">
        <f>IF(COUNT(C361:P361)=0,"",IFERROR(N361/M361,0))</f>
        <v/>
      </c>
      <c r="AK361" s="16">
        <f>IF(COUNT(C361:P361)=0,"",IFERROR(N361/H361,0))</f>
        <v/>
      </c>
      <c r="AL361" s="14">
        <f>IF(COUNT(C361:P361)=0,"",IFERROR(C361/N361,0))</f>
        <v/>
      </c>
      <c r="AM361" s="17">
        <f>IF(COUNT(C361:P361)=0,"",IFERROR(O361/N361,0))</f>
        <v/>
      </c>
      <c r="AN361" s="17">
        <f>IF(COUNT(C361:P361)=0,"",IFERROR(P361/N361,0))</f>
        <v/>
      </c>
      <c r="AO361" s="19">
        <f>IF(COUNT(C361:P361)=0,"",IFERROR(N361*Config!$C$7+O361*Config!$C$8+P361*Config!$C$9,0))</f>
        <v/>
      </c>
      <c r="AP361" s="14">
        <f>IF(COUNT(C361:P361)=0,"",IFERROR(AO361/N361,0))</f>
        <v/>
      </c>
      <c r="AQ361" s="19">
        <f>IF(COUNT(C361:P361)=0,"",IFERROR(AO361*(1-Config!$C$10-Config!$C$11-Config!$C$12),0))</f>
        <v/>
      </c>
      <c r="AR361" s="19">
        <f>IF(COUNT(C361:P361)=0,"",IFERROR(AQ361-C361-Config!$C$13,0))</f>
        <v/>
      </c>
      <c r="AS361" s="20">
        <f>IF(COUNT(C361:P361)=0,"",IFERROR(AQ361/C361,0))</f>
        <v/>
      </c>
      <c r="AT361" s="14">
        <f>IF(COUNT(C361:P361)=0,"",IFERROR(AR361/G361,0))</f>
        <v/>
      </c>
      <c r="AU361" s="20">
        <f>IF(COUNT(C361:P361)=0,"",IFERROR(AT361/V361,0))</f>
        <v/>
      </c>
      <c r="AV361" s="14">
        <f>IF(COUNT(C361:P361)=0,"",IFERROR(AR361/H361,0))</f>
        <v/>
      </c>
    </row>
    <row r="362">
      <c r="A362" s="11">
        <f>Config!$C$6+356</f>
        <v/>
      </c>
      <c r="B362" s="12">
        <f>INT((A362-Config!$C$6)/7)+1</f>
        <v/>
      </c>
      <c r="C362" s="9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4">
        <f>IF(COUNT(C362:P362)=0,"",IFERROR(C362/D362*1000,0))</f>
        <v/>
      </c>
      <c r="R362" s="15">
        <f>IF(COUNT(C362:P362)=0,"",IFERROR(D362/E362,0))</f>
        <v/>
      </c>
      <c r="S362" s="16">
        <f>IF(COUNT(C362:P362)=0,"",IFERROR(F362/D362,0))</f>
        <v/>
      </c>
      <c r="T362" s="14">
        <f>IF(COUNT(C362:P362)=0,"",IFERROR(C362/F362,0))</f>
        <v/>
      </c>
      <c r="U362" s="17">
        <f>IF(COUNT(C362:P362)=0,"",IFERROR(G362/F362,0))</f>
        <v/>
      </c>
      <c r="V362" s="14">
        <f>IF(COUNT(C362:P362)=0,"",IFERROR(C362/G362,0))</f>
        <v/>
      </c>
      <c r="W362" s="18">
        <f>IF(COUNT(C362:P362)=0,"",IFERROR(G362/D362*1000,0))</f>
        <v/>
      </c>
      <c r="X362" s="17">
        <f>IF(COUNT(C362:P362)=0,"",IFERROR(H362/G362,0))</f>
        <v/>
      </c>
      <c r="Y362" s="14">
        <f>IF(COUNT(C362:P362)=0,"",IFERROR(C362/H362,0))</f>
        <v/>
      </c>
      <c r="Z362" s="14">
        <f>IF(COUNT(C362:P362)=0,"",IFERROR(C362/I362,0))</f>
        <v/>
      </c>
      <c r="AA362" s="17">
        <f>IF(COUNT(C362:P362)=0,"",IFERROR(Y362/Q362,0))</f>
        <v/>
      </c>
      <c r="AB362" s="18">
        <f>IF(COUNT(C362:P362)=0,"",IFERROR(H362/D362*1000,0))</f>
        <v/>
      </c>
      <c r="AC362" s="17">
        <f>IF(COUNT(C362:P362)=0,"",IFERROR(J362/H362,0))</f>
        <v/>
      </c>
      <c r="AD362" s="14">
        <f>IF(COUNT(C362:P362)=0,"",IFERROR(C362/J362,0))</f>
        <v/>
      </c>
      <c r="AE362" s="17">
        <f>IF(COUNT(C362:P362)=0,"",IFERROR(K362/H362,0))</f>
        <v/>
      </c>
      <c r="AF362" s="17">
        <f>IF(COUNT(C362:P362)=0,"",IFERROR(L362/H362,0))</f>
        <v/>
      </c>
      <c r="AG362" s="14">
        <f>IF(COUNT(C362:P362)=0,"",IFERROR(C362/K362,0))</f>
        <v/>
      </c>
      <c r="AH362" s="17">
        <f>IF(COUNT(C362:P362)=0,"",IFERROR(M362/K362,0))</f>
        <v/>
      </c>
      <c r="AI362" s="14">
        <f>IF(COUNT(C362:P362)=0,"",IFERROR(C362/M362,0))</f>
        <v/>
      </c>
      <c r="AJ362" s="17">
        <f>IF(COUNT(C362:P362)=0,"",IFERROR(N362/M362,0))</f>
        <v/>
      </c>
      <c r="AK362" s="16">
        <f>IF(COUNT(C362:P362)=0,"",IFERROR(N362/H362,0))</f>
        <v/>
      </c>
      <c r="AL362" s="14">
        <f>IF(COUNT(C362:P362)=0,"",IFERROR(C362/N362,0))</f>
        <v/>
      </c>
      <c r="AM362" s="17">
        <f>IF(COUNT(C362:P362)=0,"",IFERROR(O362/N362,0))</f>
        <v/>
      </c>
      <c r="AN362" s="17">
        <f>IF(COUNT(C362:P362)=0,"",IFERROR(P362/N362,0))</f>
        <v/>
      </c>
      <c r="AO362" s="19">
        <f>IF(COUNT(C362:P362)=0,"",IFERROR(N362*Config!$C$7+O362*Config!$C$8+P362*Config!$C$9,0))</f>
        <v/>
      </c>
      <c r="AP362" s="14">
        <f>IF(COUNT(C362:P362)=0,"",IFERROR(AO362/N362,0))</f>
        <v/>
      </c>
      <c r="AQ362" s="19">
        <f>IF(COUNT(C362:P362)=0,"",IFERROR(AO362*(1-Config!$C$10-Config!$C$11-Config!$C$12),0))</f>
        <v/>
      </c>
      <c r="AR362" s="19">
        <f>IF(COUNT(C362:P362)=0,"",IFERROR(AQ362-C362-Config!$C$13,0))</f>
        <v/>
      </c>
      <c r="AS362" s="20">
        <f>IF(COUNT(C362:P362)=0,"",IFERROR(AQ362/C362,0))</f>
        <v/>
      </c>
      <c r="AT362" s="14">
        <f>IF(COUNT(C362:P362)=0,"",IFERROR(AR362/G362,0))</f>
        <v/>
      </c>
      <c r="AU362" s="20">
        <f>IF(COUNT(C362:P362)=0,"",IFERROR(AT362/V362,0))</f>
        <v/>
      </c>
      <c r="AV362" s="14">
        <f>IF(COUNT(C362:P362)=0,"",IFERROR(AR362/H362,0))</f>
        <v/>
      </c>
    </row>
    <row r="363">
      <c r="A363" s="11">
        <f>Config!$C$6+357</f>
        <v/>
      </c>
      <c r="B363" s="12">
        <f>INT((A363-Config!$C$6)/7)+1</f>
        <v/>
      </c>
      <c r="C363" s="9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4">
        <f>IF(COUNT(C363:P363)=0,"",IFERROR(C363/D363*1000,0))</f>
        <v/>
      </c>
      <c r="R363" s="15">
        <f>IF(COUNT(C363:P363)=0,"",IFERROR(D363/E363,0))</f>
        <v/>
      </c>
      <c r="S363" s="16">
        <f>IF(COUNT(C363:P363)=0,"",IFERROR(F363/D363,0))</f>
        <v/>
      </c>
      <c r="T363" s="14">
        <f>IF(COUNT(C363:P363)=0,"",IFERROR(C363/F363,0))</f>
        <v/>
      </c>
      <c r="U363" s="17">
        <f>IF(COUNT(C363:P363)=0,"",IFERROR(G363/F363,0))</f>
        <v/>
      </c>
      <c r="V363" s="14">
        <f>IF(COUNT(C363:P363)=0,"",IFERROR(C363/G363,0))</f>
        <v/>
      </c>
      <c r="W363" s="18">
        <f>IF(COUNT(C363:P363)=0,"",IFERROR(G363/D363*1000,0))</f>
        <v/>
      </c>
      <c r="X363" s="17">
        <f>IF(COUNT(C363:P363)=0,"",IFERROR(H363/G363,0))</f>
        <v/>
      </c>
      <c r="Y363" s="14">
        <f>IF(COUNT(C363:P363)=0,"",IFERROR(C363/H363,0))</f>
        <v/>
      </c>
      <c r="Z363" s="14">
        <f>IF(COUNT(C363:P363)=0,"",IFERROR(C363/I363,0))</f>
        <v/>
      </c>
      <c r="AA363" s="17">
        <f>IF(COUNT(C363:P363)=0,"",IFERROR(Y363/Q363,0))</f>
        <v/>
      </c>
      <c r="AB363" s="18">
        <f>IF(COUNT(C363:P363)=0,"",IFERROR(H363/D363*1000,0))</f>
        <v/>
      </c>
      <c r="AC363" s="17">
        <f>IF(COUNT(C363:P363)=0,"",IFERROR(J363/H363,0))</f>
        <v/>
      </c>
      <c r="AD363" s="14">
        <f>IF(COUNT(C363:P363)=0,"",IFERROR(C363/J363,0))</f>
        <v/>
      </c>
      <c r="AE363" s="17">
        <f>IF(COUNT(C363:P363)=0,"",IFERROR(K363/H363,0))</f>
        <v/>
      </c>
      <c r="AF363" s="17">
        <f>IF(COUNT(C363:P363)=0,"",IFERROR(L363/H363,0))</f>
        <v/>
      </c>
      <c r="AG363" s="14">
        <f>IF(COUNT(C363:P363)=0,"",IFERROR(C363/K363,0))</f>
        <v/>
      </c>
      <c r="AH363" s="17">
        <f>IF(COUNT(C363:P363)=0,"",IFERROR(M363/K363,0))</f>
        <v/>
      </c>
      <c r="AI363" s="14">
        <f>IF(COUNT(C363:P363)=0,"",IFERROR(C363/M363,0))</f>
        <v/>
      </c>
      <c r="AJ363" s="17">
        <f>IF(COUNT(C363:P363)=0,"",IFERROR(N363/M363,0))</f>
        <v/>
      </c>
      <c r="AK363" s="16">
        <f>IF(COUNT(C363:P363)=0,"",IFERROR(N363/H363,0))</f>
        <v/>
      </c>
      <c r="AL363" s="14">
        <f>IF(COUNT(C363:P363)=0,"",IFERROR(C363/N363,0))</f>
        <v/>
      </c>
      <c r="AM363" s="17">
        <f>IF(COUNT(C363:P363)=0,"",IFERROR(O363/N363,0))</f>
        <v/>
      </c>
      <c r="AN363" s="17">
        <f>IF(COUNT(C363:P363)=0,"",IFERROR(P363/N363,0))</f>
        <v/>
      </c>
      <c r="AO363" s="19">
        <f>IF(COUNT(C363:P363)=0,"",IFERROR(N363*Config!$C$7+O363*Config!$C$8+P363*Config!$C$9,0))</f>
        <v/>
      </c>
      <c r="AP363" s="14">
        <f>IF(COUNT(C363:P363)=0,"",IFERROR(AO363/N363,0))</f>
        <v/>
      </c>
      <c r="AQ363" s="19">
        <f>IF(COUNT(C363:P363)=0,"",IFERROR(AO363*(1-Config!$C$10-Config!$C$11-Config!$C$12),0))</f>
        <v/>
      </c>
      <c r="AR363" s="19">
        <f>IF(COUNT(C363:P363)=0,"",IFERROR(AQ363-C363-Config!$C$13,0))</f>
        <v/>
      </c>
      <c r="AS363" s="20">
        <f>IF(COUNT(C363:P363)=0,"",IFERROR(AQ363/C363,0))</f>
        <v/>
      </c>
      <c r="AT363" s="14">
        <f>IF(COUNT(C363:P363)=0,"",IFERROR(AR363/G363,0))</f>
        <v/>
      </c>
      <c r="AU363" s="20">
        <f>IF(COUNT(C363:P363)=0,"",IFERROR(AT363/V363,0))</f>
        <v/>
      </c>
      <c r="AV363" s="14">
        <f>IF(COUNT(C363:P363)=0,"",IFERROR(AR363/H363,0))</f>
        <v/>
      </c>
    </row>
    <row r="364">
      <c r="A364" s="11">
        <f>Config!$C$6+358</f>
        <v/>
      </c>
      <c r="B364" s="12">
        <f>INT((A364-Config!$C$6)/7)+1</f>
        <v/>
      </c>
      <c r="C364" s="9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4">
        <f>IF(COUNT(C364:P364)=0,"",IFERROR(C364/D364*1000,0))</f>
        <v/>
      </c>
      <c r="R364" s="15">
        <f>IF(COUNT(C364:P364)=0,"",IFERROR(D364/E364,0))</f>
        <v/>
      </c>
      <c r="S364" s="16">
        <f>IF(COUNT(C364:P364)=0,"",IFERROR(F364/D364,0))</f>
        <v/>
      </c>
      <c r="T364" s="14">
        <f>IF(COUNT(C364:P364)=0,"",IFERROR(C364/F364,0))</f>
        <v/>
      </c>
      <c r="U364" s="17">
        <f>IF(COUNT(C364:P364)=0,"",IFERROR(G364/F364,0))</f>
        <v/>
      </c>
      <c r="V364" s="14">
        <f>IF(COUNT(C364:P364)=0,"",IFERROR(C364/G364,0))</f>
        <v/>
      </c>
      <c r="W364" s="18">
        <f>IF(COUNT(C364:P364)=0,"",IFERROR(G364/D364*1000,0))</f>
        <v/>
      </c>
      <c r="X364" s="17">
        <f>IF(COUNT(C364:P364)=0,"",IFERROR(H364/G364,0))</f>
        <v/>
      </c>
      <c r="Y364" s="14">
        <f>IF(COUNT(C364:P364)=0,"",IFERROR(C364/H364,0))</f>
        <v/>
      </c>
      <c r="Z364" s="14">
        <f>IF(COUNT(C364:P364)=0,"",IFERROR(C364/I364,0))</f>
        <v/>
      </c>
      <c r="AA364" s="17">
        <f>IF(COUNT(C364:P364)=0,"",IFERROR(Y364/Q364,0))</f>
        <v/>
      </c>
      <c r="AB364" s="18">
        <f>IF(COUNT(C364:P364)=0,"",IFERROR(H364/D364*1000,0))</f>
        <v/>
      </c>
      <c r="AC364" s="17">
        <f>IF(COUNT(C364:P364)=0,"",IFERROR(J364/H364,0))</f>
        <v/>
      </c>
      <c r="AD364" s="14">
        <f>IF(COUNT(C364:P364)=0,"",IFERROR(C364/J364,0))</f>
        <v/>
      </c>
      <c r="AE364" s="17">
        <f>IF(COUNT(C364:P364)=0,"",IFERROR(K364/H364,0))</f>
        <v/>
      </c>
      <c r="AF364" s="17">
        <f>IF(COUNT(C364:P364)=0,"",IFERROR(L364/H364,0))</f>
        <v/>
      </c>
      <c r="AG364" s="14">
        <f>IF(COUNT(C364:P364)=0,"",IFERROR(C364/K364,0))</f>
        <v/>
      </c>
      <c r="AH364" s="17">
        <f>IF(COUNT(C364:P364)=0,"",IFERROR(M364/K364,0))</f>
        <v/>
      </c>
      <c r="AI364" s="14">
        <f>IF(COUNT(C364:P364)=0,"",IFERROR(C364/M364,0))</f>
        <v/>
      </c>
      <c r="AJ364" s="17">
        <f>IF(COUNT(C364:P364)=0,"",IFERROR(N364/M364,0))</f>
        <v/>
      </c>
      <c r="AK364" s="16">
        <f>IF(COUNT(C364:P364)=0,"",IFERROR(N364/H364,0))</f>
        <v/>
      </c>
      <c r="AL364" s="14">
        <f>IF(COUNT(C364:P364)=0,"",IFERROR(C364/N364,0))</f>
        <v/>
      </c>
      <c r="AM364" s="17">
        <f>IF(COUNT(C364:P364)=0,"",IFERROR(O364/N364,0))</f>
        <v/>
      </c>
      <c r="AN364" s="17">
        <f>IF(COUNT(C364:P364)=0,"",IFERROR(P364/N364,0))</f>
        <v/>
      </c>
      <c r="AO364" s="19">
        <f>IF(COUNT(C364:P364)=0,"",IFERROR(N364*Config!$C$7+O364*Config!$C$8+P364*Config!$C$9,0))</f>
        <v/>
      </c>
      <c r="AP364" s="14">
        <f>IF(COUNT(C364:P364)=0,"",IFERROR(AO364/N364,0))</f>
        <v/>
      </c>
      <c r="AQ364" s="19">
        <f>IF(COUNT(C364:P364)=0,"",IFERROR(AO364*(1-Config!$C$10-Config!$C$11-Config!$C$12),0))</f>
        <v/>
      </c>
      <c r="AR364" s="19">
        <f>IF(COUNT(C364:P364)=0,"",IFERROR(AQ364-C364-Config!$C$13,0))</f>
        <v/>
      </c>
      <c r="AS364" s="20">
        <f>IF(COUNT(C364:P364)=0,"",IFERROR(AQ364/C364,0))</f>
        <v/>
      </c>
      <c r="AT364" s="14">
        <f>IF(COUNT(C364:P364)=0,"",IFERROR(AR364/G364,0))</f>
        <v/>
      </c>
      <c r="AU364" s="20">
        <f>IF(COUNT(C364:P364)=0,"",IFERROR(AT364/V364,0))</f>
        <v/>
      </c>
      <c r="AV364" s="14">
        <f>IF(COUNT(C364:P364)=0,"",IFERROR(AR364/H364,0))</f>
        <v/>
      </c>
    </row>
    <row r="365">
      <c r="A365" s="11">
        <f>Config!$C$6+359</f>
        <v/>
      </c>
      <c r="B365" s="12">
        <f>INT((A365-Config!$C$6)/7)+1</f>
        <v/>
      </c>
      <c r="C365" s="9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4">
        <f>IF(COUNT(C365:P365)=0,"",IFERROR(C365/D365*1000,0))</f>
        <v/>
      </c>
      <c r="R365" s="15">
        <f>IF(COUNT(C365:P365)=0,"",IFERROR(D365/E365,0))</f>
        <v/>
      </c>
      <c r="S365" s="16">
        <f>IF(COUNT(C365:P365)=0,"",IFERROR(F365/D365,0))</f>
        <v/>
      </c>
      <c r="T365" s="14">
        <f>IF(COUNT(C365:P365)=0,"",IFERROR(C365/F365,0))</f>
        <v/>
      </c>
      <c r="U365" s="17">
        <f>IF(COUNT(C365:P365)=0,"",IFERROR(G365/F365,0))</f>
        <v/>
      </c>
      <c r="V365" s="14">
        <f>IF(COUNT(C365:P365)=0,"",IFERROR(C365/G365,0))</f>
        <v/>
      </c>
      <c r="W365" s="18">
        <f>IF(COUNT(C365:P365)=0,"",IFERROR(G365/D365*1000,0))</f>
        <v/>
      </c>
      <c r="X365" s="17">
        <f>IF(COUNT(C365:P365)=0,"",IFERROR(H365/G365,0))</f>
        <v/>
      </c>
      <c r="Y365" s="14">
        <f>IF(COUNT(C365:P365)=0,"",IFERROR(C365/H365,0))</f>
        <v/>
      </c>
      <c r="Z365" s="14">
        <f>IF(COUNT(C365:P365)=0,"",IFERROR(C365/I365,0))</f>
        <v/>
      </c>
      <c r="AA365" s="17">
        <f>IF(COUNT(C365:P365)=0,"",IFERROR(Y365/Q365,0))</f>
        <v/>
      </c>
      <c r="AB365" s="18">
        <f>IF(COUNT(C365:P365)=0,"",IFERROR(H365/D365*1000,0))</f>
        <v/>
      </c>
      <c r="AC365" s="17">
        <f>IF(COUNT(C365:P365)=0,"",IFERROR(J365/H365,0))</f>
        <v/>
      </c>
      <c r="AD365" s="14">
        <f>IF(COUNT(C365:P365)=0,"",IFERROR(C365/J365,0))</f>
        <v/>
      </c>
      <c r="AE365" s="17">
        <f>IF(COUNT(C365:P365)=0,"",IFERROR(K365/H365,0))</f>
        <v/>
      </c>
      <c r="AF365" s="17">
        <f>IF(COUNT(C365:P365)=0,"",IFERROR(L365/H365,0))</f>
        <v/>
      </c>
      <c r="AG365" s="14">
        <f>IF(COUNT(C365:P365)=0,"",IFERROR(C365/K365,0))</f>
        <v/>
      </c>
      <c r="AH365" s="17">
        <f>IF(COUNT(C365:P365)=0,"",IFERROR(M365/K365,0))</f>
        <v/>
      </c>
      <c r="AI365" s="14">
        <f>IF(COUNT(C365:P365)=0,"",IFERROR(C365/M365,0))</f>
        <v/>
      </c>
      <c r="AJ365" s="17">
        <f>IF(COUNT(C365:P365)=0,"",IFERROR(N365/M365,0))</f>
        <v/>
      </c>
      <c r="AK365" s="16">
        <f>IF(COUNT(C365:P365)=0,"",IFERROR(N365/H365,0))</f>
        <v/>
      </c>
      <c r="AL365" s="14">
        <f>IF(COUNT(C365:P365)=0,"",IFERROR(C365/N365,0))</f>
        <v/>
      </c>
      <c r="AM365" s="17">
        <f>IF(COUNT(C365:P365)=0,"",IFERROR(O365/N365,0))</f>
        <v/>
      </c>
      <c r="AN365" s="17">
        <f>IF(COUNT(C365:P365)=0,"",IFERROR(P365/N365,0))</f>
        <v/>
      </c>
      <c r="AO365" s="19">
        <f>IF(COUNT(C365:P365)=0,"",IFERROR(N365*Config!$C$7+O365*Config!$C$8+P365*Config!$C$9,0))</f>
        <v/>
      </c>
      <c r="AP365" s="14">
        <f>IF(COUNT(C365:P365)=0,"",IFERROR(AO365/N365,0))</f>
        <v/>
      </c>
      <c r="AQ365" s="19">
        <f>IF(COUNT(C365:P365)=0,"",IFERROR(AO365*(1-Config!$C$10-Config!$C$11-Config!$C$12),0))</f>
        <v/>
      </c>
      <c r="AR365" s="19">
        <f>IF(COUNT(C365:P365)=0,"",IFERROR(AQ365-C365-Config!$C$13,0))</f>
        <v/>
      </c>
      <c r="AS365" s="20">
        <f>IF(COUNT(C365:P365)=0,"",IFERROR(AQ365/C365,0))</f>
        <v/>
      </c>
      <c r="AT365" s="14">
        <f>IF(COUNT(C365:P365)=0,"",IFERROR(AR365/G365,0))</f>
        <v/>
      </c>
      <c r="AU365" s="20">
        <f>IF(COUNT(C365:P365)=0,"",IFERROR(AT365/V365,0))</f>
        <v/>
      </c>
      <c r="AV365" s="14">
        <f>IF(COUNT(C365:P365)=0,"",IFERROR(AR365/H365,0))</f>
        <v/>
      </c>
    </row>
    <row r="366">
      <c r="A366" s="11">
        <f>Config!$C$6+360</f>
        <v/>
      </c>
      <c r="B366" s="12">
        <f>INT((A366-Config!$C$6)/7)+1</f>
        <v/>
      </c>
      <c r="C366" s="9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4">
        <f>IF(COUNT(C366:P366)=0,"",IFERROR(C366/D366*1000,0))</f>
        <v/>
      </c>
      <c r="R366" s="15">
        <f>IF(COUNT(C366:P366)=0,"",IFERROR(D366/E366,0))</f>
        <v/>
      </c>
      <c r="S366" s="16">
        <f>IF(COUNT(C366:P366)=0,"",IFERROR(F366/D366,0))</f>
        <v/>
      </c>
      <c r="T366" s="14">
        <f>IF(COUNT(C366:P366)=0,"",IFERROR(C366/F366,0))</f>
        <v/>
      </c>
      <c r="U366" s="17">
        <f>IF(COUNT(C366:P366)=0,"",IFERROR(G366/F366,0))</f>
        <v/>
      </c>
      <c r="V366" s="14">
        <f>IF(COUNT(C366:P366)=0,"",IFERROR(C366/G366,0))</f>
        <v/>
      </c>
      <c r="W366" s="18">
        <f>IF(COUNT(C366:P366)=0,"",IFERROR(G366/D366*1000,0))</f>
        <v/>
      </c>
      <c r="X366" s="17">
        <f>IF(COUNT(C366:P366)=0,"",IFERROR(H366/G366,0))</f>
        <v/>
      </c>
      <c r="Y366" s="14">
        <f>IF(COUNT(C366:P366)=0,"",IFERROR(C366/H366,0))</f>
        <v/>
      </c>
      <c r="Z366" s="14">
        <f>IF(COUNT(C366:P366)=0,"",IFERROR(C366/I366,0))</f>
        <v/>
      </c>
      <c r="AA366" s="17">
        <f>IF(COUNT(C366:P366)=0,"",IFERROR(Y366/Q366,0))</f>
        <v/>
      </c>
      <c r="AB366" s="18">
        <f>IF(COUNT(C366:P366)=0,"",IFERROR(H366/D366*1000,0))</f>
        <v/>
      </c>
      <c r="AC366" s="17">
        <f>IF(COUNT(C366:P366)=0,"",IFERROR(J366/H366,0))</f>
        <v/>
      </c>
      <c r="AD366" s="14">
        <f>IF(COUNT(C366:P366)=0,"",IFERROR(C366/J366,0))</f>
        <v/>
      </c>
      <c r="AE366" s="17">
        <f>IF(COUNT(C366:P366)=0,"",IFERROR(K366/H366,0))</f>
        <v/>
      </c>
      <c r="AF366" s="17">
        <f>IF(COUNT(C366:P366)=0,"",IFERROR(L366/H366,0))</f>
        <v/>
      </c>
      <c r="AG366" s="14">
        <f>IF(COUNT(C366:P366)=0,"",IFERROR(C366/K366,0))</f>
        <v/>
      </c>
      <c r="AH366" s="17">
        <f>IF(COUNT(C366:P366)=0,"",IFERROR(M366/K366,0))</f>
        <v/>
      </c>
      <c r="AI366" s="14">
        <f>IF(COUNT(C366:P366)=0,"",IFERROR(C366/M366,0))</f>
        <v/>
      </c>
      <c r="AJ366" s="17">
        <f>IF(COUNT(C366:P366)=0,"",IFERROR(N366/M366,0))</f>
        <v/>
      </c>
      <c r="AK366" s="16">
        <f>IF(COUNT(C366:P366)=0,"",IFERROR(N366/H366,0))</f>
        <v/>
      </c>
      <c r="AL366" s="14">
        <f>IF(COUNT(C366:P366)=0,"",IFERROR(C366/N366,0))</f>
        <v/>
      </c>
      <c r="AM366" s="17">
        <f>IF(COUNT(C366:P366)=0,"",IFERROR(O366/N366,0))</f>
        <v/>
      </c>
      <c r="AN366" s="17">
        <f>IF(COUNT(C366:P366)=0,"",IFERROR(P366/N366,0))</f>
        <v/>
      </c>
      <c r="AO366" s="19">
        <f>IF(COUNT(C366:P366)=0,"",IFERROR(N366*Config!$C$7+O366*Config!$C$8+P366*Config!$C$9,0))</f>
        <v/>
      </c>
      <c r="AP366" s="14">
        <f>IF(COUNT(C366:P366)=0,"",IFERROR(AO366/N366,0))</f>
        <v/>
      </c>
      <c r="AQ366" s="19">
        <f>IF(COUNT(C366:P366)=0,"",IFERROR(AO366*(1-Config!$C$10-Config!$C$11-Config!$C$12),0))</f>
        <v/>
      </c>
      <c r="AR366" s="19">
        <f>IF(COUNT(C366:P366)=0,"",IFERROR(AQ366-C366-Config!$C$13,0))</f>
        <v/>
      </c>
      <c r="AS366" s="20">
        <f>IF(COUNT(C366:P366)=0,"",IFERROR(AQ366/C366,0))</f>
        <v/>
      </c>
      <c r="AT366" s="14">
        <f>IF(COUNT(C366:P366)=0,"",IFERROR(AR366/G366,0))</f>
        <v/>
      </c>
      <c r="AU366" s="20">
        <f>IF(COUNT(C366:P366)=0,"",IFERROR(AT366/V366,0))</f>
        <v/>
      </c>
      <c r="AV366" s="14">
        <f>IF(COUNT(C366:P366)=0,"",IFERROR(AR366/H366,0))</f>
        <v/>
      </c>
    </row>
    <row r="367">
      <c r="A367" s="11">
        <f>Config!$C$6+361</f>
        <v/>
      </c>
      <c r="B367" s="12">
        <f>INT((A367-Config!$C$6)/7)+1</f>
        <v/>
      </c>
      <c r="C367" s="9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4">
        <f>IF(COUNT(C367:P367)=0,"",IFERROR(C367/D367*1000,0))</f>
        <v/>
      </c>
      <c r="R367" s="15">
        <f>IF(COUNT(C367:P367)=0,"",IFERROR(D367/E367,0))</f>
        <v/>
      </c>
      <c r="S367" s="16">
        <f>IF(COUNT(C367:P367)=0,"",IFERROR(F367/D367,0))</f>
        <v/>
      </c>
      <c r="T367" s="14">
        <f>IF(COUNT(C367:P367)=0,"",IFERROR(C367/F367,0))</f>
        <v/>
      </c>
      <c r="U367" s="17">
        <f>IF(COUNT(C367:P367)=0,"",IFERROR(G367/F367,0))</f>
        <v/>
      </c>
      <c r="V367" s="14">
        <f>IF(COUNT(C367:P367)=0,"",IFERROR(C367/G367,0))</f>
        <v/>
      </c>
      <c r="W367" s="18">
        <f>IF(COUNT(C367:P367)=0,"",IFERROR(G367/D367*1000,0))</f>
        <v/>
      </c>
      <c r="X367" s="17">
        <f>IF(COUNT(C367:P367)=0,"",IFERROR(H367/G367,0))</f>
        <v/>
      </c>
      <c r="Y367" s="14">
        <f>IF(COUNT(C367:P367)=0,"",IFERROR(C367/H367,0))</f>
        <v/>
      </c>
      <c r="Z367" s="14">
        <f>IF(COUNT(C367:P367)=0,"",IFERROR(C367/I367,0))</f>
        <v/>
      </c>
      <c r="AA367" s="17">
        <f>IF(COUNT(C367:P367)=0,"",IFERROR(Y367/Q367,0))</f>
        <v/>
      </c>
      <c r="AB367" s="18">
        <f>IF(COUNT(C367:P367)=0,"",IFERROR(H367/D367*1000,0))</f>
        <v/>
      </c>
      <c r="AC367" s="17">
        <f>IF(COUNT(C367:P367)=0,"",IFERROR(J367/H367,0))</f>
        <v/>
      </c>
      <c r="AD367" s="14">
        <f>IF(COUNT(C367:P367)=0,"",IFERROR(C367/J367,0))</f>
        <v/>
      </c>
      <c r="AE367" s="17">
        <f>IF(COUNT(C367:P367)=0,"",IFERROR(K367/H367,0))</f>
        <v/>
      </c>
      <c r="AF367" s="17">
        <f>IF(COUNT(C367:P367)=0,"",IFERROR(L367/H367,0))</f>
        <v/>
      </c>
      <c r="AG367" s="14">
        <f>IF(COUNT(C367:P367)=0,"",IFERROR(C367/K367,0))</f>
        <v/>
      </c>
      <c r="AH367" s="17">
        <f>IF(COUNT(C367:P367)=0,"",IFERROR(M367/K367,0))</f>
        <v/>
      </c>
      <c r="AI367" s="14">
        <f>IF(COUNT(C367:P367)=0,"",IFERROR(C367/M367,0))</f>
        <v/>
      </c>
      <c r="AJ367" s="17">
        <f>IF(COUNT(C367:P367)=0,"",IFERROR(N367/M367,0))</f>
        <v/>
      </c>
      <c r="AK367" s="16">
        <f>IF(COUNT(C367:P367)=0,"",IFERROR(N367/H367,0))</f>
        <v/>
      </c>
      <c r="AL367" s="14">
        <f>IF(COUNT(C367:P367)=0,"",IFERROR(C367/N367,0))</f>
        <v/>
      </c>
      <c r="AM367" s="17">
        <f>IF(COUNT(C367:P367)=0,"",IFERROR(O367/N367,0))</f>
        <v/>
      </c>
      <c r="AN367" s="17">
        <f>IF(COUNT(C367:P367)=0,"",IFERROR(P367/N367,0))</f>
        <v/>
      </c>
      <c r="AO367" s="19">
        <f>IF(COUNT(C367:P367)=0,"",IFERROR(N367*Config!$C$7+O367*Config!$C$8+P367*Config!$C$9,0))</f>
        <v/>
      </c>
      <c r="AP367" s="14">
        <f>IF(COUNT(C367:P367)=0,"",IFERROR(AO367/N367,0))</f>
        <v/>
      </c>
      <c r="AQ367" s="19">
        <f>IF(COUNT(C367:P367)=0,"",IFERROR(AO367*(1-Config!$C$10-Config!$C$11-Config!$C$12),0))</f>
        <v/>
      </c>
      <c r="AR367" s="19">
        <f>IF(COUNT(C367:P367)=0,"",IFERROR(AQ367-C367-Config!$C$13,0))</f>
        <v/>
      </c>
      <c r="AS367" s="20">
        <f>IF(COUNT(C367:P367)=0,"",IFERROR(AQ367/C367,0))</f>
        <v/>
      </c>
      <c r="AT367" s="14">
        <f>IF(COUNT(C367:P367)=0,"",IFERROR(AR367/G367,0))</f>
        <v/>
      </c>
      <c r="AU367" s="20">
        <f>IF(COUNT(C367:P367)=0,"",IFERROR(AT367/V367,0))</f>
        <v/>
      </c>
      <c r="AV367" s="14">
        <f>IF(COUNT(C367:P367)=0,"",IFERROR(AR367/H367,0))</f>
        <v/>
      </c>
    </row>
    <row r="368">
      <c r="A368" s="11">
        <f>Config!$C$6+362</f>
        <v/>
      </c>
      <c r="B368" s="12">
        <f>INT((A368-Config!$C$6)/7)+1</f>
        <v/>
      </c>
      <c r="C368" s="9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4">
        <f>IF(COUNT(C368:P368)=0,"",IFERROR(C368/D368*1000,0))</f>
        <v/>
      </c>
      <c r="R368" s="15">
        <f>IF(COUNT(C368:P368)=0,"",IFERROR(D368/E368,0))</f>
        <v/>
      </c>
      <c r="S368" s="16">
        <f>IF(COUNT(C368:P368)=0,"",IFERROR(F368/D368,0))</f>
        <v/>
      </c>
      <c r="T368" s="14">
        <f>IF(COUNT(C368:P368)=0,"",IFERROR(C368/F368,0))</f>
        <v/>
      </c>
      <c r="U368" s="17">
        <f>IF(COUNT(C368:P368)=0,"",IFERROR(G368/F368,0))</f>
        <v/>
      </c>
      <c r="V368" s="14">
        <f>IF(COUNT(C368:P368)=0,"",IFERROR(C368/G368,0))</f>
        <v/>
      </c>
      <c r="W368" s="18">
        <f>IF(COUNT(C368:P368)=0,"",IFERROR(G368/D368*1000,0))</f>
        <v/>
      </c>
      <c r="X368" s="17">
        <f>IF(COUNT(C368:P368)=0,"",IFERROR(H368/G368,0))</f>
        <v/>
      </c>
      <c r="Y368" s="14">
        <f>IF(COUNT(C368:P368)=0,"",IFERROR(C368/H368,0))</f>
        <v/>
      </c>
      <c r="Z368" s="14">
        <f>IF(COUNT(C368:P368)=0,"",IFERROR(C368/I368,0))</f>
        <v/>
      </c>
      <c r="AA368" s="17">
        <f>IF(COUNT(C368:P368)=0,"",IFERROR(Y368/Q368,0))</f>
        <v/>
      </c>
      <c r="AB368" s="18">
        <f>IF(COUNT(C368:P368)=0,"",IFERROR(H368/D368*1000,0))</f>
        <v/>
      </c>
      <c r="AC368" s="17">
        <f>IF(COUNT(C368:P368)=0,"",IFERROR(J368/H368,0))</f>
        <v/>
      </c>
      <c r="AD368" s="14">
        <f>IF(COUNT(C368:P368)=0,"",IFERROR(C368/J368,0))</f>
        <v/>
      </c>
      <c r="AE368" s="17">
        <f>IF(COUNT(C368:P368)=0,"",IFERROR(K368/H368,0))</f>
        <v/>
      </c>
      <c r="AF368" s="17">
        <f>IF(COUNT(C368:P368)=0,"",IFERROR(L368/H368,0))</f>
        <v/>
      </c>
      <c r="AG368" s="14">
        <f>IF(COUNT(C368:P368)=0,"",IFERROR(C368/K368,0))</f>
        <v/>
      </c>
      <c r="AH368" s="17">
        <f>IF(COUNT(C368:P368)=0,"",IFERROR(M368/K368,0))</f>
        <v/>
      </c>
      <c r="AI368" s="14">
        <f>IF(COUNT(C368:P368)=0,"",IFERROR(C368/M368,0))</f>
        <v/>
      </c>
      <c r="AJ368" s="17">
        <f>IF(COUNT(C368:P368)=0,"",IFERROR(N368/M368,0))</f>
        <v/>
      </c>
      <c r="AK368" s="16">
        <f>IF(COUNT(C368:P368)=0,"",IFERROR(N368/H368,0))</f>
        <v/>
      </c>
      <c r="AL368" s="14">
        <f>IF(COUNT(C368:P368)=0,"",IFERROR(C368/N368,0))</f>
        <v/>
      </c>
      <c r="AM368" s="17">
        <f>IF(COUNT(C368:P368)=0,"",IFERROR(O368/N368,0))</f>
        <v/>
      </c>
      <c r="AN368" s="17">
        <f>IF(COUNT(C368:P368)=0,"",IFERROR(P368/N368,0))</f>
        <v/>
      </c>
      <c r="AO368" s="19">
        <f>IF(COUNT(C368:P368)=0,"",IFERROR(N368*Config!$C$7+O368*Config!$C$8+P368*Config!$C$9,0))</f>
        <v/>
      </c>
      <c r="AP368" s="14">
        <f>IF(COUNT(C368:P368)=0,"",IFERROR(AO368/N368,0))</f>
        <v/>
      </c>
      <c r="AQ368" s="19">
        <f>IF(COUNT(C368:P368)=0,"",IFERROR(AO368*(1-Config!$C$10-Config!$C$11-Config!$C$12),0))</f>
        <v/>
      </c>
      <c r="AR368" s="19">
        <f>IF(COUNT(C368:P368)=0,"",IFERROR(AQ368-C368-Config!$C$13,0))</f>
        <v/>
      </c>
      <c r="AS368" s="20">
        <f>IF(COUNT(C368:P368)=0,"",IFERROR(AQ368/C368,0))</f>
        <v/>
      </c>
      <c r="AT368" s="14">
        <f>IF(COUNT(C368:P368)=0,"",IFERROR(AR368/G368,0))</f>
        <v/>
      </c>
      <c r="AU368" s="20">
        <f>IF(COUNT(C368:P368)=0,"",IFERROR(AT368/V368,0))</f>
        <v/>
      </c>
      <c r="AV368" s="14">
        <f>IF(COUNT(C368:P368)=0,"",IFERROR(AR368/H368,0))</f>
        <v/>
      </c>
    </row>
    <row r="369">
      <c r="A369" s="11">
        <f>Config!$C$6+363</f>
        <v/>
      </c>
      <c r="B369" s="12">
        <f>INT((A369-Config!$C$6)/7)+1</f>
        <v/>
      </c>
      <c r="C369" s="9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4">
        <f>IF(COUNT(C369:P369)=0,"",IFERROR(C369/D369*1000,0))</f>
        <v/>
      </c>
      <c r="R369" s="15">
        <f>IF(COUNT(C369:P369)=0,"",IFERROR(D369/E369,0))</f>
        <v/>
      </c>
      <c r="S369" s="16">
        <f>IF(COUNT(C369:P369)=0,"",IFERROR(F369/D369,0))</f>
        <v/>
      </c>
      <c r="T369" s="14">
        <f>IF(COUNT(C369:P369)=0,"",IFERROR(C369/F369,0))</f>
        <v/>
      </c>
      <c r="U369" s="17">
        <f>IF(COUNT(C369:P369)=0,"",IFERROR(G369/F369,0))</f>
        <v/>
      </c>
      <c r="V369" s="14">
        <f>IF(COUNT(C369:P369)=0,"",IFERROR(C369/G369,0))</f>
        <v/>
      </c>
      <c r="W369" s="18">
        <f>IF(COUNT(C369:P369)=0,"",IFERROR(G369/D369*1000,0))</f>
        <v/>
      </c>
      <c r="X369" s="17">
        <f>IF(COUNT(C369:P369)=0,"",IFERROR(H369/G369,0))</f>
        <v/>
      </c>
      <c r="Y369" s="14">
        <f>IF(COUNT(C369:P369)=0,"",IFERROR(C369/H369,0))</f>
        <v/>
      </c>
      <c r="Z369" s="14">
        <f>IF(COUNT(C369:P369)=0,"",IFERROR(C369/I369,0))</f>
        <v/>
      </c>
      <c r="AA369" s="17">
        <f>IF(COUNT(C369:P369)=0,"",IFERROR(Y369/Q369,0))</f>
        <v/>
      </c>
      <c r="AB369" s="18">
        <f>IF(COUNT(C369:P369)=0,"",IFERROR(H369/D369*1000,0))</f>
        <v/>
      </c>
      <c r="AC369" s="17">
        <f>IF(COUNT(C369:P369)=0,"",IFERROR(J369/H369,0))</f>
        <v/>
      </c>
      <c r="AD369" s="14">
        <f>IF(COUNT(C369:P369)=0,"",IFERROR(C369/J369,0))</f>
        <v/>
      </c>
      <c r="AE369" s="17">
        <f>IF(COUNT(C369:P369)=0,"",IFERROR(K369/H369,0))</f>
        <v/>
      </c>
      <c r="AF369" s="17">
        <f>IF(COUNT(C369:P369)=0,"",IFERROR(L369/H369,0))</f>
        <v/>
      </c>
      <c r="AG369" s="14">
        <f>IF(COUNT(C369:P369)=0,"",IFERROR(C369/K369,0))</f>
        <v/>
      </c>
      <c r="AH369" s="17">
        <f>IF(COUNT(C369:P369)=0,"",IFERROR(M369/K369,0))</f>
        <v/>
      </c>
      <c r="AI369" s="14">
        <f>IF(COUNT(C369:P369)=0,"",IFERROR(C369/M369,0))</f>
        <v/>
      </c>
      <c r="AJ369" s="17">
        <f>IF(COUNT(C369:P369)=0,"",IFERROR(N369/M369,0))</f>
        <v/>
      </c>
      <c r="AK369" s="16">
        <f>IF(COUNT(C369:P369)=0,"",IFERROR(N369/H369,0))</f>
        <v/>
      </c>
      <c r="AL369" s="14">
        <f>IF(COUNT(C369:P369)=0,"",IFERROR(C369/N369,0))</f>
        <v/>
      </c>
      <c r="AM369" s="17">
        <f>IF(COUNT(C369:P369)=0,"",IFERROR(O369/N369,0))</f>
        <v/>
      </c>
      <c r="AN369" s="17">
        <f>IF(COUNT(C369:P369)=0,"",IFERROR(P369/N369,0))</f>
        <v/>
      </c>
      <c r="AO369" s="19">
        <f>IF(COUNT(C369:P369)=0,"",IFERROR(N369*Config!$C$7+O369*Config!$C$8+P369*Config!$C$9,0))</f>
        <v/>
      </c>
      <c r="AP369" s="14">
        <f>IF(COUNT(C369:P369)=0,"",IFERROR(AO369/N369,0))</f>
        <v/>
      </c>
      <c r="AQ369" s="19">
        <f>IF(COUNT(C369:P369)=0,"",IFERROR(AO369*(1-Config!$C$10-Config!$C$11-Config!$C$12),0))</f>
        <v/>
      </c>
      <c r="AR369" s="19">
        <f>IF(COUNT(C369:P369)=0,"",IFERROR(AQ369-C369-Config!$C$13,0))</f>
        <v/>
      </c>
      <c r="AS369" s="20">
        <f>IF(COUNT(C369:P369)=0,"",IFERROR(AQ369/C369,0))</f>
        <v/>
      </c>
      <c r="AT369" s="14">
        <f>IF(COUNT(C369:P369)=0,"",IFERROR(AR369/G369,0))</f>
        <v/>
      </c>
      <c r="AU369" s="20">
        <f>IF(COUNT(C369:P369)=0,"",IFERROR(AT369/V369,0))</f>
        <v/>
      </c>
      <c r="AV369" s="14">
        <f>IF(COUNT(C369:P369)=0,"",IFERROR(AR369/H369,0))</f>
        <v/>
      </c>
    </row>
    <row r="370">
      <c r="A370" s="11">
        <f>Config!$C$6+364</f>
        <v/>
      </c>
      <c r="B370" s="12">
        <f>INT((A370-Config!$C$6)/7)+1</f>
        <v/>
      </c>
      <c r="C370" s="9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4">
        <f>IF(COUNT(C370:P370)=0,"",IFERROR(C370/D370*1000,0))</f>
        <v/>
      </c>
      <c r="R370" s="15">
        <f>IF(COUNT(C370:P370)=0,"",IFERROR(D370/E370,0))</f>
        <v/>
      </c>
      <c r="S370" s="16">
        <f>IF(COUNT(C370:P370)=0,"",IFERROR(F370/D370,0))</f>
        <v/>
      </c>
      <c r="T370" s="14">
        <f>IF(COUNT(C370:P370)=0,"",IFERROR(C370/F370,0))</f>
        <v/>
      </c>
      <c r="U370" s="17">
        <f>IF(COUNT(C370:P370)=0,"",IFERROR(G370/F370,0))</f>
        <v/>
      </c>
      <c r="V370" s="14">
        <f>IF(COUNT(C370:P370)=0,"",IFERROR(C370/G370,0))</f>
        <v/>
      </c>
      <c r="W370" s="18">
        <f>IF(COUNT(C370:P370)=0,"",IFERROR(G370/D370*1000,0))</f>
        <v/>
      </c>
      <c r="X370" s="17">
        <f>IF(COUNT(C370:P370)=0,"",IFERROR(H370/G370,0))</f>
        <v/>
      </c>
      <c r="Y370" s="14">
        <f>IF(COUNT(C370:P370)=0,"",IFERROR(C370/H370,0))</f>
        <v/>
      </c>
      <c r="Z370" s="14">
        <f>IF(COUNT(C370:P370)=0,"",IFERROR(C370/I370,0))</f>
        <v/>
      </c>
      <c r="AA370" s="17">
        <f>IF(COUNT(C370:P370)=0,"",IFERROR(Y370/Q370,0))</f>
        <v/>
      </c>
      <c r="AB370" s="18">
        <f>IF(COUNT(C370:P370)=0,"",IFERROR(H370/D370*1000,0))</f>
        <v/>
      </c>
      <c r="AC370" s="17">
        <f>IF(COUNT(C370:P370)=0,"",IFERROR(J370/H370,0))</f>
        <v/>
      </c>
      <c r="AD370" s="14">
        <f>IF(COUNT(C370:P370)=0,"",IFERROR(C370/J370,0))</f>
        <v/>
      </c>
      <c r="AE370" s="17">
        <f>IF(COUNT(C370:P370)=0,"",IFERROR(K370/H370,0))</f>
        <v/>
      </c>
      <c r="AF370" s="17">
        <f>IF(COUNT(C370:P370)=0,"",IFERROR(L370/H370,0))</f>
        <v/>
      </c>
      <c r="AG370" s="14">
        <f>IF(COUNT(C370:P370)=0,"",IFERROR(C370/K370,0))</f>
        <v/>
      </c>
      <c r="AH370" s="17">
        <f>IF(COUNT(C370:P370)=0,"",IFERROR(M370/K370,0))</f>
        <v/>
      </c>
      <c r="AI370" s="14">
        <f>IF(COUNT(C370:P370)=0,"",IFERROR(C370/M370,0))</f>
        <v/>
      </c>
      <c r="AJ370" s="17">
        <f>IF(COUNT(C370:P370)=0,"",IFERROR(N370/M370,0))</f>
        <v/>
      </c>
      <c r="AK370" s="16">
        <f>IF(COUNT(C370:P370)=0,"",IFERROR(N370/H370,0))</f>
        <v/>
      </c>
      <c r="AL370" s="14">
        <f>IF(COUNT(C370:P370)=0,"",IFERROR(C370/N370,0))</f>
        <v/>
      </c>
      <c r="AM370" s="17">
        <f>IF(COUNT(C370:P370)=0,"",IFERROR(O370/N370,0))</f>
        <v/>
      </c>
      <c r="AN370" s="17">
        <f>IF(COUNT(C370:P370)=0,"",IFERROR(P370/N370,0))</f>
        <v/>
      </c>
      <c r="AO370" s="19">
        <f>IF(COUNT(C370:P370)=0,"",IFERROR(N370*Config!$C$7+O370*Config!$C$8+P370*Config!$C$9,0))</f>
        <v/>
      </c>
      <c r="AP370" s="14">
        <f>IF(COUNT(C370:P370)=0,"",IFERROR(AO370/N370,0))</f>
        <v/>
      </c>
      <c r="AQ370" s="19">
        <f>IF(COUNT(C370:P370)=0,"",IFERROR(AO370*(1-Config!$C$10-Config!$C$11-Config!$C$12),0))</f>
        <v/>
      </c>
      <c r="AR370" s="19">
        <f>IF(COUNT(C370:P370)=0,"",IFERROR(AQ370-C370-Config!$C$13,0))</f>
        <v/>
      </c>
      <c r="AS370" s="20">
        <f>IF(COUNT(C370:P370)=0,"",IFERROR(AQ370/C370,0))</f>
        <v/>
      </c>
      <c r="AT370" s="14">
        <f>IF(COUNT(C370:P370)=0,"",IFERROR(AR370/G370,0))</f>
        <v/>
      </c>
      <c r="AU370" s="20">
        <f>IF(COUNT(C370:P370)=0,"",IFERROR(AT370/V370,0))</f>
        <v/>
      </c>
      <c r="AV370" s="14">
        <f>IF(COUNT(C370:P370)=0,"",IFERROR(AR370/H370,0))</f>
        <v/>
      </c>
    </row>
    <row r="371">
      <c r="A371" s="11">
        <f>Config!$C$6+365</f>
        <v/>
      </c>
      <c r="B371" s="12">
        <f>INT((A371-Config!$C$6)/7)+1</f>
        <v/>
      </c>
      <c r="C371" s="9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4">
        <f>IF(COUNT(C371:P371)=0,"",IFERROR(C371/D371*1000,0))</f>
        <v/>
      </c>
      <c r="R371" s="15">
        <f>IF(COUNT(C371:P371)=0,"",IFERROR(D371/E371,0))</f>
        <v/>
      </c>
      <c r="S371" s="16">
        <f>IF(COUNT(C371:P371)=0,"",IFERROR(F371/D371,0))</f>
        <v/>
      </c>
      <c r="T371" s="14">
        <f>IF(COUNT(C371:P371)=0,"",IFERROR(C371/F371,0))</f>
        <v/>
      </c>
      <c r="U371" s="17">
        <f>IF(COUNT(C371:P371)=0,"",IFERROR(G371/F371,0))</f>
        <v/>
      </c>
      <c r="V371" s="14">
        <f>IF(COUNT(C371:P371)=0,"",IFERROR(C371/G371,0))</f>
        <v/>
      </c>
      <c r="W371" s="18">
        <f>IF(COUNT(C371:P371)=0,"",IFERROR(G371/D371*1000,0))</f>
        <v/>
      </c>
      <c r="X371" s="17">
        <f>IF(COUNT(C371:P371)=0,"",IFERROR(H371/G371,0))</f>
        <v/>
      </c>
      <c r="Y371" s="14">
        <f>IF(COUNT(C371:P371)=0,"",IFERROR(C371/H371,0))</f>
        <v/>
      </c>
      <c r="Z371" s="14">
        <f>IF(COUNT(C371:P371)=0,"",IFERROR(C371/I371,0))</f>
        <v/>
      </c>
      <c r="AA371" s="17">
        <f>IF(COUNT(C371:P371)=0,"",IFERROR(Y371/Q371,0))</f>
        <v/>
      </c>
      <c r="AB371" s="18">
        <f>IF(COUNT(C371:P371)=0,"",IFERROR(H371/D371*1000,0))</f>
        <v/>
      </c>
      <c r="AC371" s="17">
        <f>IF(COUNT(C371:P371)=0,"",IFERROR(J371/H371,0))</f>
        <v/>
      </c>
      <c r="AD371" s="14">
        <f>IF(COUNT(C371:P371)=0,"",IFERROR(C371/J371,0))</f>
        <v/>
      </c>
      <c r="AE371" s="17">
        <f>IF(COUNT(C371:P371)=0,"",IFERROR(K371/H371,0))</f>
        <v/>
      </c>
      <c r="AF371" s="17">
        <f>IF(COUNT(C371:P371)=0,"",IFERROR(L371/H371,0))</f>
        <v/>
      </c>
      <c r="AG371" s="14">
        <f>IF(COUNT(C371:P371)=0,"",IFERROR(C371/K371,0))</f>
        <v/>
      </c>
      <c r="AH371" s="17">
        <f>IF(COUNT(C371:P371)=0,"",IFERROR(M371/K371,0))</f>
        <v/>
      </c>
      <c r="AI371" s="14">
        <f>IF(COUNT(C371:P371)=0,"",IFERROR(C371/M371,0))</f>
        <v/>
      </c>
      <c r="AJ371" s="17">
        <f>IF(COUNT(C371:P371)=0,"",IFERROR(N371/M371,0))</f>
        <v/>
      </c>
      <c r="AK371" s="16">
        <f>IF(COUNT(C371:P371)=0,"",IFERROR(N371/H371,0))</f>
        <v/>
      </c>
      <c r="AL371" s="14">
        <f>IF(COUNT(C371:P371)=0,"",IFERROR(C371/N371,0))</f>
        <v/>
      </c>
      <c r="AM371" s="17">
        <f>IF(COUNT(C371:P371)=0,"",IFERROR(O371/N371,0))</f>
        <v/>
      </c>
      <c r="AN371" s="17">
        <f>IF(COUNT(C371:P371)=0,"",IFERROR(P371/N371,0))</f>
        <v/>
      </c>
      <c r="AO371" s="19">
        <f>IF(COUNT(C371:P371)=0,"",IFERROR(N371*Config!$C$7+O371*Config!$C$8+P371*Config!$C$9,0))</f>
        <v/>
      </c>
      <c r="AP371" s="14">
        <f>IF(COUNT(C371:P371)=0,"",IFERROR(AO371/N371,0))</f>
        <v/>
      </c>
      <c r="AQ371" s="19">
        <f>IF(COUNT(C371:P371)=0,"",IFERROR(AO371*(1-Config!$C$10-Config!$C$11-Config!$C$12),0))</f>
        <v/>
      </c>
      <c r="AR371" s="19">
        <f>IF(COUNT(C371:P371)=0,"",IFERROR(AQ371-C371-Config!$C$13,0))</f>
        <v/>
      </c>
      <c r="AS371" s="20">
        <f>IF(COUNT(C371:P371)=0,"",IFERROR(AQ371/C371,0))</f>
        <v/>
      </c>
      <c r="AT371" s="14">
        <f>IF(COUNT(C371:P371)=0,"",IFERROR(AR371/G371,0))</f>
        <v/>
      </c>
      <c r="AU371" s="20">
        <f>IF(COUNT(C371:P371)=0,"",IFERROR(AT371/V371,0))</f>
        <v/>
      </c>
      <c r="AV371" s="14">
        <f>IF(COUNT(C371:P371)=0,"",IFERROR(AR371/H371,0))</f>
        <v/>
      </c>
    </row>
    <row r="374">
      <c r="A374" s="2" t="inlineStr">
        <is>
          <t>Modelo financiero de embudos · creado por Jesús Tassarolo · TooAudience · youtube.com/@JesusTassaroloSinFiltro · v1.2 · octubre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F9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2">
      <c r="A2" s="1" t="inlineStr">
        <is>
          <t>Semanal: el comparativo semana a semana, calculado solo desde Diario</t>
        </is>
      </c>
    </row>
    <row r="3">
      <c r="A3" s="2" t="inlineStr">
        <is>
          <t>Promedio, mediana, mejor y peor de tus semanas con datos. Abajo, el bloque «contra tu promedio»: cada semana contra la mediana de tus 4 semanas anteriores, con la tolerancia de Config. Ese es el umbral: tu promedio, no un número de mercado.</t>
        </is>
      </c>
    </row>
    <row r="4">
      <c r="B4" s="3" t="inlineStr">
        <is>
          <t>Lunes de la semana</t>
        </is>
      </c>
      <c r="C4" s="11">
        <f>Config!$C$6+0</f>
        <v/>
      </c>
      <c r="D4" s="11">
        <f>Config!$C$6+7</f>
        <v/>
      </c>
      <c r="E4" s="11">
        <f>Config!$C$6+14</f>
        <v/>
      </c>
      <c r="F4" s="11">
        <f>Config!$C$6+21</f>
        <v/>
      </c>
      <c r="G4" s="11">
        <f>Config!$C$6+28</f>
        <v/>
      </c>
      <c r="H4" s="11">
        <f>Config!$C$6+35</f>
        <v/>
      </c>
      <c r="I4" s="11">
        <f>Config!$C$6+42</f>
        <v/>
      </c>
      <c r="J4" s="11">
        <f>Config!$C$6+49</f>
        <v/>
      </c>
      <c r="K4" s="11">
        <f>Config!$C$6+56</f>
        <v/>
      </c>
      <c r="L4" s="11">
        <f>Config!$C$6+63</f>
        <v/>
      </c>
      <c r="M4" s="11">
        <f>Config!$C$6+70</f>
        <v/>
      </c>
      <c r="N4" s="11">
        <f>Config!$C$6+77</f>
        <v/>
      </c>
      <c r="O4" s="11">
        <f>Config!$C$6+84</f>
        <v/>
      </c>
      <c r="P4" s="11">
        <f>Config!$C$6+91</f>
        <v/>
      </c>
      <c r="Q4" s="11">
        <f>Config!$C$6+98</f>
        <v/>
      </c>
      <c r="R4" s="11">
        <f>Config!$C$6+105</f>
        <v/>
      </c>
      <c r="S4" s="11">
        <f>Config!$C$6+112</f>
        <v/>
      </c>
      <c r="T4" s="11">
        <f>Config!$C$6+119</f>
        <v/>
      </c>
      <c r="U4" s="11">
        <f>Config!$C$6+126</f>
        <v/>
      </c>
      <c r="V4" s="11">
        <f>Config!$C$6+133</f>
        <v/>
      </c>
      <c r="W4" s="11">
        <f>Config!$C$6+140</f>
        <v/>
      </c>
      <c r="X4" s="11">
        <f>Config!$C$6+147</f>
        <v/>
      </c>
      <c r="Y4" s="11">
        <f>Config!$C$6+154</f>
        <v/>
      </c>
      <c r="Z4" s="11">
        <f>Config!$C$6+161</f>
        <v/>
      </c>
      <c r="AA4" s="11">
        <f>Config!$C$6+168</f>
        <v/>
      </c>
      <c r="AB4" s="11">
        <f>Config!$C$6+175</f>
        <v/>
      </c>
    </row>
    <row r="5" ht="30" customHeight="1">
      <c r="A5" s="5" t="inlineStr">
        <is>
          <t>Categoría</t>
        </is>
      </c>
      <c r="B5" s="5" t="inlineStr">
        <is>
          <t>Métrica</t>
        </is>
      </c>
      <c r="C5" s="21" t="n">
        <v>1</v>
      </c>
      <c r="D5" s="21" t="n">
        <v>2</v>
      </c>
      <c r="E5" s="21" t="n">
        <v>3</v>
      </c>
      <c r="F5" s="21" t="n">
        <v>4</v>
      </c>
      <c r="G5" s="21" t="n">
        <v>5</v>
      </c>
      <c r="H5" s="21" t="n">
        <v>6</v>
      </c>
      <c r="I5" s="21" t="n">
        <v>7</v>
      </c>
      <c r="J5" s="21" t="n">
        <v>8</v>
      </c>
      <c r="K5" s="21" t="n">
        <v>9</v>
      </c>
      <c r="L5" s="21" t="n">
        <v>10</v>
      </c>
      <c r="M5" s="21" t="n">
        <v>11</v>
      </c>
      <c r="N5" s="21" t="n">
        <v>12</v>
      </c>
      <c r="O5" s="21" t="n">
        <v>13</v>
      </c>
      <c r="P5" s="21" t="n">
        <v>14</v>
      </c>
      <c r="Q5" s="21" t="n">
        <v>15</v>
      </c>
      <c r="R5" s="21" t="n">
        <v>16</v>
      </c>
      <c r="S5" s="21" t="n">
        <v>17</v>
      </c>
      <c r="T5" s="21" t="n">
        <v>18</v>
      </c>
      <c r="U5" s="21" t="n">
        <v>19</v>
      </c>
      <c r="V5" s="21" t="n">
        <v>20</v>
      </c>
      <c r="W5" s="21" t="n">
        <v>21</v>
      </c>
      <c r="X5" s="21" t="n">
        <v>22</v>
      </c>
      <c r="Y5" s="21" t="n">
        <v>23</v>
      </c>
      <c r="Z5" s="21" t="n">
        <v>24</v>
      </c>
      <c r="AA5" s="21" t="n">
        <v>25</v>
      </c>
      <c r="AB5" s="21" t="n">
        <v>26</v>
      </c>
      <c r="AC5" s="5" t="inlineStr">
        <is>
          <t>Promedio</t>
        </is>
      </c>
      <c r="AD5" s="5" t="inlineStr">
        <is>
          <t>Mediana</t>
        </is>
      </c>
      <c r="AE5" s="5" t="inlineStr">
        <is>
          <t>Mejor</t>
        </is>
      </c>
      <c r="AF5" s="5" t="inlineStr">
        <is>
          <t>Peor</t>
        </is>
      </c>
    </row>
    <row r="6">
      <c r="A6" t="inlineStr">
        <is>
          <t>Semana con datos (1 = sí)</t>
        </is>
      </c>
      <c r="C6" s="12">
        <f>IF(SUMIFS(Diario!$C$6:$C$371,Diario!$B$6:$B$371,C$5)+SUMIFS(Diario!$H$6:$H$371,Diario!$B$6:$B$371,C$5)&gt;0,1,0)</f>
        <v/>
      </c>
      <c r="D6" s="12">
        <f>IF(SUMIFS(Diario!$C$6:$C$371,Diario!$B$6:$B$371,D$5)+SUMIFS(Diario!$H$6:$H$371,Diario!$B$6:$B$371,D$5)&gt;0,1,0)</f>
        <v/>
      </c>
      <c r="E6" s="12">
        <f>IF(SUMIFS(Diario!$C$6:$C$371,Diario!$B$6:$B$371,E$5)+SUMIFS(Diario!$H$6:$H$371,Diario!$B$6:$B$371,E$5)&gt;0,1,0)</f>
        <v/>
      </c>
      <c r="F6" s="12">
        <f>IF(SUMIFS(Diario!$C$6:$C$371,Diario!$B$6:$B$371,F$5)+SUMIFS(Diario!$H$6:$H$371,Diario!$B$6:$B$371,F$5)&gt;0,1,0)</f>
        <v/>
      </c>
      <c r="G6" s="12">
        <f>IF(SUMIFS(Diario!$C$6:$C$371,Diario!$B$6:$B$371,G$5)+SUMIFS(Diario!$H$6:$H$371,Diario!$B$6:$B$371,G$5)&gt;0,1,0)</f>
        <v/>
      </c>
      <c r="H6" s="12">
        <f>IF(SUMIFS(Diario!$C$6:$C$371,Diario!$B$6:$B$371,H$5)+SUMIFS(Diario!$H$6:$H$371,Diario!$B$6:$B$371,H$5)&gt;0,1,0)</f>
        <v/>
      </c>
      <c r="I6" s="12">
        <f>IF(SUMIFS(Diario!$C$6:$C$371,Diario!$B$6:$B$371,I$5)+SUMIFS(Diario!$H$6:$H$371,Diario!$B$6:$B$371,I$5)&gt;0,1,0)</f>
        <v/>
      </c>
      <c r="J6" s="12">
        <f>IF(SUMIFS(Diario!$C$6:$C$371,Diario!$B$6:$B$371,J$5)+SUMIFS(Diario!$H$6:$H$371,Diario!$B$6:$B$371,J$5)&gt;0,1,0)</f>
        <v/>
      </c>
      <c r="K6" s="12">
        <f>IF(SUMIFS(Diario!$C$6:$C$371,Diario!$B$6:$B$371,K$5)+SUMIFS(Diario!$H$6:$H$371,Diario!$B$6:$B$371,K$5)&gt;0,1,0)</f>
        <v/>
      </c>
      <c r="L6" s="12">
        <f>IF(SUMIFS(Diario!$C$6:$C$371,Diario!$B$6:$B$371,L$5)+SUMIFS(Diario!$H$6:$H$371,Diario!$B$6:$B$371,L$5)&gt;0,1,0)</f>
        <v/>
      </c>
      <c r="M6" s="12">
        <f>IF(SUMIFS(Diario!$C$6:$C$371,Diario!$B$6:$B$371,M$5)+SUMIFS(Diario!$H$6:$H$371,Diario!$B$6:$B$371,M$5)&gt;0,1,0)</f>
        <v/>
      </c>
      <c r="N6" s="12">
        <f>IF(SUMIFS(Diario!$C$6:$C$371,Diario!$B$6:$B$371,N$5)+SUMIFS(Diario!$H$6:$H$371,Diario!$B$6:$B$371,N$5)&gt;0,1,0)</f>
        <v/>
      </c>
      <c r="O6" s="12">
        <f>IF(SUMIFS(Diario!$C$6:$C$371,Diario!$B$6:$B$371,O$5)+SUMIFS(Diario!$H$6:$H$371,Diario!$B$6:$B$371,O$5)&gt;0,1,0)</f>
        <v/>
      </c>
      <c r="P6" s="12">
        <f>IF(SUMIFS(Diario!$C$6:$C$371,Diario!$B$6:$B$371,P$5)+SUMIFS(Diario!$H$6:$H$371,Diario!$B$6:$B$371,P$5)&gt;0,1,0)</f>
        <v/>
      </c>
      <c r="Q6" s="12">
        <f>IF(SUMIFS(Diario!$C$6:$C$371,Diario!$B$6:$B$371,Q$5)+SUMIFS(Diario!$H$6:$H$371,Diario!$B$6:$B$371,Q$5)&gt;0,1,0)</f>
        <v/>
      </c>
      <c r="R6" s="12">
        <f>IF(SUMIFS(Diario!$C$6:$C$371,Diario!$B$6:$B$371,R$5)+SUMIFS(Diario!$H$6:$H$371,Diario!$B$6:$B$371,R$5)&gt;0,1,0)</f>
        <v/>
      </c>
      <c r="S6" s="12">
        <f>IF(SUMIFS(Diario!$C$6:$C$371,Diario!$B$6:$B$371,S$5)+SUMIFS(Diario!$H$6:$H$371,Diario!$B$6:$B$371,S$5)&gt;0,1,0)</f>
        <v/>
      </c>
      <c r="T6" s="12">
        <f>IF(SUMIFS(Diario!$C$6:$C$371,Diario!$B$6:$B$371,T$5)+SUMIFS(Diario!$H$6:$H$371,Diario!$B$6:$B$371,T$5)&gt;0,1,0)</f>
        <v/>
      </c>
      <c r="U6" s="12">
        <f>IF(SUMIFS(Diario!$C$6:$C$371,Diario!$B$6:$B$371,U$5)+SUMIFS(Diario!$H$6:$H$371,Diario!$B$6:$B$371,U$5)&gt;0,1,0)</f>
        <v/>
      </c>
      <c r="V6" s="12">
        <f>IF(SUMIFS(Diario!$C$6:$C$371,Diario!$B$6:$B$371,V$5)+SUMIFS(Diario!$H$6:$H$371,Diario!$B$6:$B$371,V$5)&gt;0,1,0)</f>
        <v/>
      </c>
      <c r="W6" s="12">
        <f>IF(SUMIFS(Diario!$C$6:$C$371,Diario!$B$6:$B$371,W$5)+SUMIFS(Diario!$H$6:$H$371,Diario!$B$6:$B$371,W$5)&gt;0,1,0)</f>
        <v/>
      </c>
      <c r="X6" s="12">
        <f>IF(SUMIFS(Diario!$C$6:$C$371,Diario!$B$6:$B$371,X$5)+SUMIFS(Diario!$H$6:$H$371,Diario!$B$6:$B$371,X$5)&gt;0,1,0)</f>
        <v/>
      </c>
      <c r="Y6" s="12">
        <f>IF(SUMIFS(Diario!$C$6:$C$371,Diario!$B$6:$B$371,Y$5)+SUMIFS(Diario!$H$6:$H$371,Diario!$B$6:$B$371,Y$5)&gt;0,1,0)</f>
        <v/>
      </c>
      <c r="Z6" s="12">
        <f>IF(SUMIFS(Diario!$C$6:$C$371,Diario!$B$6:$B$371,Z$5)+SUMIFS(Diario!$H$6:$H$371,Diario!$B$6:$B$371,Z$5)&gt;0,1,0)</f>
        <v/>
      </c>
      <c r="AA6" s="12">
        <f>IF(SUMIFS(Diario!$C$6:$C$371,Diario!$B$6:$B$371,AA$5)+SUMIFS(Diario!$H$6:$H$371,Diario!$B$6:$B$371,AA$5)&gt;0,1,0)</f>
        <v/>
      </c>
      <c r="AB6" s="12">
        <f>IF(SUMIFS(Diario!$C$6:$C$371,Diario!$B$6:$B$371,AB$5)+SUMIFS(Diario!$H$6:$H$371,Diario!$B$6:$B$371,AB$5)&gt;0,1,0)</f>
        <v/>
      </c>
    </row>
    <row r="7">
      <c r="A7" t="inlineStr">
        <is>
          <t>Número de semana si tiene datos</t>
        </is>
      </c>
      <c r="C7" s="12">
        <f>IF(C6=1,C$5,0)</f>
        <v/>
      </c>
      <c r="D7" s="12">
        <f>IF(D6=1,D$5,0)</f>
        <v/>
      </c>
      <c r="E7" s="12">
        <f>IF(E6=1,E$5,0)</f>
        <v/>
      </c>
      <c r="F7" s="12">
        <f>IF(F6=1,F$5,0)</f>
        <v/>
      </c>
      <c r="G7" s="12">
        <f>IF(G6=1,G$5,0)</f>
        <v/>
      </c>
      <c r="H7" s="12">
        <f>IF(H6=1,H$5,0)</f>
        <v/>
      </c>
      <c r="I7" s="12">
        <f>IF(I6=1,I$5,0)</f>
        <v/>
      </c>
      <c r="J7" s="12">
        <f>IF(J6=1,J$5,0)</f>
        <v/>
      </c>
      <c r="K7" s="12">
        <f>IF(K6=1,K$5,0)</f>
        <v/>
      </c>
      <c r="L7" s="12">
        <f>IF(L6=1,L$5,0)</f>
        <v/>
      </c>
      <c r="M7" s="12">
        <f>IF(M6=1,M$5,0)</f>
        <v/>
      </c>
      <c r="N7" s="12">
        <f>IF(N6=1,N$5,0)</f>
        <v/>
      </c>
      <c r="O7" s="12">
        <f>IF(O6=1,O$5,0)</f>
        <v/>
      </c>
      <c r="P7" s="12">
        <f>IF(P6=1,P$5,0)</f>
        <v/>
      </c>
      <c r="Q7" s="12">
        <f>IF(Q6=1,Q$5,0)</f>
        <v/>
      </c>
      <c r="R7" s="12">
        <f>IF(R6=1,R$5,0)</f>
        <v/>
      </c>
      <c r="S7" s="12">
        <f>IF(S6=1,S$5,0)</f>
        <v/>
      </c>
      <c r="T7" s="12">
        <f>IF(T6=1,T$5,0)</f>
        <v/>
      </c>
      <c r="U7" s="12">
        <f>IF(U6=1,U$5,0)</f>
        <v/>
      </c>
      <c r="V7" s="12">
        <f>IF(V6=1,V$5,0)</f>
        <v/>
      </c>
      <c r="W7" s="12">
        <f>IF(W6=1,W$5,0)</f>
        <v/>
      </c>
      <c r="X7" s="12">
        <f>IF(X6=1,X$5,0)</f>
        <v/>
      </c>
      <c r="Y7" s="12">
        <f>IF(Y6=1,Y$5,0)</f>
        <v/>
      </c>
      <c r="Z7" s="12">
        <f>IF(Z6=1,Z$5,0)</f>
        <v/>
      </c>
      <c r="AA7" s="12">
        <f>IF(AA6=1,AA$5,0)</f>
        <v/>
      </c>
      <c r="AB7" s="12">
        <f>IF(AB6=1,AB$5,0)</f>
        <v/>
      </c>
    </row>
    <row r="9">
      <c r="A9" s="22" t="inlineStr">
        <is>
          <t>1. Anuncios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</row>
    <row r="10">
      <c r="A10" t="inlineStr">
        <is>
          <t>Anuncios</t>
        </is>
      </c>
      <c r="B10" s="4" t="inlineStr">
        <is>
          <t>Inversión en publicidad (USD)</t>
        </is>
      </c>
      <c r="C10" s="19">
        <f>IF(C6=0,"",SUMIFS(Diario!$C$6:$C$371,Diario!$B$6:$B$371,C$5))</f>
        <v/>
      </c>
      <c r="D10" s="19">
        <f>IF(D6=0,"",SUMIFS(Diario!$C$6:$C$371,Diario!$B$6:$B$371,D$5))</f>
        <v/>
      </c>
      <c r="E10" s="19">
        <f>IF(E6=0,"",SUMIFS(Diario!$C$6:$C$371,Diario!$B$6:$B$371,E$5))</f>
        <v/>
      </c>
      <c r="F10" s="19">
        <f>IF(F6=0,"",SUMIFS(Diario!$C$6:$C$371,Diario!$B$6:$B$371,F$5))</f>
        <v/>
      </c>
      <c r="G10" s="19">
        <f>IF(G6=0,"",SUMIFS(Diario!$C$6:$C$371,Diario!$B$6:$B$371,G$5))</f>
        <v/>
      </c>
      <c r="H10" s="19">
        <f>IF(H6=0,"",SUMIFS(Diario!$C$6:$C$371,Diario!$B$6:$B$371,H$5))</f>
        <v/>
      </c>
      <c r="I10" s="19">
        <f>IF(I6=0,"",SUMIFS(Diario!$C$6:$C$371,Diario!$B$6:$B$371,I$5))</f>
        <v/>
      </c>
      <c r="J10" s="19">
        <f>IF(J6=0,"",SUMIFS(Diario!$C$6:$C$371,Diario!$B$6:$B$371,J$5))</f>
        <v/>
      </c>
      <c r="K10" s="19">
        <f>IF(K6=0,"",SUMIFS(Diario!$C$6:$C$371,Diario!$B$6:$B$371,K$5))</f>
        <v/>
      </c>
      <c r="L10" s="19">
        <f>IF(L6=0,"",SUMIFS(Diario!$C$6:$C$371,Diario!$B$6:$B$371,L$5))</f>
        <v/>
      </c>
      <c r="M10" s="19">
        <f>IF(M6=0,"",SUMIFS(Diario!$C$6:$C$371,Diario!$B$6:$B$371,M$5))</f>
        <v/>
      </c>
      <c r="N10" s="19">
        <f>IF(N6=0,"",SUMIFS(Diario!$C$6:$C$371,Diario!$B$6:$B$371,N$5))</f>
        <v/>
      </c>
      <c r="O10" s="19">
        <f>IF(O6=0,"",SUMIFS(Diario!$C$6:$C$371,Diario!$B$6:$B$371,O$5))</f>
        <v/>
      </c>
      <c r="P10" s="19">
        <f>IF(P6=0,"",SUMIFS(Diario!$C$6:$C$371,Diario!$B$6:$B$371,P$5))</f>
        <v/>
      </c>
      <c r="Q10" s="19">
        <f>IF(Q6=0,"",SUMIFS(Diario!$C$6:$C$371,Diario!$B$6:$B$371,Q$5))</f>
        <v/>
      </c>
      <c r="R10" s="19">
        <f>IF(R6=0,"",SUMIFS(Diario!$C$6:$C$371,Diario!$B$6:$B$371,R$5))</f>
        <v/>
      </c>
      <c r="S10" s="19">
        <f>IF(S6=0,"",SUMIFS(Diario!$C$6:$C$371,Diario!$B$6:$B$371,S$5))</f>
        <v/>
      </c>
      <c r="T10" s="19">
        <f>IF(T6=0,"",SUMIFS(Diario!$C$6:$C$371,Diario!$B$6:$B$371,T$5))</f>
        <v/>
      </c>
      <c r="U10" s="19">
        <f>IF(U6=0,"",SUMIFS(Diario!$C$6:$C$371,Diario!$B$6:$B$371,U$5))</f>
        <v/>
      </c>
      <c r="V10" s="19">
        <f>IF(V6=0,"",SUMIFS(Diario!$C$6:$C$371,Diario!$B$6:$B$371,V$5))</f>
        <v/>
      </c>
      <c r="W10" s="19">
        <f>IF(W6=0,"",SUMIFS(Diario!$C$6:$C$371,Diario!$B$6:$B$371,W$5))</f>
        <v/>
      </c>
      <c r="X10" s="19">
        <f>IF(X6=0,"",SUMIFS(Diario!$C$6:$C$371,Diario!$B$6:$B$371,X$5))</f>
        <v/>
      </c>
      <c r="Y10" s="19">
        <f>IF(Y6=0,"",SUMIFS(Diario!$C$6:$C$371,Diario!$B$6:$B$371,Y$5))</f>
        <v/>
      </c>
      <c r="Z10" s="19">
        <f>IF(Z6=0,"",SUMIFS(Diario!$C$6:$C$371,Diario!$B$6:$B$371,Z$5))</f>
        <v/>
      </c>
      <c r="AA10" s="19">
        <f>IF(AA6=0,"",SUMIFS(Diario!$C$6:$C$371,Diario!$B$6:$B$371,AA$5))</f>
        <v/>
      </c>
      <c r="AB10" s="19">
        <f>IF(AB6=0,"",SUMIFS(Diario!$C$6:$C$371,Diario!$B$6:$B$371,AB$5))</f>
        <v/>
      </c>
      <c r="AC10" s="19">
        <f>IFERROR(AVERAGE(C10:AB10),"")</f>
        <v/>
      </c>
      <c r="AD10" s="19">
        <f>IFERROR(MEDIAN(C10:AB10),"")</f>
        <v/>
      </c>
      <c r="AE10" s="19">
        <f>IFERROR(MAX(C10:AB10),"")</f>
        <v/>
      </c>
      <c r="AF10" s="19">
        <f>IFERROR(MIN(C10:AB10),"")</f>
        <v/>
      </c>
    </row>
    <row r="11">
      <c r="A11" t="inlineStr">
        <is>
          <t>Anuncios</t>
        </is>
      </c>
      <c r="B11" s="4" t="inlineStr">
        <is>
          <t>Impresiones</t>
        </is>
      </c>
      <c r="C11" s="12">
        <f>IF(C6=0,"",SUMIFS(Diario!$D$6:$D$371,Diario!$B$6:$B$371,C$5))</f>
        <v/>
      </c>
      <c r="D11" s="12">
        <f>IF(D6=0,"",SUMIFS(Diario!$D$6:$D$371,Diario!$B$6:$B$371,D$5))</f>
        <v/>
      </c>
      <c r="E11" s="12">
        <f>IF(E6=0,"",SUMIFS(Diario!$D$6:$D$371,Diario!$B$6:$B$371,E$5))</f>
        <v/>
      </c>
      <c r="F11" s="12">
        <f>IF(F6=0,"",SUMIFS(Diario!$D$6:$D$371,Diario!$B$6:$B$371,F$5))</f>
        <v/>
      </c>
      <c r="G11" s="12">
        <f>IF(G6=0,"",SUMIFS(Diario!$D$6:$D$371,Diario!$B$6:$B$371,G$5))</f>
        <v/>
      </c>
      <c r="H11" s="12">
        <f>IF(H6=0,"",SUMIFS(Diario!$D$6:$D$371,Diario!$B$6:$B$371,H$5))</f>
        <v/>
      </c>
      <c r="I11" s="12">
        <f>IF(I6=0,"",SUMIFS(Diario!$D$6:$D$371,Diario!$B$6:$B$371,I$5))</f>
        <v/>
      </c>
      <c r="J11" s="12">
        <f>IF(J6=0,"",SUMIFS(Diario!$D$6:$D$371,Diario!$B$6:$B$371,J$5))</f>
        <v/>
      </c>
      <c r="K11" s="12">
        <f>IF(K6=0,"",SUMIFS(Diario!$D$6:$D$371,Diario!$B$6:$B$371,K$5))</f>
        <v/>
      </c>
      <c r="L11" s="12">
        <f>IF(L6=0,"",SUMIFS(Diario!$D$6:$D$371,Diario!$B$6:$B$371,L$5))</f>
        <v/>
      </c>
      <c r="M11" s="12">
        <f>IF(M6=0,"",SUMIFS(Diario!$D$6:$D$371,Diario!$B$6:$B$371,M$5))</f>
        <v/>
      </c>
      <c r="N11" s="12">
        <f>IF(N6=0,"",SUMIFS(Diario!$D$6:$D$371,Diario!$B$6:$B$371,N$5))</f>
        <v/>
      </c>
      <c r="O11" s="12">
        <f>IF(O6=0,"",SUMIFS(Diario!$D$6:$D$371,Diario!$B$6:$B$371,O$5))</f>
        <v/>
      </c>
      <c r="P11" s="12">
        <f>IF(P6=0,"",SUMIFS(Diario!$D$6:$D$371,Diario!$B$6:$B$371,P$5))</f>
        <v/>
      </c>
      <c r="Q11" s="12">
        <f>IF(Q6=0,"",SUMIFS(Diario!$D$6:$D$371,Diario!$B$6:$B$371,Q$5))</f>
        <v/>
      </c>
      <c r="R11" s="12">
        <f>IF(R6=0,"",SUMIFS(Diario!$D$6:$D$371,Diario!$B$6:$B$371,R$5))</f>
        <v/>
      </c>
      <c r="S11" s="12">
        <f>IF(S6=0,"",SUMIFS(Diario!$D$6:$D$371,Diario!$B$6:$B$371,S$5))</f>
        <v/>
      </c>
      <c r="T11" s="12">
        <f>IF(T6=0,"",SUMIFS(Diario!$D$6:$D$371,Diario!$B$6:$B$371,T$5))</f>
        <v/>
      </c>
      <c r="U11" s="12">
        <f>IF(U6=0,"",SUMIFS(Diario!$D$6:$D$371,Diario!$B$6:$B$371,U$5))</f>
        <v/>
      </c>
      <c r="V11" s="12">
        <f>IF(V6=0,"",SUMIFS(Diario!$D$6:$D$371,Diario!$B$6:$B$371,V$5))</f>
        <v/>
      </c>
      <c r="W11" s="12">
        <f>IF(W6=0,"",SUMIFS(Diario!$D$6:$D$371,Diario!$B$6:$B$371,W$5))</f>
        <v/>
      </c>
      <c r="X11" s="12">
        <f>IF(X6=0,"",SUMIFS(Diario!$D$6:$D$371,Diario!$B$6:$B$371,X$5))</f>
        <v/>
      </c>
      <c r="Y11" s="12">
        <f>IF(Y6=0,"",SUMIFS(Diario!$D$6:$D$371,Diario!$B$6:$B$371,Y$5))</f>
        <v/>
      </c>
      <c r="Z11" s="12">
        <f>IF(Z6=0,"",SUMIFS(Diario!$D$6:$D$371,Diario!$B$6:$B$371,Z$5))</f>
        <v/>
      </c>
      <c r="AA11" s="12">
        <f>IF(AA6=0,"",SUMIFS(Diario!$D$6:$D$371,Diario!$B$6:$B$371,AA$5))</f>
        <v/>
      </c>
      <c r="AB11" s="12">
        <f>IF(AB6=0,"",SUMIFS(Diario!$D$6:$D$371,Diario!$B$6:$B$371,AB$5))</f>
        <v/>
      </c>
      <c r="AC11" s="12">
        <f>IFERROR(AVERAGE(C11:AB11),"")</f>
        <v/>
      </c>
      <c r="AD11" s="12">
        <f>IFERROR(MEDIAN(C11:AB11),"")</f>
        <v/>
      </c>
      <c r="AE11" s="12">
        <f>IFERROR(MAX(C11:AB11),"")</f>
        <v/>
      </c>
      <c r="AF11" s="12">
        <f>IFERROR(MIN(C11:AB11),"")</f>
        <v/>
      </c>
    </row>
    <row r="12">
      <c r="A12" t="inlineStr">
        <is>
          <t>Anuncios</t>
        </is>
      </c>
      <c r="B12" s="4" t="inlineStr">
        <is>
          <t>Alcance (personas únicas)</t>
        </is>
      </c>
      <c r="C12" s="12">
        <f>IF(C6=0,"",SUMIFS(Diario!$E$6:$E$371,Diario!$B$6:$B$371,C$5))</f>
        <v/>
      </c>
      <c r="D12" s="12">
        <f>IF(D6=0,"",SUMIFS(Diario!$E$6:$E$371,Diario!$B$6:$B$371,D$5))</f>
        <v/>
      </c>
      <c r="E12" s="12">
        <f>IF(E6=0,"",SUMIFS(Diario!$E$6:$E$371,Diario!$B$6:$B$371,E$5))</f>
        <v/>
      </c>
      <c r="F12" s="12">
        <f>IF(F6=0,"",SUMIFS(Diario!$E$6:$E$371,Diario!$B$6:$B$371,F$5))</f>
        <v/>
      </c>
      <c r="G12" s="12">
        <f>IF(G6=0,"",SUMIFS(Diario!$E$6:$E$371,Diario!$B$6:$B$371,G$5))</f>
        <v/>
      </c>
      <c r="H12" s="12">
        <f>IF(H6=0,"",SUMIFS(Diario!$E$6:$E$371,Diario!$B$6:$B$371,H$5))</f>
        <v/>
      </c>
      <c r="I12" s="12">
        <f>IF(I6=0,"",SUMIFS(Diario!$E$6:$E$371,Diario!$B$6:$B$371,I$5))</f>
        <v/>
      </c>
      <c r="J12" s="12">
        <f>IF(J6=0,"",SUMIFS(Diario!$E$6:$E$371,Diario!$B$6:$B$371,J$5))</f>
        <v/>
      </c>
      <c r="K12" s="12">
        <f>IF(K6=0,"",SUMIFS(Diario!$E$6:$E$371,Diario!$B$6:$B$371,K$5))</f>
        <v/>
      </c>
      <c r="L12" s="12">
        <f>IF(L6=0,"",SUMIFS(Diario!$E$6:$E$371,Diario!$B$6:$B$371,L$5))</f>
        <v/>
      </c>
      <c r="M12" s="12">
        <f>IF(M6=0,"",SUMIFS(Diario!$E$6:$E$371,Diario!$B$6:$B$371,M$5))</f>
        <v/>
      </c>
      <c r="N12" s="12">
        <f>IF(N6=0,"",SUMIFS(Diario!$E$6:$E$371,Diario!$B$6:$B$371,N$5))</f>
        <v/>
      </c>
      <c r="O12" s="12">
        <f>IF(O6=0,"",SUMIFS(Diario!$E$6:$E$371,Diario!$B$6:$B$371,O$5))</f>
        <v/>
      </c>
      <c r="P12" s="12">
        <f>IF(P6=0,"",SUMIFS(Diario!$E$6:$E$371,Diario!$B$6:$B$371,P$5))</f>
        <v/>
      </c>
      <c r="Q12" s="12">
        <f>IF(Q6=0,"",SUMIFS(Diario!$E$6:$E$371,Diario!$B$6:$B$371,Q$5))</f>
        <v/>
      </c>
      <c r="R12" s="12">
        <f>IF(R6=0,"",SUMIFS(Diario!$E$6:$E$371,Diario!$B$6:$B$371,R$5))</f>
        <v/>
      </c>
      <c r="S12" s="12">
        <f>IF(S6=0,"",SUMIFS(Diario!$E$6:$E$371,Diario!$B$6:$B$371,S$5))</f>
        <v/>
      </c>
      <c r="T12" s="12">
        <f>IF(T6=0,"",SUMIFS(Diario!$E$6:$E$371,Diario!$B$6:$B$371,T$5))</f>
        <v/>
      </c>
      <c r="U12" s="12">
        <f>IF(U6=0,"",SUMIFS(Diario!$E$6:$E$371,Diario!$B$6:$B$371,U$5))</f>
        <v/>
      </c>
      <c r="V12" s="12">
        <f>IF(V6=0,"",SUMIFS(Diario!$E$6:$E$371,Diario!$B$6:$B$371,V$5))</f>
        <v/>
      </c>
      <c r="W12" s="12">
        <f>IF(W6=0,"",SUMIFS(Diario!$E$6:$E$371,Diario!$B$6:$B$371,W$5))</f>
        <v/>
      </c>
      <c r="X12" s="12">
        <f>IF(X6=0,"",SUMIFS(Diario!$E$6:$E$371,Diario!$B$6:$B$371,X$5))</f>
        <v/>
      </c>
      <c r="Y12" s="12">
        <f>IF(Y6=0,"",SUMIFS(Diario!$E$6:$E$371,Diario!$B$6:$B$371,Y$5))</f>
        <v/>
      </c>
      <c r="Z12" s="12">
        <f>IF(Z6=0,"",SUMIFS(Diario!$E$6:$E$371,Diario!$B$6:$B$371,Z$5))</f>
        <v/>
      </c>
      <c r="AA12" s="12">
        <f>IF(AA6=0,"",SUMIFS(Diario!$E$6:$E$371,Diario!$B$6:$B$371,AA$5))</f>
        <v/>
      </c>
      <c r="AB12" s="12">
        <f>IF(AB6=0,"",SUMIFS(Diario!$E$6:$E$371,Diario!$B$6:$B$371,AB$5))</f>
        <v/>
      </c>
      <c r="AC12" s="12">
        <f>IFERROR(AVERAGE(C12:AB12),"")</f>
        <v/>
      </c>
      <c r="AD12" s="12">
        <f>IFERROR(MEDIAN(C12:AB12),"")</f>
        <v/>
      </c>
      <c r="AE12" s="12">
        <f>IFERROR(MAX(C12:AB12),"")</f>
        <v/>
      </c>
      <c r="AF12" s="12">
        <f>IFERROR(MIN(C12:AB12),"")</f>
        <v/>
      </c>
    </row>
    <row r="13">
      <c r="A13" t="inlineStr">
        <is>
          <t>Anuncios</t>
        </is>
      </c>
      <c r="B13" s="4" t="inlineStr">
        <is>
          <t>Clics en el enlace</t>
        </is>
      </c>
      <c r="C13" s="12">
        <f>IF(C6=0,"",SUMIFS(Diario!$F$6:$F$371,Diario!$B$6:$B$371,C$5))</f>
        <v/>
      </c>
      <c r="D13" s="12">
        <f>IF(D6=0,"",SUMIFS(Diario!$F$6:$F$371,Diario!$B$6:$B$371,D$5))</f>
        <v/>
      </c>
      <c r="E13" s="12">
        <f>IF(E6=0,"",SUMIFS(Diario!$F$6:$F$371,Diario!$B$6:$B$371,E$5))</f>
        <v/>
      </c>
      <c r="F13" s="12">
        <f>IF(F6=0,"",SUMIFS(Diario!$F$6:$F$371,Diario!$B$6:$B$371,F$5))</f>
        <v/>
      </c>
      <c r="G13" s="12">
        <f>IF(G6=0,"",SUMIFS(Diario!$F$6:$F$371,Diario!$B$6:$B$371,G$5))</f>
        <v/>
      </c>
      <c r="H13" s="12">
        <f>IF(H6=0,"",SUMIFS(Diario!$F$6:$F$371,Diario!$B$6:$B$371,H$5))</f>
        <v/>
      </c>
      <c r="I13" s="12">
        <f>IF(I6=0,"",SUMIFS(Diario!$F$6:$F$371,Diario!$B$6:$B$371,I$5))</f>
        <v/>
      </c>
      <c r="J13" s="12">
        <f>IF(J6=0,"",SUMIFS(Diario!$F$6:$F$371,Diario!$B$6:$B$371,J$5))</f>
        <v/>
      </c>
      <c r="K13" s="12">
        <f>IF(K6=0,"",SUMIFS(Diario!$F$6:$F$371,Diario!$B$6:$B$371,K$5))</f>
        <v/>
      </c>
      <c r="L13" s="12">
        <f>IF(L6=0,"",SUMIFS(Diario!$F$6:$F$371,Diario!$B$6:$B$371,L$5))</f>
        <v/>
      </c>
      <c r="M13" s="12">
        <f>IF(M6=0,"",SUMIFS(Diario!$F$6:$F$371,Diario!$B$6:$B$371,M$5))</f>
        <v/>
      </c>
      <c r="N13" s="12">
        <f>IF(N6=0,"",SUMIFS(Diario!$F$6:$F$371,Diario!$B$6:$B$371,N$5))</f>
        <v/>
      </c>
      <c r="O13" s="12">
        <f>IF(O6=0,"",SUMIFS(Diario!$F$6:$F$371,Diario!$B$6:$B$371,O$5))</f>
        <v/>
      </c>
      <c r="P13" s="12">
        <f>IF(P6=0,"",SUMIFS(Diario!$F$6:$F$371,Diario!$B$6:$B$371,P$5))</f>
        <v/>
      </c>
      <c r="Q13" s="12">
        <f>IF(Q6=0,"",SUMIFS(Diario!$F$6:$F$371,Diario!$B$6:$B$371,Q$5))</f>
        <v/>
      </c>
      <c r="R13" s="12">
        <f>IF(R6=0,"",SUMIFS(Diario!$F$6:$F$371,Diario!$B$6:$B$371,R$5))</f>
        <v/>
      </c>
      <c r="S13" s="12">
        <f>IF(S6=0,"",SUMIFS(Diario!$F$6:$F$371,Diario!$B$6:$B$371,S$5))</f>
        <v/>
      </c>
      <c r="T13" s="12">
        <f>IF(T6=0,"",SUMIFS(Diario!$F$6:$F$371,Diario!$B$6:$B$371,T$5))</f>
        <v/>
      </c>
      <c r="U13" s="12">
        <f>IF(U6=0,"",SUMIFS(Diario!$F$6:$F$371,Diario!$B$6:$B$371,U$5))</f>
        <v/>
      </c>
      <c r="V13" s="12">
        <f>IF(V6=0,"",SUMIFS(Diario!$F$6:$F$371,Diario!$B$6:$B$371,V$5))</f>
        <v/>
      </c>
      <c r="W13" s="12">
        <f>IF(W6=0,"",SUMIFS(Diario!$F$6:$F$371,Diario!$B$6:$B$371,W$5))</f>
        <v/>
      </c>
      <c r="X13" s="12">
        <f>IF(X6=0,"",SUMIFS(Diario!$F$6:$F$371,Diario!$B$6:$B$371,X$5))</f>
        <v/>
      </c>
      <c r="Y13" s="12">
        <f>IF(Y6=0,"",SUMIFS(Diario!$F$6:$F$371,Diario!$B$6:$B$371,Y$5))</f>
        <v/>
      </c>
      <c r="Z13" s="12">
        <f>IF(Z6=0,"",SUMIFS(Diario!$F$6:$F$371,Diario!$B$6:$B$371,Z$5))</f>
        <v/>
      </c>
      <c r="AA13" s="12">
        <f>IF(AA6=0,"",SUMIFS(Diario!$F$6:$F$371,Diario!$B$6:$B$371,AA$5))</f>
        <v/>
      </c>
      <c r="AB13" s="12">
        <f>IF(AB6=0,"",SUMIFS(Diario!$F$6:$F$371,Diario!$B$6:$B$371,AB$5))</f>
        <v/>
      </c>
      <c r="AC13" s="12">
        <f>IFERROR(AVERAGE(C13:AB13),"")</f>
        <v/>
      </c>
      <c r="AD13" s="12">
        <f>IFERROR(MEDIAN(C13:AB13),"")</f>
        <v/>
      </c>
      <c r="AE13" s="12">
        <f>IFERROR(MAX(C13:AB13),"")</f>
        <v/>
      </c>
      <c r="AF13" s="12">
        <f>IFERROR(MIN(C13:AB13),"")</f>
        <v/>
      </c>
    </row>
    <row r="14">
      <c r="A14" t="inlineStr">
        <is>
          <t>Anuncios</t>
        </is>
      </c>
      <c r="B14" s="4" t="inlineStr">
        <is>
          <t>Visitas a la página</t>
        </is>
      </c>
      <c r="C14" s="12">
        <f>IF(C6=0,"",SUMIFS(Diario!$G$6:$G$371,Diario!$B$6:$B$371,C$5))</f>
        <v/>
      </c>
      <c r="D14" s="12">
        <f>IF(D6=0,"",SUMIFS(Diario!$G$6:$G$371,Diario!$B$6:$B$371,D$5))</f>
        <v/>
      </c>
      <c r="E14" s="12">
        <f>IF(E6=0,"",SUMIFS(Diario!$G$6:$G$371,Diario!$B$6:$B$371,E$5))</f>
        <v/>
      </c>
      <c r="F14" s="12">
        <f>IF(F6=0,"",SUMIFS(Diario!$G$6:$G$371,Diario!$B$6:$B$371,F$5))</f>
        <v/>
      </c>
      <c r="G14" s="12">
        <f>IF(G6=0,"",SUMIFS(Diario!$G$6:$G$371,Diario!$B$6:$B$371,G$5))</f>
        <v/>
      </c>
      <c r="H14" s="12">
        <f>IF(H6=0,"",SUMIFS(Diario!$G$6:$G$371,Diario!$B$6:$B$371,H$5))</f>
        <v/>
      </c>
      <c r="I14" s="12">
        <f>IF(I6=0,"",SUMIFS(Diario!$G$6:$G$371,Diario!$B$6:$B$371,I$5))</f>
        <v/>
      </c>
      <c r="J14" s="12">
        <f>IF(J6=0,"",SUMIFS(Diario!$G$6:$G$371,Diario!$B$6:$B$371,J$5))</f>
        <v/>
      </c>
      <c r="K14" s="12">
        <f>IF(K6=0,"",SUMIFS(Diario!$G$6:$G$371,Diario!$B$6:$B$371,K$5))</f>
        <v/>
      </c>
      <c r="L14" s="12">
        <f>IF(L6=0,"",SUMIFS(Diario!$G$6:$G$371,Diario!$B$6:$B$371,L$5))</f>
        <v/>
      </c>
      <c r="M14" s="12">
        <f>IF(M6=0,"",SUMIFS(Diario!$G$6:$G$371,Diario!$B$6:$B$371,M$5))</f>
        <v/>
      </c>
      <c r="N14" s="12">
        <f>IF(N6=0,"",SUMIFS(Diario!$G$6:$G$371,Diario!$B$6:$B$371,N$5))</f>
        <v/>
      </c>
      <c r="O14" s="12">
        <f>IF(O6=0,"",SUMIFS(Diario!$G$6:$G$371,Diario!$B$6:$B$371,O$5))</f>
        <v/>
      </c>
      <c r="P14" s="12">
        <f>IF(P6=0,"",SUMIFS(Diario!$G$6:$G$371,Diario!$B$6:$B$371,P$5))</f>
        <v/>
      </c>
      <c r="Q14" s="12">
        <f>IF(Q6=0,"",SUMIFS(Diario!$G$6:$G$371,Diario!$B$6:$B$371,Q$5))</f>
        <v/>
      </c>
      <c r="R14" s="12">
        <f>IF(R6=0,"",SUMIFS(Diario!$G$6:$G$371,Diario!$B$6:$B$371,R$5))</f>
        <v/>
      </c>
      <c r="S14" s="12">
        <f>IF(S6=0,"",SUMIFS(Diario!$G$6:$G$371,Diario!$B$6:$B$371,S$5))</f>
        <v/>
      </c>
      <c r="T14" s="12">
        <f>IF(T6=0,"",SUMIFS(Diario!$G$6:$G$371,Diario!$B$6:$B$371,T$5))</f>
        <v/>
      </c>
      <c r="U14" s="12">
        <f>IF(U6=0,"",SUMIFS(Diario!$G$6:$G$371,Diario!$B$6:$B$371,U$5))</f>
        <v/>
      </c>
      <c r="V14" s="12">
        <f>IF(V6=0,"",SUMIFS(Diario!$G$6:$G$371,Diario!$B$6:$B$371,V$5))</f>
        <v/>
      </c>
      <c r="W14" s="12">
        <f>IF(W6=0,"",SUMIFS(Diario!$G$6:$G$371,Diario!$B$6:$B$371,W$5))</f>
        <v/>
      </c>
      <c r="X14" s="12">
        <f>IF(X6=0,"",SUMIFS(Diario!$G$6:$G$371,Diario!$B$6:$B$371,X$5))</f>
        <v/>
      </c>
      <c r="Y14" s="12">
        <f>IF(Y6=0,"",SUMIFS(Diario!$G$6:$G$371,Diario!$B$6:$B$371,Y$5))</f>
        <v/>
      </c>
      <c r="Z14" s="12">
        <f>IF(Z6=0,"",SUMIFS(Diario!$G$6:$G$371,Diario!$B$6:$B$371,Z$5))</f>
        <v/>
      </c>
      <c r="AA14" s="12">
        <f>IF(AA6=0,"",SUMIFS(Diario!$G$6:$G$371,Diario!$B$6:$B$371,AA$5))</f>
        <v/>
      </c>
      <c r="AB14" s="12">
        <f>IF(AB6=0,"",SUMIFS(Diario!$G$6:$G$371,Diario!$B$6:$B$371,AB$5))</f>
        <v/>
      </c>
      <c r="AC14" s="12">
        <f>IFERROR(AVERAGE(C14:AB14),"")</f>
        <v/>
      </c>
      <c r="AD14" s="12">
        <f>IFERROR(MEDIAN(C14:AB14),"")</f>
        <v/>
      </c>
      <c r="AE14" s="12">
        <f>IFERROR(MAX(C14:AB14),"")</f>
        <v/>
      </c>
      <c r="AF14" s="12">
        <f>IFERROR(MIN(C14:AB14),"")</f>
        <v/>
      </c>
    </row>
    <row r="15">
      <c r="A15" t="inlineStr">
        <is>
          <t>Anuncios</t>
        </is>
      </c>
      <c r="B15" s="24" t="inlineStr">
        <is>
          <t>CPM</t>
        </is>
      </c>
      <c r="C15" s="14">
        <f>IF(C6=0,"",IFERROR(C10/C11*1000,0))</f>
        <v/>
      </c>
      <c r="D15" s="14">
        <f>IF(D6=0,"",IFERROR(D10/D11*1000,0))</f>
        <v/>
      </c>
      <c r="E15" s="14">
        <f>IF(E6=0,"",IFERROR(E10/E11*1000,0))</f>
        <v/>
      </c>
      <c r="F15" s="14">
        <f>IF(F6=0,"",IFERROR(F10/F11*1000,0))</f>
        <v/>
      </c>
      <c r="G15" s="14">
        <f>IF(G6=0,"",IFERROR(G10/G11*1000,0))</f>
        <v/>
      </c>
      <c r="H15" s="14">
        <f>IF(H6=0,"",IFERROR(H10/H11*1000,0))</f>
        <v/>
      </c>
      <c r="I15" s="14">
        <f>IF(I6=0,"",IFERROR(I10/I11*1000,0))</f>
        <v/>
      </c>
      <c r="J15" s="14">
        <f>IF(J6=0,"",IFERROR(J10/J11*1000,0))</f>
        <v/>
      </c>
      <c r="K15" s="14">
        <f>IF(K6=0,"",IFERROR(K10/K11*1000,0))</f>
        <v/>
      </c>
      <c r="L15" s="14">
        <f>IF(L6=0,"",IFERROR(L10/L11*1000,0))</f>
        <v/>
      </c>
      <c r="M15" s="14">
        <f>IF(M6=0,"",IFERROR(M10/M11*1000,0))</f>
        <v/>
      </c>
      <c r="N15" s="14">
        <f>IF(N6=0,"",IFERROR(N10/N11*1000,0))</f>
        <v/>
      </c>
      <c r="O15" s="14">
        <f>IF(O6=0,"",IFERROR(O10/O11*1000,0))</f>
        <v/>
      </c>
      <c r="P15" s="14">
        <f>IF(P6=0,"",IFERROR(P10/P11*1000,0))</f>
        <v/>
      </c>
      <c r="Q15" s="14">
        <f>IF(Q6=0,"",IFERROR(Q10/Q11*1000,0))</f>
        <v/>
      </c>
      <c r="R15" s="14">
        <f>IF(R6=0,"",IFERROR(R10/R11*1000,0))</f>
        <v/>
      </c>
      <c r="S15" s="14">
        <f>IF(S6=0,"",IFERROR(S10/S11*1000,0))</f>
        <v/>
      </c>
      <c r="T15" s="14">
        <f>IF(T6=0,"",IFERROR(T10/T11*1000,0))</f>
        <v/>
      </c>
      <c r="U15" s="14">
        <f>IF(U6=0,"",IFERROR(U10/U11*1000,0))</f>
        <v/>
      </c>
      <c r="V15" s="14">
        <f>IF(V6=0,"",IFERROR(V10/V11*1000,0))</f>
        <v/>
      </c>
      <c r="W15" s="14">
        <f>IF(W6=0,"",IFERROR(W10/W11*1000,0))</f>
        <v/>
      </c>
      <c r="X15" s="14">
        <f>IF(X6=0,"",IFERROR(X10/X11*1000,0))</f>
        <v/>
      </c>
      <c r="Y15" s="14">
        <f>IF(Y6=0,"",IFERROR(Y10/Y11*1000,0))</f>
        <v/>
      </c>
      <c r="Z15" s="14">
        <f>IF(Z6=0,"",IFERROR(Z10/Z11*1000,0))</f>
        <v/>
      </c>
      <c r="AA15" s="14">
        <f>IF(AA6=0,"",IFERROR(AA10/AA11*1000,0))</f>
        <v/>
      </c>
      <c r="AB15" s="14">
        <f>IF(AB6=0,"",IFERROR(AB10/AB11*1000,0))</f>
        <v/>
      </c>
      <c r="AC15" s="14">
        <f>IFERROR(AVERAGE(C15:AB15),"")</f>
        <v/>
      </c>
      <c r="AD15" s="14">
        <f>IFERROR(MEDIAN(C15:AB15),"")</f>
        <v/>
      </c>
      <c r="AE15" s="14">
        <f>IFERROR(MIN(C15:AB15),"")</f>
        <v/>
      </c>
      <c r="AF15" s="14">
        <f>IFERROR(MAX(C15:AB15),"")</f>
        <v/>
      </c>
    </row>
    <row r="16">
      <c r="A16" t="inlineStr">
        <is>
          <t>Anuncios</t>
        </is>
      </c>
      <c r="B16" s="24" t="inlineStr">
        <is>
          <t>Frecuencia</t>
        </is>
      </c>
      <c r="C16" s="15">
        <f>IF(C6=0,"",IFERROR(C11/C12,0))</f>
        <v/>
      </c>
      <c r="D16" s="15">
        <f>IF(D6=0,"",IFERROR(D11/D12,0))</f>
        <v/>
      </c>
      <c r="E16" s="15">
        <f>IF(E6=0,"",IFERROR(E11/E12,0))</f>
        <v/>
      </c>
      <c r="F16" s="15">
        <f>IF(F6=0,"",IFERROR(F11/F12,0))</f>
        <v/>
      </c>
      <c r="G16" s="15">
        <f>IF(G6=0,"",IFERROR(G11/G12,0))</f>
        <v/>
      </c>
      <c r="H16" s="15">
        <f>IF(H6=0,"",IFERROR(H11/H12,0))</f>
        <v/>
      </c>
      <c r="I16" s="15">
        <f>IF(I6=0,"",IFERROR(I11/I12,0))</f>
        <v/>
      </c>
      <c r="J16" s="15">
        <f>IF(J6=0,"",IFERROR(J11/J12,0))</f>
        <v/>
      </c>
      <c r="K16" s="15">
        <f>IF(K6=0,"",IFERROR(K11/K12,0))</f>
        <v/>
      </c>
      <c r="L16" s="15">
        <f>IF(L6=0,"",IFERROR(L11/L12,0))</f>
        <v/>
      </c>
      <c r="M16" s="15">
        <f>IF(M6=0,"",IFERROR(M11/M12,0))</f>
        <v/>
      </c>
      <c r="N16" s="15">
        <f>IF(N6=0,"",IFERROR(N11/N12,0))</f>
        <v/>
      </c>
      <c r="O16" s="15">
        <f>IF(O6=0,"",IFERROR(O11/O12,0))</f>
        <v/>
      </c>
      <c r="P16" s="15">
        <f>IF(P6=0,"",IFERROR(P11/P12,0))</f>
        <v/>
      </c>
      <c r="Q16" s="15">
        <f>IF(Q6=0,"",IFERROR(Q11/Q12,0))</f>
        <v/>
      </c>
      <c r="R16" s="15">
        <f>IF(R6=0,"",IFERROR(R11/R12,0))</f>
        <v/>
      </c>
      <c r="S16" s="15">
        <f>IF(S6=0,"",IFERROR(S11/S12,0))</f>
        <v/>
      </c>
      <c r="T16" s="15">
        <f>IF(T6=0,"",IFERROR(T11/T12,0))</f>
        <v/>
      </c>
      <c r="U16" s="15">
        <f>IF(U6=0,"",IFERROR(U11/U12,0))</f>
        <v/>
      </c>
      <c r="V16" s="15">
        <f>IF(V6=0,"",IFERROR(V11/V12,0))</f>
        <v/>
      </c>
      <c r="W16" s="15">
        <f>IF(W6=0,"",IFERROR(W11/W12,0))</f>
        <v/>
      </c>
      <c r="X16" s="15">
        <f>IF(X6=0,"",IFERROR(X11/X12,0))</f>
        <v/>
      </c>
      <c r="Y16" s="15">
        <f>IF(Y6=0,"",IFERROR(Y11/Y12,0))</f>
        <v/>
      </c>
      <c r="Z16" s="15">
        <f>IF(Z6=0,"",IFERROR(Z11/Z12,0))</f>
        <v/>
      </c>
      <c r="AA16" s="15">
        <f>IF(AA6=0,"",IFERROR(AA11/AA12,0))</f>
        <v/>
      </c>
      <c r="AB16" s="15">
        <f>IF(AB6=0,"",IFERROR(AB11/AB12,0))</f>
        <v/>
      </c>
      <c r="AC16" s="15">
        <f>IFERROR(AVERAGE(C16:AB16),"")</f>
        <v/>
      </c>
      <c r="AD16" s="15">
        <f>IFERROR(MEDIAN(C16:AB16),"")</f>
        <v/>
      </c>
      <c r="AE16" s="15">
        <f>IFERROR(MIN(C16:AB16),"")</f>
        <v/>
      </c>
      <c r="AF16" s="15">
        <f>IFERROR(MAX(C16:AB16),"")</f>
        <v/>
      </c>
    </row>
    <row r="17">
      <c r="A17" t="inlineStr">
        <is>
          <t>Anuncios</t>
        </is>
      </c>
      <c r="B17" s="24" t="inlineStr">
        <is>
          <t>CTR al enlace</t>
        </is>
      </c>
      <c r="C17" s="16">
        <f>IF(C6=0,"",IFERROR(C13/C11,0))</f>
        <v/>
      </c>
      <c r="D17" s="16">
        <f>IF(D6=0,"",IFERROR(D13/D11,0))</f>
        <v/>
      </c>
      <c r="E17" s="16">
        <f>IF(E6=0,"",IFERROR(E13/E11,0))</f>
        <v/>
      </c>
      <c r="F17" s="16">
        <f>IF(F6=0,"",IFERROR(F13/F11,0))</f>
        <v/>
      </c>
      <c r="G17" s="16">
        <f>IF(G6=0,"",IFERROR(G13/G11,0))</f>
        <v/>
      </c>
      <c r="H17" s="16">
        <f>IF(H6=0,"",IFERROR(H13/H11,0))</f>
        <v/>
      </c>
      <c r="I17" s="16">
        <f>IF(I6=0,"",IFERROR(I13/I11,0))</f>
        <v/>
      </c>
      <c r="J17" s="16">
        <f>IF(J6=0,"",IFERROR(J13/J11,0))</f>
        <v/>
      </c>
      <c r="K17" s="16">
        <f>IF(K6=0,"",IFERROR(K13/K11,0))</f>
        <v/>
      </c>
      <c r="L17" s="16">
        <f>IF(L6=0,"",IFERROR(L13/L11,0))</f>
        <v/>
      </c>
      <c r="M17" s="16">
        <f>IF(M6=0,"",IFERROR(M13/M11,0))</f>
        <v/>
      </c>
      <c r="N17" s="16">
        <f>IF(N6=0,"",IFERROR(N13/N11,0))</f>
        <v/>
      </c>
      <c r="O17" s="16">
        <f>IF(O6=0,"",IFERROR(O13/O11,0))</f>
        <v/>
      </c>
      <c r="P17" s="16">
        <f>IF(P6=0,"",IFERROR(P13/P11,0))</f>
        <v/>
      </c>
      <c r="Q17" s="16">
        <f>IF(Q6=0,"",IFERROR(Q13/Q11,0))</f>
        <v/>
      </c>
      <c r="R17" s="16">
        <f>IF(R6=0,"",IFERROR(R13/R11,0))</f>
        <v/>
      </c>
      <c r="S17" s="16">
        <f>IF(S6=0,"",IFERROR(S13/S11,0))</f>
        <v/>
      </c>
      <c r="T17" s="16">
        <f>IF(T6=0,"",IFERROR(T13/T11,0))</f>
        <v/>
      </c>
      <c r="U17" s="16">
        <f>IF(U6=0,"",IFERROR(U13/U11,0))</f>
        <v/>
      </c>
      <c r="V17" s="16">
        <f>IF(V6=0,"",IFERROR(V13/V11,0))</f>
        <v/>
      </c>
      <c r="W17" s="16">
        <f>IF(W6=0,"",IFERROR(W13/W11,0))</f>
        <v/>
      </c>
      <c r="X17" s="16">
        <f>IF(X6=0,"",IFERROR(X13/X11,0))</f>
        <v/>
      </c>
      <c r="Y17" s="16">
        <f>IF(Y6=0,"",IFERROR(Y13/Y11,0))</f>
        <v/>
      </c>
      <c r="Z17" s="16">
        <f>IF(Z6=0,"",IFERROR(Z13/Z11,0))</f>
        <v/>
      </c>
      <c r="AA17" s="16">
        <f>IF(AA6=0,"",IFERROR(AA13/AA11,0))</f>
        <v/>
      </c>
      <c r="AB17" s="16">
        <f>IF(AB6=0,"",IFERROR(AB13/AB11,0))</f>
        <v/>
      </c>
      <c r="AC17" s="16">
        <f>IFERROR(AVERAGE(C17:AB17),"")</f>
        <v/>
      </c>
      <c r="AD17" s="16">
        <f>IFERROR(MEDIAN(C17:AB17),"")</f>
        <v/>
      </c>
      <c r="AE17" s="16">
        <f>IFERROR(MAX(C17:AB17),"")</f>
        <v/>
      </c>
      <c r="AF17" s="16">
        <f>IFERROR(MIN(C17:AB17),"")</f>
        <v/>
      </c>
    </row>
    <row r="18">
      <c r="A18" t="inlineStr">
        <is>
          <t>Anuncios</t>
        </is>
      </c>
      <c r="B18" s="4" t="inlineStr">
        <is>
          <t>CPC (por clic en el enlace)</t>
        </is>
      </c>
      <c r="C18" s="14">
        <f>IF(C6=0,"",IFERROR(C10/C13,0))</f>
        <v/>
      </c>
      <c r="D18" s="14">
        <f>IF(D6=0,"",IFERROR(D10/D13,0))</f>
        <v/>
      </c>
      <c r="E18" s="14">
        <f>IF(E6=0,"",IFERROR(E10/E13,0))</f>
        <v/>
      </c>
      <c r="F18" s="14">
        <f>IF(F6=0,"",IFERROR(F10/F13,0))</f>
        <v/>
      </c>
      <c r="G18" s="14">
        <f>IF(G6=0,"",IFERROR(G10/G13,0))</f>
        <v/>
      </c>
      <c r="H18" s="14">
        <f>IF(H6=0,"",IFERROR(H10/H13,0))</f>
        <v/>
      </c>
      <c r="I18" s="14">
        <f>IF(I6=0,"",IFERROR(I10/I13,0))</f>
        <v/>
      </c>
      <c r="J18" s="14">
        <f>IF(J6=0,"",IFERROR(J10/J13,0))</f>
        <v/>
      </c>
      <c r="K18" s="14">
        <f>IF(K6=0,"",IFERROR(K10/K13,0))</f>
        <v/>
      </c>
      <c r="L18" s="14">
        <f>IF(L6=0,"",IFERROR(L10/L13,0))</f>
        <v/>
      </c>
      <c r="M18" s="14">
        <f>IF(M6=0,"",IFERROR(M10/M13,0))</f>
        <v/>
      </c>
      <c r="N18" s="14">
        <f>IF(N6=0,"",IFERROR(N10/N13,0))</f>
        <v/>
      </c>
      <c r="O18" s="14">
        <f>IF(O6=0,"",IFERROR(O10/O13,0))</f>
        <v/>
      </c>
      <c r="P18" s="14">
        <f>IF(P6=0,"",IFERROR(P10/P13,0))</f>
        <v/>
      </c>
      <c r="Q18" s="14">
        <f>IF(Q6=0,"",IFERROR(Q10/Q13,0))</f>
        <v/>
      </c>
      <c r="R18" s="14">
        <f>IF(R6=0,"",IFERROR(R10/R13,0))</f>
        <v/>
      </c>
      <c r="S18" s="14">
        <f>IF(S6=0,"",IFERROR(S10/S13,0))</f>
        <v/>
      </c>
      <c r="T18" s="14">
        <f>IF(T6=0,"",IFERROR(T10/T13,0))</f>
        <v/>
      </c>
      <c r="U18" s="14">
        <f>IF(U6=0,"",IFERROR(U10/U13,0))</f>
        <v/>
      </c>
      <c r="V18" s="14">
        <f>IF(V6=0,"",IFERROR(V10/V13,0))</f>
        <v/>
      </c>
      <c r="W18" s="14">
        <f>IF(W6=0,"",IFERROR(W10/W13,0))</f>
        <v/>
      </c>
      <c r="X18" s="14">
        <f>IF(X6=0,"",IFERROR(X10/X13,0))</f>
        <v/>
      </c>
      <c r="Y18" s="14">
        <f>IF(Y6=0,"",IFERROR(Y10/Y13,0))</f>
        <v/>
      </c>
      <c r="Z18" s="14">
        <f>IF(Z6=0,"",IFERROR(Z10/Z13,0))</f>
        <v/>
      </c>
      <c r="AA18" s="14">
        <f>IF(AA6=0,"",IFERROR(AA10/AA13,0))</f>
        <v/>
      </c>
      <c r="AB18" s="14">
        <f>IF(AB6=0,"",IFERROR(AB10/AB13,0))</f>
        <v/>
      </c>
      <c r="AC18" s="14">
        <f>IFERROR(AVERAGE(C18:AB18),"")</f>
        <v/>
      </c>
      <c r="AD18" s="14">
        <f>IFERROR(MEDIAN(C18:AB18),"")</f>
        <v/>
      </c>
      <c r="AE18" s="14">
        <f>IFERROR(MIN(C18:AB18),"")</f>
        <v/>
      </c>
      <c r="AF18" s="14">
        <f>IFERROR(MAX(C18:AB18),"")</f>
        <v/>
      </c>
    </row>
    <row r="19">
      <c r="A19" t="inlineStr">
        <is>
          <t>Anuncios</t>
        </is>
      </c>
      <c r="B19" s="4" t="inlineStr">
        <is>
          <t>% clic → visita</t>
        </is>
      </c>
      <c r="C19" s="17">
        <f>IF(C6=0,"",IFERROR(C14/C13,0))</f>
        <v/>
      </c>
      <c r="D19" s="17">
        <f>IF(D6=0,"",IFERROR(D14/D13,0))</f>
        <v/>
      </c>
      <c r="E19" s="17">
        <f>IF(E6=0,"",IFERROR(E14/E13,0))</f>
        <v/>
      </c>
      <c r="F19" s="17">
        <f>IF(F6=0,"",IFERROR(F14/F13,0))</f>
        <v/>
      </c>
      <c r="G19" s="17">
        <f>IF(G6=0,"",IFERROR(G14/G13,0))</f>
        <v/>
      </c>
      <c r="H19" s="17">
        <f>IF(H6=0,"",IFERROR(H14/H13,0))</f>
        <v/>
      </c>
      <c r="I19" s="17">
        <f>IF(I6=0,"",IFERROR(I14/I13,0))</f>
        <v/>
      </c>
      <c r="J19" s="17">
        <f>IF(J6=0,"",IFERROR(J14/J13,0))</f>
        <v/>
      </c>
      <c r="K19" s="17">
        <f>IF(K6=0,"",IFERROR(K14/K13,0))</f>
        <v/>
      </c>
      <c r="L19" s="17">
        <f>IF(L6=0,"",IFERROR(L14/L13,0))</f>
        <v/>
      </c>
      <c r="M19" s="17">
        <f>IF(M6=0,"",IFERROR(M14/M13,0))</f>
        <v/>
      </c>
      <c r="N19" s="17">
        <f>IF(N6=0,"",IFERROR(N14/N13,0))</f>
        <v/>
      </c>
      <c r="O19" s="17">
        <f>IF(O6=0,"",IFERROR(O14/O13,0))</f>
        <v/>
      </c>
      <c r="P19" s="17">
        <f>IF(P6=0,"",IFERROR(P14/P13,0))</f>
        <v/>
      </c>
      <c r="Q19" s="17">
        <f>IF(Q6=0,"",IFERROR(Q14/Q13,0))</f>
        <v/>
      </c>
      <c r="R19" s="17">
        <f>IF(R6=0,"",IFERROR(R14/R13,0))</f>
        <v/>
      </c>
      <c r="S19" s="17">
        <f>IF(S6=0,"",IFERROR(S14/S13,0))</f>
        <v/>
      </c>
      <c r="T19" s="17">
        <f>IF(T6=0,"",IFERROR(T14/T13,0))</f>
        <v/>
      </c>
      <c r="U19" s="17">
        <f>IF(U6=0,"",IFERROR(U14/U13,0))</f>
        <v/>
      </c>
      <c r="V19" s="17">
        <f>IF(V6=0,"",IFERROR(V14/V13,0))</f>
        <v/>
      </c>
      <c r="W19" s="17">
        <f>IF(W6=0,"",IFERROR(W14/W13,0))</f>
        <v/>
      </c>
      <c r="X19" s="17">
        <f>IF(X6=0,"",IFERROR(X14/X13,0))</f>
        <v/>
      </c>
      <c r="Y19" s="17">
        <f>IF(Y6=0,"",IFERROR(Y14/Y13,0))</f>
        <v/>
      </c>
      <c r="Z19" s="17">
        <f>IF(Z6=0,"",IFERROR(Z14/Z13,0))</f>
        <v/>
      </c>
      <c r="AA19" s="17">
        <f>IF(AA6=0,"",IFERROR(AA14/AA13,0))</f>
        <v/>
      </c>
      <c r="AB19" s="17">
        <f>IF(AB6=0,"",IFERROR(AB14/AB13,0))</f>
        <v/>
      </c>
      <c r="AC19" s="17">
        <f>IFERROR(AVERAGE(C19:AB19),"")</f>
        <v/>
      </c>
      <c r="AD19" s="17">
        <f>IFERROR(MEDIAN(C19:AB19),"")</f>
        <v/>
      </c>
      <c r="AE19" s="17">
        <f>IFERROR(MAX(C19:AB19),"")</f>
        <v/>
      </c>
      <c r="AF19" s="17">
        <f>IFERROR(MIN(C19:AB19),"")</f>
        <v/>
      </c>
    </row>
    <row r="20">
      <c r="A20" t="inlineStr">
        <is>
          <t>Anuncios</t>
        </is>
      </c>
      <c r="B20" s="24" t="inlineStr">
        <is>
          <t>Costo por visita</t>
        </is>
      </c>
      <c r="C20" s="14">
        <f>IF(C6=0,"",IFERROR(C10/C14,0))</f>
        <v/>
      </c>
      <c r="D20" s="14">
        <f>IF(D6=0,"",IFERROR(D10/D14,0))</f>
        <v/>
      </c>
      <c r="E20" s="14">
        <f>IF(E6=0,"",IFERROR(E10/E14,0))</f>
        <v/>
      </c>
      <c r="F20" s="14">
        <f>IF(F6=0,"",IFERROR(F10/F14,0))</f>
        <v/>
      </c>
      <c r="G20" s="14">
        <f>IF(G6=0,"",IFERROR(G10/G14,0))</f>
        <v/>
      </c>
      <c r="H20" s="14">
        <f>IF(H6=0,"",IFERROR(H10/H14,0))</f>
        <v/>
      </c>
      <c r="I20" s="14">
        <f>IF(I6=0,"",IFERROR(I10/I14,0))</f>
        <v/>
      </c>
      <c r="J20" s="14">
        <f>IF(J6=0,"",IFERROR(J10/J14,0))</f>
        <v/>
      </c>
      <c r="K20" s="14">
        <f>IF(K6=0,"",IFERROR(K10/K14,0))</f>
        <v/>
      </c>
      <c r="L20" s="14">
        <f>IF(L6=0,"",IFERROR(L10/L14,0))</f>
        <v/>
      </c>
      <c r="M20" s="14">
        <f>IF(M6=0,"",IFERROR(M10/M14,0))</f>
        <v/>
      </c>
      <c r="N20" s="14">
        <f>IF(N6=0,"",IFERROR(N10/N14,0))</f>
        <v/>
      </c>
      <c r="O20" s="14">
        <f>IF(O6=0,"",IFERROR(O10/O14,0))</f>
        <v/>
      </c>
      <c r="P20" s="14">
        <f>IF(P6=0,"",IFERROR(P10/P14,0))</f>
        <v/>
      </c>
      <c r="Q20" s="14">
        <f>IF(Q6=0,"",IFERROR(Q10/Q14,0))</f>
        <v/>
      </c>
      <c r="R20" s="14">
        <f>IF(R6=0,"",IFERROR(R10/R14,0))</f>
        <v/>
      </c>
      <c r="S20" s="14">
        <f>IF(S6=0,"",IFERROR(S10/S14,0))</f>
        <v/>
      </c>
      <c r="T20" s="14">
        <f>IF(T6=0,"",IFERROR(T10/T14,0))</f>
        <v/>
      </c>
      <c r="U20" s="14">
        <f>IF(U6=0,"",IFERROR(U10/U14,0))</f>
        <v/>
      </c>
      <c r="V20" s="14">
        <f>IF(V6=0,"",IFERROR(V10/V14,0))</f>
        <v/>
      </c>
      <c r="W20" s="14">
        <f>IF(W6=0,"",IFERROR(W10/W14,0))</f>
        <v/>
      </c>
      <c r="X20" s="14">
        <f>IF(X6=0,"",IFERROR(X10/X14,0))</f>
        <v/>
      </c>
      <c r="Y20" s="14">
        <f>IF(Y6=0,"",IFERROR(Y10/Y14,0))</f>
        <v/>
      </c>
      <c r="Z20" s="14">
        <f>IF(Z6=0,"",IFERROR(Z10/Z14,0))</f>
        <v/>
      </c>
      <c r="AA20" s="14">
        <f>IF(AA6=0,"",IFERROR(AA10/AA14,0))</f>
        <v/>
      </c>
      <c r="AB20" s="14">
        <f>IF(AB6=0,"",IFERROR(AB10/AB14,0))</f>
        <v/>
      </c>
      <c r="AC20" s="14">
        <f>IFERROR(AVERAGE(C20:AB20),"")</f>
        <v/>
      </c>
      <c r="AD20" s="14">
        <f>IFERROR(MEDIAN(C20:AB20),"")</f>
        <v/>
      </c>
      <c r="AE20" s="14">
        <f>IFERROR(MIN(C20:AB20),"")</f>
        <v/>
      </c>
      <c r="AF20" s="14">
        <f>IFERROR(MAX(C20:AB20),"")</f>
        <v/>
      </c>
    </row>
    <row r="21">
      <c r="A21" t="inlineStr">
        <is>
          <t>Anuncios</t>
        </is>
      </c>
      <c r="B21" s="4" t="inlineStr">
        <is>
          <t>Visitas por cada 1.000 impresiones</t>
        </is>
      </c>
      <c r="C21" s="18">
        <f>IF(C6=0,"",IFERROR(C14/C11*1000,0))</f>
        <v/>
      </c>
      <c r="D21" s="18">
        <f>IF(D6=0,"",IFERROR(D14/D11*1000,0))</f>
        <v/>
      </c>
      <c r="E21" s="18">
        <f>IF(E6=0,"",IFERROR(E14/E11*1000,0))</f>
        <v/>
      </c>
      <c r="F21" s="18">
        <f>IF(F6=0,"",IFERROR(F14/F11*1000,0))</f>
        <v/>
      </c>
      <c r="G21" s="18">
        <f>IF(G6=0,"",IFERROR(G14/G11*1000,0))</f>
        <v/>
      </c>
      <c r="H21" s="18">
        <f>IF(H6=0,"",IFERROR(H14/H11*1000,0))</f>
        <v/>
      </c>
      <c r="I21" s="18">
        <f>IF(I6=0,"",IFERROR(I14/I11*1000,0))</f>
        <v/>
      </c>
      <c r="J21" s="18">
        <f>IF(J6=0,"",IFERROR(J14/J11*1000,0))</f>
        <v/>
      </c>
      <c r="K21" s="18">
        <f>IF(K6=0,"",IFERROR(K14/K11*1000,0))</f>
        <v/>
      </c>
      <c r="L21" s="18">
        <f>IF(L6=0,"",IFERROR(L14/L11*1000,0))</f>
        <v/>
      </c>
      <c r="M21" s="18">
        <f>IF(M6=0,"",IFERROR(M14/M11*1000,0))</f>
        <v/>
      </c>
      <c r="N21" s="18">
        <f>IF(N6=0,"",IFERROR(N14/N11*1000,0))</f>
        <v/>
      </c>
      <c r="O21" s="18">
        <f>IF(O6=0,"",IFERROR(O14/O11*1000,0))</f>
        <v/>
      </c>
      <c r="P21" s="18">
        <f>IF(P6=0,"",IFERROR(P14/P11*1000,0))</f>
        <v/>
      </c>
      <c r="Q21" s="18">
        <f>IF(Q6=0,"",IFERROR(Q14/Q11*1000,0))</f>
        <v/>
      </c>
      <c r="R21" s="18">
        <f>IF(R6=0,"",IFERROR(R14/R11*1000,0))</f>
        <v/>
      </c>
      <c r="S21" s="18">
        <f>IF(S6=0,"",IFERROR(S14/S11*1000,0))</f>
        <v/>
      </c>
      <c r="T21" s="18">
        <f>IF(T6=0,"",IFERROR(T14/T11*1000,0))</f>
        <v/>
      </c>
      <c r="U21" s="18">
        <f>IF(U6=0,"",IFERROR(U14/U11*1000,0))</f>
        <v/>
      </c>
      <c r="V21" s="18">
        <f>IF(V6=0,"",IFERROR(V14/V11*1000,0))</f>
        <v/>
      </c>
      <c r="W21" s="18">
        <f>IF(W6=0,"",IFERROR(W14/W11*1000,0))</f>
        <v/>
      </c>
      <c r="X21" s="18">
        <f>IF(X6=0,"",IFERROR(X14/X11*1000,0))</f>
        <v/>
      </c>
      <c r="Y21" s="18">
        <f>IF(Y6=0,"",IFERROR(Y14/Y11*1000,0))</f>
        <v/>
      </c>
      <c r="Z21" s="18">
        <f>IF(Z6=0,"",IFERROR(Z14/Z11*1000,0))</f>
        <v/>
      </c>
      <c r="AA21" s="18">
        <f>IF(AA6=0,"",IFERROR(AA14/AA11*1000,0))</f>
        <v/>
      </c>
      <c r="AB21" s="18">
        <f>IF(AB6=0,"",IFERROR(AB14/AB11*1000,0))</f>
        <v/>
      </c>
      <c r="AC21" s="18">
        <f>IFERROR(AVERAGE(C21:AB21),"")</f>
        <v/>
      </c>
      <c r="AD21" s="18">
        <f>IFERROR(MEDIAN(C21:AB21),"")</f>
        <v/>
      </c>
      <c r="AE21" s="18">
        <f>IFERROR(MAX(C21:AB21),"")</f>
        <v/>
      </c>
      <c r="AF21" s="18">
        <f>IFERROR(MIN(C21:AB21),"")</f>
        <v/>
      </c>
    </row>
    <row r="23">
      <c r="A23" s="22" t="inlineStr">
        <is>
          <t>2. Landing y registros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</row>
    <row r="24">
      <c r="A24" t="inlineStr">
        <is>
          <t>Landing y registros</t>
        </is>
      </c>
      <c r="B24" s="4" t="inlineStr">
        <is>
          <t>Registros (leads)</t>
        </is>
      </c>
      <c r="C24" s="12">
        <f>IF(C6=0,"",SUMIFS(Diario!$H$6:$H$371,Diario!$B$6:$B$371,C$5))</f>
        <v/>
      </c>
      <c r="D24" s="12">
        <f>IF(D6=0,"",SUMIFS(Diario!$H$6:$H$371,Diario!$B$6:$B$371,D$5))</f>
        <v/>
      </c>
      <c r="E24" s="12">
        <f>IF(E6=0,"",SUMIFS(Diario!$H$6:$H$371,Diario!$B$6:$B$371,E$5))</f>
        <v/>
      </c>
      <c r="F24" s="12">
        <f>IF(F6=0,"",SUMIFS(Diario!$H$6:$H$371,Diario!$B$6:$B$371,F$5))</f>
        <v/>
      </c>
      <c r="G24" s="12">
        <f>IF(G6=0,"",SUMIFS(Diario!$H$6:$H$371,Diario!$B$6:$B$371,G$5))</f>
        <v/>
      </c>
      <c r="H24" s="12">
        <f>IF(H6=0,"",SUMIFS(Diario!$H$6:$H$371,Diario!$B$6:$B$371,H$5))</f>
        <v/>
      </c>
      <c r="I24" s="12">
        <f>IF(I6=0,"",SUMIFS(Diario!$H$6:$H$371,Diario!$B$6:$B$371,I$5))</f>
        <v/>
      </c>
      <c r="J24" s="12">
        <f>IF(J6=0,"",SUMIFS(Diario!$H$6:$H$371,Diario!$B$6:$B$371,J$5))</f>
        <v/>
      </c>
      <c r="K24" s="12">
        <f>IF(K6=0,"",SUMIFS(Diario!$H$6:$H$371,Diario!$B$6:$B$371,K$5))</f>
        <v/>
      </c>
      <c r="L24" s="12">
        <f>IF(L6=0,"",SUMIFS(Diario!$H$6:$H$371,Diario!$B$6:$B$371,L$5))</f>
        <v/>
      </c>
      <c r="M24" s="12">
        <f>IF(M6=0,"",SUMIFS(Diario!$H$6:$H$371,Diario!$B$6:$B$371,M$5))</f>
        <v/>
      </c>
      <c r="N24" s="12">
        <f>IF(N6=0,"",SUMIFS(Diario!$H$6:$H$371,Diario!$B$6:$B$371,N$5))</f>
        <v/>
      </c>
      <c r="O24" s="12">
        <f>IF(O6=0,"",SUMIFS(Diario!$H$6:$H$371,Diario!$B$6:$B$371,O$5))</f>
        <v/>
      </c>
      <c r="P24" s="12">
        <f>IF(P6=0,"",SUMIFS(Diario!$H$6:$H$371,Diario!$B$6:$B$371,P$5))</f>
        <v/>
      </c>
      <c r="Q24" s="12">
        <f>IF(Q6=0,"",SUMIFS(Diario!$H$6:$H$371,Diario!$B$6:$B$371,Q$5))</f>
        <v/>
      </c>
      <c r="R24" s="12">
        <f>IF(R6=0,"",SUMIFS(Diario!$H$6:$H$371,Diario!$B$6:$B$371,R$5))</f>
        <v/>
      </c>
      <c r="S24" s="12">
        <f>IF(S6=0,"",SUMIFS(Diario!$H$6:$H$371,Diario!$B$6:$B$371,S$5))</f>
        <v/>
      </c>
      <c r="T24" s="12">
        <f>IF(T6=0,"",SUMIFS(Diario!$H$6:$H$371,Diario!$B$6:$B$371,T$5))</f>
        <v/>
      </c>
      <c r="U24" s="12">
        <f>IF(U6=0,"",SUMIFS(Diario!$H$6:$H$371,Diario!$B$6:$B$371,U$5))</f>
        <v/>
      </c>
      <c r="V24" s="12">
        <f>IF(V6=0,"",SUMIFS(Diario!$H$6:$H$371,Diario!$B$6:$B$371,V$5))</f>
        <v/>
      </c>
      <c r="W24" s="12">
        <f>IF(W6=0,"",SUMIFS(Diario!$H$6:$H$371,Diario!$B$6:$B$371,W$5))</f>
        <v/>
      </c>
      <c r="X24" s="12">
        <f>IF(X6=0,"",SUMIFS(Diario!$H$6:$H$371,Diario!$B$6:$B$371,X$5))</f>
        <v/>
      </c>
      <c r="Y24" s="12">
        <f>IF(Y6=0,"",SUMIFS(Diario!$H$6:$H$371,Diario!$B$6:$B$371,Y$5))</f>
        <v/>
      </c>
      <c r="Z24" s="12">
        <f>IF(Z6=0,"",SUMIFS(Diario!$H$6:$H$371,Diario!$B$6:$B$371,Z$5))</f>
        <v/>
      </c>
      <c r="AA24" s="12">
        <f>IF(AA6=0,"",SUMIFS(Diario!$H$6:$H$371,Diario!$B$6:$B$371,AA$5))</f>
        <v/>
      </c>
      <c r="AB24" s="12">
        <f>IF(AB6=0,"",SUMIFS(Diario!$H$6:$H$371,Diario!$B$6:$B$371,AB$5))</f>
        <v/>
      </c>
      <c r="AC24" s="12">
        <f>IFERROR(AVERAGE(C24:AB24),"")</f>
        <v/>
      </c>
      <c r="AD24" s="12">
        <f>IFERROR(MEDIAN(C24:AB24),"")</f>
        <v/>
      </c>
      <c r="AE24" s="12">
        <f>IFERROR(MAX(C24:AB24),"")</f>
        <v/>
      </c>
      <c r="AF24" s="12">
        <f>IFERROR(MIN(C24:AB24),"")</f>
        <v/>
      </c>
    </row>
    <row r="25">
      <c r="A25" t="inlineStr">
        <is>
          <t>Landing y registros</t>
        </is>
      </c>
      <c r="B25" s="4" t="inlineStr">
        <is>
          <t>Registros calificados</t>
        </is>
      </c>
      <c r="C25" s="12">
        <f>IF(C6=0,"",SUMIFS(Diario!$I$6:$I$371,Diario!$B$6:$B$371,C$5))</f>
        <v/>
      </c>
      <c r="D25" s="12">
        <f>IF(D6=0,"",SUMIFS(Diario!$I$6:$I$371,Diario!$B$6:$B$371,D$5))</f>
        <v/>
      </c>
      <c r="E25" s="12">
        <f>IF(E6=0,"",SUMIFS(Diario!$I$6:$I$371,Diario!$B$6:$B$371,E$5))</f>
        <v/>
      </c>
      <c r="F25" s="12">
        <f>IF(F6=0,"",SUMIFS(Diario!$I$6:$I$371,Diario!$B$6:$B$371,F$5))</f>
        <v/>
      </c>
      <c r="G25" s="12">
        <f>IF(G6=0,"",SUMIFS(Diario!$I$6:$I$371,Diario!$B$6:$B$371,G$5))</f>
        <v/>
      </c>
      <c r="H25" s="12">
        <f>IF(H6=0,"",SUMIFS(Diario!$I$6:$I$371,Diario!$B$6:$B$371,H$5))</f>
        <v/>
      </c>
      <c r="I25" s="12">
        <f>IF(I6=0,"",SUMIFS(Diario!$I$6:$I$371,Diario!$B$6:$B$371,I$5))</f>
        <v/>
      </c>
      <c r="J25" s="12">
        <f>IF(J6=0,"",SUMIFS(Diario!$I$6:$I$371,Diario!$B$6:$B$371,J$5))</f>
        <v/>
      </c>
      <c r="K25" s="12">
        <f>IF(K6=0,"",SUMIFS(Diario!$I$6:$I$371,Diario!$B$6:$B$371,K$5))</f>
        <v/>
      </c>
      <c r="L25" s="12">
        <f>IF(L6=0,"",SUMIFS(Diario!$I$6:$I$371,Diario!$B$6:$B$371,L$5))</f>
        <v/>
      </c>
      <c r="M25" s="12">
        <f>IF(M6=0,"",SUMIFS(Diario!$I$6:$I$371,Diario!$B$6:$B$371,M$5))</f>
        <v/>
      </c>
      <c r="N25" s="12">
        <f>IF(N6=0,"",SUMIFS(Diario!$I$6:$I$371,Diario!$B$6:$B$371,N$5))</f>
        <v/>
      </c>
      <c r="O25" s="12">
        <f>IF(O6=0,"",SUMIFS(Diario!$I$6:$I$371,Diario!$B$6:$B$371,O$5))</f>
        <v/>
      </c>
      <c r="P25" s="12">
        <f>IF(P6=0,"",SUMIFS(Diario!$I$6:$I$371,Diario!$B$6:$B$371,P$5))</f>
        <v/>
      </c>
      <c r="Q25" s="12">
        <f>IF(Q6=0,"",SUMIFS(Diario!$I$6:$I$371,Diario!$B$6:$B$371,Q$5))</f>
        <v/>
      </c>
      <c r="R25" s="12">
        <f>IF(R6=0,"",SUMIFS(Diario!$I$6:$I$371,Diario!$B$6:$B$371,R$5))</f>
        <v/>
      </c>
      <c r="S25" s="12">
        <f>IF(S6=0,"",SUMIFS(Diario!$I$6:$I$371,Diario!$B$6:$B$371,S$5))</f>
        <v/>
      </c>
      <c r="T25" s="12">
        <f>IF(T6=0,"",SUMIFS(Diario!$I$6:$I$371,Diario!$B$6:$B$371,T$5))</f>
        <v/>
      </c>
      <c r="U25" s="12">
        <f>IF(U6=0,"",SUMIFS(Diario!$I$6:$I$371,Diario!$B$6:$B$371,U$5))</f>
        <v/>
      </c>
      <c r="V25" s="12">
        <f>IF(V6=0,"",SUMIFS(Diario!$I$6:$I$371,Diario!$B$6:$B$371,V$5))</f>
        <v/>
      </c>
      <c r="W25" s="12">
        <f>IF(W6=0,"",SUMIFS(Diario!$I$6:$I$371,Diario!$B$6:$B$371,W$5))</f>
        <v/>
      </c>
      <c r="X25" s="12">
        <f>IF(X6=0,"",SUMIFS(Diario!$I$6:$I$371,Diario!$B$6:$B$371,X$5))</f>
        <v/>
      </c>
      <c r="Y25" s="12">
        <f>IF(Y6=0,"",SUMIFS(Diario!$I$6:$I$371,Diario!$B$6:$B$371,Y$5))</f>
        <v/>
      </c>
      <c r="Z25" s="12">
        <f>IF(Z6=0,"",SUMIFS(Diario!$I$6:$I$371,Diario!$B$6:$B$371,Z$5))</f>
        <v/>
      </c>
      <c r="AA25" s="12">
        <f>IF(AA6=0,"",SUMIFS(Diario!$I$6:$I$371,Diario!$B$6:$B$371,AA$5))</f>
        <v/>
      </c>
      <c r="AB25" s="12">
        <f>IF(AB6=0,"",SUMIFS(Diario!$I$6:$I$371,Diario!$B$6:$B$371,AB$5))</f>
        <v/>
      </c>
      <c r="AC25" s="12">
        <f>IFERROR(AVERAGE(C25:AB25),"")</f>
        <v/>
      </c>
      <c r="AD25" s="12">
        <f>IFERROR(MEDIAN(C25:AB25),"")</f>
        <v/>
      </c>
      <c r="AE25" s="12">
        <f>IFERROR(MAX(C25:AB25),"")</f>
        <v/>
      </c>
      <c r="AF25" s="12">
        <f>IFERROR(MIN(C25:AB25),"")</f>
        <v/>
      </c>
    </row>
    <row r="26">
      <c r="A26" t="inlineStr">
        <is>
          <t>Landing y registros</t>
        </is>
      </c>
      <c r="B26" s="24" t="inlineStr">
        <is>
          <t>% visita → registro (conversión de la landing)</t>
        </is>
      </c>
      <c r="C26" s="17">
        <f>IF(C6=0,"",IFERROR(C24/C14,0))</f>
        <v/>
      </c>
      <c r="D26" s="17">
        <f>IF(D6=0,"",IFERROR(D24/D14,0))</f>
        <v/>
      </c>
      <c r="E26" s="17">
        <f>IF(E6=0,"",IFERROR(E24/E14,0))</f>
        <v/>
      </c>
      <c r="F26" s="17">
        <f>IF(F6=0,"",IFERROR(F24/F14,0))</f>
        <v/>
      </c>
      <c r="G26" s="17">
        <f>IF(G6=0,"",IFERROR(G24/G14,0))</f>
        <v/>
      </c>
      <c r="H26" s="17">
        <f>IF(H6=0,"",IFERROR(H24/H14,0))</f>
        <v/>
      </c>
      <c r="I26" s="17">
        <f>IF(I6=0,"",IFERROR(I24/I14,0))</f>
        <v/>
      </c>
      <c r="J26" s="17">
        <f>IF(J6=0,"",IFERROR(J24/J14,0))</f>
        <v/>
      </c>
      <c r="K26" s="17">
        <f>IF(K6=0,"",IFERROR(K24/K14,0))</f>
        <v/>
      </c>
      <c r="L26" s="17">
        <f>IF(L6=0,"",IFERROR(L24/L14,0))</f>
        <v/>
      </c>
      <c r="M26" s="17">
        <f>IF(M6=0,"",IFERROR(M24/M14,0))</f>
        <v/>
      </c>
      <c r="N26" s="17">
        <f>IF(N6=0,"",IFERROR(N24/N14,0))</f>
        <v/>
      </c>
      <c r="O26" s="17">
        <f>IF(O6=0,"",IFERROR(O24/O14,0))</f>
        <v/>
      </c>
      <c r="P26" s="17">
        <f>IF(P6=0,"",IFERROR(P24/P14,0))</f>
        <v/>
      </c>
      <c r="Q26" s="17">
        <f>IF(Q6=0,"",IFERROR(Q24/Q14,0))</f>
        <v/>
      </c>
      <c r="R26" s="17">
        <f>IF(R6=0,"",IFERROR(R24/R14,0))</f>
        <v/>
      </c>
      <c r="S26" s="17">
        <f>IF(S6=0,"",IFERROR(S24/S14,0))</f>
        <v/>
      </c>
      <c r="T26" s="17">
        <f>IF(T6=0,"",IFERROR(T24/T14,0))</f>
        <v/>
      </c>
      <c r="U26" s="17">
        <f>IF(U6=0,"",IFERROR(U24/U14,0))</f>
        <v/>
      </c>
      <c r="V26" s="17">
        <f>IF(V6=0,"",IFERROR(V24/V14,0))</f>
        <v/>
      </c>
      <c r="W26" s="17">
        <f>IF(W6=0,"",IFERROR(W24/W14,0))</f>
        <v/>
      </c>
      <c r="X26" s="17">
        <f>IF(X6=0,"",IFERROR(X24/X14,0))</f>
        <v/>
      </c>
      <c r="Y26" s="17">
        <f>IF(Y6=0,"",IFERROR(Y24/Y14,0))</f>
        <v/>
      </c>
      <c r="Z26" s="17">
        <f>IF(Z6=0,"",IFERROR(Z24/Z14,0))</f>
        <v/>
      </c>
      <c r="AA26" s="17">
        <f>IF(AA6=0,"",IFERROR(AA24/AA14,0))</f>
        <v/>
      </c>
      <c r="AB26" s="17">
        <f>IF(AB6=0,"",IFERROR(AB24/AB14,0))</f>
        <v/>
      </c>
      <c r="AC26" s="17">
        <f>IFERROR(AVERAGE(C26:AB26),"")</f>
        <v/>
      </c>
      <c r="AD26" s="17">
        <f>IFERROR(MEDIAN(C26:AB26),"")</f>
        <v/>
      </c>
      <c r="AE26" s="17">
        <f>IFERROR(MAX(C26:AB26),"")</f>
        <v/>
      </c>
      <c r="AF26" s="17">
        <f>IFERROR(MIN(C26:AB26),"")</f>
        <v/>
      </c>
    </row>
    <row r="27">
      <c r="A27" t="inlineStr">
        <is>
          <t>Landing y registros</t>
        </is>
      </c>
      <c r="B27" s="24" t="inlineStr">
        <is>
          <t>CPL (costo por registro)</t>
        </is>
      </c>
      <c r="C27" s="14">
        <f>IF(C6=0,"",IFERROR(C10/C24,0))</f>
        <v/>
      </c>
      <c r="D27" s="14">
        <f>IF(D6=0,"",IFERROR(D10/D24,0))</f>
        <v/>
      </c>
      <c r="E27" s="14">
        <f>IF(E6=0,"",IFERROR(E10/E24,0))</f>
        <v/>
      </c>
      <c r="F27" s="14">
        <f>IF(F6=0,"",IFERROR(F10/F24,0))</f>
        <v/>
      </c>
      <c r="G27" s="14">
        <f>IF(G6=0,"",IFERROR(G10/G24,0))</f>
        <v/>
      </c>
      <c r="H27" s="14">
        <f>IF(H6=0,"",IFERROR(H10/H24,0))</f>
        <v/>
      </c>
      <c r="I27" s="14">
        <f>IF(I6=0,"",IFERROR(I10/I24,0))</f>
        <v/>
      </c>
      <c r="J27" s="14">
        <f>IF(J6=0,"",IFERROR(J10/J24,0))</f>
        <v/>
      </c>
      <c r="K27" s="14">
        <f>IF(K6=0,"",IFERROR(K10/K24,0))</f>
        <v/>
      </c>
      <c r="L27" s="14">
        <f>IF(L6=0,"",IFERROR(L10/L24,0))</f>
        <v/>
      </c>
      <c r="M27" s="14">
        <f>IF(M6=0,"",IFERROR(M10/M24,0))</f>
        <v/>
      </c>
      <c r="N27" s="14">
        <f>IF(N6=0,"",IFERROR(N10/N24,0))</f>
        <v/>
      </c>
      <c r="O27" s="14">
        <f>IF(O6=0,"",IFERROR(O10/O24,0))</f>
        <v/>
      </c>
      <c r="P27" s="14">
        <f>IF(P6=0,"",IFERROR(P10/P24,0))</f>
        <v/>
      </c>
      <c r="Q27" s="14">
        <f>IF(Q6=0,"",IFERROR(Q10/Q24,0))</f>
        <v/>
      </c>
      <c r="R27" s="14">
        <f>IF(R6=0,"",IFERROR(R10/R24,0))</f>
        <v/>
      </c>
      <c r="S27" s="14">
        <f>IF(S6=0,"",IFERROR(S10/S24,0))</f>
        <v/>
      </c>
      <c r="T27" s="14">
        <f>IF(T6=0,"",IFERROR(T10/T24,0))</f>
        <v/>
      </c>
      <c r="U27" s="14">
        <f>IF(U6=0,"",IFERROR(U10/U24,0))</f>
        <v/>
      </c>
      <c r="V27" s="14">
        <f>IF(V6=0,"",IFERROR(V10/V24,0))</f>
        <v/>
      </c>
      <c r="W27" s="14">
        <f>IF(W6=0,"",IFERROR(W10/W24,0))</f>
        <v/>
      </c>
      <c r="X27" s="14">
        <f>IF(X6=0,"",IFERROR(X10/X24,0))</f>
        <v/>
      </c>
      <c r="Y27" s="14">
        <f>IF(Y6=0,"",IFERROR(Y10/Y24,0))</f>
        <v/>
      </c>
      <c r="Z27" s="14">
        <f>IF(Z6=0,"",IFERROR(Z10/Z24,0))</f>
        <v/>
      </c>
      <c r="AA27" s="14">
        <f>IF(AA6=0,"",IFERROR(AA10/AA24,0))</f>
        <v/>
      </c>
      <c r="AB27" s="14">
        <f>IF(AB6=0,"",IFERROR(AB10/AB24,0))</f>
        <v/>
      </c>
      <c r="AC27" s="14">
        <f>IFERROR(AVERAGE(C27:AB27),"")</f>
        <v/>
      </c>
      <c r="AD27" s="14">
        <f>IFERROR(MEDIAN(C27:AB27),"")</f>
        <v/>
      </c>
      <c r="AE27" s="14">
        <f>IFERROR(MIN(C27:AB27),"")</f>
        <v/>
      </c>
      <c r="AF27" s="14">
        <f>IFERROR(MAX(C27:AB27),"")</f>
        <v/>
      </c>
    </row>
    <row r="28">
      <c r="A28" t="inlineStr">
        <is>
          <t>Landing y registros</t>
        </is>
      </c>
      <c r="B28" s="4" t="inlineStr">
        <is>
          <t>CPL calificado</t>
        </is>
      </c>
      <c r="C28" s="14">
        <f>IF(C6=0,"",IFERROR(C10/C25,0))</f>
        <v/>
      </c>
      <c r="D28" s="14">
        <f>IF(D6=0,"",IFERROR(D10/D25,0))</f>
        <v/>
      </c>
      <c r="E28" s="14">
        <f>IF(E6=0,"",IFERROR(E10/E25,0))</f>
        <v/>
      </c>
      <c r="F28" s="14">
        <f>IF(F6=0,"",IFERROR(F10/F25,0))</f>
        <v/>
      </c>
      <c r="G28" s="14">
        <f>IF(G6=0,"",IFERROR(G10/G25,0))</f>
        <v/>
      </c>
      <c r="H28" s="14">
        <f>IF(H6=0,"",IFERROR(H10/H25,0))</f>
        <v/>
      </c>
      <c r="I28" s="14">
        <f>IF(I6=0,"",IFERROR(I10/I25,0))</f>
        <v/>
      </c>
      <c r="J28" s="14">
        <f>IF(J6=0,"",IFERROR(J10/J25,0))</f>
        <v/>
      </c>
      <c r="K28" s="14">
        <f>IF(K6=0,"",IFERROR(K10/K25,0))</f>
        <v/>
      </c>
      <c r="L28" s="14">
        <f>IF(L6=0,"",IFERROR(L10/L25,0))</f>
        <v/>
      </c>
      <c r="M28" s="14">
        <f>IF(M6=0,"",IFERROR(M10/M25,0))</f>
        <v/>
      </c>
      <c r="N28" s="14">
        <f>IF(N6=0,"",IFERROR(N10/N25,0))</f>
        <v/>
      </c>
      <c r="O28" s="14">
        <f>IF(O6=0,"",IFERROR(O10/O25,0))</f>
        <v/>
      </c>
      <c r="P28" s="14">
        <f>IF(P6=0,"",IFERROR(P10/P25,0))</f>
        <v/>
      </c>
      <c r="Q28" s="14">
        <f>IF(Q6=0,"",IFERROR(Q10/Q25,0))</f>
        <v/>
      </c>
      <c r="R28" s="14">
        <f>IF(R6=0,"",IFERROR(R10/R25,0))</f>
        <v/>
      </c>
      <c r="S28" s="14">
        <f>IF(S6=0,"",IFERROR(S10/S25,0))</f>
        <v/>
      </c>
      <c r="T28" s="14">
        <f>IF(T6=0,"",IFERROR(T10/T25,0))</f>
        <v/>
      </c>
      <c r="U28" s="14">
        <f>IF(U6=0,"",IFERROR(U10/U25,0))</f>
        <v/>
      </c>
      <c r="V28" s="14">
        <f>IF(V6=0,"",IFERROR(V10/V25,0))</f>
        <v/>
      </c>
      <c r="W28" s="14">
        <f>IF(W6=0,"",IFERROR(W10/W25,0))</f>
        <v/>
      </c>
      <c r="X28" s="14">
        <f>IF(X6=0,"",IFERROR(X10/X25,0))</f>
        <v/>
      </c>
      <c r="Y28" s="14">
        <f>IF(Y6=0,"",IFERROR(Y10/Y25,0))</f>
        <v/>
      </c>
      <c r="Z28" s="14">
        <f>IF(Z6=0,"",IFERROR(Z10/Z25,0))</f>
        <v/>
      </c>
      <c r="AA28" s="14">
        <f>IF(AA6=0,"",IFERROR(AA10/AA25,0))</f>
        <v/>
      </c>
      <c r="AB28" s="14">
        <f>IF(AB6=0,"",IFERROR(AB10/AB25,0))</f>
        <v/>
      </c>
      <c r="AC28" s="14">
        <f>IFERROR(AVERAGE(C28:AB28),"")</f>
        <v/>
      </c>
      <c r="AD28" s="14">
        <f>IFERROR(MEDIAN(C28:AB28),"")</f>
        <v/>
      </c>
      <c r="AE28" s="14">
        <f>IFERROR(MIN(C28:AB28),"")</f>
        <v/>
      </c>
      <c r="AF28" s="14">
        <f>IFERROR(MAX(C28:AB28),"")</f>
        <v/>
      </c>
    </row>
    <row r="29">
      <c r="A29" t="inlineStr">
        <is>
          <t>Landing y registros</t>
        </is>
      </c>
      <c r="B29" s="24" t="inlineStr">
        <is>
          <t>CPL como % del CPM (el umbral depende del nicho)</t>
        </is>
      </c>
      <c r="C29" s="17">
        <f>IF(C6=0,"",IFERROR(C27/C15,0))</f>
        <v/>
      </c>
      <c r="D29" s="17">
        <f>IF(D6=0,"",IFERROR(D27/D15,0))</f>
        <v/>
      </c>
      <c r="E29" s="17">
        <f>IF(E6=0,"",IFERROR(E27/E15,0))</f>
        <v/>
      </c>
      <c r="F29" s="17">
        <f>IF(F6=0,"",IFERROR(F27/F15,0))</f>
        <v/>
      </c>
      <c r="G29" s="17">
        <f>IF(G6=0,"",IFERROR(G27/G15,0))</f>
        <v/>
      </c>
      <c r="H29" s="17">
        <f>IF(H6=0,"",IFERROR(H27/H15,0))</f>
        <v/>
      </c>
      <c r="I29" s="17">
        <f>IF(I6=0,"",IFERROR(I27/I15,0))</f>
        <v/>
      </c>
      <c r="J29" s="17">
        <f>IF(J6=0,"",IFERROR(J27/J15,0))</f>
        <v/>
      </c>
      <c r="K29" s="17">
        <f>IF(K6=0,"",IFERROR(K27/K15,0))</f>
        <v/>
      </c>
      <c r="L29" s="17">
        <f>IF(L6=0,"",IFERROR(L27/L15,0))</f>
        <v/>
      </c>
      <c r="M29" s="17">
        <f>IF(M6=0,"",IFERROR(M27/M15,0))</f>
        <v/>
      </c>
      <c r="N29" s="17">
        <f>IF(N6=0,"",IFERROR(N27/N15,0))</f>
        <v/>
      </c>
      <c r="O29" s="17">
        <f>IF(O6=0,"",IFERROR(O27/O15,0))</f>
        <v/>
      </c>
      <c r="P29" s="17">
        <f>IF(P6=0,"",IFERROR(P27/P15,0))</f>
        <v/>
      </c>
      <c r="Q29" s="17">
        <f>IF(Q6=0,"",IFERROR(Q27/Q15,0))</f>
        <v/>
      </c>
      <c r="R29" s="17">
        <f>IF(R6=0,"",IFERROR(R27/R15,0))</f>
        <v/>
      </c>
      <c r="S29" s="17">
        <f>IF(S6=0,"",IFERROR(S27/S15,0))</f>
        <v/>
      </c>
      <c r="T29" s="17">
        <f>IF(T6=0,"",IFERROR(T27/T15,0))</f>
        <v/>
      </c>
      <c r="U29" s="17">
        <f>IF(U6=0,"",IFERROR(U27/U15,0))</f>
        <v/>
      </c>
      <c r="V29" s="17">
        <f>IF(V6=0,"",IFERROR(V27/V15,0))</f>
        <v/>
      </c>
      <c r="W29" s="17">
        <f>IF(W6=0,"",IFERROR(W27/W15,0))</f>
        <v/>
      </c>
      <c r="X29" s="17">
        <f>IF(X6=0,"",IFERROR(X27/X15,0))</f>
        <v/>
      </c>
      <c r="Y29" s="17">
        <f>IF(Y6=0,"",IFERROR(Y27/Y15,0))</f>
        <v/>
      </c>
      <c r="Z29" s="17">
        <f>IF(Z6=0,"",IFERROR(Z27/Z15,0))</f>
        <v/>
      </c>
      <c r="AA29" s="17">
        <f>IF(AA6=0,"",IFERROR(AA27/AA15,0))</f>
        <v/>
      </c>
      <c r="AB29" s="17">
        <f>IF(AB6=0,"",IFERROR(AB27/AB15,0))</f>
        <v/>
      </c>
      <c r="AC29" s="17">
        <f>IFERROR(AVERAGE(C29:AB29),"")</f>
        <v/>
      </c>
      <c r="AD29" s="17">
        <f>IFERROR(MEDIAN(C29:AB29),"")</f>
        <v/>
      </c>
      <c r="AE29" s="17">
        <f>IFERROR(MIN(C29:AB29),"")</f>
        <v/>
      </c>
      <c r="AF29" s="17">
        <f>IFERROR(MAX(C29:AB29),"")</f>
        <v/>
      </c>
    </row>
    <row r="30">
      <c r="A30" t="inlineStr">
        <is>
          <t>Landing y registros</t>
        </is>
      </c>
      <c r="B30" s="4" t="inlineStr">
        <is>
          <t>Registros por cada 1.000 impresiones</t>
        </is>
      </c>
      <c r="C30" s="18">
        <f>IF(C6=0,"",IFERROR(C24/C11*1000,0))</f>
        <v/>
      </c>
      <c r="D30" s="18">
        <f>IF(D6=0,"",IFERROR(D24/D11*1000,0))</f>
        <v/>
      </c>
      <c r="E30" s="18">
        <f>IF(E6=0,"",IFERROR(E24/E11*1000,0))</f>
        <v/>
      </c>
      <c r="F30" s="18">
        <f>IF(F6=0,"",IFERROR(F24/F11*1000,0))</f>
        <v/>
      </c>
      <c r="G30" s="18">
        <f>IF(G6=0,"",IFERROR(G24/G11*1000,0))</f>
        <v/>
      </c>
      <c r="H30" s="18">
        <f>IF(H6=0,"",IFERROR(H24/H11*1000,0))</f>
        <v/>
      </c>
      <c r="I30" s="18">
        <f>IF(I6=0,"",IFERROR(I24/I11*1000,0))</f>
        <v/>
      </c>
      <c r="J30" s="18">
        <f>IF(J6=0,"",IFERROR(J24/J11*1000,0))</f>
        <v/>
      </c>
      <c r="K30" s="18">
        <f>IF(K6=0,"",IFERROR(K24/K11*1000,0))</f>
        <v/>
      </c>
      <c r="L30" s="18">
        <f>IF(L6=0,"",IFERROR(L24/L11*1000,0))</f>
        <v/>
      </c>
      <c r="M30" s="18">
        <f>IF(M6=0,"",IFERROR(M24/M11*1000,0))</f>
        <v/>
      </c>
      <c r="N30" s="18">
        <f>IF(N6=0,"",IFERROR(N24/N11*1000,0))</f>
        <v/>
      </c>
      <c r="O30" s="18">
        <f>IF(O6=0,"",IFERROR(O24/O11*1000,0))</f>
        <v/>
      </c>
      <c r="P30" s="18">
        <f>IF(P6=0,"",IFERROR(P24/P11*1000,0))</f>
        <v/>
      </c>
      <c r="Q30" s="18">
        <f>IF(Q6=0,"",IFERROR(Q24/Q11*1000,0))</f>
        <v/>
      </c>
      <c r="R30" s="18">
        <f>IF(R6=0,"",IFERROR(R24/R11*1000,0))</f>
        <v/>
      </c>
      <c r="S30" s="18">
        <f>IF(S6=0,"",IFERROR(S24/S11*1000,0))</f>
        <v/>
      </c>
      <c r="T30" s="18">
        <f>IF(T6=0,"",IFERROR(T24/T11*1000,0))</f>
        <v/>
      </c>
      <c r="U30" s="18">
        <f>IF(U6=0,"",IFERROR(U24/U11*1000,0))</f>
        <v/>
      </c>
      <c r="V30" s="18">
        <f>IF(V6=0,"",IFERROR(V24/V11*1000,0))</f>
        <v/>
      </c>
      <c r="W30" s="18">
        <f>IF(W6=0,"",IFERROR(W24/W11*1000,0))</f>
        <v/>
      </c>
      <c r="X30" s="18">
        <f>IF(X6=0,"",IFERROR(X24/X11*1000,0))</f>
        <v/>
      </c>
      <c r="Y30" s="18">
        <f>IF(Y6=0,"",IFERROR(Y24/Y11*1000,0))</f>
        <v/>
      </c>
      <c r="Z30" s="18">
        <f>IF(Z6=0,"",IFERROR(Z24/Z11*1000,0))</f>
        <v/>
      </c>
      <c r="AA30" s="18">
        <f>IF(AA6=0,"",IFERROR(AA24/AA11*1000,0))</f>
        <v/>
      </c>
      <c r="AB30" s="18">
        <f>IF(AB6=0,"",IFERROR(AB24/AB11*1000,0))</f>
        <v/>
      </c>
      <c r="AC30" s="18">
        <f>IFERROR(AVERAGE(C30:AB30),"")</f>
        <v/>
      </c>
      <c r="AD30" s="18">
        <f>IFERROR(MEDIAN(C30:AB30),"")</f>
        <v/>
      </c>
      <c r="AE30" s="18">
        <f>IFERROR(MAX(C30:AB30),"")</f>
        <v/>
      </c>
      <c r="AF30" s="18">
        <f>IFERROR(MIN(C30:AB30),"")</f>
        <v/>
      </c>
    </row>
    <row r="32">
      <c r="A32" s="22" t="inlineStr">
        <is>
          <t>3. Grupo y webinar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</row>
    <row r="33">
      <c r="A33" t="inlineStr">
        <is>
          <t>Grupo y webinar</t>
        </is>
      </c>
      <c r="B33" s="4" t="inlineStr">
        <is>
          <t>Entran al grupo de WhatsApp</t>
        </is>
      </c>
      <c r="C33" s="12">
        <f>IF(C6=0,"",SUMIFS(Diario!$J$6:$J$371,Diario!$B$6:$B$371,C$5))</f>
        <v/>
      </c>
      <c r="D33" s="12">
        <f>IF(D6=0,"",SUMIFS(Diario!$J$6:$J$371,Diario!$B$6:$B$371,D$5))</f>
        <v/>
      </c>
      <c r="E33" s="12">
        <f>IF(E6=0,"",SUMIFS(Diario!$J$6:$J$371,Diario!$B$6:$B$371,E$5))</f>
        <v/>
      </c>
      <c r="F33" s="12">
        <f>IF(F6=0,"",SUMIFS(Diario!$J$6:$J$371,Diario!$B$6:$B$371,F$5))</f>
        <v/>
      </c>
      <c r="G33" s="12">
        <f>IF(G6=0,"",SUMIFS(Diario!$J$6:$J$371,Diario!$B$6:$B$371,G$5))</f>
        <v/>
      </c>
      <c r="H33" s="12">
        <f>IF(H6=0,"",SUMIFS(Diario!$J$6:$J$371,Diario!$B$6:$B$371,H$5))</f>
        <v/>
      </c>
      <c r="I33" s="12">
        <f>IF(I6=0,"",SUMIFS(Diario!$J$6:$J$371,Diario!$B$6:$B$371,I$5))</f>
        <v/>
      </c>
      <c r="J33" s="12">
        <f>IF(J6=0,"",SUMIFS(Diario!$J$6:$J$371,Diario!$B$6:$B$371,J$5))</f>
        <v/>
      </c>
      <c r="K33" s="12">
        <f>IF(K6=0,"",SUMIFS(Diario!$J$6:$J$371,Diario!$B$6:$B$371,K$5))</f>
        <v/>
      </c>
      <c r="L33" s="12">
        <f>IF(L6=0,"",SUMIFS(Diario!$J$6:$J$371,Diario!$B$6:$B$371,L$5))</f>
        <v/>
      </c>
      <c r="M33" s="12">
        <f>IF(M6=0,"",SUMIFS(Diario!$J$6:$J$371,Diario!$B$6:$B$371,M$5))</f>
        <v/>
      </c>
      <c r="N33" s="12">
        <f>IF(N6=0,"",SUMIFS(Diario!$J$6:$J$371,Diario!$B$6:$B$371,N$5))</f>
        <v/>
      </c>
      <c r="O33" s="12">
        <f>IF(O6=0,"",SUMIFS(Diario!$J$6:$J$371,Diario!$B$6:$B$371,O$5))</f>
        <v/>
      </c>
      <c r="P33" s="12">
        <f>IF(P6=0,"",SUMIFS(Diario!$J$6:$J$371,Diario!$B$6:$B$371,P$5))</f>
        <v/>
      </c>
      <c r="Q33" s="12">
        <f>IF(Q6=0,"",SUMIFS(Diario!$J$6:$J$371,Diario!$B$6:$B$371,Q$5))</f>
        <v/>
      </c>
      <c r="R33" s="12">
        <f>IF(R6=0,"",SUMIFS(Diario!$J$6:$J$371,Diario!$B$6:$B$371,R$5))</f>
        <v/>
      </c>
      <c r="S33" s="12">
        <f>IF(S6=0,"",SUMIFS(Diario!$J$6:$J$371,Diario!$B$6:$B$371,S$5))</f>
        <v/>
      </c>
      <c r="T33" s="12">
        <f>IF(T6=0,"",SUMIFS(Diario!$J$6:$J$371,Diario!$B$6:$B$371,T$5))</f>
        <v/>
      </c>
      <c r="U33" s="12">
        <f>IF(U6=0,"",SUMIFS(Diario!$J$6:$J$371,Diario!$B$6:$B$371,U$5))</f>
        <v/>
      </c>
      <c r="V33" s="12">
        <f>IF(V6=0,"",SUMIFS(Diario!$J$6:$J$371,Diario!$B$6:$B$371,V$5))</f>
        <v/>
      </c>
      <c r="W33" s="12">
        <f>IF(W6=0,"",SUMIFS(Diario!$J$6:$J$371,Diario!$B$6:$B$371,W$5))</f>
        <v/>
      </c>
      <c r="X33" s="12">
        <f>IF(X6=0,"",SUMIFS(Diario!$J$6:$J$371,Diario!$B$6:$B$371,X$5))</f>
        <v/>
      </c>
      <c r="Y33" s="12">
        <f>IF(Y6=0,"",SUMIFS(Diario!$J$6:$J$371,Diario!$B$6:$B$371,Y$5))</f>
        <v/>
      </c>
      <c r="Z33" s="12">
        <f>IF(Z6=0,"",SUMIFS(Diario!$J$6:$J$371,Diario!$B$6:$B$371,Z$5))</f>
        <v/>
      </c>
      <c r="AA33" s="12">
        <f>IF(AA6=0,"",SUMIFS(Diario!$J$6:$J$371,Diario!$B$6:$B$371,AA$5))</f>
        <v/>
      </c>
      <c r="AB33" s="12">
        <f>IF(AB6=0,"",SUMIFS(Diario!$J$6:$J$371,Diario!$B$6:$B$371,AB$5))</f>
        <v/>
      </c>
      <c r="AC33" s="12">
        <f>IFERROR(AVERAGE(C33:AB33),"")</f>
        <v/>
      </c>
      <c r="AD33" s="12">
        <f>IFERROR(MEDIAN(C33:AB33),"")</f>
        <v/>
      </c>
      <c r="AE33" s="12">
        <f>IFERROR(MAX(C33:AB33),"")</f>
        <v/>
      </c>
      <c r="AF33" s="12">
        <f>IFERROR(MIN(C33:AB33),"")</f>
        <v/>
      </c>
    </row>
    <row r="34">
      <c r="A34" t="inlineStr">
        <is>
          <t>Grupo y webinar</t>
        </is>
      </c>
      <c r="B34" s="4" t="inlineStr">
        <is>
          <t>Asistentes en vivo</t>
        </is>
      </c>
      <c r="C34" s="12">
        <f>IF(C6=0,"",SUMIFS(Diario!$K$6:$K$371,Diario!$B$6:$B$371,C$5))</f>
        <v/>
      </c>
      <c r="D34" s="12">
        <f>IF(D6=0,"",SUMIFS(Diario!$K$6:$K$371,Diario!$B$6:$B$371,D$5))</f>
        <v/>
      </c>
      <c r="E34" s="12">
        <f>IF(E6=0,"",SUMIFS(Diario!$K$6:$K$371,Diario!$B$6:$B$371,E$5))</f>
        <v/>
      </c>
      <c r="F34" s="12">
        <f>IF(F6=0,"",SUMIFS(Diario!$K$6:$K$371,Diario!$B$6:$B$371,F$5))</f>
        <v/>
      </c>
      <c r="G34" s="12">
        <f>IF(G6=0,"",SUMIFS(Diario!$K$6:$K$371,Diario!$B$6:$B$371,G$5))</f>
        <v/>
      </c>
      <c r="H34" s="12">
        <f>IF(H6=0,"",SUMIFS(Diario!$K$6:$K$371,Diario!$B$6:$B$371,H$5))</f>
        <v/>
      </c>
      <c r="I34" s="12">
        <f>IF(I6=0,"",SUMIFS(Diario!$K$6:$K$371,Diario!$B$6:$B$371,I$5))</f>
        <v/>
      </c>
      <c r="J34" s="12">
        <f>IF(J6=0,"",SUMIFS(Diario!$K$6:$K$371,Diario!$B$6:$B$371,J$5))</f>
        <v/>
      </c>
      <c r="K34" s="12">
        <f>IF(K6=0,"",SUMIFS(Diario!$K$6:$K$371,Diario!$B$6:$B$371,K$5))</f>
        <v/>
      </c>
      <c r="L34" s="12">
        <f>IF(L6=0,"",SUMIFS(Diario!$K$6:$K$371,Diario!$B$6:$B$371,L$5))</f>
        <v/>
      </c>
      <c r="M34" s="12">
        <f>IF(M6=0,"",SUMIFS(Diario!$K$6:$K$371,Diario!$B$6:$B$371,M$5))</f>
        <v/>
      </c>
      <c r="N34" s="12">
        <f>IF(N6=0,"",SUMIFS(Diario!$K$6:$K$371,Diario!$B$6:$B$371,N$5))</f>
        <v/>
      </c>
      <c r="O34" s="12">
        <f>IF(O6=0,"",SUMIFS(Diario!$K$6:$K$371,Diario!$B$6:$B$371,O$5))</f>
        <v/>
      </c>
      <c r="P34" s="12">
        <f>IF(P6=0,"",SUMIFS(Diario!$K$6:$K$371,Diario!$B$6:$B$371,P$5))</f>
        <v/>
      </c>
      <c r="Q34" s="12">
        <f>IF(Q6=0,"",SUMIFS(Diario!$K$6:$K$371,Diario!$B$6:$B$371,Q$5))</f>
        <v/>
      </c>
      <c r="R34" s="12">
        <f>IF(R6=0,"",SUMIFS(Diario!$K$6:$K$371,Diario!$B$6:$B$371,R$5))</f>
        <v/>
      </c>
      <c r="S34" s="12">
        <f>IF(S6=0,"",SUMIFS(Diario!$K$6:$K$371,Diario!$B$6:$B$371,S$5))</f>
        <v/>
      </c>
      <c r="T34" s="12">
        <f>IF(T6=0,"",SUMIFS(Diario!$K$6:$K$371,Diario!$B$6:$B$371,T$5))</f>
        <v/>
      </c>
      <c r="U34" s="12">
        <f>IF(U6=0,"",SUMIFS(Diario!$K$6:$K$371,Diario!$B$6:$B$371,U$5))</f>
        <v/>
      </c>
      <c r="V34" s="12">
        <f>IF(V6=0,"",SUMIFS(Diario!$K$6:$K$371,Diario!$B$6:$B$371,V$5))</f>
        <v/>
      </c>
      <c r="W34" s="12">
        <f>IF(W6=0,"",SUMIFS(Diario!$K$6:$K$371,Diario!$B$6:$B$371,W$5))</f>
        <v/>
      </c>
      <c r="X34" s="12">
        <f>IF(X6=0,"",SUMIFS(Diario!$K$6:$K$371,Diario!$B$6:$B$371,X$5))</f>
        <v/>
      </c>
      <c r="Y34" s="12">
        <f>IF(Y6=0,"",SUMIFS(Diario!$K$6:$K$371,Diario!$B$6:$B$371,Y$5))</f>
        <v/>
      </c>
      <c r="Z34" s="12">
        <f>IF(Z6=0,"",SUMIFS(Diario!$K$6:$K$371,Diario!$B$6:$B$371,Z$5))</f>
        <v/>
      </c>
      <c r="AA34" s="12">
        <f>IF(AA6=0,"",SUMIFS(Diario!$K$6:$K$371,Diario!$B$6:$B$371,AA$5))</f>
        <v/>
      </c>
      <c r="AB34" s="12">
        <f>IF(AB6=0,"",SUMIFS(Diario!$K$6:$K$371,Diario!$B$6:$B$371,AB$5))</f>
        <v/>
      </c>
      <c r="AC34" s="12">
        <f>IFERROR(AVERAGE(C34:AB34),"")</f>
        <v/>
      </c>
      <c r="AD34" s="12">
        <f>IFERROR(MEDIAN(C34:AB34),"")</f>
        <v/>
      </c>
      <c r="AE34" s="12">
        <f>IFERROR(MAX(C34:AB34),"")</f>
        <v/>
      </c>
      <c r="AF34" s="12">
        <f>IFERROR(MIN(C34:AB34),"")</f>
        <v/>
      </c>
    </row>
    <row r="35">
      <c r="A35" t="inlineStr">
        <is>
          <t>Grupo y webinar</t>
        </is>
      </c>
      <c r="B35" s="4" t="inlineStr">
        <is>
          <t>Ven el replay</t>
        </is>
      </c>
      <c r="C35" s="12">
        <f>IF(C6=0,"",SUMIFS(Diario!$L$6:$L$371,Diario!$B$6:$B$371,C$5))</f>
        <v/>
      </c>
      <c r="D35" s="12">
        <f>IF(D6=0,"",SUMIFS(Diario!$L$6:$L$371,Diario!$B$6:$B$371,D$5))</f>
        <v/>
      </c>
      <c r="E35" s="12">
        <f>IF(E6=0,"",SUMIFS(Diario!$L$6:$L$371,Diario!$B$6:$B$371,E$5))</f>
        <v/>
      </c>
      <c r="F35" s="12">
        <f>IF(F6=0,"",SUMIFS(Diario!$L$6:$L$371,Diario!$B$6:$B$371,F$5))</f>
        <v/>
      </c>
      <c r="G35" s="12">
        <f>IF(G6=0,"",SUMIFS(Diario!$L$6:$L$371,Diario!$B$6:$B$371,G$5))</f>
        <v/>
      </c>
      <c r="H35" s="12">
        <f>IF(H6=0,"",SUMIFS(Diario!$L$6:$L$371,Diario!$B$6:$B$371,H$5))</f>
        <v/>
      </c>
      <c r="I35" s="12">
        <f>IF(I6=0,"",SUMIFS(Diario!$L$6:$L$371,Diario!$B$6:$B$371,I$5))</f>
        <v/>
      </c>
      <c r="J35" s="12">
        <f>IF(J6=0,"",SUMIFS(Diario!$L$6:$L$371,Diario!$B$6:$B$371,J$5))</f>
        <v/>
      </c>
      <c r="K35" s="12">
        <f>IF(K6=0,"",SUMIFS(Diario!$L$6:$L$371,Diario!$B$6:$B$371,K$5))</f>
        <v/>
      </c>
      <c r="L35" s="12">
        <f>IF(L6=0,"",SUMIFS(Diario!$L$6:$L$371,Diario!$B$6:$B$371,L$5))</f>
        <v/>
      </c>
      <c r="M35" s="12">
        <f>IF(M6=0,"",SUMIFS(Diario!$L$6:$L$371,Diario!$B$6:$B$371,M$5))</f>
        <v/>
      </c>
      <c r="N35" s="12">
        <f>IF(N6=0,"",SUMIFS(Diario!$L$6:$L$371,Diario!$B$6:$B$371,N$5))</f>
        <v/>
      </c>
      <c r="O35" s="12">
        <f>IF(O6=0,"",SUMIFS(Diario!$L$6:$L$371,Diario!$B$6:$B$371,O$5))</f>
        <v/>
      </c>
      <c r="P35" s="12">
        <f>IF(P6=0,"",SUMIFS(Diario!$L$6:$L$371,Diario!$B$6:$B$371,P$5))</f>
        <v/>
      </c>
      <c r="Q35" s="12">
        <f>IF(Q6=0,"",SUMIFS(Diario!$L$6:$L$371,Diario!$B$6:$B$371,Q$5))</f>
        <v/>
      </c>
      <c r="R35" s="12">
        <f>IF(R6=0,"",SUMIFS(Diario!$L$6:$L$371,Diario!$B$6:$B$371,R$5))</f>
        <v/>
      </c>
      <c r="S35" s="12">
        <f>IF(S6=0,"",SUMIFS(Diario!$L$6:$L$371,Diario!$B$6:$B$371,S$5))</f>
        <v/>
      </c>
      <c r="T35" s="12">
        <f>IF(T6=0,"",SUMIFS(Diario!$L$6:$L$371,Diario!$B$6:$B$371,T$5))</f>
        <v/>
      </c>
      <c r="U35" s="12">
        <f>IF(U6=0,"",SUMIFS(Diario!$L$6:$L$371,Diario!$B$6:$B$371,U$5))</f>
        <v/>
      </c>
      <c r="V35" s="12">
        <f>IF(V6=0,"",SUMIFS(Diario!$L$6:$L$371,Diario!$B$6:$B$371,V$5))</f>
        <v/>
      </c>
      <c r="W35" s="12">
        <f>IF(W6=0,"",SUMIFS(Diario!$L$6:$L$371,Diario!$B$6:$B$371,W$5))</f>
        <v/>
      </c>
      <c r="X35" s="12">
        <f>IF(X6=0,"",SUMIFS(Diario!$L$6:$L$371,Diario!$B$6:$B$371,X$5))</f>
        <v/>
      </c>
      <c r="Y35" s="12">
        <f>IF(Y6=0,"",SUMIFS(Diario!$L$6:$L$371,Diario!$B$6:$B$371,Y$5))</f>
        <v/>
      </c>
      <c r="Z35" s="12">
        <f>IF(Z6=0,"",SUMIFS(Diario!$L$6:$L$371,Diario!$B$6:$B$371,Z$5))</f>
        <v/>
      </c>
      <c r="AA35" s="12">
        <f>IF(AA6=0,"",SUMIFS(Diario!$L$6:$L$371,Diario!$B$6:$B$371,AA$5))</f>
        <v/>
      </c>
      <c r="AB35" s="12">
        <f>IF(AB6=0,"",SUMIFS(Diario!$L$6:$L$371,Diario!$B$6:$B$371,AB$5))</f>
        <v/>
      </c>
      <c r="AC35" s="12">
        <f>IFERROR(AVERAGE(C35:AB35),"")</f>
        <v/>
      </c>
      <c r="AD35" s="12">
        <f>IFERROR(MEDIAN(C35:AB35),"")</f>
        <v/>
      </c>
      <c r="AE35" s="12">
        <f>IFERROR(MAX(C35:AB35),"")</f>
        <v/>
      </c>
      <c r="AF35" s="12">
        <f>IFERROR(MIN(C35:AB35),"")</f>
        <v/>
      </c>
    </row>
    <row r="36">
      <c r="A36" t="inlineStr">
        <is>
          <t>Grupo y webinar</t>
        </is>
      </c>
      <c r="B36" s="4" t="inlineStr">
        <is>
          <t>% registro → grupo</t>
        </is>
      </c>
      <c r="C36" s="17">
        <f>IF(C6=0,"",IFERROR(C33/C24,0))</f>
        <v/>
      </c>
      <c r="D36" s="17">
        <f>IF(D6=0,"",IFERROR(D33/D24,0))</f>
        <v/>
      </c>
      <c r="E36" s="17">
        <f>IF(E6=0,"",IFERROR(E33/E24,0))</f>
        <v/>
      </c>
      <c r="F36" s="17">
        <f>IF(F6=0,"",IFERROR(F33/F24,0))</f>
        <v/>
      </c>
      <c r="G36" s="17">
        <f>IF(G6=0,"",IFERROR(G33/G24,0))</f>
        <v/>
      </c>
      <c r="H36" s="17">
        <f>IF(H6=0,"",IFERROR(H33/H24,0))</f>
        <v/>
      </c>
      <c r="I36" s="17">
        <f>IF(I6=0,"",IFERROR(I33/I24,0))</f>
        <v/>
      </c>
      <c r="J36" s="17">
        <f>IF(J6=0,"",IFERROR(J33/J24,0))</f>
        <v/>
      </c>
      <c r="K36" s="17">
        <f>IF(K6=0,"",IFERROR(K33/K24,0))</f>
        <v/>
      </c>
      <c r="L36" s="17">
        <f>IF(L6=0,"",IFERROR(L33/L24,0))</f>
        <v/>
      </c>
      <c r="M36" s="17">
        <f>IF(M6=0,"",IFERROR(M33/M24,0))</f>
        <v/>
      </c>
      <c r="N36" s="17">
        <f>IF(N6=0,"",IFERROR(N33/N24,0))</f>
        <v/>
      </c>
      <c r="O36" s="17">
        <f>IF(O6=0,"",IFERROR(O33/O24,0))</f>
        <v/>
      </c>
      <c r="P36" s="17">
        <f>IF(P6=0,"",IFERROR(P33/P24,0))</f>
        <v/>
      </c>
      <c r="Q36" s="17">
        <f>IF(Q6=0,"",IFERROR(Q33/Q24,0))</f>
        <v/>
      </c>
      <c r="R36" s="17">
        <f>IF(R6=0,"",IFERROR(R33/R24,0))</f>
        <v/>
      </c>
      <c r="S36" s="17">
        <f>IF(S6=0,"",IFERROR(S33/S24,0))</f>
        <v/>
      </c>
      <c r="T36" s="17">
        <f>IF(T6=0,"",IFERROR(T33/T24,0))</f>
        <v/>
      </c>
      <c r="U36" s="17">
        <f>IF(U6=0,"",IFERROR(U33/U24,0))</f>
        <v/>
      </c>
      <c r="V36" s="17">
        <f>IF(V6=0,"",IFERROR(V33/V24,0))</f>
        <v/>
      </c>
      <c r="W36" s="17">
        <f>IF(W6=0,"",IFERROR(W33/W24,0))</f>
        <v/>
      </c>
      <c r="X36" s="17">
        <f>IF(X6=0,"",IFERROR(X33/X24,0))</f>
        <v/>
      </c>
      <c r="Y36" s="17">
        <f>IF(Y6=0,"",IFERROR(Y33/Y24,0))</f>
        <v/>
      </c>
      <c r="Z36" s="17">
        <f>IF(Z6=0,"",IFERROR(Z33/Z24,0))</f>
        <v/>
      </c>
      <c r="AA36" s="17">
        <f>IF(AA6=0,"",IFERROR(AA33/AA24,0))</f>
        <v/>
      </c>
      <c r="AB36" s="17">
        <f>IF(AB6=0,"",IFERROR(AB33/AB24,0))</f>
        <v/>
      </c>
      <c r="AC36" s="17">
        <f>IFERROR(AVERAGE(C36:AB36),"")</f>
        <v/>
      </c>
      <c r="AD36" s="17">
        <f>IFERROR(MEDIAN(C36:AB36),"")</f>
        <v/>
      </c>
      <c r="AE36" s="17">
        <f>IFERROR(MAX(C36:AB36),"")</f>
        <v/>
      </c>
      <c r="AF36" s="17">
        <f>IFERROR(MIN(C36:AB36),"")</f>
        <v/>
      </c>
    </row>
    <row r="37">
      <c r="A37" t="inlineStr">
        <is>
          <t>Grupo y webinar</t>
        </is>
      </c>
      <c r="B37" s="4" t="inlineStr">
        <is>
          <t>Costo por persona en el grupo</t>
        </is>
      </c>
      <c r="C37" s="14">
        <f>IF(C6=0,"",IFERROR(C10/C33,0))</f>
        <v/>
      </c>
      <c r="D37" s="14">
        <f>IF(D6=0,"",IFERROR(D10/D33,0))</f>
        <v/>
      </c>
      <c r="E37" s="14">
        <f>IF(E6=0,"",IFERROR(E10/E33,0))</f>
        <v/>
      </c>
      <c r="F37" s="14">
        <f>IF(F6=0,"",IFERROR(F10/F33,0))</f>
        <v/>
      </c>
      <c r="G37" s="14">
        <f>IF(G6=0,"",IFERROR(G10/G33,0))</f>
        <v/>
      </c>
      <c r="H37" s="14">
        <f>IF(H6=0,"",IFERROR(H10/H33,0))</f>
        <v/>
      </c>
      <c r="I37" s="14">
        <f>IF(I6=0,"",IFERROR(I10/I33,0))</f>
        <v/>
      </c>
      <c r="J37" s="14">
        <f>IF(J6=0,"",IFERROR(J10/J33,0))</f>
        <v/>
      </c>
      <c r="K37" s="14">
        <f>IF(K6=0,"",IFERROR(K10/K33,0))</f>
        <v/>
      </c>
      <c r="L37" s="14">
        <f>IF(L6=0,"",IFERROR(L10/L33,0))</f>
        <v/>
      </c>
      <c r="M37" s="14">
        <f>IF(M6=0,"",IFERROR(M10/M33,0))</f>
        <v/>
      </c>
      <c r="N37" s="14">
        <f>IF(N6=0,"",IFERROR(N10/N33,0))</f>
        <v/>
      </c>
      <c r="O37" s="14">
        <f>IF(O6=0,"",IFERROR(O10/O33,0))</f>
        <v/>
      </c>
      <c r="P37" s="14">
        <f>IF(P6=0,"",IFERROR(P10/P33,0))</f>
        <v/>
      </c>
      <c r="Q37" s="14">
        <f>IF(Q6=0,"",IFERROR(Q10/Q33,0))</f>
        <v/>
      </c>
      <c r="R37" s="14">
        <f>IF(R6=0,"",IFERROR(R10/R33,0))</f>
        <v/>
      </c>
      <c r="S37" s="14">
        <f>IF(S6=0,"",IFERROR(S10/S33,0))</f>
        <v/>
      </c>
      <c r="T37" s="14">
        <f>IF(T6=0,"",IFERROR(T10/T33,0))</f>
        <v/>
      </c>
      <c r="U37" s="14">
        <f>IF(U6=0,"",IFERROR(U10/U33,0))</f>
        <v/>
      </c>
      <c r="V37" s="14">
        <f>IF(V6=0,"",IFERROR(V10/V33,0))</f>
        <v/>
      </c>
      <c r="W37" s="14">
        <f>IF(W6=0,"",IFERROR(W10/W33,0))</f>
        <v/>
      </c>
      <c r="X37" s="14">
        <f>IF(X6=0,"",IFERROR(X10/X33,0))</f>
        <v/>
      </c>
      <c r="Y37" s="14">
        <f>IF(Y6=0,"",IFERROR(Y10/Y33,0))</f>
        <v/>
      </c>
      <c r="Z37" s="14">
        <f>IF(Z6=0,"",IFERROR(Z10/Z33,0))</f>
        <v/>
      </c>
      <c r="AA37" s="14">
        <f>IF(AA6=0,"",IFERROR(AA10/AA33,0))</f>
        <v/>
      </c>
      <c r="AB37" s="14">
        <f>IF(AB6=0,"",IFERROR(AB10/AB33,0))</f>
        <v/>
      </c>
      <c r="AC37" s="14">
        <f>IFERROR(AVERAGE(C37:AB37),"")</f>
        <v/>
      </c>
      <c r="AD37" s="14">
        <f>IFERROR(MEDIAN(C37:AB37),"")</f>
        <v/>
      </c>
      <c r="AE37" s="14">
        <f>IFERROR(MIN(C37:AB37),"")</f>
        <v/>
      </c>
      <c r="AF37" s="14">
        <f>IFERROR(MAX(C37:AB37),"")</f>
        <v/>
      </c>
    </row>
    <row r="38">
      <c r="A38" t="inlineStr">
        <is>
          <t>Grupo y webinar</t>
        </is>
      </c>
      <c r="B38" s="24" t="inlineStr">
        <is>
          <t>% registro → en vivo</t>
        </is>
      </c>
      <c r="C38" s="17">
        <f>IF(C6=0,"",IFERROR(C34/C24,0))</f>
        <v/>
      </c>
      <c r="D38" s="17">
        <f>IF(D6=0,"",IFERROR(D34/D24,0))</f>
        <v/>
      </c>
      <c r="E38" s="17">
        <f>IF(E6=0,"",IFERROR(E34/E24,0))</f>
        <v/>
      </c>
      <c r="F38" s="17">
        <f>IF(F6=0,"",IFERROR(F34/F24,0))</f>
        <v/>
      </c>
      <c r="G38" s="17">
        <f>IF(G6=0,"",IFERROR(G34/G24,0))</f>
        <v/>
      </c>
      <c r="H38" s="17">
        <f>IF(H6=0,"",IFERROR(H34/H24,0))</f>
        <v/>
      </c>
      <c r="I38" s="17">
        <f>IF(I6=0,"",IFERROR(I34/I24,0))</f>
        <v/>
      </c>
      <c r="J38" s="17">
        <f>IF(J6=0,"",IFERROR(J34/J24,0))</f>
        <v/>
      </c>
      <c r="K38" s="17">
        <f>IF(K6=0,"",IFERROR(K34/K24,0))</f>
        <v/>
      </c>
      <c r="L38" s="17">
        <f>IF(L6=0,"",IFERROR(L34/L24,0))</f>
        <v/>
      </c>
      <c r="M38" s="17">
        <f>IF(M6=0,"",IFERROR(M34/M24,0))</f>
        <v/>
      </c>
      <c r="N38" s="17">
        <f>IF(N6=0,"",IFERROR(N34/N24,0))</f>
        <v/>
      </c>
      <c r="O38" s="17">
        <f>IF(O6=0,"",IFERROR(O34/O24,0))</f>
        <v/>
      </c>
      <c r="P38" s="17">
        <f>IF(P6=0,"",IFERROR(P34/P24,0))</f>
        <v/>
      </c>
      <c r="Q38" s="17">
        <f>IF(Q6=0,"",IFERROR(Q34/Q24,0))</f>
        <v/>
      </c>
      <c r="R38" s="17">
        <f>IF(R6=0,"",IFERROR(R34/R24,0))</f>
        <v/>
      </c>
      <c r="S38" s="17">
        <f>IF(S6=0,"",IFERROR(S34/S24,0))</f>
        <v/>
      </c>
      <c r="T38" s="17">
        <f>IF(T6=0,"",IFERROR(T34/T24,0))</f>
        <v/>
      </c>
      <c r="U38" s="17">
        <f>IF(U6=0,"",IFERROR(U34/U24,0))</f>
        <v/>
      </c>
      <c r="V38" s="17">
        <f>IF(V6=0,"",IFERROR(V34/V24,0))</f>
        <v/>
      </c>
      <c r="W38" s="17">
        <f>IF(W6=0,"",IFERROR(W34/W24,0))</f>
        <v/>
      </c>
      <c r="X38" s="17">
        <f>IF(X6=0,"",IFERROR(X34/X24,0))</f>
        <v/>
      </c>
      <c r="Y38" s="17">
        <f>IF(Y6=0,"",IFERROR(Y34/Y24,0))</f>
        <v/>
      </c>
      <c r="Z38" s="17">
        <f>IF(Z6=0,"",IFERROR(Z34/Z24,0))</f>
        <v/>
      </c>
      <c r="AA38" s="17">
        <f>IF(AA6=0,"",IFERROR(AA34/AA24,0))</f>
        <v/>
      </c>
      <c r="AB38" s="17">
        <f>IF(AB6=0,"",IFERROR(AB34/AB24,0))</f>
        <v/>
      </c>
      <c r="AC38" s="17">
        <f>IFERROR(AVERAGE(C38:AB38),"")</f>
        <v/>
      </c>
      <c r="AD38" s="17">
        <f>IFERROR(MEDIAN(C38:AB38),"")</f>
        <v/>
      </c>
      <c r="AE38" s="17">
        <f>IFERROR(MAX(C38:AB38),"")</f>
        <v/>
      </c>
      <c r="AF38" s="17">
        <f>IFERROR(MIN(C38:AB38),"")</f>
        <v/>
      </c>
    </row>
    <row r="39">
      <c r="A39" t="inlineStr">
        <is>
          <t>Grupo y webinar</t>
        </is>
      </c>
      <c r="B39" s="4" t="inlineStr">
        <is>
          <t>% registro → replay</t>
        </is>
      </c>
      <c r="C39" s="17">
        <f>IF(C6=0,"",IFERROR(C35/C24,0))</f>
        <v/>
      </c>
      <c r="D39" s="17">
        <f>IF(D6=0,"",IFERROR(D35/D24,0))</f>
        <v/>
      </c>
      <c r="E39" s="17">
        <f>IF(E6=0,"",IFERROR(E35/E24,0))</f>
        <v/>
      </c>
      <c r="F39" s="17">
        <f>IF(F6=0,"",IFERROR(F35/F24,0))</f>
        <v/>
      </c>
      <c r="G39" s="17">
        <f>IF(G6=0,"",IFERROR(G35/G24,0))</f>
        <v/>
      </c>
      <c r="H39" s="17">
        <f>IF(H6=0,"",IFERROR(H35/H24,0))</f>
        <v/>
      </c>
      <c r="I39" s="17">
        <f>IF(I6=0,"",IFERROR(I35/I24,0))</f>
        <v/>
      </c>
      <c r="J39" s="17">
        <f>IF(J6=0,"",IFERROR(J35/J24,0))</f>
        <v/>
      </c>
      <c r="K39" s="17">
        <f>IF(K6=0,"",IFERROR(K35/K24,0))</f>
        <v/>
      </c>
      <c r="L39" s="17">
        <f>IF(L6=0,"",IFERROR(L35/L24,0))</f>
        <v/>
      </c>
      <c r="M39" s="17">
        <f>IF(M6=0,"",IFERROR(M35/M24,0))</f>
        <v/>
      </c>
      <c r="N39" s="17">
        <f>IF(N6=0,"",IFERROR(N35/N24,0))</f>
        <v/>
      </c>
      <c r="O39" s="17">
        <f>IF(O6=0,"",IFERROR(O35/O24,0))</f>
        <v/>
      </c>
      <c r="P39" s="17">
        <f>IF(P6=0,"",IFERROR(P35/P24,0))</f>
        <v/>
      </c>
      <c r="Q39" s="17">
        <f>IF(Q6=0,"",IFERROR(Q35/Q24,0))</f>
        <v/>
      </c>
      <c r="R39" s="17">
        <f>IF(R6=0,"",IFERROR(R35/R24,0))</f>
        <v/>
      </c>
      <c r="S39" s="17">
        <f>IF(S6=0,"",IFERROR(S35/S24,0))</f>
        <v/>
      </c>
      <c r="T39" s="17">
        <f>IF(T6=0,"",IFERROR(T35/T24,0))</f>
        <v/>
      </c>
      <c r="U39" s="17">
        <f>IF(U6=0,"",IFERROR(U35/U24,0))</f>
        <v/>
      </c>
      <c r="V39" s="17">
        <f>IF(V6=0,"",IFERROR(V35/V24,0))</f>
        <v/>
      </c>
      <c r="W39" s="17">
        <f>IF(W6=0,"",IFERROR(W35/W24,0))</f>
        <v/>
      </c>
      <c r="X39" s="17">
        <f>IF(X6=0,"",IFERROR(X35/X24,0))</f>
        <v/>
      </c>
      <c r="Y39" s="17">
        <f>IF(Y6=0,"",IFERROR(Y35/Y24,0))</f>
        <v/>
      </c>
      <c r="Z39" s="17">
        <f>IF(Z6=0,"",IFERROR(Z35/Z24,0))</f>
        <v/>
      </c>
      <c r="AA39" s="17">
        <f>IF(AA6=0,"",IFERROR(AA35/AA24,0))</f>
        <v/>
      </c>
      <c r="AB39" s="17">
        <f>IF(AB6=0,"",IFERROR(AB35/AB24,0))</f>
        <v/>
      </c>
      <c r="AC39" s="17">
        <f>IFERROR(AVERAGE(C39:AB39),"")</f>
        <v/>
      </c>
      <c r="AD39" s="17">
        <f>IFERROR(MEDIAN(C39:AB39),"")</f>
        <v/>
      </c>
      <c r="AE39" s="17">
        <f>IFERROR(MAX(C39:AB39),"")</f>
        <v/>
      </c>
      <c r="AF39" s="17">
        <f>IFERROR(MIN(C39:AB39),"")</f>
        <v/>
      </c>
    </row>
    <row r="40">
      <c r="A40" t="inlineStr">
        <is>
          <t>Grupo y webinar</t>
        </is>
      </c>
      <c r="B40" s="4" t="inlineStr">
        <is>
          <t>Costo por asistente en vivo</t>
        </is>
      </c>
      <c r="C40" s="14">
        <f>IF(C6=0,"",IFERROR(C10/C34,0))</f>
        <v/>
      </c>
      <c r="D40" s="14">
        <f>IF(D6=0,"",IFERROR(D10/D34,0))</f>
        <v/>
      </c>
      <c r="E40" s="14">
        <f>IF(E6=0,"",IFERROR(E10/E34,0))</f>
        <v/>
      </c>
      <c r="F40" s="14">
        <f>IF(F6=0,"",IFERROR(F10/F34,0))</f>
        <v/>
      </c>
      <c r="G40" s="14">
        <f>IF(G6=0,"",IFERROR(G10/G34,0))</f>
        <v/>
      </c>
      <c r="H40" s="14">
        <f>IF(H6=0,"",IFERROR(H10/H34,0))</f>
        <v/>
      </c>
      <c r="I40" s="14">
        <f>IF(I6=0,"",IFERROR(I10/I34,0))</f>
        <v/>
      </c>
      <c r="J40" s="14">
        <f>IF(J6=0,"",IFERROR(J10/J34,0))</f>
        <v/>
      </c>
      <c r="K40" s="14">
        <f>IF(K6=0,"",IFERROR(K10/K34,0))</f>
        <v/>
      </c>
      <c r="L40" s="14">
        <f>IF(L6=0,"",IFERROR(L10/L34,0))</f>
        <v/>
      </c>
      <c r="M40" s="14">
        <f>IF(M6=0,"",IFERROR(M10/M34,0))</f>
        <v/>
      </c>
      <c r="N40" s="14">
        <f>IF(N6=0,"",IFERROR(N10/N34,0))</f>
        <v/>
      </c>
      <c r="O40" s="14">
        <f>IF(O6=0,"",IFERROR(O10/O34,0))</f>
        <v/>
      </c>
      <c r="P40" s="14">
        <f>IF(P6=0,"",IFERROR(P10/P34,0))</f>
        <v/>
      </c>
      <c r="Q40" s="14">
        <f>IF(Q6=0,"",IFERROR(Q10/Q34,0))</f>
        <v/>
      </c>
      <c r="R40" s="14">
        <f>IF(R6=0,"",IFERROR(R10/R34,0))</f>
        <v/>
      </c>
      <c r="S40" s="14">
        <f>IF(S6=0,"",IFERROR(S10/S34,0))</f>
        <v/>
      </c>
      <c r="T40" s="14">
        <f>IF(T6=0,"",IFERROR(T10/T34,0))</f>
        <v/>
      </c>
      <c r="U40" s="14">
        <f>IF(U6=0,"",IFERROR(U10/U34,0))</f>
        <v/>
      </c>
      <c r="V40" s="14">
        <f>IF(V6=0,"",IFERROR(V10/V34,0))</f>
        <v/>
      </c>
      <c r="W40" s="14">
        <f>IF(W6=0,"",IFERROR(W10/W34,0))</f>
        <v/>
      </c>
      <c r="X40" s="14">
        <f>IF(X6=0,"",IFERROR(X10/X34,0))</f>
        <v/>
      </c>
      <c r="Y40" s="14">
        <f>IF(Y6=0,"",IFERROR(Y10/Y34,0))</f>
        <v/>
      </c>
      <c r="Z40" s="14">
        <f>IF(Z6=0,"",IFERROR(Z10/Z34,0))</f>
        <v/>
      </c>
      <c r="AA40" s="14">
        <f>IF(AA6=0,"",IFERROR(AA10/AA34,0))</f>
        <v/>
      </c>
      <c r="AB40" s="14">
        <f>IF(AB6=0,"",IFERROR(AB10/AB34,0))</f>
        <v/>
      </c>
      <c r="AC40" s="14">
        <f>IFERROR(AVERAGE(C40:AB40),"")</f>
        <v/>
      </c>
      <c r="AD40" s="14">
        <f>IFERROR(MEDIAN(C40:AB40),"")</f>
        <v/>
      </c>
      <c r="AE40" s="14">
        <f>IFERROR(MIN(C40:AB40),"")</f>
        <v/>
      </c>
      <c r="AF40" s="14">
        <f>IFERROR(MAX(C40:AB40),"")</f>
        <v/>
      </c>
    </row>
    <row r="42">
      <c r="A42" s="22" t="inlineStr">
        <is>
          <t>4. Oferta y ventas</t>
        </is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</row>
    <row r="43">
      <c r="A43" t="inlineStr">
        <is>
          <t>Oferta y ventas</t>
        </is>
      </c>
      <c r="B43" s="4" t="inlineStr">
        <is>
          <t>Solicitudes (formulario de compra, aplicación o vendedor)</t>
        </is>
      </c>
      <c r="C43" s="12">
        <f>IF(C6=0,"",SUMIFS(Diario!$M$6:$M$371,Diario!$B$6:$B$371,C$5))</f>
        <v/>
      </c>
      <c r="D43" s="12">
        <f>IF(D6=0,"",SUMIFS(Diario!$M$6:$M$371,Diario!$B$6:$B$371,D$5))</f>
        <v/>
      </c>
      <c r="E43" s="12">
        <f>IF(E6=0,"",SUMIFS(Diario!$M$6:$M$371,Diario!$B$6:$B$371,E$5))</f>
        <v/>
      </c>
      <c r="F43" s="12">
        <f>IF(F6=0,"",SUMIFS(Diario!$M$6:$M$371,Diario!$B$6:$B$371,F$5))</f>
        <v/>
      </c>
      <c r="G43" s="12">
        <f>IF(G6=0,"",SUMIFS(Diario!$M$6:$M$371,Diario!$B$6:$B$371,G$5))</f>
        <v/>
      </c>
      <c r="H43" s="12">
        <f>IF(H6=0,"",SUMIFS(Diario!$M$6:$M$371,Diario!$B$6:$B$371,H$5))</f>
        <v/>
      </c>
      <c r="I43" s="12">
        <f>IF(I6=0,"",SUMIFS(Diario!$M$6:$M$371,Diario!$B$6:$B$371,I$5))</f>
        <v/>
      </c>
      <c r="J43" s="12">
        <f>IF(J6=0,"",SUMIFS(Diario!$M$6:$M$371,Diario!$B$6:$B$371,J$5))</f>
        <v/>
      </c>
      <c r="K43" s="12">
        <f>IF(K6=0,"",SUMIFS(Diario!$M$6:$M$371,Diario!$B$6:$B$371,K$5))</f>
        <v/>
      </c>
      <c r="L43" s="12">
        <f>IF(L6=0,"",SUMIFS(Diario!$M$6:$M$371,Diario!$B$6:$B$371,L$5))</f>
        <v/>
      </c>
      <c r="M43" s="12">
        <f>IF(M6=0,"",SUMIFS(Diario!$M$6:$M$371,Diario!$B$6:$B$371,M$5))</f>
        <v/>
      </c>
      <c r="N43" s="12">
        <f>IF(N6=0,"",SUMIFS(Diario!$M$6:$M$371,Diario!$B$6:$B$371,N$5))</f>
        <v/>
      </c>
      <c r="O43" s="12">
        <f>IF(O6=0,"",SUMIFS(Diario!$M$6:$M$371,Diario!$B$6:$B$371,O$5))</f>
        <v/>
      </c>
      <c r="P43" s="12">
        <f>IF(P6=0,"",SUMIFS(Diario!$M$6:$M$371,Diario!$B$6:$B$371,P$5))</f>
        <v/>
      </c>
      <c r="Q43" s="12">
        <f>IF(Q6=0,"",SUMIFS(Diario!$M$6:$M$371,Diario!$B$6:$B$371,Q$5))</f>
        <v/>
      </c>
      <c r="R43" s="12">
        <f>IF(R6=0,"",SUMIFS(Diario!$M$6:$M$371,Diario!$B$6:$B$371,R$5))</f>
        <v/>
      </c>
      <c r="S43" s="12">
        <f>IF(S6=0,"",SUMIFS(Diario!$M$6:$M$371,Diario!$B$6:$B$371,S$5))</f>
        <v/>
      </c>
      <c r="T43" s="12">
        <f>IF(T6=0,"",SUMIFS(Diario!$M$6:$M$371,Diario!$B$6:$B$371,T$5))</f>
        <v/>
      </c>
      <c r="U43" s="12">
        <f>IF(U6=0,"",SUMIFS(Diario!$M$6:$M$371,Diario!$B$6:$B$371,U$5))</f>
        <v/>
      </c>
      <c r="V43" s="12">
        <f>IF(V6=0,"",SUMIFS(Diario!$M$6:$M$371,Diario!$B$6:$B$371,V$5))</f>
        <v/>
      </c>
      <c r="W43" s="12">
        <f>IF(W6=0,"",SUMIFS(Diario!$M$6:$M$371,Diario!$B$6:$B$371,W$5))</f>
        <v/>
      </c>
      <c r="X43" s="12">
        <f>IF(X6=0,"",SUMIFS(Diario!$M$6:$M$371,Diario!$B$6:$B$371,X$5))</f>
        <v/>
      </c>
      <c r="Y43" s="12">
        <f>IF(Y6=0,"",SUMIFS(Diario!$M$6:$M$371,Diario!$B$6:$B$371,Y$5))</f>
        <v/>
      </c>
      <c r="Z43" s="12">
        <f>IF(Z6=0,"",SUMIFS(Diario!$M$6:$M$371,Diario!$B$6:$B$371,Z$5))</f>
        <v/>
      </c>
      <c r="AA43" s="12">
        <f>IF(AA6=0,"",SUMIFS(Diario!$M$6:$M$371,Diario!$B$6:$B$371,AA$5))</f>
        <v/>
      </c>
      <c r="AB43" s="12">
        <f>IF(AB6=0,"",SUMIFS(Diario!$M$6:$M$371,Diario!$B$6:$B$371,AB$5))</f>
        <v/>
      </c>
      <c r="AC43" s="12">
        <f>IFERROR(AVERAGE(C43:AB43),"")</f>
        <v/>
      </c>
      <c r="AD43" s="12">
        <f>IFERROR(MEDIAN(C43:AB43),"")</f>
        <v/>
      </c>
      <c r="AE43" s="12">
        <f>IFERROR(MAX(C43:AB43),"")</f>
        <v/>
      </c>
      <c r="AF43" s="12">
        <f>IFERROR(MIN(C43:AB43),"")</f>
        <v/>
      </c>
    </row>
    <row r="44">
      <c r="A44" t="inlineStr">
        <is>
          <t>Oferta y ventas</t>
        </is>
      </c>
      <c r="B44" s="4" t="inlineStr">
        <is>
          <t>Compran la oferta</t>
        </is>
      </c>
      <c r="C44" s="12">
        <f>IF(C6=0,"",SUMIFS(Diario!$N$6:$N$371,Diario!$B$6:$B$371,C$5))</f>
        <v/>
      </c>
      <c r="D44" s="12">
        <f>IF(D6=0,"",SUMIFS(Diario!$N$6:$N$371,Diario!$B$6:$B$371,D$5))</f>
        <v/>
      </c>
      <c r="E44" s="12">
        <f>IF(E6=0,"",SUMIFS(Diario!$N$6:$N$371,Diario!$B$6:$B$371,E$5))</f>
        <v/>
      </c>
      <c r="F44" s="12">
        <f>IF(F6=0,"",SUMIFS(Diario!$N$6:$N$371,Diario!$B$6:$B$371,F$5))</f>
        <v/>
      </c>
      <c r="G44" s="12">
        <f>IF(G6=0,"",SUMIFS(Diario!$N$6:$N$371,Diario!$B$6:$B$371,G$5))</f>
        <v/>
      </c>
      <c r="H44" s="12">
        <f>IF(H6=0,"",SUMIFS(Diario!$N$6:$N$371,Diario!$B$6:$B$371,H$5))</f>
        <v/>
      </c>
      <c r="I44" s="12">
        <f>IF(I6=0,"",SUMIFS(Diario!$N$6:$N$371,Diario!$B$6:$B$371,I$5))</f>
        <v/>
      </c>
      <c r="J44" s="12">
        <f>IF(J6=0,"",SUMIFS(Diario!$N$6:$N$371,Diario!$B$6:$B$371,J$5))</f>
        <v/>
      </c>
      <c r="K44" s="12">
        <f>IF(K6=0,"",SUMIFS(Diario!$N$6:$N$371,Diario!$B$6:$B$371,K$5))</f>
        <v/>
      </c>
      <c r="L44" s="12">
        <f>IF(L6=0,"",SUMIFS(Diario!$N$6:$N$371,Diario!$B$6:$B$371,L$5))</f>
        <v/>
      </c>
      <c r="M44" s="12">
        <f>IF(M6=0,"",SUMIFS(Diario!$N$6:$N$371,Diario!$B$6:$B$371,M$5))</f>
        <v/>
      </c>
      <c r="N44" s="12">
        <f>IF(N6=0,"",SUMIFS(Diario!$N$6:$N$371,Diario!$B$6:$B$371,N$5))</f>
        <v/>
      </c>
      <c r="O44" s="12">
        <f>IF(O6=0,"",SUMIFS(Diario!$N$6:$N$371,Diario!$B$6:$B$371,O$5))</f>
        <v/>
      </c>
      <c r="P44" s="12">
        <f>IF(P6=0,"",SUMIFS(Diario!$N$6:$N$371,Diario!$B$6:$B$371,P$5))</f>
        <v/>
      </c>
      <c r="Q44" s="12">
        <f>IF(Q6=0,"",SUMIFS(Diario!$N$6:$N$371,Diario!$B$6:$B$371,Q$5))</f>
        <v/>
      </c>
      <c r="R44" s="12">
        <f>IF(R6=0,"",SUMIFS(Diario!$N$6:$N$371,Diario!$B$6:$B$371,R$5))</f>
        <v/>
      </c>
      <c r="S44" s="12">
        <f>IF(S6=0,"",SUMIFS(Diario!$N$6:$N$371,Diario!$B$6:$B$371,S$5))</f>
        <v/>
      </c>
      <c r="T44" s="12">
        <f>IF(T6=0,"",SUMIFS(Diario!$N$6:$N$371,Diario!$B$6:$B$371,T$5))</f>
        <v/>
      </c>
      <c r="U44" s="12">
        <f>IF(U6=0,"",SUMIFS(Diario!$N$6:$N$371,Diario!$B$6:$B$371,U$5))</f>
        <v/>
      </c>
      <c r="V44" s="12">
        <f>IF(V6=0,"",SUMIFS(Diario!$N$6:$N$371,Diario!$B$6:$B$371,V$5))</f>
        <v/>
      </c>
      <c r="W44" s="12">
        <f>IF(W6=0,"",SUMIFS(Diario!$N$6:$N$371,Diario!$B$6:$B$371,W$5))</f>
        <v/>
      </c>
      <c r="X44" s="12">
        <f>IF(X6=0,"",SUMIFS(Diario!$N$6:$N$371,Diario!$B$6:$B$371,X$5))</f>
        <v/>
      </c>
      <c r="Y44" s="12">
        <f>IF(Y6=0,"",SUMIFS(Diario!$N$6:$N$371,Diario!$B$6:$B$371,Y$5))</f>
        <v/>
      </c>
      <c r="Z44" s="12">
        <f>IF(Z6=0,"",SUMIFS(Diario!$N$6:$N$371,Diario!$B$6:$B$371,Z$5))</f>
        <v/>
      </c>
      <c r="AA44" s="12">
        <f>IF(AA6=0,"",SUMIFS(Diario!$N$6:$N$371,Diario!$B$6:$B$371,AA$5))</f>
        <v/>
      </c>
      <c r="AB44" s="12">
        <f>IF(AB6=0,"",SUMIFS(Diario!$N$6:$N$371,Diario!$B$6:$B$371,AB$5))</f>
        <v/>
      </c>
      <c r="AC44" s="12">
        <f>IFERROR(AVERAGE(C44:AB44),"")</f>
        <v/>
      </c>
      <c r="AD44" s="12">
        <f>IFERROR(MEDIAN(C44:AB44),"")</f>
        <v/>
      </c>
      <c r="AE44" s="12">
        <f>IFERROR(MAX(C44:AB44),"")</f>
        <v/>
      </c>
      <c r="AF44" s="12">
        <f>IFERROR(MIN(C44:AB44),"")</f>
        <v/>
      </c>
    </row>
    <row r="45">
      <c r="A45" t="inlineStr">
        <is>
          <t>Oferta y ventas</t>
        </is>
      </c>
      <c r="B45" s="4" t="inlineStr">
        <is>
          <t>Toman el bump</t>
        </is>
      </c>
      <c r="C45" s="12">
        <f>IF(C6=0,"",SUMIFS(Diario!$O$6:$O$371,Diario!$B$6:$B$371,C$5))</f>
        <v/>
      </c>
      <c r="D45" s="12">
        <f>IF(D6=0,"",SUMIFS(Diario!$O$6:$O$371,Diario!$B$6:$B$371,D$5))</f>
        <v/>
      </c>
      <c r="E45" s="12">
        <f>IF(E6=0,"",SUMIFS(Diario!$O$6:$O$371,Diario!$B$6:$B$371,E$5))</f>
        <v/>
      </c>
      <c r="F45" s="12">
        <f>IF(F6=0,"",SUMIFS(Diario!$O$6:$O$371,Diario!$B$6:$B$371,F$5))</f>
        <v/>
      </c>
      <c r="G45" s="12">
        <f>IF(G6=0,"",SUMIFS(Diario!$O$6:$O$371,Diario!$B$6:$B$371,G$5))</f>
        <v/>
      </c>
      <c r="H45" s="12">
        <f>IF(H6=0,"",SUMIFS(Diario!$O$6:$O$371,Diario!$B$6:$B$371,H$5))</f>
        <v/>
      </c>
      <c r="I45" s="12">
        <f>IF(I6=0,"",SUMIFS(Diario!$O$6:$O$371,Diario!$B$6:$B$371,I$5))</f>
        <v/>
      </c>
      <c r="J45" s="12">
        <f>IF(J6=0,"",SUMIFS(Diario!$O$6:$O$371,Diario!$B$6:$B$371,J$5))</f>
        <v/>
      </c>
      <c r="K45" s="12">
        <f>IF(K6=0,"",SUMIFS(Diario!$O$6:$O$371,Diario!$B$6:$B$371,K$5))</f>
        <v/>
      </c>
      <c r="L45" s="12">
        <f>IF(L6=0,"",SUMIFS(Diario!$O$6:$O$371,Diario!$B$6:$B$371,L$5))</f>
        <v/>
      </c>
      <c r="M45" s="12">
        <f>IF(M6=0,"",SUMIFS(Diario!$O$6:$O$371,Diario!$B$6:$B$371,M$5))</f>
        <v/>
      </c>
      <c r="N45" s="12">
        <f>IF(N6=0,"",SUMIFS(Diario!$O$6:$O$371,Diario!$B$6:$B$371,N$5))</f>
        <v/>
      </c>
      <c r="O45" s="12">
        <f>IF(O6=0,"",SUMIFS(Diario!$O$6:$O$371,Diario!$B$6:$B$371,O$5))</f>
        <v/>
      </c>
      <c r="P45" s="12">
        <f>IF(P6=0,"",SUMIFS(Diario!$O$6:$O$371,Diario!$B$6:$B$371,P$5))</f>
        <v/>
      </c>
      <c r="Q45" s="12">
        <f>IF(Q6=0,"",SUMIFS(Diario!$O$6:$O$371,Diario!$B$6:$B$371,Q$5))</f>
        <v/>
      </c>
      <c r="R45" s="12">
        <f>IF(R6=0,"",SUMIFS(Diario!$O$6:$O$371,Diario!$B$6:$B$371,R$5))</f>
        <v/>
      </c>
      <c r="S45" s="12">
        <f>IF(S6=0,"",SUMIFS(Diario!$O$6:$O$371,Diario!$B$6:$B$371,S$5))</f>
        <v/>
      </c>
      <c r="T45" s="12">
        <f>IF(T6=0,"",SUMIFS(Diario!$O$6:$O$371,Diario!$B$6:$B$371,T$5))</f>
        <v/>
      </c>
      <c r="U45" s="12">
        <f>IF(U6=0,"",SUMIFS(Diario!$O$6:$O$371,Diario!$B$6:$B$371,U$5))</f>
        <v/>
      </c>
      <c r="V45" s="12">
        <f>IF(V6=0,"",SUMIFS(Diario!$O$6:$O$371,Diario!$B$6:$B$371,V$5))</f>
        <v/>
      </c>
      <c r="W45" s="12">
        <f>IF(W6=0,"",SUMIFS(Diario!$O$6:$O$371,Diario!$B$6:$B$371,W$5))</f>
        <v/>
      </c>
      <c r="X45" s="12">
        <f>IF(X6=0,"",SUMIFS(Diario!$O$6:$O$371,Diario!$B$6:$B$371,X$5))</f>
        <v/>
      </c>
      <c r="Y45" s="12">
        <f>IF(Y6=0,"",SUMIFS(Diario!$O$6:$O$371,Diario!$B$6:$B$371,Y$5))</f>
        <v/>
      </c>
      <c r="Z45" s="12">
        <f>IF(Z6=0,"",SUMIFS(Diario!$O$6:$O$371,Diario!$B$6:$B$371,Z$5))</f>
        <v/>
      </c>
      <c r="AA45" s="12">
        <f>IF(AA6=0,"",SUMIFS(Diario!$O$6:$O$371,Diario!$B$6:$B$371,AA$5))</f>
        <v/>
      </c>
      <c r="AB45" s="12">
        <f>IF(AB6=0,"",SUMIFS(Diario!$O$6:$O$371,Diario!$B$6:$B$371,AB$5))</f>
        <v/>
      </c>
      <c r="AC45" s="12">
        <f>IFERROR(AVERAGE(C45:AB45),"")</f>
        <v/>
      </c>
      <c r="AD45" s="12">
        <f>IFERROR(MEDIAN(C45:AB45),"")</f>
        <v/>
      </c>
      <c r="AE45" s="12">
        <f>IFERROR(MAX(C45:AB45),"")</f>
        <v/>
      </c>
      <c r="AF45" s="12">
        <f>IFERROR(MIN(C45:AB45),"")</f>
        <v/>
      </c>
    </row>
    <row r="46">
      <c r="A46" t="inlineStr">
        <is>
          <t>Oferta y ventas</t>
        </is>
      </c>
      <c r="B46" s="4" t="inlineStr">
        <is>
          <t>Pasan al programa superior</t>
        </is>
      </c>
      <c r="C46" s="12">
        <f>IF(C6=0,"",SUMIFS(Diario!$P$6:$P$371,Diario!$B$6:$B$371,C$5))</f>
        <v/>
      </c>
      <c r="D46" s="12">
        <f>IF(D6=0,"",SUMIFS(Diario!$P$6:$P$371,Diario!$B$6:$B$371,D$5))</f>
        <v/>
      </c>
      <c r="E46" s="12">
        <f>IF(E6=0,"",SUMIFS(Diario!$P$6:$P$371,Diario!$B$6:$B$371,E$5))</f>
        <v/>
      </c>
      <c r="F46" s="12">
        <f>IF(F6=0,"",SUMIFS(Diario!$P$6:$P$371,Diario!$B$6:$B$371,F$5))</f>
        <v/>
      </c>
      <c r="G46" s="12">
        <f>IF(G6=0,"",SUMIFS(Diario!$P$6:$P$371,Diario!$B$6:$B$371,G$5))</f>
        <v/>
      </c>
      <c r="H46" s="12">
        <f>IF(H6=0,"",SUMIFS(Diario!$P$6:$P$371,Diario!$B$6:$B$371,H$5))</f>
        <v/>
      </c>
      <c r="I46" s="12">
        <f>IF(I6=0,"",SUMIFS(Diario!$P$6:$P$371,Diario!$B$6:$B$371,I$5))</f>
        <v/>
      </c>
      <c r="J46" s="12">
        <f>IF(J6=0,"",SUMIFS(Diario!$P$6:$P$371,Diario!$B$6:$B$371,J$5))</f>
        <v/>
      </c>
      <c r="K46" s="12">
        <f>IF(K6=0,"",SUMIFS(Diario!$P$6:$P$371,Diario!$B$6:$B$371,K$5))</f>
        <v/>
      </c>
      <c r="L46" s="12">
        <f>IF(L6=0,"",SUMIFS(Diario!$P$6:$P$371,Diario!$B$6:$B$371,L$5))</f>
        <v/>
      </c>
      <c r="M46" s="12">
        <f>IF(M6=0,"",SUMIFS(Diario!$P$6:$P$371,Diario!$B$6:$B$371,M$5))</f>
        <v/>
      </c>
      <c r="N46" s="12">
        <f>IF(N6=0,"",SUMIFS(Diario!$P$6:$P$371,Diario!$B$6:$B$371,N$5))</f>
        <v/>
      </c>
      <c r="O46" s="12">
        <f>IF(O6=0,"",SUMIFS(Diario!$P$6:$P$371,Diario!$B$6:$B$371,O$5))</f>
        <v/>
      </c>
      <c r="P46" s="12">
        <f>IF(P6=0,"",SUMIFS(Diario!$P$6:$P$371,Diario!$B$6:$B$371,P$5))</f>
        <v/>
      </c>
      <c r="Q46" s="12">
        <f>IF(Q6=0,"",SUMIFS(Diario!$P$6:$P$371,Diario!$B$6:$B$371,Q$5))</f>
        <v/>
      </c>
      <c r="R46" s="12">
        <f>IF(R6=0,"",SUMIFS(Diario!$P$6:$P$371,Diario!$B$6:$B$371,R$5))</f>
        <v/>
      </c>
      <c r="S46" s="12">
        <f>IF(S6=0,"",SUMIFS(Diario!$P$6:$P$371,Diario!$B$6:$B$371,S$5))</f>
        <v/>
      </c>
      <c r="T46" s="12">
        <f>IF(T6=0,"",SUMIFS(Diario!$P$6:$P$371,Diario!$B$6:$B$371,T$5))</f>
        <v/>
      </c>
      <c r="U46" s="12">
        <f>IF(U6=0,"",SUMIFS(Diario!$P$6:$P$371,Diario!$B$6:$B$371,U$5))</f>
        <v/>
      </c>
      <c r="V46" s="12">
        <f>IF(V6=0,"",SUMIFS(Diario!$P$6:$P$371,Diario!$B$6:$B$371,V$5))</f>
        <v/>
      </c>
      <c r="W46" s="12">
        <f>IF(W6=0,"",SUMIFS(Diario!$P$6:$P$371,Diario!$B$6:$B$371,W$5))</f>
        <v/>
      </c>
      <c r="X46" s="12">
        <f>IF(X6=0,"",SUMIFS(Diario!$P$6:$P$371,Diario!$B$6:$B$371,X$5))</f>
        <v/>
      </c>
      <c r="Y46" s="12">
        <f>IF(Y6=0,"",SUMIFS(Diario!$P$6:$P$371,Diario!$B$6:$B$371,Y$5))</f>
        <v/>
      </c>
      <c r="Z46" s="12">
        <f>IF(Z6=0,"",SUMIFS(Diario!$P$6:$P$371,Diario!$B$6:$B$371,Z$5))</f>
        <v/>
      </c>
      <c r="AA46" s="12">
        <f>IF(AA6=0,"",SUMIFS(Diario!$P$6:$P$371,Diario!$B$6:$B$371,AA$5))</f>
        <v/>
      </c>
      <c r="AB46" s="12">
        <f>IF(AB6=0,"",SUMIFS(Diario!$P$6:$P$371,Diario!$B$6:$B$371,AB$5))</f>
        <v/>
      </c>
      <c r="AC46" s="12">
        <f>IFERROR(AVERAGE(C46:AB46),"")</f>
        <v/>
      </c>
      <c r="AD46" s="12">
        <f>IFERROR(MEDIAN(C46:AB46),"")</f>
        <v/>
      </c>
      <c r="AE46" s="12">
        <f>IFERROR(MAX(C46:AB46),"")</f>
        <v/>
      </c>
      <c r="AF46" s="12">
        <f>IFERROR(MIN(C46:AB46),"")</f>
        <v/>
      </c>
    </row>
    <row r="47">
      <c r="A47" t="inlineStr">
        <is>
          <t>Oferta y ventas</t>
        </is>
      </c>
      <c r="B47" s="24" t="inlineStr">
        <is>
          <t>% en vivo → solicitud</t>
        </is>
      </c>
      <c r="C47" s="17">
        <f>IF(C6=0,"",IFERROR(C43/C34,0))</f>
        <v/>
      </c>
      <c r="D47" s="17">
        <f>IF(D6=0,"",IFERROR(D43/D34,0))</f>
        <v/>
      </c>
      <c r="E47" s="17">
        <f>IF(E6=0,"",IFERROR(E43/E34,0))</f>
        <v/>
      </c>
      <c r="F47" s="17">
        <f>IF(F6=0,"",IFERROR(F43/F34,0))</f>
        <v/>
      </c>
      <c r="G47" s="17">
        <f>IF(G6=0,"",IFERROR(G43/G34,0))</f>
        <v/>
      </c>
      <c r="H47" s="17">
        <f>IF(H6=0,"",IFERROR(H43/H34,0))</f>
        <v/>
      </c>
      <c r="I47" s="17">
        <f>IF(I6=0,"",IFERROR(I43/I34,0))</f>
        <v/>
      </c>
      <c r="J47" s="17">
        <f>IF(J6=0,"",IFERROR(J43/J34,0))</f>
        <v/>
      </c>
      <c r="K47" s="17">
        <f>IF(K6=0,"",IFERROR(K43/K34,0))</f>
        <v/>
      </c>
      <c r="L47" s="17">
        <f>IF(L6=0,"",IFERROR(L43/L34,0))</f>
        <v/>
      </c>
      <c r="M47" s="17">
        <f>IF(M6=0,"",IFERROR(M43/M34,0))</f>
        <v/>
      </c>
      <c r="N47" s="17">
        <f>IF(N6=0,"",IFERROR(N43/N34,0))</f>
        <v/>
      </c>
      <c r="O47" s="17">
        <f>IF(O6=0,"",IFERROR(O43/O34,0))</f>
        <v/>
      </c>
      <c r="P47" s="17">
        <f>IF(P6=0,"",IFERROR(P43/P34,0))</f>
        <v/>
      </c>
      <c r="Q47" s="17">
        <f>IF(Q6=0,"",IFERROR(Q43/Q34,0))</f>
        <v/>
      </c>
      <c r="R47" s="17">
        <f>IF(R6=0,"",IFERROR(R43/R34,0))</f>
        <v/>
      </c>
      <c r="S47" s="17">
        <f>IF(S6=0,"",IFERROR(S43/S34,0))</f>
        <v/>
      </c>
      <c r="T47" s="17">
        <f>IF(T6=0,"",IFERROR(T43/T34,0))</f>
        <v/>
      </c>
      <c r="U47" s="17">
        <f>IF(U6=0,"",IFERROR(U43/U34,0))</f>
        <v/>
      </c>
      <c r="V47" s="17">
        <f>IF(V6=0,"",IFERROR(V43/V34,0))</f>
        <v/>
      </c>
      <c r="W47" s="17">
        <f>IF(W6=0,"",IFERROR(W43/W34,0))</f>
        <v/>
      </c>
      <c r="X47" s="17">
        <f>IF(X6=0,"",IFERROR(X43/X34,0))</f>
        <v/>
      </c>
      <c r="Y47" s="17">
        <f>IF(Y6=0,"",IFERROR(Y43/Y34,0))</f>
        <v/>
      </c>
      <c r="Z47" s="17">
        <f>IF(Z6=0,"",IFERROR(Z43/Z34,0))</f>
        <v/>
      </c>
      <c r="AA47" s="17">
        <f>IF(AA6=0,"",IFERROR(AA43/AA34,0))</f>
        <v/>
      </c>
      <c r="AB47" s="17">
        <f>IF(AB6=0,"",IFERROR(AB43/AB34,0))</f>
        <v/>
      </c>
      <c r="AC47" s="17">
        <f>IFERROR(AVERAGE(C47:AB47),"")</f>
        <v/>
      </c>
      <c r="AD47" s="17">
        <f>IFERROR(MEDIAN(C47:AB47),"")</f>
        <v/>
      </c>
      <c r="AE47" s="17">
        <f>IFERROR(MAX(C47:AB47),"")</f>
        <v/>
      </c>
      <c r="AF47" s="17">
        <f>IFERROR(MIN(C47:AB47),"")</f>
        <v/>
      </c>
    </row>
    <row r="48">
      <c r="A48" t="inlineStr">
        <is>
          <t>Oferta y ventas</t>
        </is>
      </c>
      <c r="B48" s="4" t="inlineStr">
        <is>
          <t>Costo por solicitud</t>
        </is>
      </c>
      <c r="C48" s="14">
        <f>IF(C6=0,"",IFERROR(C10/C43,0))</f>
        <v/>
      </c>
      <c r="D48" s="14">
        <f>IF(D6=0,"",IFERROR(D10/D43,0))</f>
        <v/>
      </c>
      <c r="E48" s="14">
        <f>IF(E6=0,"",IFERROR(E10/E43,0))</f>
        <v/>
      </c>
      <c r="F48" s="14">
        <f>IF(F6=0,"",IFERROR(F10/F43,0))</f>
        <v/>
      </c>
      <c r="G48" s="14">
        <f>IF(G6=0,"",IFERROR(G10/G43,0))</f>
        <v/>
      </c>
      <c r="H48" s="14">
        <f>IF(H6=0,"",IFERROR(H10/H43,0))</f>
        <v/>
      </c>
      <c r="I48" s="14">
        <f>IF(I6=0,"",IFERROR(I10/I43,0))</f>
        <v/>
      </c>
      <c r="J48" s="14">
        <f>IF(J6=0,"",IFERROR(J10/J43,0))</f>
        <v/>
      </c>
      <c r="K48" s="14">
        <f>IF(K6=0,"",IFERROR(K10/K43,0))</f>
        <v/>
      </c>
      <c r="L48" s="14">
        <f>IF(L6=0,"",IFERROR(L10/L43,0))</f>
        <v/>
      </c>
      <c r="M48" s="14">
        <f>IF(M6=0,"",IFERROR(M10/M43,0))</f>
        <v/>
      </c>
      <c r="N48" s="14">
        <f>IF(N6=0,"",IFERROR(N10/N43,0))</f>
        <v/>
      </c>
      <c r="O48" s="14">
        <f>IF(O6=0,"",IFERROR(O10/O43,0))</f>
        <v/>
      </c>
      <c r="P48" s="14">
        <f>IF(P6=0,"",IFERROR(P10/P43,0))</f>
        <v/>
      </c>
      <c r="Q48" s="14">
        <f>IF(Q6=0,"",IFERROR(Q10/Q43,0))</f>
        <v/>
      </c>
      <c r="R48" s="14">
        <f>IF(R6=0,"",IFERROR(R10/R43,0))</f>
        <v/>
      </c>
      <c r="S48" s="14">
        <f>IF(S6=0,"",IFERROR(S10/S43,0))</f>
        <v/>
      </c>
      <c r="T48" s="14">
        <f>IF(T6=0,"",IFERROR(T10/T43,0))</f>
        <v/>
      </c>
      <c r="U48" s="14">
        <f>IF(U6=0,"",IFERROR(U10/U43,0))</f>
        <v/>
      </c>
      <c r="V48" s="14">
        <f>IF(V6=0,"",IFERROR(V10/V43,0))</f>
        <v/>
      </c>
      <c r="W48" s="14">
        <f>IF(W6=0,"",IFERROR(W10/W43,0))</f>
        <v/>
      </c>
      <c r="X48" s="14">
        <f>IF(X6=0,"",IFERROR(X10/X43,0))</f>
        <v/>
      </c>
      <c r="Y48" s="14">
        <f>IF(Y6=0,"",IFERROR(Y10/Y43,0))</f>
        <v/>
      </c>
      <c r="Z48" s="14">
        <f>IF(Z6=0,"",IFERROR(Z10/Z43,0))</f>
        <v/>
      </c>
      <c r="AA48" s="14">
        <f>IF(AA6=0,"",IFERROR(AA10/AA43,0))</f>
        <v/>
      </c>
      <c r="AB48" s="14">
        <f>IF(AB6=0,"",IFERROR(AB10/AB43,0))</f>
        <v/>
      </c>
      <c r="AC48" s="14">
        <f>IFERROR(AVERAGE(C48:AB48),"")</f>
        <v/>
      </c>
      <c r="AD48" s="14">
        <f>IFERROR(MEDIAN(C48:AB48),"")</f>
        <v/>
      </c>
      <c r="AE48" s="14">
        <f>IFERROR(MIN(C48:AB48),"")</f>
        <v/>
      </c>
      <c r="AF48" s="14">
        <f>IFERROR(MAX(C48:AB48),"")</f>
        <v/>
      </c>
    </row>
    <row r="49">
      <c r="A49" t="inlineStr">
        <is>
          <t>Oferta y ventas</t>
        </is>
      </c>
      <c r="B49" s="24" t="inlineStr">
        <is>
          <t>% solicitud → compra</t>
        </is>
      </c>
      <c r="C49" s="17">
        <f>IF(C6=0,"",IFERROR(C44/C43,0))</f>
        <v/>
      </c>
      <c r="D49" s="17">
        <f>IF(D6=0,"",IFERROR(D44/D43,0))</f>
        <v/>
      </c>
      <c r="E49" s="17">
        <f>IF(E6=0,"",IFERROR(E44/E43,0))</f>
        <v/>
      </c>
      <c r="F49" s="17">
        <f>IF(F6=0,"",IFERROR(F44/F43,0))</f>
        <v/>
      </c>
      <c r="G49" s="17">
        <f>IF(G6=0,"",IFERROR(G44/G43,0))</f>
        <v/>
      </c>
      <c r="H49" s="17">
        <f>IF(H6=0,"",IFERROR(H44/H43,0))</f>
        <v/>
      </c>
      <c r="I49" s="17">
        <f>IF(I6=0,"",IFERROR(I44/I43,0))</f>
        <v/>
      </c>
      <c r="J49" s="17">
        <f>IF(J6=0,"",IFERROR(J44/J43,0))</f>
        <v/>
      </c>
      <c r="K49" s="17">
        <f>IF(K6=0,"",IFERROR(K44/K43,0))</f>
        <v/>
      </c>
      <c r="L49" s="17">
        <f>IF(L6=0,"",IFERROR(L44/L43,0))</f>
        <v/>
      </c>
      <c r="M49" s="17">
        <f>IF(M6=0,"",IFERROR(M44/M43,0))</f>
        <v/>
      </c>
      <c r="N49" s="17">
        <f>IF(N6=0,"",IFERROR(N44/N43,0))</f>
        <v/>
      </c>
      <c r="O49" s="17">
        <f>IF(O6=0,"",IFERROR(O44/O43,0))</f>
        <v/>
      </c>
      <c r="P49" s="17">
        <f>IF(P6=0,"",IFERROR(P44/P43,0))</f>
        <v/>
      </c>
      <c r="Q49" s="17">
        <f>IF(Q6=0,"",IFERROR(Q44/Q43,0))</f>
        <v/>
      </c>
      <c r="R49" s="17">
        <f>IF(R6=0,"",IFERROR(R44/R43,0))</f>
        <v/>
      </c>
      <c r="S49" s="17">
        <f>IF(S6=0,"",IFERROR(S44/S43,0))</f>
        <v/>
      </c>
      <c r="T49" s="17">
        <f>IF(T6=0,"",IFERROR(T44/T43,0))</f>
        <v/>
      </c>
      <c r="U49" s="17">
        <f>IF(U6=0,"",IFERROR(U44/U43,0))</f>
        <v/>
      </c>
      <c r="V49" s="17">
        <f>IF(V6=0,"",IFERROR(V44/V43,0))</f>
        <v/>
      </c>
      <c r="W49" s="17">
        <f>IF(W6=0,"",IFERROR(W44/W43,0))</f>
        <v/>
      </c>
      <c r="X49" s="17">
        <f>IF(X6=0,"",IFERROR(X44/X43,0))</f>
        <v/>
      </c>
      <c r="Y49" s="17">
        <f>IF(Y6=0,"",IFERROR(Y44/Y43,0))</f>
        <v/>
      </c>
      <c r="Z49" s="17">
        <f>IF(Z6=0,"",IFERROR(Z44/Z43,0))</f>
        <v/>
      </c>
      <c r="AA49" s="17">
        <f>IF(AA6=0,"",IFERROR(AA44/AA43,0))</f>
        <v/>
      </c>
      <c r="AB49" s="17">
        <f>IF(AB6=0,"",IFERROR(AB44/AB43,0))</f>
        <v/>
      </c>
      <c r="AC49" s="17">
        <f>IFERROR(AVERAGE(C49:AB49),"")</f>
        <v/>
      </c>
      <c r="AD49" s="17">
        <f>IFERROR(MEDIAN(C49:AB49),"")</f>
        <v/>
      </c>
      <c r="AE49" s="17">
        <f>IFERROR(MAX(C49:AB49),"")</f>
        <v/>
      </c>
      <c r="AF49" s="17">
        <f>IFERROR(MIN(C49:AB49),"")</f>
        <v/>
      </c>
    </row>
    <row r="50">
      <c r="A50" t="inlineStr">
        <is>
          <t>Oferta y ventas</t>
        </is>
      </c>
      <c r="B50" s="4" t="inlineStr">
        <is>
          <t>% registro → compra</t>
        </is>
      </c>
      <c r="C50" s="16">
        <f>IF(C6=0,"",IFERROR(C44/C24,0))</f>
        <v/>
      </c>
      <c r="D50" s="16">
        <f>IF(D6=0,"",IFERROR(D44/D24,0))</f>
        <v/>
      </c>
      <c r="E50" s="16">
        <f>IF(E6=0,"",IFERROR(E44/E24,0))</f>
        <v/>
      </c>
      <c r="F50" s="16">
        <f>IF(F6=0,"",IFERROR(F44/F24,0))</f>
        <v/>
      </c>
      <c r="G50" s="16">
        <f>IF(G6=0,"",IFERROR(G44/G24,0))</f>
        <v/>
      </c>
      <c r="H50" s="16">
        <f>IF(H6=0,"",IFERROR(H44/H24,0))</f>
        <v/>
      </c>
      <c r="I50" s="16">
        <f>IF(I6=0,"",IFERROR(I44/I24,0))</f>
        <v/>
      </c>
      <c r="J50" s="16">
        <f>IF(J6=0,"",IFERROR(J44/J24,0))</f>
        <v/>
      </c>
      <c r="K50" s="16">
        <f>IF(K6=0,"",IFERROR(K44/K24,0))</f>
        <v/>
      </c>
      <c r="L50" s="16">
        <f>IF(L6=0,"",IFERROR(L44/L24,0))</f>
        <v/>
      </c>
      <c r="M50" s="16">
        <f>IF(M6=0,"",IFERROR(M44/M24,0))</f>
        <v/>
      </c>
      <c r="N50" s="16">
        <f>IF(N6=0,"",IFERROR(N44/N24,0))</f>
        <v/>
      </c>
      <c r="O50" s="16">
        <f>IF(O6=0,"",IFERROR(O44/O24,0))</f>
        <v/>
      </c>
      <c r="P50" s="16">
        <f>IF(P6=0,"",IFERROR(P44/P24,0))</f>
        <v/>
      </c>
      <c r="Q50" s="16">
        <f>IF(Q6=0,"",IFERROR(Q44/Q24,0))</f>
        <v/>
      </c>
      <c r="R50" s="16">
        <f>IF(R6=0,"",IFERROR(R44/R24,0))</f>
        <v/>
      </c>
      <c r="S50" s="16">
        <f>IF(S6=0,"",IFERROR(S44/S24,0))</f>
        <v/>
      </c>
      <c r="T50" s="16">
        <f>IF(T6=0,"",IFERROR(T44/T24,0))</f>
        <v/>
      </c>
      <c r="U50" s="16">
        <f>IF(U6=0,"",IFERROR(U44/U24,0))</f>
        <v/>
      </c>
      <c r="V50" s="16">
        <f>IF(V6=0,"",IFERROR(V44/V24,0))</f>
        <v/>
      </c>
      <c r="W50" s="16">
        <f>IF(W6=0,"",IFERROR(W44/W24,0))</f>
        <v/>
      </c>
      <c r="X50" s="16">
        <f>IF(X6=0,"",IFERROR(X44/X24,0))</f>
        <v/>
      </c>
      <c r="Y50" s="16">
        <f>IF(Y6=0,"",IFERROR(Y44/Y24,0))</f>
        <v/>
      </c>
      <c r="Z50" s="16">
        <f>IF(Z6=0,"",IFERROR(Z44/Z24,0))</f>
        <v/>
      </c>
      <c r="AA50" s="16">
        <f>IF(AA6=0,"",IFERROR(AA44/AA24,0))</f>
        <v/>
      </c>
      <c r="AB50" s="16">
        <f>IF(AB6=0,"",IFERROR(AB44/AB24,0))</f>
        <v/>
      </c>
      <c r="AC50" s="16">
        <f>IFERROR(AVERAGE(C50:AB50),"")</f>
        <v/>
      </c>
      <c r="AD50" s="16">
        <f>IFERROR(MEDIAN(C50:AB50),"")</f>
        <v/>
      </c>
      <c r="AE50" s="16">
        <f>IFERROR(MAX(C50:AB50),"")</f>
        <v/>
      </c>
      <c r="AF50" s="16">
        <f>IFERROR(MIN(C50:AB50),"")</f>
        <v/>
      </c>
    </row>
    <row r="51">
      <c r="A51" t="inlineStr">
        <is>
          <t>Oferta y ventas</t>
        </is>
      </c>
      <c r="B51" s="4" t="inlineStr">
        <is>
          <t>CPA (costo por comprador)</t>
        </is>
      </c>
      <c r="C51" s="14">
        <f>IF(C6=0,"",IFERROR(C10/C44,0))</f>
        <v/>
      </c>
      <c r="D51" s="14">
        <f>IF(D6=0,"",IFERROR(D10/D44,0))</f>
        <v/>
      </c>
      <c r="E51" s="14">
        <f>IF(E6=0,"",IFERROR(E10/E44,0))</f>
        <v/>
      </c>
      <c r="F51" s="14">
        <f>IF(F6=0,"",IFERROR(F10/F44,0))</f>
        <v/>
      </c>
      <c r="G51" s="14">
        <f>IF(G6=0,"",IFERROR(G10/G44,0))</f>
        <v/>
      </c>
      <c r="H51" s="14">
        <f>IF(H6=0,"",IFERROR(H10/H44,0))</f>
        <v/>
      </c>
      <c r="I51" s="14">
        <f>IF(I6=0,"",IFERROR(I10/I44,0))</f>
        <v/>
      </c>
      <c r="J51" s="14">
        <f>IF(J6=0,"",IFERROR(J10/J44,0))</f>
        <v/>
      </c>
      <c r="K51" s="14">
        <f>IF(K6=0,"",IFERROR(K10/K44,0))</f>
        <v/>
      </c>
      <c r="L51" s="14">
        <f>IF(L6=0,"",IFERROR(L10/L44,0))</f>
        <v/>
      </c>
      <c r="M51" s="14">
        <f>IF(M6=0,"",IFERROR(M10/M44,0))</f>
        <v/>
      </c>
      <c r="N51" s="14">
        <f>IF(N6=0,"",IFERROR(N10/N44,0))</f>
        <v/>
      </c>
      <c r="O51" s="14">
        <f>IF(O6=0,"",IFERROR(O10/O44,0))</f>
        <v/>
      </c>
      <c r="P51" s="14">
        <f>IF(P6=0,"",IFERROR(P10/P44,0))</f>
        <v/>
      </c>
      <c r="Q51" s="14">
        <f>IF(Q6=0,"",IFERROR(Q10/Q44,0))</f>
        <v/>
      </c>
      <c r="R51" s="14">
        <f>IF(R6=0,"",IFERROR(R10/R44,0))</f>
        <v/>
      </c>
      <c r="S51" s="14">
        <f>IF(S6=0,"",IFERROR(S10/S44,0))</f>
        <v/>
      </c>
      <c r="T51" s="14">
        <f>IF(T6=0,"",IFERROR(T10/T44,0))</f>
        <v/>
      </c>
      <c r="U51" s="14">
        <f>IF(U6=0,"",IFERROR(U10/U44,0))</f>
        <v/>
      </c>
      <c r="V51" s="14">
        <f>IF(V6=0,"",IFERROR(V10/V44,0))</f>
        <v/>
      </c>
      <c r="W51" s="14">
        <f>IF(W6=0,"",IFERROR(W10/W44,0))</f>
        <v/>
      </c>
      <c r="X51" s="14">
        <f>IF(X6=0,"",IFERROR(X10/X44,0))</f>
        <v/>
      </c>
      <c r="Y51" s="14">
        <f>IF(Y6=0,"",IFERROR(Y10/Y44,0))</f>
        <v/>
      </c>
      <c r="Z51" s="14">
        <f>IF(Z6=0,"",IFERROR(Z10/Z44,0))</f>
        <v/>
      </c>
      <c r="AA51" s="14">
        <f>IF(AA6=0,"",IFERROR(AA10/AA44,0))</f>
        <v/>
      </c>
      <c r="AB51" s="14">
        <f>IF(AB6=0,"",IFERROR(AB10/AB44,0))</f>
        <v/>
      </c>
      <c r="AC51" s="14">
        <f>IFERROR(AVERAGE(C51:AB51),"")</f>
        <v/>
      </c>
      <c r="AD51" s="14">
        <f>IFERROR(MEDIAN(C51:AB51),"")</f>
        <v/>
      </c>
      <c r="AE51" s="14">
        <f>IFERROR(MIN(C51:AB51),"")</f>
        <v/>
      </c>
      <c r="AF51" s="14">
        <f>IFERROR(MAX(C51:AB51),"")</f>
        <v/>
      </c>
    </row>
    <row r="52">
      <c r="A52" t="inlineStr">
        <is>
          <t>Oferta y ventas</t>
        </is>
      </c>
      <c r="B52" s="4" t="inlineStr">
        <is>
          <t>% toman el bump</t>
        </is>
      </c>
      <c r="C52" s="17">
        <f>IF(C6=0,"",IFERROR(C45/C44,0))</f>
        <v/>
      </c>
      <c r="D52" s="17">
        <f>IF(D6=0,"",IFERROR(D45/D44,0))</f>
        <v/>
      </c>
      <c r="E52" s="17">
        <f>IF(E6=0,"",IFERROR(E45/E44,0))</f>
        <v/>
      </c>
      <c r="F52" s="17">
        <f>IF(F6=0,"",IFERROR(F45/F44,0))</f>
        <v/>
      </c>
      <c r="G52" s="17">
        <f>IF(G6=0,"",IFERROR(G45/G44,0))</f>
        <v/>
      </c>
      <c r="H52" s="17">
        <f>IF(H6=0,"",IFERROR(H45/H44,0))</f>
        <v/>
      </c>
      <c r="I52" s="17">
        <f>IF(I6=0,"",IFERROR(I45/I44,0))</f>
        <v/>
      </c>
      <c r="J52" s="17">
        <f>IF(J6=0,"",IFERROR(J45/J44,0))</f>
        <v/>
      </c>
      <c r="K52" s="17">
        <f>IF(K6=0,"",IFERROR(K45/K44,0))</f>
        <v/>
      </c>
      <c r="L52" s="17">
        <f>IF(L6=0,"",IFERROR(L45/L44,0))</f>
        <v/>
      </c>
      <c r="M52" s="17">
        <f>IF(M6=0,"",IFERROR(M45/M44,0))</f>
        <v/>
      </c>
      <c r="N52" s="17">
        <f>IF(N6=0,"",IFERROR(N45/N44,0))</f>
        <v/>
      </c>
      <c r="O52" s="17">
        <f>IF(O6=0,"",IFERROR(O45/O44,0))</f>
        <v/>
      </c>
      <c r="P52" s="17">
        <f>IF(P6=0,"",IFERROR(P45/P44,0))</f>
        <v/>
      </c>
      <c r="Q52" s="17">
        <f>IF(Q6=0,"",IFERROR(Q45/Q44,0))</f>
        <v/>
      </c>
      <c r="R52" s="17">
        <f>IF(R6=0,"",IFERROR(R45/R44,0))</f>
        <v/>
      </c>
      <c r="S52" s="17">
        <f>IF(S6=0,"",IFERROR(S45/S44,0))</f>
        <v/>
      </c>
      <c r="T52" s="17">
        <f>IF(T6=0,"",IFERROR(T45/T44,0))</f>
        <v/>
      </c>
      <c r="U52" s="17">
        <f>IF(U6=0,"",IFERROR(U45/U44,0))</f>
        <v/>
      </c>
      <c r="V52" s="17">
        <f>IF(V6=0,"",IFERROR(V45/V44,0))</f>
        <v/>
      </c>
      <c r="W52" s="17">
        <f>IF(W6=0,"",IFERROR(W45/W44,0))</f>
        <v/>
      </c>
      <c r="X52" s="17">
        <f>IF(X6=0,"",IFERROR(X45/X44,0))</f>
        <v/>
      </c>
      <c r="Y52" s="17">
        <f>IF(Y6=0,"",IFERROR(Y45/Y44,0))</f>
        <v/>
      </c>
      <c r="Z52" s="17">
        <f>IF(Z6=0,"",IFERROR(Z45/Z44,0))</f>
        <v/>
      </c>
      <c r="AA52" s="17">
        <f>IF(AA6=0,"",IFERROR(AA45/AA44,0))</f>
        <v/>
      </c>
      <c r="AB52" s="17">
        <f>IF(AB6=0,"",IFERROR(AB45/AB44,0))</f>
        <v/>
      </c>
      <c r="AC52" s="17">
        <f>IFERROR(AVERAGE(C52:AB52),"")</f>
        <v/>
      </c>
      <c r="AD52" s="17">
        <f>IFERROR(MEDIAN(C52:AB52),"")</f>
        <v/>
      </c>
      <c r="AE52" s="17">
        <f>IFERROR(MAX(C52:AB52),"")</f>
        <v/>
      </c>
      <c r="AF52" s="17">
        <f>IFERROR(MIN(C52:AB52),"")</f>
        <v/>
      </c>
    </row>
    <row r="53">
      <c r="A53" t="inlineStr">
        <is>
          <t>Oferta y ventas</t>
        </is>
      </c>
      <c r="B53" s="4" t="inlineStr">
        <is>
          <t>% pasan al programa</t>
        </is>
      </c>
      <c r="C53" s="17">
        <f>IF(C6=0,"",IFERROR(C46/C44,0))</f>
        <v/>
      </c>
      <c r="D53" s="17">
        <f>IF(D6=0,"",IFERROR(D46/D44,0))</f>
        <v/>
      </c>
      <c r="E53" s="17">
        <f>IF(E6=0,"",IFERROR(E46/E44,0))</f>
        <v/>
      </c>
      <c r="F53" s="17">
        <f>IF(F6=0,"",IFERROR(F46/F44,0))</f>
        <v/>
      </c>
      <c r="G53" s="17">
        <f>IF(G6=0,"",IFERROR(G46/G44,0))</f>
        <v/>
      </c>
      <c r="H53" s="17">
        <f>IF(H6=0,"",IFERROR(H46/H44,0))</f>
        <v/>
      </c>
      <c r="I53" s="17">
        <f>IF(I6=0,"",IFERROR(I46/I44,0))</f>
        <v/>
      </c>
      <c r="J53" s="17">
        <f>IF(J6=0,"",IFERROR(J46/J44,0))</f>
        <v/>
      </c>
      <c r="K53" s="17">
        <f>IF(K6=0,"",IFERROR(K46/K44,0))</f>
        <v/>
      </c>
      <c r="L53" s="17">
        <f>IF(L6=0,"",IFERROR(L46/L44,0))</f>
        <v/>
      </c>
      <c r="M53" s="17">
        <f>IF(M6=0,"",IFERROR(M46/M44,0))</f>
        <v/>
      </c>
      <c r="N53" s="17">
        <f>IF(N6=0,"",IFERROR(N46/N44,0))</f>
        <v/>
      </c>
      <c r="O53" s="17">
        <f>IF(O6=0,"",IFERROR(O46/O44,0))</f>
        <v/>
      </c>
      <c r="P53" s="17">
        <f>IF(P6=0,"",IFERROR(P46/P44,0))</f>
        <v/>
      </c>
      <c r="Q53" s="17">
        <f>IF(Q6=0,"",IFERROR(Q46/Q44,0))</f>
        <v/>
      </c>
      <c r="R53" s="17">
        <f>IF(R6=0,"",IFERROR(R46/R44,0))</f>
        <v/>
      </c>
      <c r="S53" s="17">
        <f>IF(S6=0,"",IFERROR(S46/S44,0))</f>
        <v/>
      </c>
      <c r="T53" s="17">
        <f>IF(T6=0,"",IFERROR(T46/T44,0))</f>
        <v/>
      </c>
      <c r="U53" s="17">
        <f>IF(U6=0,"",IFERROR(U46/U44,0))</f>
        <v/>
      </c>
      <c r="V53" s="17">
        <f>IF(V6=0,"",IFERROR(V46/V44,0))</f>
        <v/>
      </c>
      <c r="W53" s="17">
        <f>IF(W6=0,"",IFERROR(W46/W44,0))</f>
        <v/>
      </c>
      <c r="X53" s="17">
        <f>IF(X6=0,"",IFERROR(X46/X44,0))</f>
        <v/>
      </c>
      <c r="Y53" s="17">
        <f>IF(Y6=0,"",IFERROR(Y46/Y44,0))</f>
        <v/>
      </c>
      <c r="Z53" s="17">
        <f>IF(Z6=0,"",IFERROR(Z46/Z44,0))</f>
        <v/>
      </c>
      <c r="AA53" s="17">
        <f>IF(AA6=0,"",IFERROR(AA46/AA44,0))</f>
        <v/>
      </c>
      <c r="AB53" s="17">
        <f>IF(AB6=0,"",IFERROR(AB46/AB44,0))</f>
        <v/>
      </c>
      <c r="AC53" s="17">
        <f>IFERROR(AVERAGE(C53:AB53),"")</f>
        <v/>
      </c>
      <c r="AD53" s="17">
        <f>IFERROR(MEDIAN(C53:AB53),"")</f>
        <v/>
      </c>
      <c r="AE53" s="17">
        <f>IFERROR(MAX(C53:AB53),"")</f>
        <v/>
      </c>
      <c r="AF53" s="17">
        <f>IFERROR(MIN(C53:AB53),"")</f>
        <v/>
      </c>
    </row>
    <row r="54">
      <c r="A54" t="inlineStr">
        <is>
          <t>Oferta y ventas</t>
        </is>
      </c>
      <c r="B54" s="4" t="inlineStr">
        <is>
          <t>Order value (facturado por comprador)</t>
        </is>
      </c>
      <c r="C54" s="14">
        <f>IF(C6=0,"",IFERROR(C57/C44,0))</f>
        <v/>
      </c>
      <c r="D54" s="14">
        <f>IF(D6=0,"",IFERROR(D57/D44,0))</f>
        <v/>
      </c>
      <c r="E54" s="14">
        <f>IF(E6=0,"",IFERROR(E57/E44,0))</f>
        <v/>
      </c>
      <c r="F54" s="14">
        <f>IF(F6=0,"",IFERROR(F57/F44,0))</f>
        <v/>
      </c>
      <c r="G54" s="14">
        <f>IF(G6=0,"",IFERROR(G57/G44,0))</f>
        <v/>
      </c>
      <c r="H54" s="14">
        <f>IF(H6=0,"",IFERROR(H57/H44,0))</f>
        <v/>
      </c>
      <c r="I54" s="14">
        <f>IF(I6=0,"",IFERROR(I57/I44,0))</f>
        <v/>
      </c>
      <c r="J54" s="14">
        <f>IF(J6=0,"",IFERROR(J57/J44,0))</f>
        <v/>
      </c>
      <c r="K54" s="14">
        <f>IF(K6=0,"",IFERROR(K57/K44,0))</f>
        <v/>
      </c>
      <c r="L54" s="14">
        <f>IF(L6=0,"",IFERROR(L57/L44,0))</f>
        <v/>
      </c>
      <c r="M54" s="14">
        <f>IF(M6=0,"",IFERROR(M57/M44,0))</f>
        <v/>
      </c>
      <c r="N54" s="14">
        <f>IF(N6=0,"",IFERROR(N57/N44,0))</f>
        <v/>
      </c>
      <c r="O54" s="14">
        <f>IF(O6=0,"",IFERROR(O57/O44,0))</f>
        <v/>
      </c>
      <c r="P54" s="14">
        <f>IF(P6=0,"",IFERROR(P57/P44,0))</f>
        <v/>
      </c>
      <c r="Q54" s="14">
        <f>IF(Q6=0,"",IFERROR(Q57/Q44,0))</f>
        <v/>
      </c>
      <c r="R54" s="14">
        <f>IF(R6=0,"",IFERROR(R57/R44,0))</f>
        <v/>
      </c>
      <c r="S54" s="14">
        <f>IF(S6=0,"",IFERROR(S57/S44,0))</f>
        <v/>
      </c>
      <c r="T54" s="14">
        <f>IF(T6=0,"",IFERROR(T57/T44,0))</f>
        <v/>
      </c>
      <c r="U54" s="14">
        <f>IF(U6=0,"",IFERROR(U57/U44,0))</f>
        <v/>
      </c>
      <c r="V54" s="14">
        <f>IF(V6=0,"",IFERROR(V57/V44,0))</f>
        <v/>
      </c>
      <c r="W54" s="14">
        <f>IF(W6=0,"",IFERROR(W57/W44,0))</f>
        <v/>
      </c>
      <c r="X54" s="14">
        <f>IF(X6=0,"",IFERROR(X57/X44,0))</f>
        <v/>
      </c>
      <c r="Y54" s="14">
        <f>IF(Y6=0,"",IFERROR(Y57/Y44,0))</f>
        <v/>
      </c>
      <c r="Z54" s="14">
        <f>IF(Z6=0,"",IFERROR(Z57/Z44,0))</f>
        <v/>
      </c>
      <c r="AA54" s="14">
        <f>IF(AA6=0,"",IFERROR(AA57/AA44,0))</f>
        <v/>
      </c>
      <c r="AB54" s="14">
        <f>IF(AB6=0,"",IFERROR(AB57/AB44,0))</f>
        <v/>
      </c>
      <c r="AC54" s="14">
        <f>IFERROR(AVERAGE(C54:AB54),"")</f>
        <v/>
      </c>
      <c r="AD54" s="14">
        <f>IFERROR(MEDIAN(C54:AB54),"")</f>
        <v/>
      </c>
      <c r="AE54" s="14">
        <f>IFERROR(MAX(C54:AB54),"")</f>
        <v/>
      </c>
      <c r="AF54" s="14">
        <f>IFERROR(MIN(C54:AB54),"")</f>
        <v/>
      </c>
    </row>
    <row r="56">
      <c r="A56" s="22" t="inlineStr">
        <is>
          <t>5. Resultado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</row>
    <row r="57">
      <c r="A57" t="inlineStr">
        <is>
          <t>Resultado</t>
        </is>
      </c>
      <c r="B57" s="4" t="inlineStr">
        <is>
          <t>Facturado (oferta + bump + programa)</t>
        </is>
      </c>
      <c r="C57" s="19">
        <f>IF(C6=0,"",IFERROR(C44*Config!$C$7+C45*Config!$C$8+C46*Config!$C$9,0))</f>
        <v/>
      </c>
      <c r="D57" s="19">
        <f>IF(D6=0,"",IFERROR(D44*Config!$C$7+D45*Config!$C$8+D46*Config!$C$9,0))</f>
        <v/>
      </c>
      <c r="E57" s="19">
        <f>IF(E6=0,"",IFERROR(E44*Config!$C$7+E45*Config!$C$8+E46*Config!$C$9,0))</f>
        <v/>
      </c>
      <c r="F57" s="19">
        <f>IF(F6=0,"",IFERROR(F44*Config!$C$7+F45*Config!$C$8+F46*Config!$C$9,0))</f>
        <v/>
      </c>
      <c r="G57" s="19">
        <f>IF(G6=0,"",IFERROR(G44*Config!$C$7+G45*Config!$C$8+G46*Config!$C$9,0))</f>
        <v/>
      </c>
      <c r="H57" s="19">
        <f>IF(H6=0,"",IFERROR(H44*Config!$C$7+H45*Config!$C$8+H46*Config!$C$9,0))</f>
        <v/>
      </c>
      <c r="I57" s="19">
        <f>IF(I6=0,"",IFERROR(I44*Config!$C$7+I45*Config!$C$8+I46*Config!$C$9,0))</f>
        <v/>
      </c>
      <c r="J57" s="19">
        <f>IF(J6=0,"",IFERROR(J44*Config!$C$7+J45*Config!$C$8+J46*Config!$C$9,0))</f>
        <v/>
      </c>
      <c r="K57" s="19">
        <f>IF(K6=0,"",IFERROR(K44*Config!$C$7+K45*Config!$C$8+K46*Config!$C$9,0))</f>
        <v/>
      </c>
      <c r="L57" s="19">
        <f>IF(L6=0,"",IFERROR(L44*Config!$C$7+L45*Config!$C$8+L46*Config!$C$9,0))</f>
        <v/>
      </c>
      <c r="M57" s="19">
        <f>IF(M6=0,"",IFERROR(M44*Config!$C$7+M45*Config!$C$8+M46*Config!$C$9,0))</f>
        <v/>
      </c>
      <c r="N57" s="19">
        <f>IF(N6=0,"",IFERROR(N44*Config!$C$7+N45*Config!$C$8+N46*Config!$C$9,0))</f>
        <v/>
      </c>
      <c r="O57" s="19">
        <f>IF(O6=0,"",IFERROR(O44*Config!$C$7+O45*Config!$C$8+O46*Config!$C$9,0))</f>
        <v/>
      </c>
      <c r="P57" s="19">
        <f>IF(P6=0,"",IFERROR(P44*Config!$C$7+P45*Config!$C$8+P46*Config!$C$9,0))</f>
        <v/>
      </c>
      <c r="Q57" s="19">
        <f>IF(Q6=0,"",IFERROR(Q44*Config!$C$7+Q45*Config!$C$8+Q46*Config!$C$9,0))</f>
        <v/>
      </c>
      <c r="R57" s="19">
        <f>IF(R6=0,"",IFERROR(R44*Config!$C$7+R45*Config!$C$8+R46*Config!$C$9,0))</f>
        <v/>
      </c>
      <c r="S57" s="19">
        <f>IF(S6=0,"",IFERROR(S44*Config!$C$7+S45*Config!$C$8+S46*Config!$C$9,0))</f>
        <v/>
      </c>
      <c r="T57" s="19">
        <f>IF(T6=0,"",IFERROR(T44*Config!$C$7+T45*Config!$C$8+T46*Config!$C$9,0))</f>
        <v/>
      </c>
      <c r="U57" s="19">
        <f>IF(U6=0,"",IFERROR(U44*Config!$C$7+U45*Config!$C$8+U46*Config!$C$9,0))</f>
        <v/>
      </c>
      <c r="V57" s="19">
        <f>IF(V6=0,"",IFERROR(V44*Config!$C$7+V45*Config!$C$8+V46*Config!$C$9,0))</f>
        <v/>
      </c>
      <c r="W57" s="19">
        <f>IF(W6=0,"",IFERROR(W44*Config!$C$7+W45*Config!$C$8+W46*Config!$C$9,0))</f>
        <v/>
      </c>
      <c r="X57" s="19">
        <f>IF(X6=0,"",IFERROR(X44*Config!$C$7+X45*Config!$C$8+X46*Config!$C$9,0))</f>
        <v/>
      </c>
      <c r="Y57" s="19">
        <f>IF(Y6=0,"",IFERROR(Y44*Config!$C$7+Y45*Config!$C$8+Y46*Config!$C$9,0))</f>
        <v/>
      </c>
      <c r="Z57" s="19">
        <f>IF(Z6=0,"",IFERROR(Z44*Config!$C$7+Z45*Config!$C$8+Z46*Config!$C$9,0))</f>
        <v/>
      </c>
      <c r="AA57" s="19">
        <f>IF(AA6=0,"",IFERROR(AA44*Config!$C$7+AA45*Config!$C$8+AA46*Config!$C$9,0))</f>
        <v/>
      </c>
      <c r="AB57" s="19">
        <f>IF(AB6=0,"",IFERROR(AB44*Config!$C$7+AB45*Config!$C$8+AB46*Config!$C$9,0))</f>
        <v/>
      </c>
      <c r="AC57" s="19">
        <f>IFERROR(AVERAGE(C57:AB57),"")</f>
        <v/>
      </c>
      <c r="AD57" s="19">
        <f>IFERROR(MEDIAN(C57:AB57),"")</f>
        <v/>
      </c>
      <c r="AE57" s="19">
        <f>IFERROR(MAX(C57:AB57),"")</f>
        <v/>
      </c>
      <c r="AF57" s="19">
        <f>IFERROR(MIN(C57:AB57),"")</f>
        <v/>
      </c>
    </row>
    <row r="58">
      <c r="A58" t="inlineStr">
        <is>
          <t>Resultado</t>
        </is>
      </c>
      <c r="B58" s="4" t="inlineStr">
        <is>
          <t>Cash neto (después de comisiones y reembolsos)</t>
        </is>
      </c>
      <c r="C58" s="19">
        <f>IF(C6=0,"",IFERROR(C57*(1-Config!$C$10-Config!$C$11-Config!$C$12),0))</f>
        <v/>
      </c>
      <c r="D58" s="19">
        <f>IF(D6=0,"",IFERROR(D57*(1-Config!$C$10-Config!$C$11-Config!$C$12),0))</f>
        <v/>
      </c>
      <c r="E58" s="19">
        <f>IF(E6=0,"",IFERROR(E57*(1-Config!$C$10-Config!$C$11-Config!$C$12),0))</f>
        <v/>
      </c>
      <c r="F58" s="19">
        <f>IF(F6=0,"",IFERROR(F57*(1-Config!$C$10-Config!$C$11-Config!$C$12),0))</f>
        <v/>
      </c>
      <c r="G58" s="19">
        <f>IF(G6=0,"",IFERROR(G57*(1-Config!$C$10-Config!$C$11-Config!$C$12),0))</f>
        <v/>
      </c>
      <c r="H58" s="19">
        <f>IF(H6=0,"",IFERROR(H57*(1-Config!$C$10-Config!$C$11-Config!$C$12),0))</f>
        <v/>
      </c>
      <c r="I58" s="19">
        <f>IF(I6=0,"",IFERROR(I57*(1-Config!$C$10-Config!$C$11-Config!$C$12),0))</f>
        <v/>
      </c>
      <c r="J58" s="19">
        <f>IF(J6=0,"",IFERROR(J57*(1-Config!$C$10-Config!$C$11-Config!$C$12),0))</f>
        <v/>
      </c>
      <c r="K58" s="19">
        <f>IF(K6=0,"",IFERROR(K57*(1-Config!$C$10-Config!$C$11-Config!$C$12),0))</f>
        <v/>
      </c>
      <c r="L58" s="19">
        <f>IF(L6=0,"",IFERROR(L57*(1-Config!$C$10-Config!$C$11-Config!$C$12),0))</f>
        <v/>
      </c>
      <c r="M58" s="19">
        <f>IF(M6=0,"",IFERROR(M57*(1-Config!$C$10-Config!$C$11-Config!$C$12),0))</f>
        <v/>
      </c>
      <c r="N58" s="19">
        <f>IF(N6=0,"",IFERROR(N57*(1-Config!$C$10-Config!$C$11-Config!$C$12),0))</f>
        <v/>
      </c>
      <c r="O58" s="19">
        <f>IF(O6=0,"",IFERROR(O57*(1-Config!$C$10-Config!$C$11-Config!$C$12),0))</f>
        <v/>
      </c>
      <c r="P58" s="19">
        <f>IF(P6=0,"",IFERROR(P57*(1-Config!$C$10-Config!$C$11-Config!$C$12),0))</f>
        <v/>
      </c>
      <c r="Q58" s="19">
        <f>IF(Q6=0,"",IFERROR(Q57*(1-Config!$C$10-Config!$C$11-Config!$C$12),0))</f>
        <v/>
      </c>
      <c r="R58" s="19">
        <f>IF(R6=0,"",IFERROR(R57*(1-Config!$C$10-Config!$C$11-Config!$C$12),0))</f>
        <v/>
      </c>
      <c r="S58" s="19">
        <f>IF(S6=0,"",IFERROR(S57*(1-Config!$C$10-Config!$C$11-Config!$C$12),0))</f>
        <v/>
      </c>
      <c r="T58" s="19">
        <f>IF(T6=0,"",IFERROR(T57*(1-Config!$C$10-Config!$C$11-Config!$C$12),0))</f>
        <v/>
      </c>
      <c r="U58" s="19">
        <f>IF(U6=0,"",IFERROR(U57*(1-Config!$C$10-Config!$C$11-Config!$C$12),0))</f>
        <v/>
      </c>
      <c r="V58" s="19">
        <f>IF(V6=0,"",IFERROR(V57*(1-Config!$C$10-Config!$C$11-Config!$C$12),0))</f>
        <v/>
      </c>
      <c r="W58" s="19">
        <f>IF(W6=0,"",IFERROR(W57*(1-Config!$C$10-Config!$C$11-Config!$C$12),0))</f>
        <v/>
      </c>
      <c r="X58" s="19">
        <f>IF(X6=0,"",IFERROR(X57*(1-Config!$C$10-Config!$C$11-Config!$C$12),0))</f>
        <v/>
      </c>
      <c r="Y58" s="19">
        <f>IF(Y6=0,"",IFERROR(Y57*(1-Config!$C$10-Config!$C$11-Config!$C$12),0))</f>
        <v/>
      </c>
      <c r="Z58" s="19">
        <f>IF(Z6=0,"",IFERROR(Z57*(1-Config!$C$10-Config!$C$11-Config!$C$12),0))</f>
        <v/>
      </c>
      <c r="AA58" s="19">
        <f>IF(AA6=0,"",IFERROR(AA57*(1-Config!$C$10-Config!$C$11-Config!$C$12),0))</f>
        <v/>
      </c>
      <c r="AB58" s="19">
        <f>IF(AB6=0,"",IFERROR(AB57*(1-Config!$C$10-Config!$C$11-Config!$C$12),0))</f>
        <v/>
      </c>
      <c r="AC58" s="19">
        <f>IFERROR(AVERAGE(C58:AB58),"")</f>
        <v/>
      </c>
      <c r="AD58" s="19">
        <f>IFERROR(MEDIAN(C58:AB58),"")</f>
        <v/>
      </c>
      <c r="AE58" s="19">
        <f>IFERROR(MAX(C58:AB58),"")</f>
        <v/>
      </c>
      <c r="AF58" s="19">
        <f>IFERROR(MIN(C58:AB58),"")</f>
        <v/>
      </c>
    </row>
    <row r="59">
      <c r="A59" t="inlineStr">
        <is>
          <t>Resultado</t>
        </is>
      </c>
      <c r="B59" s="4" t="inlineStr">
        <is>
          <t>Ganancia (cash neto − pauta − fijos)</t>
        </is>
      </c>
      <c r="C59" s="19">
        <f>IF(C6=0,"",IFERROR(C58-C10-Config!$C$13*7,0))</f>
        <v/>
      </c>
      <c r="D59" s="19">
        <f>IF(D6=0,"",IFERROR(D58-D10-Config!$C$13*7,0))</f>
        <v/>
      </c>
      <c r="E59" s="19">
        <f>IF(E6=0,"",IFERROR(E58-E10-Config!$C$13*7,0))</f>
        <v/>
      </c>
      <c r="F59" s="19">
        <f>IF(F6=0,"",IFERROR(F58-F10-Config!$C$13*7,0))</f>
        <v/>
      </c>
      <c r="G59" s="19">
        <f>IF(G6=0,"",IFERROR(G58-G10-Config!$C$13*7,0))</f>
        <v/>
      </c>
      <c r="H59" s="19">
        <f>IF(H6=0,"",IFERROR(H58-H10-Config!$C$13*7,0))</f>
        <v/>
      </c>
      <c r="I59" s="19">
        <f>IF(I6=0,"",IFERROR(I58-I10-Config!$C$13*7,0))</f>
        <v/>
      </c>
      <c r="J59" s="19">
        <f>IF(J6=0,"",IFERROR(J58-J10-Config!$C$13*7,0))</f>
        <v/>
      </c>
      <c r="K59" s="19">
        <f>IF(K6=0,"",IFERROR(K58-K10-Config!$C$13*7,0))</f>
        <v/>
      </c>
      <c r="L59" s="19">
        <f>IF(L6=0,"",IFERROR(L58-L10-Config!$C$13*7,0))</f>
        <v/>
      </c>
      <c r="M59" s="19">
        <f>IF(M6=0,"",IFERROR(M58-M10-Config!$C$13*7,0))</f>
        <v/>
      </c>
      <c r="N59" s="19">
        <f>IF(N6=0,"",IFERROR(N58-N10-Config!$C$13*7,0))</f>
        <v/>
      </c>
      <c r="O59" s="19">
        <f>IF(O6=0,"",IFERROR(O58-O10-Config!$C$13*7,0))</f>
        <v/>
      </c>
      <c r="P59" s="19">
        <f>IF(P6=0,"",IFERROR(P58-P10-Config!$C$13*7,0))</f>
        <v/>
      </c>
      <c r="Q59" s="19">
        <f>IF(Q6=0,"",IFERROR(Q58-Q10-Config!$C$13*7,0))</f>
        <v/>
      </c>
      <c r="R59" s="19">
        <f>IF(R6=0,"",IFERROR(R58-R10-Config!$C$13*7,0))</f>
        <v/>
      </c>
      <c r="S59" s="19">
        <f>IF(S6=0,"",IFERROR(S58-S10-Config!$C$13*7,0))</f>
        <v/>
      </c>
      <c r="T59" s="19">
        <f>IF(T6=0,"",IFERROR(T58-T10-Config!$C$13*7,0))</f>
        <v/>
      </c>
      <c r="U59" s="19">
        <f>IF(U6=0,"",IFERROR(U58-U10-Config!$C$13*7,0))</f>
        <v/>
      </c>
      <c r="V59" s="19">
        <f>IF(V6=0,"",IFERROR(V58-V10-Config!$C$13*7,0))</f>
        <v/>
      </c>
      <c r="W59" s="19">
        <f>IF(W6=0,"",IFERROR(W58-W10-Config!$C$13*7,0))</f>
        <v/>
      </c>
      <c r="X59" s="19">
        <f>IF(X6=0,"",IFERROR(X58-X10-Config!$C$13*7,0))</f>
        <v/>
      </c>
      <c r="Y59" s="19">
        <f>IF(Y6=0,"",IFERROR(Y58-Y10-Config!$C$13*7,0))</f>
        <v/>
      </c>
      <c r="Z59" s="19">
        <f>IF(Z6=0,"",IFERROR(Z58-Z10-Config!$C$13*7,0))</f>
        <v/>
      </c>
      <c r="AA59" s="19">
        <f>IF(AA6=0,"",IFERROR(AA58-AA10-Config!$C$13*7,0))</f>
        <v/>
      </c>
      <c r="AB59" s="19">
        <f>IF(AB6=0,"",IFERROR(AB58-AB10-Config!$C$13*7,0))</f>
        <v/>
      </c>
      <c r="AC59" s="19">
        <f>IFERROR(AVERAGE(C59:AB59),"")</f>
        <v/>
      </c>
      <c r="AD59" s="19">
        <f>IFERROR(MEDIAN(C59:AB59),"")</f>
        <v/>
      </c>
      <c r="AE59" s="19">
        <f>IFERROR(MAX(C59:AB59),"")</f>
        <v/>
      </c>
      <c r="AF59" s="19">
        <f>IFERROR(MIN(C59:AB59),"")</f>
        <v/>
      </c>
    </row>
    <row r="60">
      <c r="A60" t="inlineStr">
        <is>
          <t>Resultado</t>
        </is>
      </c>
      <c r="B60" s="24" t="inlineStr">
        <is>
          <t>ROAS sobre cash neto</t>
        </is>
      </c>
      <c r="C60" s="20">
        <f>IF(C6=0,"",IFERROR(C58/C10,0))</f>
        <v/>
      </c>
      <c r="D60" s="20">
        <f>IF(D6=0,"",IFERROR(D58/D10,0))</f>
        <v/>
      </c>
      <c r="E60" s="20">
        <f>IF(E6=0,"",IFERROR(E58/E10,0))</f>
        <v/>
      </c>
      <c r="F60" s="20">
        <f>IF(F6=0,"",IFERROR(F58/F10,0))</f>
        <v/>
      </c>
      <c r="G60" s="20">
        <f>IF(G6=0,"",IFERROR(G58/G10,0))</f>
        <v/>
      </c>
      <c r="H60" s="20">
        <f>IF(H6=0,"",IFERROR(H58/H10,0))</f>
        <v/>
      </c>
      <c r="I60" s="20">
        <f>IF(I6=0,"",IFERROR(I58/I10,0))</f>
        <v/>
      </c>
      <c r="J60" s="20">
        <f>IF(J6=0,"",IFERROR(J58/J10,0))</f>
        <v/>
      </c>
      <c r="K60" s="20">
        <f>IF(K6=0,"",IFERROR(K58/K10,0))</f>
        <v/>
      </c>
      <c r="L60" s="20">
        <f>IF(L6=0,"",IFERROR(L58/L10,0))</f>
        <v/>
      </c>
      <c r="M60" s="20">
        <f>IF(M6=0,"",IFERROR(M58/M10,0))</f>
        <v/>
      </c>
      <c r="N60" s="20">
        <f>IF(N6=0,"",IFERROR(N58/N10,0))</f>
        <v/>
      </c>
      <c r="O60" s="20">
        <f>IF(O6=0,"",IFERROR(O58/O10,0))</f>
        <v/>
      </c>
      <c r="P60" s="20">
        <f>IF(P6=0,"",IFERROR(P58/P10,0))</f>
        <v/>
      </c>
      <c r="Q60" s="20">
        <f>IF(Q6=0,"",IFERROR(Q58/Q10,0))</f>
        <v/>
      </c>
      <c r="R60" s="20">
        <f>IF(R6=0,"",IFERROR(R58/R10,0))</f>
        <v/>
      </c>
      <c r="S60" s="20">
        <f>IF(S6=0,"",IFERROR(S58/S10,0))</f>
        <v/>
      </c>
      <c r="T60" s="20">
        <f>IF(T6=0,"",IFERROR(T58/T10,0))</f>
        <v/>
      </c>
      <c r="U60" s="20">
        <f>IF(U6=0,"",IFERROR(U58/U10,0))</f>
        <v/>
      </c>
      <c r="V60" s="20">
        <f>IF(V6=0,"",IFERROR(V58/V10,0))</f>
        <v/>
      </c>
      <c r="W60" s="20">
        <f>IF(W6=0,"",IFERROR(W58/W10,0))</f>
        <v/>
      </c>
      <c r="X60" s="20">
        <f>IF(X6=0,"",IFERROR(X58/X10,0))</f>
        <v/>
      </c>
      <c r="Y60" s="20">
        <f>IF(Y6=0,"",IFERROR(Y58/Y10,0))</f>
        <v/>
      </c>
      <c r="Z60" s="20">
        <f>IF(Z6=0,"",IFERROR(Z58/Z10,0))</f>
        <v/>
      </c>
      <c r="AA60" s="20">
        <f>IF(AA6=0,"",IFERROR(AA58/AA10,0))</f>
        <v/>
      </c>
      <c r="AB60" s="20">
        <f>IF(AB6=0,"",IFERROR(AB58/AB10,0))</f>
        <v/>
      </c>
      <c r="AC60" s="20">
        <f>IFERROR(AVERAGE(C60:AB60),"")</f>
        <v/>
      </c>
      <c r="AD60" s="20">
        <f>IFERROR(MEDIAN(C60:AB60),"")</f>
        <v/>
      </c>
      <c r="AE60" s="20">
        <f>IFERROR(MAX(C60:AB60),"")</f>
        <v/>
      </c>
      <c r="AF60" s="20">
        <f>IFERROR(MIN(C60:AB60),"")</f>
        <v/>
      </c>
    </row>
    <row r="61">
      <c r="A61" t="inlineStr">
        <is>
          <t>Resultado</t>
        </is>
      </c>
      <c r="B61" s="24" t="inlineStr">
        <is>
          <t>Ganancia por visita (la métrica más valiosa)</t>
        </is>
      </c>
      <c r="C61" s="14">
        <f>IF(C6=0,"",IFERROR(C59/C14,0))</f>
        <v/>
      </c>
      <c r="D61" s="14">
        <f>IF(D6=0,"",IFERROR(D59/D14,0))</f>
        <v/>
      </c>
      <c r="E61" s="14">
        <f>IF(E6=0,"",IFERROR(E59/E14,0))</f>
        <v/>
      </c>
      <c r="F61" s="14">
        <f>IF(F6=0,"",IFERROR(F59/F14,0))</f>
        <v/>
      </c>
      <c r="G61" s="14">
        <f>IF(G6=0,"",IFERROR(G59/G14,0))</f>
        <v/>
      </c>
      <c r="H61" s="14">
        <f>IF(H6=0,"",IFERROR(H59/H14,0))</f>
        <v/>
      </c>
      <c r="I61" s="14">
        <f>IF(I6=0,"",IFERROR(I59/I14,0))</f>
        <v/>
      </c>
      <c r="J61" s="14">
        <f>IF(J6=0,"",IFERROR(J59/J14,0))</f>
        <v/>
      </c>
      <c r="K61" s="14">
        <f>IF(K6=0,"",IFERROR(K59/K14,0))</f>
        <v/>
      </c>
      <c r="L61" s="14">
        <f>IF(L6=0,"",IFERROR(L59/L14,0))</f>
        <v/>
      </c>
      <c r="M61" s="14">
        <f>IF(M6=0,"",IFERROR(M59/M14,0))</f>
        <v/>
      </c>
      <c r="N61" s="14">
        <f>IF(N6=0,"",IFERROR(N59/N14,0))</f>
        <v/>
      </c>
      <c r="O61" s="14">
        <f>IF(O6=0,"",IFERROR(O59/O14,0))</f>
        <v/>
      </c>
      <c r="P61" s="14">
        <f>IF(P6=0,"",IFERROR(P59/P14,0))</f>
        <v/>
      </c>
      <c r="Q61" s="14">
        <f>IF(Q6=0,"",IFERROR(Q59/Q14,0))</f>
        <v/>
      </c>
      <c r="R61" s="14">
        <f>IF(R6=0,"",IFERROR(R59/R14,0))</f>
        <v/>
      </c>
      <c r="S61" s="14">
        <f>IF(S6=0,"",IFERROR(S59/S14,0))</f>
        <v/>
      </c>
      <c r="T61" s="14">
        <f>IF(T6=0,"",IFERROR(T59/T14,0))</f>
        <v/>
      </c>
      <c r="U61" s="14">
        <f>IF(U6=0,"",IFERROR(U59/U14,0))</f>
        <v/>
      </c>
      <c r="V61" s="14">
        <f>IF(V6=0,"",IFERROR(V59/V14,0))</f>
        <v/>
      </c>
      <c r="W61" s="14">
        <f>IF(W6=0,"",IFERROR(W59/W14,0))</f>
        <v/>
      </c>
      <c r="X61" s="14">
        <f>IF(X6=0,"",IFERROR(X59/X14,0))</f>
        <v/>
      </c>
      <c r="Y61" s="14">
        <f>IF(Y6=0,"",IFERROR(Y59/Y14,0))</f>
        <v/>
      </c>
      <c r="Z61" s="14">
        <f>IF(Z6=0,"",IFERROR(Z59/Z14,0))</f>
        <v/>
      </c>
      <c r="AA61" s="14">
        <f>IF(AA6=0,"",IFERROR(AA59/AA14,0))</f>
        <v/>
      </c>
      <c r="AB61" s="14">
        <f>IF(AB6=0,"",IFERROR(AB59/AB14,0))</f>
        <v/>
      </c>
      <c r="AC61" s="14">
        <f>IFERROR(AVERAGE(C61:AB61),"")</f>
        <v/>
      </c>
      <c r="AD61" s="14">
        <f>IFERROR(MEDIAN(C61:AB61),"")</f>
        <v/>
      </c>
      <c r="AE61" s="14">
        <f>IFERROR(MAX(C61:AB61),"")</f>
        <v/>
      </c>
      <c r="AF61" s="14">
        <f>IFERROR(MIN(C61:AB61),"")</f>
        <v/>
      </c>
    </row>
    <row r="62">
      <c r="A62" t="inlineStr">
        <is>
          <t>Resultado</t>
        </is>
      </c>
      <c r="B62" s="4" t="inlineStr">
        <is>
          <t>Margen por visita (ganancia por visita ÷ costo por visita)</t>
        </is>
      </c>
      <c r="C62" s="20">
        <f>IF(C6=0,"",IFERROR(C61/C20,0))</f>
        <v/>
      </c>
      <c r="D62" s="20">
        <f>IF(D6=0,"",IFERROR(D61/D20,0))</f>
        <v/>
      </c>
      <c r="E62" s="20">
        <f>IF(E6=0,"",IFERROR(E61/E20,0))</f>
        <v/>
      </c>
      <c r="F62" s="20">
        <f>IF(F6=0,"",IFERROR(F61/F20,0))</f>
        <v/>
      </c>
      <c r="G62" s="20">
        <f>IF(G6=0,"",IFERROR(G61/G20,0))</f>
        <v/>
      </c>
      <c r="H62" s="20">
        <f>IF(H6=0,"",IFERROR(H61/H20,0))</f>
        <v/>
      </c>
      <c r="I62" s="20">
        <f>IF(I6=0,"",IFERROR(I61/I20,0))</f>
        <v/>
      </c>
      <c r="J62" s="20">
        <f>IF(J6=0,"",IFERROR(J61/J20,0))</f>
        <v/>
      </c>
      <c r="K62" s="20">
        <f>IF(K6=0,"",IFERROR(K61/K20,0))</f>
        <v/>
      </c>
      <c r="L62" s="20">
        <f>IF(L6=0,"",IFERROR(L61/L20,0))</f>
        <v/>
      </c>
      <c r="M62" s="20">
        <f>IF(M6=0,"",IFERROR(M61/M20,0))</f>
        <v/>
      </c>
      <c r="N62" s="20">
        <f>IF(N6=0,"",IFERROR(N61/N20,0))</f>
        <v/>
      </c>
      <c r="O62" s="20">
        <f>IF(O6=0,"",IFERROR(O61/O20,0))</f>
        <v/>
      </c>
      <c r="P62" s="20">
        <f>IF(P6=0,"",IFERROR(P61/P20,0))</f>
        <v/>
      </c>
      <c r="Q62" s="20">
        <f>IF(Q6=0,"",IFERROR(Q61/Q20,0))</f>
        <v/>
      </c>
      <c r="R62" s="20">
        <f>IF(R6=0,"",IFERROR(R61/R20,0))</f>
        <v/>
      </c>
      <c r="S62" s="20">
        <f>IF(S6=0,"",IFERROR(S61/S20,0))</f>
        <v/>
      </c>
      <c r="T62" s="20">
        <f>IF(T6=0,"",IFERROR(T61/T20,0))</f>
        <v/>
      </c>
      <c r="U62" s="20">
        <f>IF(U6=0,"",IFERROR(U61/U20,0))</f>
        <v/>
      </c>
      <c r="V62" s="20">
        <f>IF(V6=0,"",IFERROR(V61/V20,0))</f>
        <v/>
      </c>
      <c r="W62" s="20">
        <f>IF(W6=0,"",IFERROR(W61/W20,0))</f>
        <v/>
      </c>
      <c r="X62" s="20">
        <f>IF(X6=0,"",IFERROR(X61/X20,0))</f>
        <v/>
      </c>
      <c r="Y62" s="20">
        <f>IF(Y6=0,"",IFERROR(Y61/Y20,0))</f>
        <v/>
      </c>
      <c r="Z62" s="20">
        <f>IF(Z6=0,"",IFERROR(Z61/Z20,0))</f>
        <v/>
      </c>
      <c r="AA62" s="20">
        <f>IF(AA6=0,"",IFERROR(AA61/AA20,0))</f>
        <v/>
      </c>
      <c r="AB62" s="20">
        <f>IF(AB6=0,"",IFERROR(AB61/AB20,0))</f>
        <v/>
      </c>
      <c r="AC62" s="20">
        <f>IFERROR(AVERAGE(C62:AB62),"")</f>
        <v/>
      </c>
      <c r="AD62" s="20">
        <f>IFERROR(MEDIAN(C62:AB62),"")</f>
        <v/>
      </c>
      <c r="AE62" s="20">
        <f>IFERROR(MAX(C62:AB62),"")</f>
        <v/>
      </c>
      <c r="AF62" s="20">
        <f>IFERROR(MIN(C62:AB62),"")</f>
        <v/>
      </c>
    </row>
    <row r="63">
      <c r="A63" t="inlineStr">
        <is>
          <t>Resultado</t>
        </is>
      </c>
      <c r="B63" s="4" t="inlineStr">
        <is>
          <t>Ganancia por registro</t>
        </is>
      </c>
      <c r="C63" s="14">
        <f>IF(C6=0,"",IFERROR(C59/C24,0))</f>
        <v/>
      </c>
      <c r="D63" s="14">
        <f>IF(D6=0,"",IFERROR(D59/D24,0))</f>
        <v/>
      </c>
      <c r="E63" s="14">
        <f>IF(E6=0,"",IFERROR(E59/E24,0))</f>
        <v/>
      </c>
      <c r="F63" s="14">
        <f>IF(F6=0,"",IFERROR(F59/F24,0))</f>
        <v/>
      </c>
      <c r="G63" s="14">
        <f>IF(G6=0,"",IFERROR(G59/G24,0))</f>
        <v/>
      </c>
      <c r="H63" s="14">
        <f>IF(H6=0,"",IFERROR(H59/H24,0))</f>
        <v/>
      </c>
      <c r="I63" s="14">
        <f>IF(I6=0,"",IFERROR(I59/I24,0))</f>
        <v/>
      </c>
      <c r="J63" s="14">
        <f>IF(J6=0,"",IFERROR(J59/J24,0))</f>
        <v/>
      </c>
      <c r="K63" s="14">
        <f>IF(K6=0,"",IFERROR(K59/K24,0))</f>
        <v/>
      </c>
      <c r="L63" s="14">
        <f>IF(L6=0,"",IFERROR(L59/L24,0))</f>
        <v/>
      </c>
      <c r="M63" s="14">
        <f>IF(M6=0,"",IFERROR(M59/M24,0))</f>
        <v/>
      </c>
      <c r="N63" s="14">
        <f>IF(N6=0,"",IFERROR(N59/N24,0))</f>
        <v/>
      </c>
      <c r="O63" s="14">
        <f>IF(O6=0,"",IFERROR(O59/O24,0))</f>
        <v/>
      </c>
      <c r="P63" s="14">
        <f>IF(P6=0,"",IFERROR(P59/P24,0))</f>
        <v/>
      </c>
      <c r="Q63" s="14">
        <f>IF(Q6=0,"",IFERROR(Q59/Q24,0))</f>
        <v/>
      </c>
      <c r="R63" s="14">
        <f>IF(R6=0,"",IFERROR(R59/R24,0))</f>
        <v/>
      </c>
      <c r="S63" s="14">
        <f>IF(S6=0,"",IFERROR(S59/S24,0))</f>
        <v/>
      </c>
      <c r="T63" s="14">
        <f>IF(T6=0,"",IFERROR(T59/T24,0))</f>
        <v/>
      </c>
      <c r="U63" s="14">
        <f>IF(U6=0,"",IFERROR(U59/U24,0))</f>
        <v/>
      </c>
      <c r="V63" s="14">
        <f>IF(V6=0,"",IFERROR(V59/V24,0))</f>
        <v/>
      </c>
      <c r="W63" s="14">
        <f>IF(W6=0,"",IFERROR(W59/W24,0))</f>
        <v/>
      </c>
      <c r="X63" s="14">
        <f>IF(X6=0,"",IFERROR(X59/X24,0))</f>
        <v/>
      </c>
      <c r="Y63" s="14">
        <f>IF(Y6=0,"",IFERROR(Y59/Y24,0))</f>
        <v/>
      </c>
      <c r="Z63" s="14">
        <f>IF(Z6=0,"",IFERROR(Z59/Z24,0))</f>
        <v/>
      </c>
      <c r="AA63" s="14">
        <f>IF(AA6=0,"",IFERROR(AA59/AA24,0))</f>
        <v/>
      </c>
      <c r="AB63" s="14">
        <f>IF(AB6=0,"",IFERROR(AB59/AB24,0))</f>
        <v/>
      </c>
      <c r="AC63" s="14">
        <f>IFERROR(AVERAGE(C63:AB63),"")</f>
        <v/>
      </c>
      <c r="AD63" s="14">
        <f>IFERROR(MEDIAN(C63:AB63),"")</f>
        <v/>
      </c>
      <c r="AE63" s="14">
        <f>IFERROR(MAX(C63:AB63),"")</f>
        <v/>
      </c>
      <c r="AF63" s="14">
        <f>IFERROR(MIN(C63:AB63),"")</f>
        <v/>
      </c>
    </row>
    <row r="65">
      <c r="A65" s="22" t="inlineStr">
        <is>
          <t>6. Contra tu promedio: cada semana contra la mediana de tus 4 semanas anteriores (tolerancia en Config). Igual o mejor = VERDE · hasta la tolerancia peor = AMARILLO · más = ROJO</t>
        </is>
      </c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</row>
    <row r="66">
      <c r="A66" t="inlineStr">
        <is>
          <t>Mediana 4 semanas anteriores</t>
        </is>
      </c>
      <c r="B66" s="4" t="inlineStr">
        <is>
          <t>Ganancia por visita (la métrica más valiosa)</t>
        </is>
      </c>
      <c r="C66" s="25" t="inlineStr"/>
      <c r="D66" s="14">
        <f>IFERROR(MEDIAN(C61:C61),"")</f>
        <v/>
      </c>
      <c r="E66" s="14">
        <f>IFERROR(MEDIAN(C61:D61),"")</f>
        <v/>
      </c>
      <c r="F66" s="14">
        <f>IFERROR(MEDIAN(C61:E61),"")</f>
        <v/>
      </c>
      <c r="G66" s="14">
        <f>IFERROR(MEDIAN(C61:F61),"")</f>
        <v/>
      </c>
      <c r="H66" s="14">
        <f>IFERROR(MEDIAN(D61:G61),"")</f>
        <v/>
      </c>
      <c r="I66" s="14">
        <f>IFERROR(MEDIAN(E61:H61),"")</f>
        <v/>
      </c>
      <c r="J66" s="14">
        <f>IFERROR(MEDIAN(F61:I61),"")</f>
        <v/>
      </c>
      <c r="K66" s="14">
        <f>IFERROR(MEDIAN(G61:J61),"")</f>
        <v/>
      </c>
      <c r="L66" s="14">
        <f>IFERROR(MEDIAN(H61:K61),"")</f>
        <v/>
      </c>
      <c r="M66" s="14">
        <f>IFERROR(MEDIAN(I61:L61),"")</f>
        <v/>
      </c>
      <c r="N66" s="14">
        <f>IFERROR(MEDIAN(J61:M61),"")</f>
        <v/>
      </c>
      <c r="O66" s="14">
        <f>IFERROR(MEDIAN(K61:N61),"")</f>
        <v/>
      </c>
      <c r="P66" s="14">
        <f>IFERROR(MEDIAN(L61:O61),"")</f>
        <v/>
      </c>
      <c r="Q66" s="14">
        <f>IFERROR(MEDIAN(M61:P61),"")</f>
        <v/>
      </c>
      <c r="R66" s="14">
        <f>IFERROR(MEDIAN(N61:Q61),"")</f>
        <v/>
      </c>
      <c r="S66" s="14">
        <f>IFERROR(MEDIAN(O61:R61),"")</f>
        <v/>
      </c>
      <c r="T66" s="14">
        <f>IFERROR(MEDIAN(P61:S61),"")</f>
        <v/>
      </c>
      <c r="U66" s="14">
        <f>IFERROR(MEDIAN(Q61:T61),"")</f>
        <v/>
      </c>
      <c r="V66" s="14">
        <f>IFERROR(MEDIAN(R61:U61),"")</f>
        <v/>
      </c>
      <c r="W66" s="14">
        <f>IFERROR(MEDIAN(S61:V61),"")</f>
        <v/>
      </c>
      <c r="X66" s="14">
        <f>IFERROR(MEDIAN(T61:W61),"")</f>
        <v/>
      </c>
      <c r="Y66" s="14">
        <f>IFERROR(MEDIAN(U61:X61),"")</f>
        <v/>
      </c>
      <c r="Z66" s="14">
        <f>IFERROR(MEDIAN(V61:Y61),"")</f>
        <v/>
      </c>
      <c r="AA66" s="14">
        <f>IFERROR(MEDIAN(W61:Z61),"")</f>
        <v/>
      </c>
      <c r="AB66" s="14">
        <f>IFERROR(MEDIAN(X61:AA61),"")</f>
        <v/>
      </c>
    </row>
    <row r="67">
      <c r="A67" t="inlineStr">
        <is>
          <t>Semáforo</t>
        </is>
      </c>
      <c r="B67" s="24" t="inlineStr">
        <is>
          <t>Ganancia por visita (la métrica más valiosa)</t>
        </is>
      </c>
      <c r="C67" s="26">
        <f>IF(OR(C61="",C66=""),"",IF(C61&lt;=0,"ROJO",IF(C61&gt;=C66,"VERDE",IF(C61&gt;=C66*(1-Config!$C$15),"AMARILLO","ROJO"))))</f>
        <v/>
      </c>
      <c r="D67" s="26">
        <f>IF(OR(D61="",D66=""),"",IF(D61&lt;=0,"ROJO",IF(D61&gt;=D66,"VERDE",IF(D61&gt;=D66*(1-Config!$C$15),"AMARILLO","ROJO"))))</f>
        <v/>
      </c>
      <c r="E67" s="26">
        <f>IF(OR(E61="",E66=""),"",IF(E61&lt;=0,"ROJO",IF(E61&gt;=E66,"VERDE",IF(E61&gt;=E66*(1-Config!$C$15),"AMARILLO","ROJO"))))</f>
        <v/>
      </c>
      <c r="F67" s="26">
        <f>IF(OR(F61="",F66=""),"",IF(F61&lt;=0,"ROJO",IF(F61&gt;=F66,"VERDE",IF(F61&gt;=F66*(1-Config!$C$15),"AMARILLO","ROJO"))))</f>
        <v/>
      </c>
      <c r="G67" s="26">
        <f>IF(OR(G61="",G66=""),"",IF(G61&lt;=0,"ROJO",IF(G61&gt;=G66,"VERDE",IF(G61&gt;=G66*(1-Config!$C$15),"AMARILLO","ROJO"))))</f>
        <v/>
      </c>
      <c r="H67" s="26">
        <f>IF(OR(H61="",H66=""),"",IF(H61&lt;=0,"ROJO",IF(H61&gt;=H66,"VERDE",IF(H61&gt;=H66*(1-Config!$C$15),"AMARILLO","ROJO"))))</f>
        <v/>
      </c>
      <c r="I67" s="26">
        <f>IF(OR(I61="",I66=""),"",IF(I61&lt;=0,"ROJO",IF(I61&gt;=I66,"VERDE",IF(I61&gt;=I66*(1-Config!$C$15),"AMARILLO","ROJO"))))</f>
        <v/>
      </c>
      <c r="J67" s="26">
        <f>IF(OR(J61="",J66=""),"",IF(J61&lt;=0,"ROJO",IF(J61&gt;=J66,"VERDE",IF(J61&gt;=J66*(1-Config!$C$15),"AMARILLO","ROJO"))))</f>
        <v/>
      </c>
      <c r="K67" s="26">
        <f>IF(OR(K61="",K66=""),"",IF(K61&lt;=0,"ROJO",IF(K61&gt;=K66,"VERDE",IF(K61&gt;=K66*(1-Config!$C$15),"AMARILLO","ROJO"))))</f>
        <v/>
      </c>
      <c r="L67" s="26">
        <f>IF(OR(L61="",L66=""),"",IF(L61&lt;=0,"ROJO",IF(L61&gt;=L66,"VERDE",IF(L61&gt;=L66*(1-Config!$C$15),"AMARILLO","ROJO"))))</f>
        <v/>
      </c>
      <c r="M67" s="26">
        <f>IF(OR(M61="",M66=""),"",IF(M61&lt;=0,"ROJO",IF(M61&gt;=M66,"VERDE",IF(M61&gt;=M66*(1-Config!$C$15),"AMARILLO","ROJO"))))</f>
        <v/>
      </c>
      <c r="N67" s="26">
        <f>IF(OR(N61="",N66=""),"",IF(N61&lt;=0,"ROJO",IF(N61&gt;=N66,"VERDE",IF(N61&gt;=N66*(1-Config!$C$15),"AMARILLO","ROJO"))))</f>
        <v/>
      </c>
      <c r="O67" s="26">
        <f>IF(OR(O61="",O66=""),"",IF(O61&lt;=0,"ROJO",IF(O61&gt;=O66,"VERDE",IF(O61&gt;=O66*(1-Config!$C$15),"AMARILLO","ROJO"))))</f>
        <v/>
      </c>
      <c r="P67" s="26">
        <f>IF(OR(P61="",P66=""),"",IF(P61&lt;=0,"ROJO",IF(P61&gt;=P66,"VERDE",IF(P61&gt;=P66*(1-Config!$C$15),"AMARILLO","ROJO"))))</f>
        <v/>
      </c>
      <c r="Q67" s="26">
        <f>IF(OR(Q61="",Q66=""),"",IF(Q61&lt;=0,"ROJO",IF(Q61&gt;=Q66,"VERDE",IF(Q61&gt;=Q66*(1-Config!$C$15),"AMARILLO","ROJO"))))</f>
        <v/>
      </c>
      <c r="R67" s="26">
        <f>IF(OR(R61="",R66=""),"",IF(R61&lt;=0,"ROJO",IF(R61&gt;=R66,"VERDE",IF(R61&gt;=R66*(1-Config!$C$15),"AMARILLO","ROJO"))))</f>
        <v/>
      </c>
      <c r="S67" s="26">
        <f>IF(OR(S61="",S66=""),"",IF(S61&lt;=0,"ROJO",IF(S61&gt;=S66,"VERDE",IF(S61&gt;=S66*(1-Config!$C$15),"AMARILLO","ROJO"))))</f>
        <v/>
      </c>
      <c r="T67" s="26">
        <f>IF(OR(T61="",T66=""),"",IF(T61&lt;=0,"ROJO",IF(T61&gt;=T66,"VERDE",IF(T61&gt;=T66*(1-Config!$C$15),"AMARILLO","ROJO"))))</f>
        <v/>
      </c>
      <c r="U67" s="26">
        <f>IF(OR(U61="",U66=""),"",IF(U61&lt;=0,"ROJO",IF(U61&gt;=U66,"VERDE",IF(U61&gt;=U66*(1-Config!$C$15),"AMARILLO","ROJO"))))</f>
        <v/>
      </c>
      <c r="V67" s="26">
        <f>IF(OR(V61="",V66=""),"",IF(V61&lt;=0,"ROJO",IF(V61&gt;=V66,"VERDE",IF(V61&gt;=V66*(1-Config!$C$15),"AMARILLO","ROJO"))))</f>
        <v/>
      </c>
      <c r="W67" s="26">
        <f>IF(OR(W61="",W66=""),"",IF(W61&lt;=0,"ROJO",IF(W61&gt;=W66,"VERDE",IF(W61&gt;=W66*(1-Config!$C$15),"AMARILLO","ROJO"))))</f>
        <v/>
      </c>
      <c r="X67" s="26">
        <f>IF(OR(X61="",X66=""),"",IF(X61&lt;=0,"ROJO",IF(X61&gt;=X66,"VERDE",IF(X61&gt;=X66*(1-Config!$C$15),"AMARILLO","ROJO"))))</f>
        <v/>
      </c>
      <c r="Y67" s="26">
        <f>IF(OR(Y61="",Y66=""),"",IF(Y61&lt;=0,"ROJO",IF(Y61&gt;=Y66,"VERDE",IF(Y61&gt;=Y66*(1-Config!$C$15),"AMARILLO","ROJO"))))</f>
        <v/>
      </c>
      <c r="Z67" s="26">
        <f>IF(OR(Z61="",Z66=""),"",IF(Z61&lt;=0,"ROJO",IF(Z61&gt;=Z66,"VERDE",IF(Z61&gt;=Z66*(1-Config!$C$15),"AMARILLO","ROJO"))))</f>
        <v/>
      </c>
      <c r="AA67" s="26">
        <f>IF(OR(AA61="",AA66=""),"",IF(AA61&lt;=0,"ROJO",IF(AA61&gt;=AA66,"VERDE",IF(AA61&gt;=AA66*(1-Config!$C$15),"AMARILLO","ROJO"))))</f>
        <v/>
      </c>
      <c r="AB67" s="26">
        <f>IF(OR(AB61="",AB66=""),"",IF(AB61&lt;=0,"ROJO",IF(AB61&gt;=AB66,"VERDE",IF(AB61&gt;=AB66*(1-Config!$C$15),"AMARILLO","ROJO"))))</f>
        <v/>
      </c>
    </row>
    <row r="68">
      <c r="A68" t="inlineStr">
        <is>
          <t>Mediana 4 semanas anteriores</t>
        </is>
      </c>
      <c r="B68" s="4" t="inlineStr">
        <is>
          <t>Costo por visita</t>
        </is>
      </c>
      <c r="C68" s="25" t="inlineStr"/>
      <c r="D68" s="14">
        <f>IFERROR(MEDIAN(C20:C20),"")</f>
        <v/>
      </c>
      <c r="E68" s="14">
        <f>IFERROR(MEDIAN(C20:D20),"")</f>
        <v/>
      </c>
      <c r="F68" s="14">
        <f>IFERROR(MEDIAN(C20:E20),"")</f>
        <v/>
      </c>
      <c r="G68" s="14">
        <f>IFERROR(MEDIAN(C20:F20),"")</f>
        <v/>
      </c>
      <c r="H68" s="14">
        <f>IFERROR(MEDIAN(D20:G20),"")</f>
        <v/>
      </c>
      <c r="I68" s="14">
        <f>IFERROR(MEDIAN(E20:H20),"")</f>
        <v/>
      </c>
      <c r="J68" s="14">
        <f>IFERROR(MEDIAN(F20:I20),"")</f>
        <v/>
      </c>
      <c r="K68" s="14">
        <f>IFERROR(MEDIAN(G20:J20),"")</f>
        <v/>
      </c>
      <c r="L68" s="14">
        <f>IFERROR(MEDIAN(H20:K20),"")</f>
        <v/>
      </c>
      <c r="M68" s="14">
        <f>IFERROR(MEDIAN(I20:L20),"")</f>
        <v/>
      </c>
      <c r="N68" s="14">
        <f>IFERROR(MEDIAN(J20:M20),"")</f>
        <v/>
      </c>
      <c r="O68" s="14">
        <f>IFERROR(MEDIAN(K20:N20),"")</f>
        <v/>
      </c>
      <c r="P68" s="14">
        <f>IFERROR(MEDIAN(L20:O20),"")</f>
        <v/>
      </c>
      <c r="Q68" s="14">
        <f>IFERROR(MEDIAN(M20:P20),"")</f>
        <v/>
      </c>
      <c r="R68" s="14">
        <f>IFERROR(MEDIAN(N20:Q20),"")</f>
        <v/>
      </c>
      <c r="S68" s="14">
        <f>IFERROR(MEDIAN(O20:R20),"")</f>
        <v/>
      </c>
      <c r="T68" s="14">
        <f>IFERROR(MEDIAN(P20:S20),"")</f>
        <v/>
      </c>
      <c r="U68" s="14">
        <f>IFERROR(MEDIAN(Q20:T20),"")</f>
        <v/>
      </c>
      <c r="V68" s="14">
        <f>IFERROR(MEDIAN(R20:U20),"")</f>
        <v/>
      </c>
      <c r="W68" s="14">
        <f>IFERROR(MEDIAN(S20:V20),"")</f>
        <v/>
      </c>
      <c r="X68" s="14">
        <f>IFERROR(MEDIAN(T20:W20),"")</f>
        <v/>
      </c>
      <c r="Y68" s="14">
        <f>IFERROR(MEDIAN(U20:X20),"")</f>
        <v/>
      </c>
      <c r="Z68" s="14">
        <f>IFERROR(MEDIAN(V20:Y20),"")</f>
        <v/>
      </c>
      <c r="AA68" s="14">
        <f>IFERROR(MEDIAN(W20:Z20),"")</f>
        <v/>
      </c>
      <c r="AB68" s="14">
        <f>IFERROR(MEDIAN(X20:AA20),"")</f>
        <v/>
      </c>
    </row>
    <row r="69">
      <c r="A69" t="inlineStr">
        <is>
          <t>Semáforo</t>
        </is>
      </c>
      <c r="B69" s="24" t="inlineStr">
        <is>
          <t>Costo por visita</t>
        </is>
      </c>
      <c r="C69" s="26">
        <f>IF(OR(C20="",C68=""),"",IF(C20&lt;=C68,"VERDE",IF(C20&lt;=C68*(1+Config!$C$15),"AMARILLO","ROJO")))</f>
        <v/>
      </c>
      <c r="D69" s="26">
        <f>IF(OR(D20="",D68=""),"",IF(D20&lt;=D68,"VERDE",IF(D20&lt;=D68*(1+Config!$C$15),"AMARILLO","ROJO")))</f>
        <v/>
      </c>
      <c r="E69" s="26">
        <f>IF(OR(E20="",E68=""),"",IF(E20&lt;=E68,"VERDE",IF(E20&lt;=E68*(1+Config!$C$15),"AMARILLO","ROJO")))</f>
        <v/>
      </c>
      <c r="F69" s="26">
        <f>IF(OR(F20="",F68=""),"",IF(F20&lt;=F68,"VERDE",IF(F20&lt;=F68*(1+Config!$C$15),"AMARILLO","ROJO")))</f>
        <v/>
      </c>
      <c r="G69" s="26">
        <f>IF(OR(G20="",G68=""),"",IF(G20&lt;=G68,"VERDE",IF(G20&lt;=G68*(1+Config!$C$15),"AMARILLO","ROJO")))</f>
        <v/>
      </c>
      <c r="H69" s="26">
        <f>IF(OR(H20="",H68=""),"",IF(H20&lt;=H68,"VERDE",IF(H20&lt;=H68*(1+Config!$C$15),"AMARILLO","ROJO")))</f>
        <v/>
      </c>
      <c r="I69" s="26">
        <f>IF(OR(I20="",I68=""),"",IF(I20&lt;=I68,"VERDE",IF(I20&lt;=I68*(1+Config!$C$15),"AMARILLO","ROJO")))</f>
        <v/>
      </c>
      <c r="J69" s="26">
        <f>IF(OR(J20="",J68=""),"",IF(J20&lt;=J68,"VERDE",IF(J20&lt;=J68*(1+Config!$C$15),"AMARILLO","ROJO")))</f>
        <v/>
      </c>
      <c r="K69" s="26">
        <f>IF(OR(K20="",K68=""),"",IF(K20&lt;=K68,"VERDE",IF(K20&lt;=K68*(1+Config!$C$15),"AMARILLO","ROJO")))</f>
        <v/>
      </c>
      <c r="L69" s="26">
        <f>IF(OR(L20="",L68=""),"",IF(L20&lt;=L68,"VERDE",IF(L20&lt;=L68*(1+Config!$C$15),"AMARILLO","ROJO")))</f>
        <v/>
      </c>
      <c r="M69" s="26">
        <f>IF(OR(M20="",M68=""),"",IF(M20&lt;=M68,"VERDE",IF(M20&lt;=M68*(1+Config!$C$15),"AMARILLO","ROJO")))</f>
        <v/>
      </c>
      <c r="N69" s="26">
        <f>IF(OR(N20="",N68=""),"",IF(N20&lt;=N68,"VERDE",IF(N20&lt;=N68*(1+Config!$C$15),"AMARILLO","ROJO")))</f>
        <v/>
      </c>
      <c r="O69" s="26">
        <f>IF(OR(O20="",O68=""),"",IF(O20&lt;=O68,"VERDE",IF(O20&lt;=O68*(1+Config!$C$15),"AMARILLO","ROJO")))</f>
        <v/>
      </c>
      <c r="P69" s="26">
        <f>IF(OR(P20="",P68=""),"",IF(P20&lt;=P68,"VERDE",IF(P20&lt;=P68*(1+Config!$C$15),"AMARILLO","ROJO")))</f>
        <v/>
      </c>
      <c r="Q69" s="26">
        <f>IF(OR(Q20="",Q68=""),"",IF(Q20&lt;=Q68,"VERDE",IF(Q20&lt;=Q68*(1+Config!$C$15),"AMARILLO","ROJO")))</f>
        <v/>
      </c>
      <c r="R69" s="26">
        <f>IF(OR(R20="",R68=""),"",IF(R20&lt;=R68,"VERDE",IF(R20&lt;=R68*(1+Config!$C$15),"AMARILLO","ROJO")))</f>
        <v/>
      </c>
      <c r="S69" s="26">
        <f>IF(OR(S20="",S68=""),"",IF(S20&lt;=S68,"VERDE",IF(S20&lt;=S68*(1+Config!$C$15),"AMARILLO","ROJO")))</f>
        <v/>
      </c>
      <c r="T69" s="26">
        <f>IF(OR(T20="",T68=""),"",IF(T20&lt;=T68,"VERDE",IF(T20&lt;=T68*(1+Config!$C$15),"AMARILLO","ROJO")))</f>
        <v/>
      </c>
      <c r="U69" s="26">
        <f>IF(OR(U20="",U68=""),"",IF(U20&lt;=U68,"VERDE",IF(U20&lt;=U68*(1+Config!$C$15),"AMARILLO","ROJO")))</f>
        <v/>
      </c>
      <c r="V69" s="26">
        <f>IF(OR(V20="",V68=""),"",IF(V20&lt;=V68,"VERDE",IF(V20&lt;=V68*(1+Config!$C$15),"AMARILLO","ROJO")))</f>
        <v/>
      </c>
      <c r="W69" s="26">
        <f>IF(OR(W20="",W68=""),"",IF(W20&lt;=W68,"VERDE",IF(W20&lt;=W68*(1+Config!$C$15),"AMARILLO","ROJO")))</f>
        <v/>
      </c>
      <c r="X69" s="26">
        <f>IF(OR(X20="",X68=""),"",IF(X20&lt;=X68,"VERDE",IF(X20&lt;=X68*(1+Config!$C$15),"AMARILLO","ROJO")))</f>
        <v/>
      </c>
      <c r="Y69" s="26">
        <f>IF(OR(Y20="",Y68=""),"",IF(Y20&lt;=Y68,"VERDE",IF(Y20&lt;=Y68*(1+Config!$C$15),"AMARILLO","ROJO")))</f>
        <v/>
      </c>
      <c r="Z69" s="26">
        <f>IF(OR(Z20="",Z68=""),"",IF(Z20&lt;=Z68,"VERDE",IF(Z20&lt;=Z68*(1+Config!$C$15),"AMARILLO","ROJO")))</f>
        <v/>
      </c>
      <c r="AA69" s="26">
        <f>IF(OR(AA20="",AA68=""),"",IF(AA20&lt;=AA68,"VERDE",IF(AA20&lt;=AA68*(1+Config!$C$15),"AMARILLO","ROJO")))</f>
        <v/>
      </c>
      <c r="AB69" s="26">
        <f>IF(OR(AB20="",AB68=""),"",IF(AB20&lt;=AB68,"VERDE",IF(AB20&lt;=AB68*(1+Config!$C$15),"AMARILLO","ROJO")))</f>
        <v/>
      </c>
    </row>
    <row r="70">
      <c r="A70" t="inlineStr">
        <is>
          <t>Mediana 4 semanas anteriores</t>
        </is>
      </c>
      <c r="B70" s="4" t="inlineStr">
        <is>
          <t>CPL (costo por registro)</t>
        </is>
      </c>
      <c r="C70" s="25" t="inlineStr"/>
      <c r="D70" s="14">
        <f>IFERROR(MEDIAN(C27:C27),"")</f>
        <v/>
      </c>
      <c r="E70" s="14">
        <f>IFERROR(MEDIAN(C27:D27),"")</f>
        <v/>
      </c>
      <c r="F70" s="14">
        <f>IFERROR(MEDIAN(C27:E27),"")</f>
        <v/>
      </c>
      <c r="G70" s="14">
        <f>IFERROR(MEDIAN(C27:F27),"")</f>
        <v/>
      </c>
      <c r="H70" s="14">
        <f>IFERROR(MEDIAN(D27:G27),"")</f>
        <v/>
      </c>
      <c r="I70" s="14">
        <f>IFERROR(MEDIAN(E27:H27),"")</f>
        <v/>
      </c>
      <c r="J70" s="14">
        <f>IFERROR(MEDIAN(F27:I27),"")</f>
        <v/>
      </c>
      <c r="K70" s="14">
        <f>IFERROR(MEDIAN(G27:J27),"")</f>
        <v/>
      </c>
      <c r="L70" s="14">
        <f>IFERROR(MEDIAN(H27:K27),"")</f>
        <v/>
      </c>
      <c r="M70" s="14">
        <f>IFERROR(MEDIAN(I27:L27),"")</f>
        <v/>
      </c>
      <c r="N70" s="14">
        <f>IFERROR(MEDIAN(J27:M27),"")</f>
        <v/>
      </c>
      <c r="O70" s="14">
        <f>IFERROR(MEDIAN(K27:N27),"")</f>
        <v/>
      </c>
      <c r="P70" s="14">
        <f>IFERROR(MEDIAN(L27:O27),"")</f>
        <v/>
      </c>
      <c r="Q70" s="14">
        <f>IFERROR(MEDIAN(M27:P27),"")</f>
        <v/>
      </c>
      <c r="R70" s="14">
        <f>IFERROR(MEDIAN(N27:Q27),"")</f>
        <v/>
      </c>
      <c r="S70" s="14">
        <f>IFERROR(MEDIAN(O27:R27),"")</f>
        <v/>
      </c>
      <c r="T70" s="14">
        <f>IFERROR(MEDIAN(P27:S27),"")</f>
        <v/>
      </c>
      <c r="U70" s="14">
        <f>IFERROR(MEDIAN(Q27:T27),"")</f>
        <v/>
      </c>
      <c r="V70" s="14">
        <f>IFERROR(MEDIAN(R27:U27),"")</f>
        <v/>
      </c>
      <c r="W70" s="14">
        <f>IFERROR(MEDIAN(S27:V27),"")</f>
        <v/>
      </c>
      <c r="X70" s="14">
        <f>IFERROR(MEDIAN(T27:W27),"")</f>
        <v/>
      </c>
      <c r="Y70" s="14">
        <f>IFERROR(MEDIAN(U27:X27),"")</f>
        <v/>
      </c>
      <c r="Z70" s="14">
        <f>IFERROR(MEDIAN(V27:Y27),"")</f>
        <v/>
      </c>
      <c r="AA70" s="14">
        <f>IFERROR(MEDIAN(W27:Z27),"")</f>
        <v/>
      </c>
      <c r="AB70" s="14">
        <f>IFERROR(MEDIAN(X27:AA27),"")</f>
        <v/>
      </c>
    </row>
    <row r="71">
      <c r="A71" t="inlineStr">
        <is>
          <t>Semáforo</t>
        </is>
      </c>
      <c r="B71" s="24" t="inlineStr">
        <is>
          <t>CPL (costo por registro)</t>
        </is>
      </c>
      <c r="C71" s="26">
        <f>IF(OR(C27="",C70=""),"",IF(C27&lt;=C70,"VERDE",IF(C27&lt;=C70*(1+Config!$C$15),"AMARILLO","ROJO")))</f>
        <v/>
      </c>
      <c r="D71" s="26">
        <f>IF(OR(D27="",D70=""),"",IF(D27&lt;=D70,"VERDE",IF(D27&lt;=D70*(1+Config!$C$15),"AMARILLO","ROJO")))</f>
        <v/>
      </c>
      <c r="E71" s="26">
        <f>IF(OR(E27="",E70=""),"",IF(E27&lt;=E70,"VERDE",IF(E27&lt;=E70*(1+Config!$C$15),"AMARILLO","ROJO")))</f>
        <v/>
      </c>
      <c r="F71" s="26">
        <f>IF(OR(F27="",F70=""),"",IF(F27&lt;=F70,"VERDE",IF(F27&lt;=F70*(1+Config!$C$15),"AMARILLO","ROJO")))</f>
        <v/>
      </c>
      <c r="G71" s="26">
        <f>IF(OR(G27="",G70=""),"",IF(G27&lt;=G70,"VERDE",IF(G27&lt;=G70*(1+Config!$C$15),"AMARILLO","ROJO")))</f>
        <v/>
      </c>
      <c r="H71" s="26">
        <f>IF(OR(H27="",H70=""),"",IF(H27&lt;=H70,"VERDE",IF(H27&lt;=H70*(1+Config!$C$15),"AMARILLO","ROJO")))</f>
        <v/>
      </c>
      <c r="I71" s="26">
        <f>IF(OR(I27="",I70=""),"",IF(I27&lt;=I70,"VERDE",IF(I27&lt;=I70*(1+Config!$C$15),"AMARILLO","ROJO")))</f>
        <v/>
      </c>
      <c r="J71" s="26">
        <f>IF(OR(J27="",J70=""),"",IF(J27&lt;=J70,"VERDE",IF(J27&lt;=J70*(1+Config!$C$15),"AMARILLO","ROJO")))</f>
        <v/>
      </c>
      <c r="K71" s="26">
        <f>IF(OR(K27="",K70=""),"",IF(K27&lt;=K70,"VERDE",IF(K27&lt;=K70*(1+Config!$C$15),"AMARILLO","ROJO")))</f>
        <v/>
      </c>
      <c r="L71" s="26">
        <f>IF(OR(L27="",L70=""),"",IF(L27&lt;=L70,"VERDE",IF(L27&lt;=L70*(1+Config!$C$15),"AMARILLO","ROJO")))</f>
        <v/>
      </c>
      <c r="M71" s="26">
        <f>IF(OR(M27="",M70=""),"",IF(M27&lt;=M70,"VERDE",IF(M27&lt;=M70*(1+Config!$C$15),"AMARILLO","ROJO")))</f>
        <v/>
      </c>
      <c r="N71" s="26">
        <f>IF(OR(N27="",N70=""),"",IF(N27&lt;=N70,"VERDE",IF(N27&lt;=N70*(1+Config!$C$15),"AMARILLO","ROJO")))</f>
        <v/>
      </c>
      <c r="O71" s="26">
        <f>IF(OR(O27="",O70=""),"",IF(O27&lt;=O70,"VERDE",IF(O27&lt;=O70*(1+Config!$C$15),"AMARILLO","ROJO")))</f>
        <v/>
      </c>
      <c r="P71" s="26">
        <f>IF(OR(P27="",P70=""),"",IF(P27&lt;=P70,"VERDE",IF(P27&lt;=P70*(1+Config!$C$15),"AMARILLO","ROJO")))</f>
        <v/>
      </c>
      <c r="Q71" s="26">
        <f>IF(OR(Q27="",Q70=""),"",IF(Q27&lt;=Q70,"VERDE",IF(Q27&lt;=Q70*(1+Config!$C$15),"AMARILLO","ROJO")))</f>
        <v/>
      </c>
      <c r="R71" s="26">
        <f>IF(OR(R27="",R70=""),"",IF(R27&lt;=R70,"VERDE",IF(R27&lt;=R70*(1+Config!$C$15),"AMARILLO","ROJO")))</f>
        <v/>
      </c>
      <c r="S71" s="26">
        <f>IF(OR(S27="",S70=""),"",IF(S27&lt;=S70,"VERDE",IF(S27&lt;=S70*(1+Config!$C$15),"AMARILLO","ROJO")))</f>
        <v/>
      </c>
      <c r="T71" s="26">
        <f>IF(OR(T27="",T70=""),"",IF(T27&lt;=T70,"VERDE",IF(T27&lt;=T70*(1+Config!$C$15),"AMARILLO","ROJO")))</f>
        <v/>
      </c>
      <c r="U71" s="26">
        <f>IF(OR(U27="",U70=""),"",IF(U27&lt;=U70,"VERDE",IF(U27&lt;=U70*(1+Config!$C$15),"AMARILLO","ROJO")))</f>
        <v/>
      </c>
      <c r="V71" s="26">
        <f>IF(OR(V27="",V70=""),"",IF(V27&lt;=V70,"VERDE",IF(V27&lt;=V70*(1+Config!$C$15),"AMARILLO","ROJO")))</f>
        <v/>
      </c>
      <c r="W71" s="26">
        <f>IF(OR(W27="",W70=""),"",IF(W27&lt;=W70,"VERDE",IF(W27&lt;=W70*(1+Config!$C$15),"AMARILLO","ROJO")))</f>
        <v/>
      </c>
      <c r="X71" s="26">
        <f>IF(OR(X27="",X70=""),"",IF(X27&lt;=X70,"VERDE",IF(X27&lt;=X70*(1+Config!$C$15),"AMARILLO","ROJO")))</f>
        <v/>
      </c>
      <c r="Y71" s="26">
        <f>IF(OR(Y27="",Y70=""),"",IF(Y27&lt;=Y70,"VERDE",IF(Y27&lt;=Y70*(1+Config!$C$15),"AMARILLO","ROJO")))</f>
        <v/>
      </c>
      <c r="Z71" s="26">
        <f>IF(OR(Z27="",Z70=""),"",IF(Z27&lt;=Z70,"VERDE",IF(Z27&lt;=Z70*(1+Config!$C$15),"AMARILLO","ROJO")))</f>
        <v/>
      </c>
      <c r="AA71" s="26">
        <f>IF(OR(AA27="",AA70=""),"",IF(AA27&lt;=AA70,"VERDE",IF(AA27&lt;=AA70*(1+Config!$C$15),"AMARILLO","ROJO")))</f>
        <v/>
      </c>
      <c r="AB71" s="26">
        <f>IF(OR(AB27="",AB70=""),"",IF(AB27&lt;=AB70,"VERDE",IF(AB27&lt;=AB70*(1+Config!$C$15),"AMARILLO","ROJO")))</f>
        <v/>
      </c>
    </row>
    <row r="72">
      <c r="A72" t="inlineStr">
        <is>
          <t>Mediana 4 semanas anteriores</t>
        </is>
      </c>
      <c r="B72" s="4" t="inlineStr">
        <is>
          <t>CPL como % del CPM (el umbral depende del nicho)</t>
        </is>
      </c>
      <c r="C72" s="25" t="inlineStr"/>
      <c r="D72" s="17">
        <f>IFERROR(MEDIAN(C29:C29),"")</f>
        <v/>
      </c>
      <c r="E72" s="17">
        <f>IFERROR(MEDIAN(C29:D29),"")</f>
        <v/>
      </c>
      <c r="F72" s="17">
        <f>IFERROR(MEDIAN(C29:E29),"")</f>
        <v/>
      </c>
      <c r="G72" s="17">
        <f>IFERROR(MEDIAN(C29:F29),"")</f>
        <v/>
      </c>
      <c r="H72" s="17">
        <f>IFERROR(MEDIAN(D29:G29),"")</f>
        <v/>
      </c>
      <c r="I72" s="17">
        <f>IFERROR(MEDIAN(E29:H29),"")</f>
        <v/>
      </c>
      <c r="J72" s="17">
        <f>IFERROR(MEDIAN(F29:I29),"")</f>
        <v/>
      </c>
      <c r="K72" s="17">
        <f>IFERROR(MEDIAN(G29:J29),"")</f>
        <v/>
      </c>
      <c r="L72" s="17">
        <f>IFERROR(MEDIAN(H29:K29),"")</f>
        <v/>
      </c>
      <c r="M72" s="17">
        <f>IFERROR(MEDIAN(I29:L29),"")</f>
        <v/>
      </c>
      <c r="N72" s="17">
        <f>IFERROR(MEDIAN(J29:M29),"")</f>
        <v/>
      </c>
      <c r="O72" s="17">
        <f>IFERROR(MEDIAN(K29:N29),"")</f>
        <v/>
      </c>
      <c r="P72" s="17">
        <f>IFERROR(MEDIAN(L29:O29),"")</f>
        <v/>
      </c>
      <c r="Q72" s="17">
        <f>IFERROR(MEDIAN(M29:P29),"")</f>
        <v/>
      </c>
      <c r="R72" s="17">
        <f>IFERROR(MEDIAN(N29:Q29),"")</f>
        <v/>
      </c>
      <c r="S72" s="17">
        <f>IFERROR(MEDIAN(O29:R29),"")</f>
        <v/>
      </c>
      <c r="T72" s="17">
        <f>IFERROR(MEDIAN(P29:S29),"")</f>
        <v/>
      </c>
      <c r="U72" s="17">
        <f>IFERROR(MEDIAN(Q29:T29),"")</f>
        <v/>
      </c>
      <c r="V72" s="17">
        <f>IFERROR(MEDIAN(R29:U29),"")</f>
        <v/>
      </c>
      <c r="W72" s="17">
        <f>IFERROR(MEDIAN(S29:V29),"")</f>
        <v/>
      </c>
      <c r="X72" s="17">
        <f>IFERROR(MEDIAN(T29:W29),"")</f>
        <v/>
      </c>
      <c r="Y72" s="17">
        <f>IFERROR(MEDIAN(U29:X29),"")</f>
        <v/>
      </c>
      <c r="Z72" s="17">
        <f>IFERROR(MEDIAN(V29:Y29),"")</f>
        <v/>
      </c>
      <c r="AA72" s="17">
        <f>IFERROR(MEDIAN(W29:Z29),"")</f>
        <v/>
      </c>
      <c r="AB72" s="17">
        <f>IFERROR(MEDIAN(X29:AA29),"")</f>
        <v/>
      </c>
    </row>
    <row r="73">
      <c r="A73" t="inlineStr">
        <is>
          <t>Semáforo</t>
        </is>
      </c>
      <c r="B73" s="24" t="inlineStr">
        <is>
          <t>CPL como % del CPM (el umbral depende del nicho)</t>
        </is>
      </c>
      <c r="C73" s="26">
        <f>IF(OR(C29="",C72=""),"",IF(C29&lt;=C72,"VERDE",IF(C29&lt;=C72*(1+Config!$C$15),"AMARILLO","ROJO")))</f>
        <v/>
      </c>
      <c r="D73" s="26">
        <f>IF(OR(D29="",D72=""),"",IF(D29&lt;=D72,"VERDE",IF(D29&lt;=D72*(1+Config!$C$15),"AMARILLO","ROJO")))</f>
        <v/>
      </c>
      <c r="E73" s="26">
        <f>IF(OR(E29="",E72=""),"",IF(E29&lt;=E72,"VERDE",IF(E29&lt;=E72*(1+Config!$C$15),"AMARILLO","ROJO")))</f>
        <v/>
      </c>
      <c r="F73" s="26">
        <f>IF(OR(F29="",F72=""),"",IF(F29&lt;=F72,"VERDE",IF(F29&lt;=F72*(1+Config!$C$15),"AMARILLO","ROJO")))</f>
        <v/>
      </c>
      <c r="G73" s="26">
        <f>IF(OR(G29="",G72=""),"",IF(G29&lt;=G72,"VERDE",IF(G29&lt;=G72*(1+Config!$C$15),"AMARILLO","ROJO")))</f>
        <v/>
      </c>
      <c r="H73" s="26">
        <f>IF(OR(H29="",H72=""),"",IF(H29&lt;=H72,"VERDE",IF(H29&lt;=H72*(1+Config!$C$15),"AMARILLO","ROJO")))</f>
        <v/>
      </c>
      <c r="I73" s="26">
        <f>IF(OR(I29="",I72=""),"",IF(I29&lt;=I72,"VERDE",IF(I29&lt;=I72*(1+Config!$C$15),"AMARILLO","ROJO")))</f>
        <v/>
      </c>
      <c r="J73" s="26">
        <f>IF(OR(J29="",J72=""),"",IF(J29&lt;=J72,"VERDE",IF(J29&lt;=J72*(1+Config!$C$15),"AMARILLO","ROJO")))</f>
        <v/>
      </c>
      <c r="K73" s="26">
        <f>IF(OR(K29="",K72=""),"",IF(K29&lt;=K72,"VERDE",IF(K29&lt;=K72*(1+Config!$C$15),"AMARILLO","ROJO")))</f>
        <v/>
      </c>
      <c r="L73" s="26">
        <f>IF(OR(L29="",L72=""),"",IF(L29&lt;=L72,"VERDE",IF(L29&lt;=L72*(1+Config!$C$15),"AMARILLO","ROJO")))</f>
        <v/>
      </c>
      <c r="M73" s="26">
        <f>IF(OR(M29="",M72=""),"",IF(M29&lt;=M72,"VERDE",IF(M29&lt;=M72*(1+Config!$C$15),"AMARILLO","ROJO")))</f>
        <v/>
      </c>
      <c r="N73" s="26">
        <f>IF(OR(N29="",N72=""),"",IF(N29&lt;=N72,"VERDE",IF(N29&lt;=N72*(1+Config!$C$15),"AMARILLO","ROJO")))</f>
        <v/>
      </c>
      <c r="O73" s="26">
        <f>IF(OR(O29="",O72=""),"",IF(O29&lt;=O72,"VERDE",IF(O29&lt;=O72*(1+Config!$C$15),"AMARILLO","ROJO")))</f>
        <v/>
      </c>
      <c r="P73" s="26">
        <f>IF(OR(P29="",P72=""),"",IF(P29&lt;=P72,"VERDE",IF(P29&lt;=P72*(1+Config!$C$15),"AMARILLO","ROJO")))</f>
        <v/>
      </c>
      <c r="Q73" s="26">
        <f>IF(OR(Q29="",Q72=""),"",IF(Q29&lt;=Q72,"VERDE",IF(Q29&lt;=Q72*(1+Config!$C$15),"AMARILLO","ROJO")))</f>
        <v/>
      </c>
      <c r="R73" s="26">
        <f>IF(OR(R29="",R72=""),"",IF(R29&lt;=R72,"VERDE",IF(R29&lt;=R72*(1+Config!$C$15),"AMARILLO","ROJO")))</f>
        <v/>
      </c>
      <c r="S73" s="26">
        <f>IF(OR(S29="",S72=""),"",IF(S29&lt;=S72,"VERDE",IF(S29&lt;=S72*(1+Config!$C$15),"AMARILLO","ROJO")))</f>
        <v/>
      </c>
      <c r="T73" s="26">
        <f>IF(OR(T29="",T72=""),"",IF(T29&lt;=T72,"VERDE",IF(T29&lt;=T72*(1+Config!$C$15),"AMARILLO","ROJO")))</f>
        <v/>
      </c>
      <c r="U73" s="26">
        <f>IF(OR(U29="",U72=""),"",IF(U29&lt;=U72,"VERDE",IF(U29&lt;=U72*(1+Config!$C$15),"AMARILLO","ROJO")))</f>
        <v/>
      </c>
      <c r="V73" s="26">
        <f>IF(OR(V29="",V72=""),"",IF(V29&lt;=V72,"VERDE",IF(V29&lt;=V72*(1+Config!$C$15),"AMARILLO","ROJO")))</f>
        <v/>
      </c>
      <c r="W73" s="26">
        <f>IF(OR(W29="",W72=""),"",IF(W29&lt;=W72,"VERDE",IF(W29&lt;=W72*(1+Config!$C$15),"AMARILLO","ROJO")))</f>
        <v/>
      </c>
      <c r="X73" s="26">
        <f>IF(OR(X29="",X72=""),"",IF(X29&lt;=X72,"VERDE",IF(X29&lt;=X72*(1+Config!$C$15),"AMARILLO","ROJO")))</f>
        <v/>
      </c>
      <c r="Y73" s="26">
        <f>IF(OR(Y29="",Y72=""),"",IF(Y29&lt;=Y72,"VERDE",IF(Y29&lt;=Y72*(1+Config!$C$15),"AMARILLO","ROJO")))</f>
        <v/>
      </c>
      <c r="Z73" s="26">
        <f>IF(OR(Z29="",Z72=""),"",IF(Z29&lt;=Z72,"VERDE",IF(Z29&lt;=Z72*(1+Config!$C$15),"AMARILLO","ROJO")))</f>
        <v/>
      </c>
      <c r="AA73" s="26">
        <f>IF(OR(AA29="",AA72=""),"",IF(AA29&lt;=AA72,"VERDE",IF(AA29&lt;=AA72*(1+Config!$C$15),"AMARILLO","ROJO")))</f>
        <v/>
      </c>
      <c r="AB73" s="26">
        <f>IF(OR(AB29="",AB72=""),"",IF(AB29&lt;=AB72,"VERDE",IF(AB29&lt;=AB72*(1+Config!$C$15),"AMARILLO","ROJO")))</f>
        <v/>
      </c>
    </row>
    <row r="74">
      <c r="A74" t="inlineStr">
        <is>
          <t>Mediana 4 semanas anteriores</t>
        </is>
      </c>
      <c r="B74" s="4" t="inlineStr">
        <is>
          <t>% visita → registro (conversión de la landing)</t>
        </is>
      </c>
      <c r="C74" s="25" t="inlineStr"/>
      <c r="D74" s="17">
        <f>IFERROR(MEDIAN(C26:C26),"")</f>
        <v/>
      </c>
      <c r="E74" s="17">
        <f>IFERROR(MEDIAN(C26:D26),"")</f>
        <v/>
      </c>
      <c r="F74" s="17">
        <f>IFERROR(MEDIAN(C26:E26),"")</f>
        <v/>
      </c>
      <c r="G74" s="17">
        <f>IFERROR(MEDIAN(C26:F26),"")</f>
        <v/>
      </c>
      <c r="H74" s="17">
        <f>IFERROR(MEDIAN(D26:G26),"")</f>
        <v/>
      </c>
      <c r="I74" s="17">
        <f>IFERROR(MEDIAN(E26:H26),"")</f>
        <v/>
      </c>
      <c r="J74" s="17">
        <f>IFERROR(MEDIAN(F26:I26),"")</f>
        <v/>
      </c>
      <c r="K74" s="17">
        <f>IFERROR(MEDIAN(G26:J26),"")</f>
        <v/>
      </c>
      <c r="L74" s="17">
        <f>IFERROR(MEDIAN(H26:K26),"")</f>
        <v/>
      </c>
      <c r="M74" s="17">
        <f>IFERROR(MEDIAN(I26:L26),"")</f>
        <v/>
      </c>
      <c r="N74" s="17">
        <f>IFERROR(MEDIAN(J26:M26),"")</f>
        <v/>
      </c>
      <c r="O74" s="17">
        <f>IFERROR(MEDIAN(K26:N26),"")</f>
        <v/>
      </c>
      <c r="P74" s="17">
        <f>IFERROR(MEDIAN(L26:O26),"")</f>
        <v/>
      </c>
      <c r="Q74" s="17">
        <f>IFERROR(MEDIAN(M26:P26),"")</f>
        <v/>
      </c>
      <c r="R74" s="17">
        <f>IFERROR(MEDIAN(N26:Q26),"")</f>
        <v/>
      </c>
      <c r="S74" s="17">
        <f>IFERROR(MEDIAN(O26:R26),"")</f>
        <v/>
      </c>
      <c r="T74" s="17">
        <f>IFERROR(MEDIAN(P26:S26),"")</f>
        <v/>
      </c>
      <c r="U74" s="17">
        <f>IFERROR(MEDIAN(Q26:T26),"")</f>
        <v/>
      </c>
      <c r="V74" s="17">
        <f>IFERROR(MEDIAN(R26:U26),"")</f>
        <v/>
      </c>
      <c r="W74" s="17">
        <f>IFERROR(MEDIAN(S26:V26),"")</f>
        <v/>
      </c>
      <c r="X74" s="17">
        <f>IFERROR(MEDIAN(T26:W26),"")</f>
        <v/>
      </c>
      <c r="Y74" s="17">
        <f>IFERROR(MEDIAN(U26:X26),"")</f>
        <v/>
      </c>
      <c r="Z74" s="17">
        <f>IFERROR(MEDIAN(V26:Y26),"")</f>
        <v/>
      </c>
      <c r="AA74" s="17">
        <f>IFERROR(MEDIAN(W26:Z26),"")</f>
        <v/>
      </c>
      <c r="AB74" s="17">
        <f>IFERROR(MEDIAN(X26:AA26),"")</f>
        <v/>
      </c>
    </row>
    <row r="75">
      <c r="A75" t="inlineStr">
        <is>
          <t>Semáforo</t>
        </is>
      </c>
      <c r="B75" s="24" t="inlineStr">
        <is>
          <t>% visita → registro (conversión de la landing)</t>
        </is>
      </c>
      <c r="C75" s="26">
        <f>IF(OR(C26="",C74=""),"",IF(C26&gt;=C74,"VERDE",IF(C26&gt;=C74*(1-Config!$C$15),"AMARILLO","ROJO")))</f>
        <v/>
      </c>
      <c r="D75" s="26">
        <f>IF(OR(D26="",D74=""),"",IF(D26&gt;=D74,"VERDE",IF(D26&gt;=D74*(1-Config!$C$15),"AMARILLO","ROJO")))</f>
        <v/>
      </c>
      <c r="E75" s="26">
        <f>IF(OR(E26="",E74=""),"",IF(E26&gt;=E74,"VERDE",IF(E26&gt;=E74*(1-Config!$C$15),"AMARILLO","ROJO")))</f>
        <v/>
      </c>
      <c r="F75" s="26">
        <f>IF(OR(F26="",F74=""),"",IF(F26&gt;=F74,"VERDE",IF(F26&gt;=F74*(1-Config!$C$15),"AMARILLO","ROJO")))</f>
        <v/>
      </c>
      <c r="G75" s="26">
        <f>IF(OR(G26="",G74=""),"",IF(G26&gt;=G74,"VERDE",IF(G26&gt;=G74*(1-Config!$C$15),"AMARILLO","ROJO")))</f>
        <v/>
      </c>
      <c r="H75" s="26">
        <f>IF(OR(H26="",H74=""),"",IF(H26&gt;=H74,"VERDE",IF(H26&gt;=H74*(1-Config!$C$15),"AMARILLO","ROJO")))</f>
        <v/>
      </c>
      <c r="I75" s="26">
        <f>IF(OR(I26="",I74=""),"",IF(I26&gt;=I74,"VERDE",IF(I26&gt;=I74*(1-Config!$C$15),"AMARILLO","ROJO")))</f>
        <v/>
      </c>
      <c r="J75" s="26">
        <f>IF(OR(J26="",J74=""),"",IF(J26&gt;=J74,"VERDE",IF(J26&gt;=J74*(1-Config!$C$15),"AMARILLO","ROJO")))</f>
        <v/>
      </c>
      <c r="K75" s="26">
        <f>IF(OR(K26="",K74=""),"",IF(K26&gt;=K74,"VERDE",IF(K26&gt;=K74*(1-Config!$C$15),"AMARILLO","ROJO")))</f>
        <v/>
      </c>
      <c r="L75" s="26">
        <f>IF(OR(L26="",L74=""),"",IF(L26&gt;=L74,"VERDE",IF(L26&gt;=L74*(1-Config!$C$15),"AMARILLO","ROJO")))</f>
        <v/>
      </c>
      <c r="M75" s="26">
        <f>IF(OR(M26="",M74=""),"",IF(M26&gt;=M74,"VERDE",IF(M26&gt;=M74*(1-Config!$C$15),"AMARILLO","ROJO")))</f>
        <v/>
      </c>
      <c r="N75" s="26">
        <f>IF(OR(N26="",N74=""),"",IF(N26&gt;=N74,"VERDE",IF(N26&gt;=N74*(1-Config!$C$15),"AMARILLO","ROJO")))</f>
        <v/>
      </c>
      <c r="O75" s="26">
        <f>IF(OR(O26="",O74=""),"",IF(O26&gt;=O74,"VERDE",IF(O26&gt;=O74*(1-Config!$C$15),"AMARILLO","ROJO")))</f>
        <v/>
      </c>
      <c r="P75" s="26">
        <f>IF(OR(P26="",P74=""),"",IF(P26&gt;=P74,"VERDE",IF(P26&gt;=P74*(1-Config!$C$15),"AMARILLO","ROJO")))</f>
        <v/>
      </c>
      <c r="Q75" s="26">
        <f>IF(OR(Q26="",Q74=""),"",IF(Q26&gt;=Q74,"VERDE",IF(Q26&gt;=Q74*(1-Config!$C$15),"AMARILLO","ROJO")))</f>
        <v/>
      </c>
      <c r="R75" s="26">
        <f>IF(OR(R26="",R74=""),"",IF(R26&gt;=R74,"VERDE",IF(R26&gt;=R74*(1-Config!$C$15),"AMARILLO","ROJO")))</f>
        <v/>
      </c>
      <c r="S75" s="26">
        <f>IF(OR(S26="",S74=""),"",IF(S26&gt;=S74,"VERDE",IF(S26&gt;=S74*(1-Config!$C$15),"AMARILLO","ROJO")))</f>
        <v/>
      </c>
      <c r="T75" s="26">
        <f>IF(OR(T26="",T74=""),"",IF(T26&gt;=T74,"VERDE",IF(T26&gt;=T74*(1-Config!$C$15),"AMARILLO","ROJO")))</f>
        <v/>
      </c>
      <c r="U75" s="26">
        <f>IF(OR(U26="",U74=""),"",IF(U26&gt;=U74,"VERDE",IF(U26&gt;=U74*(1-Config!$C$15),"AMARILLO","ROJO")))</f>
        <v/>
      </c>
      <c r="V75" s="26">
        <f>IF(OR(V26="",V74=""),"",IF(V26&gt;=V74,"VERDE",IF(V26&gt;=V74*(1-Config!$C$15),"AMARILLO","ROJO")))</f>
        <v/>
      </c>
      <c r="W75" s="26">
        <f>IF(OR(W26="",W74=""),"",IF(W26&gt;=W74,"VERDE",IF(W26&gt;=W74*(1-Config!$C$15),"AMARILLO","ROJO")))</f>
        <v/>
      </c>
      <c r="X75" s="26">
        <f>IF(OR(X26="",X74=""),"",IF(X26&gt;=X74,"VERDE",IF(X26&gt;=X74*(1-Config!$C$15),"AMARILLO","ROJO")))</f>
        <v/>
      </c>
      <c r="Y75" s="26">
        <f>IF(OR(Y26="",Y74=""),"",IF(Y26&gt;=Y74,"VERDE",IF(Y26&gt;=Y74*(1-Config!$C$15),"AMARILLO","ROJO")))</f>
        <v/>
      </c>
      <c r="Z75" s="26">
        <f>IF(OR(Z26="",Z74=""),"",IF(Z26&gt;=Z74,"VERDE",IF(Z26&gt;=Z74*(1-Config!$C$15),"AMARILLO","ROJO")))</f>
        <v/>
      </c>
      <c r="AA75" s="26">
        <f>IF(OR(AA26="",AA74=""),"",IF(AA26&gt;=AA74,"VERDE",IF(AA26&gt;=AA74*(1-Config!$C$15),"AMARILLO","ROJO")))</f>
        <v/>
      </c>
      <c r="AB75" s="26">
        <f>IF(OR(AB26="",AB74=""),"",IF(AB26&gt;=AB74,"VERDE",IF(AB26&gt;=AB74*(1-Config!$C$15),"AMARILLO","ROJO")))</f>
        <v/>
      </c>
    </row>
    <row r="76">
      <c r="A76" t="inlineStr">
        <is>
          <t>Mediana 4 semanas anteriores</t>
        </is>
      </c>
      <c r="B76" s="4" t="inlineStr">
        <is>
          <t>CPM</t>
        </is>
      </c>
      <c r="C76" s="25" t="inlineStr"/>
      <c r="D76" s="14">
        <f>IFERROR(MEDIAN(C15:C15),"")</f>
        <v/>
      </c>
      <c r="E76" s="14">
        <f>IFERROR(MEDIAN(C15:D15),"")</f>
        <v/>
      </c>
      <c r="F76" s="14">
        <f>IFERROR(MEDIAN(C15:E15),"")</f>
        <v/>
      </c>
      <c r="G76" s="14">
        <f>IFERROR(MEDIAN(C15:F15),"")</f>
        <v/>
      </c>
      <c r="H76" s="14">
        <f>IFERROR(MEDIAN(D15:G15),"")</f>
        <v/>
      </c>
      <c r="I76" s="14">
        <f>IFERROR(MEDIAN(E15:H15),"")</f>
        <v/>
      </c>
      <c r="J76" s="14">
        <f>IFERROR(MEDIAN(F15:I15),"")</f>
        <v/>
      </c>
      <c r="K76" s="14">
        <f>IFERROR(MEDIAN(G15:J15),"")</f>
        <v/>
      </c>
      <c r="L76" s="14">
        <f>IFERROR(MEDIAN(H15:K15),"")</f>
        <v/>
      </c>
      <c r="M76" s="14">
        <f>IFERROR(MEDIAN(I15:L15),"")</f>
        <v/>
      </c>
      <c r="N76" s="14">
        <f>IFERROR(MEDIAN(J15:M15),"")</f>
        <v/>
      </c>
      <c r="O76" s="14">
        <f>IFERROR(MEDIAN(K15:N15),"")</f>
        <v/>
      </c>
      <c r="P76" s="14">
        <f>IFERROR(MEDIAN(L15:O15),"")</f>
        <v/>
      </c>
      <c r="Q76" s="14">
        <f>IFERROR(MEDIAN(M15:P15),"")</f>
        <v/>
      </c>
      <c r="R76" s="14">
        <f>IFERROR(MEDIAN(N15:Q15),"")</f>
        <v/>
      </c>
      <c r="S76" s="14">
        <f>IFERROR(MEDIAN(O15:R15),"")</f>
        <v/>
      </c>
      <c r="T76" s="14">
        <f>IFERROR(MEDIAN(P15:S15),"")</f>
        <v/>
      </c>
      <c r="U76" s="14">
        <f>IFERROR(MEDIAN(Q15:T15),"")</f>
        <v/>
      </c>
      <c r="V76" s="14">
        <f>IFERROR(MEDIAN(R15:U15),"")</f>
        <v/>
      </c>
      <c r="W76" s="14">
        <f>IFERROR(MEDIAN(S15:V15),"")</f>
        <v/>
      </c>
      <c r="X76" s="14">
        <f>IFERROR(MEDIAN(T15:W15),"")</f>
        <v/>
      </c>
      <c r="Y76" s="14">
        <f>IFERROR(MEDIAN(U15:X15),"")</f>
        <v/>
      </c>
      <c r="Z76" s="14">
        <f>IFERROR(MEDIAN(V15:Y15),"")</f>
        <v/>
      </c>
      <c r="AA76" s="14">
        <f>IFERROR(MEDIAN(W15:Z15),"")</f>
        <v/>
      </c>
      <c r="AB76" s="14">
        <f>IFERROR(MEDIAN(X15:AA15),"")</f>
        <v/>
      </c>
    </row>
    <row r="77">
      <c r="A77" t="inlineStr">
        <is>
          <t>Semáforo</t>
        </is>
      </c>
      <c r="B77" s="24" t="inlineStr">
        <is>
          <t>CPM</t>
        </is>
      </c>
      <c r="C77" s="26">
        <f>IF(OR(C15="",C76=""),"",IF(C15&lt;=C76,"VERDE",IF(C15&lt;=C76*(1+Config!$C$15),"AMARILLO","ROJO")))</f>
        <v/>
      </c>
      <c r="D77" s="26">
        <f>IF(OR(D15="",D76=""),"",IF(D15&lt;=D76,"VERDE",IF(D15&lt;=D76*(1+Config!$C$15),"AMARILLO","ROJO")))</f>
        <v/>
      </c>
      <c r="E77" s="26">
        <f>IF(OR(E15="",E76=""),"",IF(E15&lt;=E76,"VERDE",IF(E15&lt;=E76*(1+Config!$C$15),"AMARILLO","ROJO")))</f>
        <v/>
      </c>
      <c r="F77" s="26">
        <f>IF(OR(F15="",F76=""),"",IF(F15&lt;=F76,"VERDE",IF(F15&lt;=F76*(1+Config!$C$15),"AMARILLO","ROJO")))</f>
        <v/>
      </c>
      <c r="G77" s="26">
        <f>IF(OR(G15="",G76=""),"",IF(G15&lt;=G76,"VERDE",IF(G15&lt;=G76*(1+Config!$C$15),"AMARILLO","ROJO")))</f>
        <v/>
      </c>
      <c r="H77" s="26">
        <f>IF(OR(H15="",H76=""),"",IF(H15&lt;=H76,"VERDE",IF(H15&lt;=H76*(1+Config!$C$15),"AMARILLO","ROJO")))</f>
        <v/>
      </c>
      <c r="I77" s="26">
        <f>IF(OR(I15="",I76=""),"",IF(I15&lt;=I76,"VERDE",IF(I15&lt;=I76*(1+Config!$C$15),"AMARILLO","ROJO")))</f>
        <v/>
      </c>
      <c r="J77" s="26">
        <f>IF(OR(J15="",J76=""),"",IF(J15&lt;=J76,"VERDE",IF(J15&lt;=J76*(1+Config!$C$15),"AMARILLO","ROJO")))</f>
        <v/>
      </c>
      <c r="K77" s="26">
        <f>IF(OR(K15="",K76=""),"",IF(K15&lt;=K76,"VERDE",IF(K15&lt;=K76*(1+Config!$C$15),"AMARILLO","ROJO")))</f>
        <v/>
      </c>
      <c r="L77" s="26">
        <f>IF(OR(L15="",L76=""),"",IF(L15&lt;=L76,"VERDE",IF(L15&lt;=L76*(1+Config!$C$15),"AMARILLO","ROJO")))</f>
        <v/>
      </c>
      <c r="M77" s="26">
        <f>IF(OR(M15="",M76=""),"",IF(M15&lt;=M76,"VERDE",IF(M15&lt;=M76*(1+Config!$C$15),"AMARILLO","ROJO")))</f>
        <v/>
      </c>
      <c r="N77" s="26">
        <f>IF(OR(N15="",N76=""),"",IF(N15&lt;=N76,"VERDE",IF(N15&lt;=N76*(1+Config!$C$15),"AMARILLO","ROJO")))</f>
        <v/>
      </c>
      <c r="O77" s="26">
        <f>IF(OR(O15="",O76=""),"",IF(O15&lt;=O76,"VERDE",IF(O15&lt;=O76*(1+Config!$C$15),"AMARILLO","ROJO")))</f>
        <v/>
      </c>
      <c r="P77" s="26">
        <f>IF(OR(P15="",P76=""),"",IF(P15&lt;=P76,"VERDE",IF(P15&lt;=P76*(1+Config!$C$15),"AMARILLO","ROJO")))</f>
        <v/>
      </c>
      <c r="Q77" s="26">
        <f>IF(OR(Q15="",Q76=""),"",IF(Q15&lt;=Q76,"VERDE",IF(Q15&lt;=Q76*(1+Config!$C$15),"AMARILLO","ROJO")))</f>
        <v/>
      </c>
      <c r="R77" s="26">
        <f>IF(OR(R15="",R76=""),"",IF(R15&lt;=R76,"VERDE",IF(R15&lt;=R76*(1+Config!$C$15),"AMARILLO","ROJO")))</f>
        <v/>
      </c>
      <c r="S77" s="26">
        <f>IF(OR(S15="",S76=""),"",IF(S15&lt;=S76,"VERDE",IF(S15&lt;=S76*(1+Config!$C$15),"AMARILLO","ROJO")))</f>
        <v/>
      </c>
      <c r="T77" s="26">
        <f>IF(OR(T15="",T76=""),"",IF(T15&lt;=T76,"VERDE",IF(T15&lt;=T76*(1+Config!$C$15),"AMARILLO","ROJO")))</f>
        <v/>
      </c>
      <c r="U77" s="26">
        <f>IF(OR(U15="",U76=""),"",IF(U15&lt;=U76,"VERDE",IF(U15&lt;=U76*(1+Config!$C$15),"AMARILLO","ROJO")))</f>
        <v/>
      </c>
      <c r="V77" s="26">
        <f>IF(OR(V15="",V76=""),"",IF(V15&lt;=V76,"VERDE",IF(V15&lt;=V76*(1+Config!$C$15),"AMARILLO","ROJO")))</f>
        <v/>
      </c>
      <c r="W77" s="26">
        <f>IF(OR(W15="",W76=""),"",IF(W15&lt;=W76,"VERDE",IF(W15&lt;=W76*(1+Config!$C$15),"AMARILLO","ROJO")))</f>
        <v/>
      </c>
      <c r="X77" s="26">
        <f>IF(OR(X15="",X76=""),"",IF(X15&lt;=X76,"VERDE",IF(X15&lt;=X76*(1+Config!$C$15),"AMARILLO","ROJO")))</f>
        <v/>
      </c>
      <c r="Y77" s="26">
        <f>IF(OR(Y15="",Y76=""),"",IF(Y15&lt;=Y76,"VERDE",IF(Y15&lt;=Y76*(1+Config!$C$15),"AMARILLO","ROJO")))</f>
        <v/>
      </c>
      <c r="Z77" s="26">
        <f>IF(OR(Z15="",Z76=""),"",IF(Z15&lt;=Z76,"VERDE",IF(Z15&lt;=Z76*(1+Config!$C$15),"AMARILLO","ROJO")))</f>
        <v/>
      </c>
      <c r="AA77" s="26">
        <f>IF(OR(AA15="",AA76=""),"",IF(AA15&lt;=AA76,"VERDE",IF(AA15&lt;=AA76*(1+Config!$C$15),"AMARILLO","ROJO")))</f>
        <v/>
      </c>
      <c r="AB77" s="26">
        <f>IF(OR(AB15="",AB76=""),"",IF(AB15&lt;=AB76,"VERDE",IF(AB15&lt;=AB76*(1+Config!$C$15),"AMARILLO","ROJO")))</f>
        <v/>
      </c>
    </row>
    <row r="78">
      <c r="A78" t="inlineStr">
        <is>
          <t>Mediana 4 semanas anteriores</t>
        </is>
      </c>
      <c r="B78" s="4" t="inlineStr">
        <is>
          <t>CTR al enlace</t>
        </is>
      </c>
      <c r="C78" s="25" t="inlineStr"/>
      <c r="D78" s="16">
        <f>IFERROR(MEDIAN(C17:C17),"")</f>
        <v/>
      </c>
      <c r="E78" s="16">
        <f>IFERROR(MEDIAN(C17:D17),"")</f>
        <v/>
      </c>
      <c r="F78" s="16">
        <f>IFERROR(MEDIAN(C17:E17),"")</f>
        <v/>
      </c>
      <c r="G78" s="16">
        <f>IFERROR(MEDIAN(C17:F17),"")</f>
        <v/>
      </c>
      <c r="H78" s="16">
        <f>IFERROR(MEDIAN(D17:G17),"")</f>
        <v/>
      </c>
      <c r="I78" s="16">
        <f>IFERROR(MEDIAN(E17:H17),"")</f>
        <v/>
      </c>
      <c r="J78" s="16">
        <f>IFERROR(MEDIAN(F17:I17),"")</f>
        <v/>
      </c>
      <c r="K78" s="16">
        <f>IFERROR(MEDIAN(G17:J17),"")</f>
        <v/>
      </c>
      <c r="L78" s="16">
        <f>IFERROR(MEDIAN(H17:K17),"")</f>
        <v/>
      </c>
      <c r="M78" s="16">
        <f>IFERROR(MEDIAN(I17:L17),"")</f>
        <v/>
      </c>
      <c r="N78" s="16">
        <f>IFERROR(MEDIAN(J17:M17),"")</f>
        <v/>
      </c>
      <c r="O78" s="16">
        <f>IFERROR(MEDIAN(K17:N17),"")</f>
        <v/>
      </c>
      <c r="P78" s="16">
        <f>IFERROR(MEDIAN(L17:O17),"")</f>
        <v/>
      </c>
      <c r="Q78" s="16">
        <f>IFERROR(MEDIAN(M17:P17),"")</f>
        <v/>
      </c>
      <c r="R78" s="16">
        <f>IFERROR(MEDIAN(N17:Q17),"")</f>
        <v/>
      </c>
      <c r="S78" s="16">
        <f>IFERROR(MEDIAN(O17:R17),"")</f>
        <v/>
      </c>
      <c r="T78" s="16">
        <f>IFERROR(MEDIAN(P17:S17),"")</f>
        <v/>
      </c>
      <c r="U78" s="16">
        <f>IFERROR(MEDIAN(Q17:T17),"")</f>
        <v/>
      </c>
      <c r="V78" s="16">
        <f>IFERROR(MEDIAN(R17:U17),"")</f>
        <v/>
      </c>
      <c r="W78" s="16">
        <f>IFERROR(MEDIAN(S17:V17),"")</f>
        <v/>
      </c>
      <c r="X78" s="16">
        <f>IFERROR(MEDIAN(T17:W17),"")</f>
        <v/>
      </c>
      <c r="Y78" s="16">
        <f>IFERROR(MEDIAN(U17:X17),"")</f>
        <v/>
      </c>
      <c r="Z78" s="16">
        <f>IFERROR(MEDIAN(V17:Y17),"")</f>
        <v/>
      </c>
      <c r="AA78" s="16">
        <f>IFERROR(MEDIAN(W17:Z17),"")</f>
        <v/>
      </c>
      <c r="AB78" s="16">
        <f>IFERROR(MEDIAN(X17:AA17),"")</f>
        <v/>
      </c>
    </row>
    <row r="79">
      <c r="A79" t="inlineStr">
        <is>
          <t>Semáforo</t>
        </is>
      </c>
      <c r="B79" s="24" t="inlineStr">
        <is>
          <t>CTR al enlace</t>
        </is>
      </c>
      <c r="C79" s="26">
        <f>IF(OR(C17="",C78=""),"",IF(C17&gt;=C78,"VERDE",IF(C17&gt;=C78*(1-Config!$C$15),"AMARILLO","ROJO")))</f>
        <v/>
      </c>
      <c r="D79" s="26">
        <f>IF(OR(D17="",D78=""),"",IF(D17&gt;=D78,"VERDE",IF(D17&gt;=D78*(1-Config!$C$15),"AMARILLO","ROJO")))</f>
        <v/>
      </c>
      <c r="E79" s="26">
        <f>IF(OR(E17="",E78=""),"",IF(E17&gt;=E78,"VERDE",IF(E17&gt;=E78*(1-Config!$C$15),"AMARILLO","ROJO")))</f>
        <v/>
      </c>
      <c r="F79" s="26">
        <f>IF(OR(F17="",F78=""),"",IF(F17&gt;=F78,"VERDE",IF(F17&gt;=F78*(1-Config!$C$15),"AMARILLO","ROJO")))</f>
        <v/>
      </c>
      <c r="G79" s="26">
        <f>IF(OR(G17="",G78=""),"",IF(G17&gt;=G78,"VERDE",IF(G17&gt;=G78*(1-Config!$C$15),"AMARILLO","ROJO")))</f>
        <v/>
      </c>
      <c r="H79" s="26">
        <f>IF(OR(H17="",H78=""),"",IF(H17&gt;=H78,"VERDE",IF(H17&gt;=H78*(1-Config!$C$15),"AMARILLO","ROJO")))</f>
        <v/>
      </c>
      <c r="I79" s="26">
        <f>IF(OR(I17="",I78=""),"",IF(I17&gt;=I78,"VERDE",IF(I17&gt;=I78*(1-Config!$C$15),"AMARILLO","ROJO")))</f>
        <v/>
      </c>
      <c r="J79" s="26">
        <f>IF(OR(J17="",J78=""),"",IF(J17&gt;=J78,"VERDE",IF(J17&gt;=J78*(1-Config!$C$15),"AMARILLO","ROJO")))</f>
        <v/>
      </c>
      <c r="K79" s="26">
        <f>IF(OR(K17="",K78=""),"",IF(K17&gt;=K78,"VERDE",IF(K17&gt;=K78*(1-Config!$C$15),"AMARILLO","ROJO")))</f>
        <v/>
      </c>
      <c r="L79" s="26">
        <f>IF(OR(L17="",L78=""),"",IF(L17&gt;=L78,"VERDE",IF(L17&gt;=L78*(1-Config!$C$15),"AMARILLO","ROJO")))</f>
        <v/>
      </c>
      <c r="M79" s="26">
        <f>IF(OR(M17="",M78=""),"",IF(M17&gt;=M78,"VERDE",IF(M17&gt;=M78*(1-Config!$C$15),"AMARILLO","ROJO")))</f>
        <v/>
      </c>
      <c r="N79" s="26">
        <f>IF(OR(N17="",N78=""),"",IF(N17&gt;=N78,"VERDE",IF(N17&gt;=N78*(1-Config!$C$15),"AMARILLO","ROJO")))</f>
        <v/>
      </c>
      <c r="O79" s="26">
        <f>IF(OR(O17="",O78=""),"",IF(O17&gt;=O78,"VERDE",IF(O17&gt;=O78*(1-Config!$C$15),"AMARILLO","ROJO")))</f>
        <v/>
      </c>
      <c r="P79" s="26">
        <f>IF(OR(P17="",P78=""),"",IF(P17&gt;=P78,"VERDE",IF(P17&gt;=P78*(1-Config!$C$15),"AMARILLO","ROJO")))</f>
        <v/>
      </c>
      <c r="Q79" s="26">
        <f>IF(OR(Q17="",Q78=""),"",IF(Q17&gt;=Q78,"VERDE",IF(Q17&gt;=Q78*(1-Config!$C$15),"AMARILLO","ROJO")))</f>
        <v/>
      </c>
      <c r="R79" s="26">
        <f>IF(OR(R17="",R78=""),"",IF(R17&gt;=R78,"VERDE",IF(R17&gt;=R78*(1-Config!$C$15),"AMARILLO","ROJO")))</f>
        <v/>
      </c>
      <c r="S79" s="26">
        <f>IF(OR(S17="",S78=""),"",IF(S17&gt;=S78,"VERDE",IF(S17&gt;=S78*(1-Config!$C$15),"AMARILLO","ROJO")))</f>
        <v/>
      </c>
      <c r="T79" s="26">
        <f>IF(OR(T17="",T78=""),"",IF(T17&gt;=T78,"VERDE",IF(T17&gt;=T78*(1-Config!$C$15),"AMARILLO","ROJO")))</f>
        <v/>
      </c>
      <c r="U79" s="26">
        <f>IF(OR(U17="",U78=""),"",IF(U17&gt;=U78,"VERDE",IF(U17&gt;=U78*(1-Config!$C$15),"AMARILLO","ROJO")))</f>
        <v/>
      </c>
      <c r="V79" s="26">
        <f>IF(OR(V17="",V78=""),"",IF(V17&gt;=V78,"VERDE",IF(V17&gt;=V78*(1-Config!$C$15),"AMARILLO","ROJO")))</f>
        <v/>
      </c>
      <c r="W79" s="26">
        <f>IF(OR(W17="",W78=""),"",IF(W17&gt;=W78,"VERDE",IF(W17&gt;=W78*(1-Config!$C$15),"AMARILLO","ROJO")))</f>
        <v/>
      </c>
      <c r="X79" s="26">
        <f>IF(OR(X17="",X78=""),"",IF(X17&gt;=X78,"VERDE",IF(X17&gt;=X78*(1-Config!$C$15),"AMARILLO","ROJO")))</f>
        <v/>
      </c>
      <c r="Y79" s="26">
        <f>IF(OR(Y17="",Y78=""),"",IF(Y17&gt;=Y78,"VERDE",IF(Y17&gt;=Y78*(1-Config!$C$15),"AMARILLO","ROJO")))</f>
        <v/>
      </c>
      <c r="Z79" s="26">
        <f>IF(OR(Z17="",Z78=""),"",IF(Z17&gt;=Z78,"VERDE",IF(Z17&gt;=Z78*(1-Config!$C$15),"AMARILLO","ROJO")))</f>
        <v/>
      </c>
      <c r="AA79" s="26">
        <f>IF(OR(AA17="",AA78=""),"",IF(AA17&gt;=AA78,"VERDE",IF(AA17&gt;=AA78*(1-Config!$C$15),"AMARILLO","ROJO")))</f>
        <v/>
      </c>
      <c r="AB79" s="26">
        <f>IF(OR(AB17="",AB78=""),"",IF(AB17&gt;=AB78,"VERDE",IF(AB17&gt;=AB78*(1-Config!$C$15),"AMARILLO","ROJO")))</f>
        <v/>
      </c>
    </row>
    <row r="80">
      <c r="A80" t="inlineStr">
        <is>
          <t>Mediana 4 semanas anteriores</t>
        </is>
      </c>
      <c r="B80" s="4" t="inlineStr">
        <is>
          <t>Frecuencia</t>
        </is>
      </c>
      <c r="C80" s="25" t="inlineStr"/>
      <c r="D80" s="15">
        <f>IFERROR(MEDIAN(C16:C16),"")</f>
        <v/>
      </c>
      <c r="E80" s="15">
        <f>IFERROR(MEDIAN(C16:D16),"")</f>
        <v/>
      </c>
      <c r="F80" s="15">
        <f>IFERROR(MEDIAN(C16:E16),"")</f>
        <v/>
      </c>
      <c r="G80" s="15">
        <f>IFERROR(MEDIAN(C16:F16),"")</f>
        <v/>
      </c>
      <c r="H80" s="15">
        <f>IFERROR(MEDIAN(D16:G16),"")</f>
        <v/>
      </c>
      <c r="I80" s="15">
        <f>IFERROR(MEDIAN(E16:H16),"")</f>
        <v/>
      </c>
      <c r="J80" s="15">
        <f>IFERROR(MEDIAN(F16:I16),"")</f>
        <v/>
      </c>
      <c r="K80" s="15">
        <f>IFERROR(MEDIAN(G16:J16),"")</f>
        <v/>
      </c>
      <c r="L80" s="15">
        <f>IFERROR(MEDIAN(H16:K16),"")</f>
        <v/>
      </c>
      <c r="M80" s="15">
        <f>IFERROR(MEDIAN(I16:L16),"")</f>
        <v/>
      </c>
      <c r="N80" s="15">
        <f>IFERROR(MEDIAN(J16:M16),"")</f>
        <v/>
      </c>
      <c r="O80" s="15">
        <f>IFERROR(MEDIAN(K16:N16),"")</f>
        <v/>
      </c>
      <c r="P80" s="15">
        <f>IFERROR(MEDIAN(L16:O16),"")</f>
        <v/>
      </c>
      <c r="Q80" s="15">
        <f>IFERROR(MEDIAN(M16:P16),"")</f>
        <v/>
      </c>
      <c r="R80" s="15">
        <f>IFERROR(MEDIAN(N16:Q16),"")</f>
        <v/>
      </c>
      <c r="S80" s="15">
        <f>IFERROR(MEDIAN(O16:R16),"")</f>
        <v/>
      </c>
      <c r="T80" s="15">
        <f>IFERROR(MEDIAN(P16:S16),"")</f>
        <v/>
      </c>
      <c r="U80" s="15">
        <f>IFERROR(MEDIAN(Q16:T16),"")</f>
        <v/>
      </c>
      <c r="V80" s="15">
        <f>IFERROR(MEDIAN(R16:U16),"")</f>
        <v/>
      </c>
      <c r="W80" s="15">
        <f>IFERROR(MEDIAN(S16:V16),"")</f>
        <v/>
      </c>
      <c r="X80" s="15">
        <f>IFERROR(MEDIAN(T16:W16),"")</f>
        <v/>
      </c>
      <c r="Y80" s="15">
        <f>IFERROR(MEDIAN(U16:X16),"")</f>
        <v/>
      </c>
      <c r="Z80" s="15">
        <f>IFERROR(MEDIAN(V16:Y16),"")</f>
        <v/>
      </c>
      <c r="AA80" s="15">
        <f>IFERROR(MEDIAN(W16:Z16),"")</f>
        <v/>
      </c>
      <c r="AB80" s="15">
        <f>IFERROR(MEDIAN(X16:AA16),"")</f>
        <v/>
      </c>
    </row>
    <row r="81">
      <c r="A81" t="inlineStr">
        <is>
          <t>Semáforo</t>
        </is>
      </c>
      <c r="B81" s="24" t="inlineStr">
        <is>
          <t>Frecuencia</t>
        </is>
      </c>
      <c r="C81" s="26">
        <f>IF(OR(C16="",C80=""),"",IF(C16&lt;=C80,"VERDE",IF(C16&lt;=C80*(1+Config!$C$15),"AMARILLO","ROJO")))</f>
        <v/>
      </c>
      <c r="D81" s="26">
        <f>IF(OR(D16="",D80=""),"",IF(D16&lt;=D80,"VERDE",IF(D16&lt;=D80*(1+Config!$C$15),"AMARILLO","ROJO")))</f>
        <v/>
      </c>
      <c r="E81" s="26">
        <f>IF(OR(E16="",E80=""),"",IF(E16&lt;=E80,"VERDE",IF(E16&lt;=E80*(1+Config!$C$15),"AMARILLO","ROJO")))</f>
        <v/>
      </c>
      <c r="F81" s="26">
        <f>IF(OR(F16="",F80=""),"",IF(F16&lt;=F80,"VERDE",IF(F16&lt;=F80*(1+Config!$C$15),"AMARILLO","ROJO")))</f>
        <v/>
      </c>
      <c r="G81" s="26">
        <f>IF(OR(G16="",G80=""),"",IF(G16&lt;=G80,"VERDE",IF(G16&lt;=G80*(1+Config!$C$15),"AMARILLO","ROJO")))</f>
        <v/>
      </c>
      <c r="H81" s="26">
        <f>IF(OR(H16="",H80=""),"",IF(H16&lt;=H80,"VERDE",IF(H16&lt;=H80*(1+Config!$C$15),"AMARILLO","ROJO")))</f>
        <v/>
      </c>
      <c r="I81" s="26">
        <f>IF(OR(I16="",I80=""),"",IF(I16&lt;=I80,"VERDE",IF(I16&lt;=I80*(1+Config!$C$15),"AMARILLO","ROJO")))</f>
        <v/>
      </c>
      <c r="J81" s="26">
        <f>IF(OR(J16="",J80=""),"",IF(J16&lt;=J80,"VERDE",IF(J16&lt;=J80*(1+Config!$C$15),"AMARILLO","ROJO")))</f>
        <v/>
      </c>
      <c r="K81" s="26">
        <f>IF(OR(K16="",K80=""),"",IF(K16&lt;=K80,"VERDE",IF(K16&lt;=K80*(1+Config!$C$15),"AMARILLO","ROJO")))</f>
        <v/>
      </c>
      <c r="L81" s="26">
        <f>IF(OR(L16="",L80=""),"",IF(L16&lt;=L80,"VERDE",IF(L16&lt;=L80*(1+Config!$C$15),"AMARILLO","ROJO")))</f>
        <v/>
      </c>
      <c r="M81" s="26">
        <f>IF(OR(M16="",M80=""),"",IF(M16&lt;=M80,"VERDE",IF(M16&lt;=M80*(1+Config!$C$15),"AMARILLO","ROJO")))</f>
        <v/>
      </c>
      <c r="N81" s="26">
        <f>IF(OR(N16="",N80=""),"",IF(N16&lt;=N80,"VERDE",IF(N16&lt;=N80*(1+Config!$C$15),"AMARILLO","ROJO")))</f>
        <v/>
      </c>
      <c r="O81" s="26">
        <f>IF(OR(O16="",O80=""),"",IF(O16&lt;=O80,"VERDE",IF(O16&lt;=O80*(1+Config!$C$15),"AMARILLO","ROJO")))</f>
        <v/>
      </c>
      <c r="P81" s="26">
        <f>IF(OR(P16="",P80=""),"",IF(P16&lt;=P80,"VERDE",IF(P16&lt;=P80*(1+Config!$C$15),"AMARILLO","ROJO")))</f>
        <v/>
      </c>
      <c r="Q81" s="26">
        <f>IF(OR(Q16="",Q80=""),"",IF(Q16&lt;=Q80,"VERDE",IF(Q16&lt;=Q80*(1+Config!$C$15),"AMARILLO","ROJO")))</f>
        <v/>
      </c>
      <c r="R81" s="26">
        <f>IF(OR(R16="",R80=""),"",IF(R16&lt;=R80,"VERDE",IF(R16&lt;=R80*(1+Config!$C$15),"AMARILLO","ROJO")))</f>
        <v/>
      </c>
      <c r="S81" s="26">
        <f>IF(OR(S16="",S80=""),"",IF(S16&lt;=S80,"VERDE",IF(S16&lt;=S80*(1+Config!$C$15),"AMARILLO","ROJO")))</f>
        <v/>
      </c>
      <c r="T81" s="26">
        <f>IF(OR(T16="",T80=""),"",IF(T16&lt;=T80,"VERDE",IF(T16&lt;=T80*(1+Config!$C$15),"AMARILLO","ROJO")))</f>
        <v/>
      </c>
      <c r="U81" s="26">
        <f>IF(OR(U16="",U80=""),"",IF(U16&lt;=U80,"VERDE",IF(U16&lt;=U80*(1+Config!$C$15),"AMARILLO","ROJO")))</f>
        <v/>
      </c>
      <c r="V81" s="26">
        <f>IF(OR(V16="",V80=""),"",IF(V16&lt;=V80,"VERDE",IF(V16&lt;=V80*(1+Config!$C$15),"AMARILLO","ROJO")))</f>
        <v/>
      </c>
      <c r="W81" s="26">
        <f>IF(OR(W16="",W80=""),"",IF(W16&lt;=W80,"VERDE",IF(W16&lt;=W80*(1+Config!$C$15),"AMARILLO","ROJO")))</f>
        <v/>
      </c>
      <c r="X81" s="26">
        <f>IF(OR(X16="",X80=""),"",IF(X16&lt;=X80,"VERDE",IF(X16&lt;=X80*(1+Config!$C$15),"AMARILLO","ROJO")))</f>
        <v/>
      </c>
      <c r="Y81" s="26">
        <f>IF(OR(Y16="",Y80=""),"",IF(Y16&lt;=Y80,"VERDE",IF(Y16&lt;=Y80*(1+Config!$C$15),"AMARILLO","ROJO")))</f>
        <v/>
      </c>
      <c r="Z81" s="26">
        <f>IF(OR(Z16="",Z80=""),"",IF(Z16&lt;=Z80,"VERDE",IF(Z16&lt;=Z80*(1+Config!$C$15),"AMARILLO","ROJO")))</f>
        <v/>
      </c>
      <c r="AA81" s="26">
        <f>IF(OR(AA16="",AA80=""),"",IF(AA16&lt;=AA80,"VERDE",IF(AA16&lt;=AA80*(1+Config!$C$15),"AMARILLO","ROJO")))</f>
        <v/>
      </c>
      <c r="AB81" s="26">
        <f>IF(OR(AB16="",AB80=""),"",IF(AB16&lt;=AB80,"VERDE",IF(AB16&lt;=AB80*(1+Config!$C$15),"AMARILLO","ROJO")))</f>
        <v/>
      </c>
    </row>
    <row r="82">
      <c r="A82" t="inlineStr">
        <is>
          <t>Mediana 4 semanas anteriores</t>
        </is>
      </c>
      <c r="B82" s="4" t="inlineStr">
        <is>
          <t>% registro → en vivo</t>
        </is>
      </c>
      <c r="C82" s="25" t="inlineStr"/>
      <c r="D82" s="17">
        <f>IFERROR(MEDIAN(C38:C38),"")</f>
        <v/>
      </c>
      <c r="E82" s="17">
        <f>IFERROR(MEDIAN(C38:D38),"")</f>
        <v/>
      </c>
      <c r="F82" s="17">
        <f>IFERROR(MEDIAN(C38:E38),"")</f>
        <v/>
      </c>
      <c r="G82" s="17">
        <f>IFERROR(MEDIAN(C38:F38),"")</f>
        <v/>
      </c>
      <c r="H82" s="17">
        <f>IFERROR(MEDIAN(D38:G38),"")</f>
        <v/>
      </c>
      <c r="I82" s="17">
        <f>IFERROR(MEDIAN(E38:H38),"")</f>
        <v/>
      </c>
      <c r="J82" s="17">
        <f>IFERROR(MEDIAN(F38:I38),"")</f>
        <v/>
      </c>
      <c r="K82" s="17">
        <f>IFERROR(MEDIAN(G38:J38),"")</f>
        <v/>
      </c>
      <c r="L82" s="17">
        <f>IFERROR(MEDIAN(H38:K38),"")</f>
        <v/>
      </c>
      <c r="M82" s="17">
        <f>IFERROR(MEDIAN(I38:L38),"")</f>
        <v/>
      </c>
      <c r="N82" s="17">
        <f>IFERROR(MEDIAN(J38:M38),"")</f>
        <v/>
      </c>
      <c r="O82" s="17">
        <f>IFERROR(MEDIAN(K38:N38),"")</f>
        <v/>
      </c>
      <c r="P82" s="17">
        <f>IFERROR(MEDIAN(L38:O38),"")</f>
        <v/>
      </c>
      <c r="Q82" s="17">
        <f>IFERROR(MEDIAN(M38:P38),"")</f>
        <v/>
      </c>
      <c r="R82" s="17">
        <f>IFERROR(MEDIAN(N38:Q38),"")</f>
        <v/>
      </c>
      <c r="S82" s="17">
        <f>IFERROR(MEDIAN(O38:R38),"")</f>
        <v/>
      </c>
      <c r="T82" s="17">
        <f>IFERROR(MEDIAN(P38:S38),"")</f>
        <v/>
      </c>
      <c r="U82" s="17">
        <f>IFERROR(MEDIAN(Q38:T38),"")</f>
        <v/>
      </c>
      <c r="V82" s="17">
        <f>IFERROR(MEDIAN(R38:U38),"")</f>
        <v/>
      </c>
      <c r="W82" s="17">
        <f>IFERROR(MEDIAN(S38:V38),"")</f>
        <v/>
      </c>
      <c r="X82" s="17">
        <f>IFERROR(MEDIAN(T38:W38),"")</f>
        <v/>
      </c>
      <c r="Y82" s="17">
        <f>IFERROR(MEDIAN(U38:X38),"")</f>
        <v/>
      </c>
      <c r="Z82" s="17">
        <f>IFERROR(MEDIAN(V38:Y38),"")</f>
        <v/>
      </c>
      <c r="AA82" s="17">
        <f>IFERROR(MEDIAN(W38:Z38),"")</f>
        <v/>
      </c>
      <c r="AB82" s="17">
        <f>IFERROR(MEDIAN(X38:AA38),"")</f>
        <v/>
      </c>
    </row>
    <row r="83">
      <c r="A83" t="inlineStr">
        <is>
          <t>Semáforo</t>
        </is>
      </c>
      <c r="B83" s="24" t="inlineStr">
        <is>
          <t>% registro → en vivo</t>
        </is>
      </c>
      <c r="C83" s="26">
        <f>IF(OR(C38="",C82=""),"",IF(C38&gt;=C82,"VERDE",IF(C38&gt;=C82*(1-Config!$C$15),"AMARILLO","ROJO")))</f>
        <v/>
      </c>
      <c r="D83" s="26">
        <f>IF(OR(D38="",D82=""),"",IF(D38&gt;=D82,"VERDE",IF(D38&gt;=D82*(1-Config!$C$15),"AMARILLO","ROJO")))</f>
        <v/>
      </c>
      <c r="E83" s="26">
        <f>IF(OR(E38="",E82=""),"",IF(E38&gt;=E82,"VERDE",IF(E38&gt;=E82*(1-Config!$C$15),"AMARILLO","ROJO")))</f>
        <v/>
      </c>
      <c r="F83" s="26">
        <f>IF(OR(F38="",F82=""),"",IF(F38&gt;=F82,"VERDE",IF(F38&gt;=F82*(1-Config!$C$15),"AMARILLO","ROJO")))</f>
        <v/>
      </c>
      <c r="G83" s="26">
        <f>IF(OR(G38="",G82=""),"",IF(G38&gt;=G82,"VERDE",IF(G38&gt;=G82*(1-Config!$C$15),"AMARILLO","ROJO")))</f>
        <v/>
      </c>
      <c r="H83" s="26">
        <f>IF(OR(H38="",H82=""),"",IF(H38&gt;=H82,"VERDE",IF(H38&gt;=H82*(1-Config!$C$15),"AMARILLO","ROJO")))</f>
        <v/>
      </c>
      <c r="I83" s="26">
        <f>IF(OR(I38="",I82=""),"",IF(I38&gt;=I82,"VERDE",IF(I38&gt;=I82*(1-Config!$C$15),"AMARILLO","ROJO")))</f>
        <v/>
      </c>
      <c r="J83" s="26">
        <f>IF(OR(J38="",J82=""),"",IF(J38&gt;=J82,"VERDE",IF(J38&gt;=J82*(1-Config!$C$15),"AMARILLO","ROJO")))</f>
        <v/>
      </c>
      <c r="K83" s="26">
        <f>IF(OR(K38="",K82=""),"",IF(K38&gt;=K82,"VERDE",IF(K38&gt;=K82*(1-Config!$C$15),"AMARILLO","ROJO")))</f>
        <v/>
      </c>
      <c r="L83" s="26">
        <f>IF(OR(L38="",L82=""),"",IF(L38&gt;=L82,"VERDE",IF(L38&gt;=L82*(1-Config!$C$15),"AMARILLO","ROJO")))</f>
        <v/>
      </c>
      <c r="M83" s="26">
        <f>IF(OR(M38="",M82=""),"",IF(M38&gt;=M82,"VERDE",IF(M38&gt;=M82*(1-Config!$C$15),"AMARILLO","ROJO")))</f>
        <v/>
      </c>
      <c r="N83" s="26">
        <f>IF(OR(N38="",N82=""),"",IF(N38&gt;=N82,"VERDE",IF(N38&gt;=N82*(1-Config!$C$15),"AMARILLO","ROJO")))</f>
        <v/>
      </c>
      <c r="O83" s="26">
        <f>IF(OR(O38="",O82=""),"",IF(O38&gt;=O82,"VERDE",IF(O38&gt;=O82*(1-Config!$C$15),"AMARILLO","ROJO")))</f>
        <v/>
      </c>
      <c r="P83" s="26">
        <f>IF(OR(P38="",P82=""),"",IF(P38&gt;=P82,"VERDE",IF(P38&gt;=P82*(1-Config!$C$15),"AMARILLO","ROJO")))</f>
        <v/>
      </c>
      <c r="Q83" s="26">
        <f>IF(OR(Q38="",Q82=""),"",IF(Q38&gt;=Q82,"VERDE",IF(Q38&gt;=Q82*(1-Config!$C$15),"AMARILLO","ROJO")))</f>
        <v/>
      </c>
      <c r="R83" s="26">
        <f>IF(OR(R38="",R82=""),"",IF(R38&gt;=R82,"VERDE",IF(R38&gt;=R82*(1-Config!$C$15),"AMARILLO","ROJO")))</f>
        <v/>
      </c>
      <c r="S83" s="26">
        <f>IF(OR(S38="",S82=""),"",IF(S38&gt;=S82,"VERDE",IF(S38&gt;=S82*(1-Config!$C$15),"AMARILLO","ROJO")))</f>
        <v/>
      </c>
      <c r="T83" s="26">
        <f>IF(OR(T38="",T82=""),"",IF(T38&gt;=T82,"VERDE",IF(T38&gt;=T82*(1-Config!$C$15),"AMARILLO","ROJO")))</f>
        <v/>
      </c>
      <c r="U83" s="26">
        <f>IF(OR(U38="",U82=""),"",IF(U38&gt;=U82,"VERDE",IF(U38&gt;=U82*(1-Config!$C$15),"AMARILLO","ROJO")))</f>
        <v/>
      </c>
      <c r="V83" s="26">
        <f>IF(OR(V38="",V82=""),"",IF(V38&gt;=V82,"VERDE",IF(V38&gt;=V82*(1-Config!$C$15),"AMARILLO","ROJO")))</f>
        <v/>
      </c>
      <c r="W83" s="26">
        <f>IF(OR(W38="",W82=""),"",IF(W38&gt;=W82,"VERDE",IF(W38&gt;=W82*(1-Config!$C$15),"AMARILLO","ROJO")))</f>
        <v/>
      </c>
      <c r="X83" s="26">
        <f>IF(OR(X38="",X82=""),"",IF(X38&gt;=X82,"VERDE",IF(X38&gt;=X82*(1-Config!$C$15),"AMARILLO","ROJO")))</f>
        <v/>
      </c>
      <c r="Y83" s="26">
        <f>IF(OR(Y38="",Y82=""),"",IF(Y38&gt;=Y82,"VERDE",IF(Y38&gt;=Y82*(1-Config!$C$15),"AMARILLO","ROJO")))</f>
        <v/>
      </c>
      <c r="Z83" s="26">
        <f>IF(OR(Z38="",Z82=""),"",IF(Z38&gt;=Z82,"VERDE",IF(Z38&gt;=Z82*(1-Config!$C$15),"AMARILLO","ROJO")))</f>
        <v/>
      </c>
      <c r="AA83" s="26">
        <f>IF(OR(AA38="",AA82=""),"",IF(AA38&gt;=AA82,"VERDE",IF(AA38&gt;=AA82*(1-Config!$C$15),"AMARILLO","ROJO")))</f>
        <v/>
      </c>
      <c r="AB83" s="26">
        <f>IF(OR(AB38="",AB82=""),"",IF(AB38&gt;=AB82,"VERDE",IF(AB38&gt;=AB82*(1-Config!$C$15),"AMARILLO","ROJO")))</f>
        <v/>
      </c>
    </row>
    <row r="84">
      <c r="A84" t="inlineStr">
        <is>
          <t>Mediana 4 semanas anteriores</t>
        </is>
      </c>
      <c r="B84" s="4" t="inlineStr">
        <is>
          <t>% en vivo → solicitud</t>
        </is>
      </c>
      <c r="C84" s="25" t="inlineStr"/>
      <c r="D84" s="17">
        <f>IFERROR(MEDIAN(C47:C47),"")</f>
        <v/>
      </c>
      <c r="E84" s="17">
        <f>IFERROR(MEDIAN(C47:D47),"")</f>
        <v/>
      </c>
      <c r="F84" s="17">
        <f>IFERROR(MEDIAN(C47:E47),"")</f>
        <v/>
      </c>
      <c r="G84" s="17">
        <f>IFERROR(MEDIAN(C47:F47),"")</f>
        <v/>
      </c>
      <c r="H84" s="17">
        <f>IFERROR(MEDIAN(D47:G47),"")</f>
        <v/>
      </c>
      <c r="I84" s="17">
        <f>IFERROR(MEDIAN(E47:H47),"")</f>
        <v/>
      </c>
      <c r="J84" s="17">
        <f>IFERROR(MEDIAN(F47:I47),"")</f>
        <v/>
      </c>
      <c r="K84" s="17">
        <f>IFERROR(MEDIAN(G47:J47),"")</f>
        <v/>
      </c>
      <c r="L84" s="17">
        <f>IFERROR(MEDIAN(H47:K47),"")</f>
        <v/>
      </c>
      <c r="M84" s="17">
        <f>IFERROR(MEDIAN(I47:L47),"")</f>
        <v/>
      </c>
      <c r="N84" s="17">
        <f>IFERROR(MEDIAN(J47:M47),"")</f>
        <v/>
      </c>
      <c r="O84" s="17">
        <f>IFERROR(MEDIAN(K47:N47),"")</f>
        <v/>
      </c>
      <c r="P84" s="17">
        <f>IFERROR(MEDIAN(L47:O47),"")</f>
        <v/>
      </c>
      <c r="Q84" s="17">
        <f>IFERROR(MEDIAN(M47:P47),"")</f>
        <v/>
      </c>
      <c r="R84" s="17">
        <f>IFERROR(MEDIAN(N47:Q47),"")</f>
        <v/>
      </c>
      <c r="S84" s="17">
        <f>IFERROR(MEDIAN(O47:R47),"")</f>
        <v/>
      </c>
      <c r="T84" s="17">
        <f>IFERROR(MEDIAN(P47:S47),"")</f>
        <v/>
      </c>
      <c r="U84" s="17">
        <f>IFERROR(MEDIAN(Q47:T47),"")</f>
        <v/>
      </c>
      <c r="V84" s="17">
        <f>IFERROR(MEDIAN(R47:U47),"")</f>
        <v/>
      </c>
      <c r="W84" s="17">
        <f>IFERROR(MEDIAN(S47:V47),"")</f>
        <v/>
      </c>
      <c r="X84" s="17">
        <f>IFERROR(MEDIAN(T47:W47),"")</f>
        <v/>
      </c>
      <c r="Y84" s="17">
        <f>IFERROR(MEDIAN(U47:X47),"")</f>
        <v/>
      </c>
      <c r="Z84" s="17">
        <f>IFERROR(MEDIAN(V47:Y47),"")</f>
        <v/>
      </c>
      <c r="AA84" s="17">
        <f>IFERROR(MEDIAN(W47:Z47),"")</f>
        <v/>
      </c>
      <c r="AB84" s="17">
        <f>IFERROR(MEDIAN(X47:AA47),"")</f>
        <v/>
      </c>
    </row>
    <row r="85">
      <c r="A85" t="inlineStr">
        <is>
          <t>Semáforo</t>
        </is>
      </c>
      <c r="B85" s="24" t="inlineStr">
        <is>
          <t>% en vivo → solicitud</t>
        </is>
      </c>
      <c r="C85" s="26">
        <f>IF(OR(C47="",C84=""),"",IF(C47&gt;=C84,"VERDE",IF(C47&gt;=C84*(1-Config!$C$15),"AMARILLO","ROJO")))</f>
        <v/>
      </c>
      <c r="D85" s="26">
        <f>IF(OR(D47="",D84=""),"",IF(D47&gt;=D84,"VERDE",IF(D47&gt;=D84*(1-Config!$C$15),"AMARILLO","ROJO")))</f>
        <v/>
      </c>
      <c r="E85" s="26">
        <f>IF(OR(E47="",E84=""),"",IF(E47&gt;=E84,"VERDE",IF(E47&gt;=E84*(1-Config!$C$15),"AMARILLO","ROJO")))</f>
        <v/>
      </c>
      <c r="F85" s="26">
        <f>IF(OR(F47="",F84=""),"",IF(F47&gt;=F84,"VERDE",IF(F47&gt;=F84*(1-Config!$C$15),"AMARILLO","ROJO")))</f>
        <v/>
      </c>
      <c r="G85" s="26">
        <f>IF(OR(G47="",G84=""),"",IF(G47&gt;=G84,"VERDE",IF(G47&gt;=G84*(1-Config!$C$15),"AMARILLO","ROJO")))</f>
        <v/>
      </c>
      <c r="H85" s="26">
        <f>IF(OR(H47="",H84=""),"",IF(H47&gt;=H84,"VERDE",IF(H47&gt;=H84*(1-Config!$C$15),"AMARILLO","ROJO")))</f>
        <v/>
      </c>
      <c r="I85" s="26">
        <f>IF(OR(I47="",I84=""),"",IF(I47&gt;=I84,"VERDE",IF(I47&gt;=I84*(1-Config!$C$15),"AMARILLO","ROJO")))</f>
        <v/>
      </c>
      <c r="J85" s="26">
        <f>IF(OR(J47="",J84=""),"",IF(J47&gt;=J84,"VERDE",IF(J47&gt;=J84*(1-Config!$C$15),"AMARILLO","ROJO")))</f>
        <v/>
      </c>
      <c r="K85" s="26">
        <f>IF(OR(K47="",K84=""),"",IF(K47&gt;=K84,"VERDE",IF(K47&gt;=K84*(1-Config!$C$15),"AMARILLO","ROJO")))</f>
        <v/>
      </c>
      <c r="L85" s="26">
        <f>IF(OR(L47="",L84=""),"",IF(L47&gt;=L84,"VERDE",IF(L47&gt;=L84*(1-Config!$C$15),"AMARILLO","ROJO")))</f>
        <v/>
      </c>
      <c r="M85" s="26">
        <f>IF(OR(M47="",M84=""),"",IF(M47&gt;=M84,"VERDE",IF(M47&gt;=M84*(1-Config!$C$15),"AMARILLO","ROJO")))</f>
        <v/>
      </c>
      <c r="N85" s="26">
        <f>IF(OR(N47="",N84=""),"",IF(N47&gt;=N84,"VERDE",IF(N47&gt;=N84*(1-Config!$C$15),"AMARILLO","ROJO")))</f>
        <v/>
      </c>
      <c r="O85" s="26">
        <f>IF(OR(O47="",O84=""),"",IF(O47&gt;=O84,"VERDE",IF(O47&gt;=O84*(1-Config!$C$15),"AMARILLO","ROJO")))</f>
        <v/>
      </c>
      <c r="P85" s="26">
        <f>IF(OR(P47="",P84=""),"",IF(P47&gt;=P84,"VERDE",IF(P47&gt;=P84*(1-Config!$C$15),"AMARILLO","ROJO")))</f>
        <v/>
      </c>
      <c r="Q85" s="26">
        <f>IF(OR(Q47="",Q84=""),"",IF(Q47&gt;=Q84,"VERDE",IF(Q47&gt;=Q84*(1-Config!$C$15),"AMARILLO","ROJO")))</f>
        <v/>
      </c>
      <c r="R85" s="26">
        <f>IF(OR(R47="",R84=""),"",IF(R47&gt;=R84,"VERDE",IF(R47&gt;=R84*(1-Config!$C$15),"AMARILLO","ROJO")))</f>
        <v/>
      </c>
      <c r="S85" s="26">
        <f>IF(OR(S47="",S84=""),"",IF(S47&gt;=S84,"VERDE",IF(S47&gt;=S84*(1-Config!$C$15),"AMARILLO","ROJO")))</f>
        <v/>
      </c>
      <c r="T85" s="26">
        <f>IF(OR(T47="",T84=""),"",IF(T47&gt;=T84,"VERDE",IF(T47&gt;=T84*(1-Config!$C$15),"AMARILLO","ROJO")))</f>
        <v/>
      </c>
      <c r="U85" s="26">
        <f>IF(OR(U47="",U84=""),"",IF(U47&gt;=U84,"VERDE",IF(U47&gt;=U84*(1-Config!$C$15),"AMARILLO","ROJO")))</f>
        <v/>
      </c>
      <c r="V85" s="26">
        <f>IF(OR(V47="",V84=""),"",IF(V47&gt;=V84,"VERDE",IF(V47&gt;=V84*(1-Config!$C$15),"AMARILLO","ROJO")))</f>
        <v/>
      </c>
      <c r="W85" s="26">
        <f>IF(OR(W47="",W84=""),"",IF(W47&gt;=W84,"VERDE",IF(W47&gt;=W84*(1-Config!$C$15),"AMARILLO","ROJO")))</f>
        <v/>
      </c>
      <c r="X85" s="26">
        <f>IF(OR(X47="",X84=""),"",IF(X47&gt;=X84,"VERDE",IF(X47&gt;=X84*(1-Config!$C$15),"AMARILLO","ROJO")))</f>
        <v/>
      </c>
      <c r="Y85" s="26">
        <f>IF(OR(Y47="",Y84=""),"",IF(Y47&gt;=Y84,"VERDE",IF(Y47&gt;=Y84*(1-Config!$C$15),"AMARILLO","ROJO")))</f>
        <v/>
      </c>
      <c r="Z85" s="26">
        <f>IF(OR(Z47="",Z84=""),"",IF(Z47&gt;=Z84,"VERDE",IF(Z47&gt;=Z84*(1-Config!$C$15),"AMARILLO","ROJO")))</f>
        <v/>
      </c>
      <c r="AA85" s="26">
        <f>IF(OR(AA47="",AA84=""),"",IF(AA47&gt;=AA84,"VERDE",IF(AA47&gt;=AA84*(1-Config!$C$15),"AMARILLO","ROJO")))</f>
        <v/>
      </c>
      <c r="AB85" s="26">
        <f>IF(OR(AB47="",AB84=""),"",IF(AB47&gt;=AB84,"VERDE",IF(AB47&gt;=AB84*(1-Config!$C$15),"AMARILLO","ROJO")))</f>
        <v/>
      </c>
    </row>
    <row r="86">
      <c r="A86" t="inlineStr">
        <is>
          <t>Mediana 4 semanas anteriores</t>
        </is>
      </c>
      <c r="B86" s="4" t="inlineStr">
        <is>
          <t>% solicitud → compra</t>
        </is>
      </c>
      <c r="C86" s="25" t="inlineStr"/>
      <c r="D86" s="17">
        <f>IFERROR(MEDIAN(C49:C49),"")</f>
        <v/>
      </c>
      <c r="E86" s="17">
        <f>IFERROR(MEDIAN(C49:D49),"")</f>
        <v/>
      </c>
      <c r="F86" s="17">
        <f>IFERROR(MEDIAN(C49:E49),"")</f>
        <v/>
      </c>
      <c r="G86" s="17">
        <f>IFERROR(MEDIAN(C49:F49),"")</f>
        <v/>
      </c>
      <c r="H86" s="17">
        <f>IFERROR(MEDIAN(D49:G49),"")</f>
        <v/>
      </c>
      <c r="I86" s="17">
        <f>IFERROR(MEDIAN(E49:H49),"")</f>
        <v/>
      </c>
      <c r="J86" s="17">
        <f>IFERROR(MEDIAN(F49:I49),"")</f>
        <v/>
      </c>
      <c r="K86" s="17">
        <f>IFERROR(MEDIAN(G49:J49),"")</f>
        <v/>
      </c>
      <c r="L86" s="17">
        <f>IFERROR(MEDIAN(H49:K49),"")</f>
        <v/>
      </c>
      <c r="M86" s="17">
        <f>IFERROR(MEDIAN(I49:L49),"")</f>
        <v/>
      </c>
      <c r="N86" s="17">
        <f>IFERROR(MEDIAN(J49:M49),"")</f>
        <v/>
      </c>
      <c r="O86" s="17">
        <f>IFERROR(MEDIAN(K49:N49),"")</f>
        <v/>
      </c>
      <c r="P86" s="17">
        <f>IFERROR(MEDIAN(L49:O49),"")</f>
        <v/>
      </c>
      <c r="Q86" s="17">
        <f>IFERROR(MEDIAN(M49:P49),"")</f>
        <v/>
      </c>
      <c r="R86" s="17">
        <f>IFERROR(MEDIAN(N49:Q49),"")</f>
        <v/>
      </c>
      <c r="S86" s="17">
        <f>IFERROR(MEDIAN(O49:R49),"")</f>
        <v/>
      </c>
      <c r="T86" s="17">
        <f>IFERROR(MEDIAN(P49:S49),"")</f>
        <v/>
      </c>
      <c r="U86" s="17">
        <f>IFERROR(MEDIAN(Q49:T49),"")</f>
        <v/>
      </c>
      <c r="V86" s="17">
        <f>IFERROR(MEDIAN(R49:U49),"")</f>
        <v/>
      </c>
      <c r="W86" s="17">
        <f>IFERROR(MEDIAN(S49:V49),"")</f>
        <v/>
      </c>
      <c r="X86" s="17">
        <f>IFERROR(MEDIAN(T49:W49),"")</f>
        <v/>
      </c>
      <c r="Y86" s="17">
        <f>IFERROR(MEDIAN(U49:X49),"")</f>
        <v/>
      </c>
      <c r="Z86" s="17">
        <f>IFERROR(MEDIAN(V49:Y49),"")</f>
        <v/>
      </c>
      <c r="AA86" s="17">
        <f>IFERROR(MEDIAN(W49:Z49),"")</f>
        <v/>
      </c>
      <c r="AB86" s="17">
        <f>IFERROR(MEDIAN(X49:AA49),"")</f>
        <v/>
      </c>
    </row>
    <row r="87">
      <c r="A87" t="inlineStr">
        <is>
          <t>Semáforo</t>
        </is>
      </c>
      <c r="B87" s="24" t="inlineStr">
        <is>
          <t>% solicitud → compra</t>
        </is>
      </c>
      <c r="C87" s="26">
        <f>IF(OR(C49="",C86=""),"",IF(C49&gt;=C86,"VERDE",IF(C49&gt;=C86*(1-Config!$C$15),"AMARILLO","ROJO")))</f>
        <v/>
      </c>
      <c r="D87" s="26">
        <f>IF(OR(D49="",D86=""),"",IF(D49&gt;=D86,"VERDE",IF(D49&gt;=D86*(1-Config!$C$15),"AMARILLO","ROJO")))</f>
        <v/>
      </c>
      <c r="E87" s="26">
        <f>IF(OR(E49="",E86=""),"",IF(E49&gt;=E86,"VERDE",IF(E49&gt;=E86*(1-Config!$C$15),"AMARILLO","ROJO")))</f>
        <v/>
      </c>
      <c r="F87" s="26">
        <f>IF(OR(F49="",F86=""),"",IF(F49&gt;=F86,"VERDE",IF(F49&gt;=F86*(1-Config!$C$15),"AMARILLO","ROJO")))</f>
        <v/>
      </c>
      <c r="G87" s="26">
        <f>IF(OR(G49="",G86=""),"",IF(G49&gt;=G86,"VERDE",IF(G49&gt;=G86*(1-Config!$C$15),"AMARILLO","ROJO")))</f>
        <v/>
      </c>
      <c r="H87" s="26">
        <f>IF(OR(H49="",H86=""),"",IF(H49&gt;=H86,"VERDE",IF(H49&gt;=H86*(1-Config!$C$15),"AMARILLO","ROJO")))</f>
        <v/>
      </c>
      <c r="I87" s="26">
        <f>IF(OR(I49="",I86=""),"",IF(I49&gt;=I86,"VERDE",IF(I49&gt;=I86*(1-Config!$C$15),"AMARILLO","ROJO")))</f>
        <v/>
      </c>
      <c r="J87" s="26">
        <f>IF(OR(J49="",J86=""),"",IF(J49&gt;=J86,"VERDE",IF(J49&gt;=J86*(1-Config!$C$15),"AMARILLO","ROJO")))</f>
        <v/>
      </c>
      <c r="K87" s="26">
        <f>IF(OR(K49="",K86=""),"",IF(K49&gt;=K86,"VERDE",IF(K49&gt;=K86*(1-Config!$C$15),"AMARILLO","ROJO")))</f>
        <v/>
      </c>
      <c r="L87" s="26">
        <f>IF(OR(L49="",L86=""),"",IF(L49&gt;=L86,"VERDE",IF(L49&gt;=L86*(1-Config!$C$15),"AMARILLO","ROJO")))</f>
        <v/>
      </c>
      <c r="M87" s="26">
        <f>IF(OR(M49="",M86=""),"",IF(M49&gt;=M86,"VERDE",IF(M49&gt;=M86*(1-Config!$C$15),"AMARILLO","ROJO")))</f>
        <v/>
      </c>
      <c r="N87" s="26">
        <f>IF(OR(N49="",N86=""),"",IF(N49&gt;=N86,"VERDE",IF(N49&gt;=N86*(1-Config!$C$15),"AMARILLO","ROJO")))</f>
        <v/>
      </c>
      <c r="O87" s="26">
        <f>IF(OR(O49="",O86=""),"",IF(O49&gt;=O86,"VERDE",IF(O49&gt;=O86*(1-Config!$C$15),"AMARILLO","ROJO")))</f>
        <v/>
      </c>
      <c r="P87" s="26">
        <f>IF(OR(P49="",P86=""),"",IF(P49&gt;=P86,"VERDE",IF(P49&gt;=P86*(1-Config!$C$15),"AMARILLO","ROJO")))</f>
        <v/>
      </c>
      <c r="Q87" s="26">
        <f>IF(OR(Q49="",Q86=""),"",IF(Q49&gt;=Q86,"VERDE",IF(Q49&gt;=Q86*(1-Config!$C$15),"AMARILLO","ROJO")))</f>
        <v/>
      </c>
      <c r="R87" s="26">
        <f>IF(OR(R49="",R86=""),"",IF(R49&gt;=R86,"VERDE",IF(R49&gt;=R86*(1-Config!$C$15),"AMARILLO","ROJO")))</f>
        <v/>
      </c>
      <c r="S87" s="26">
        <f>IF(OR(S49="",S86=""),"",IF(S49&gt;=S86,"VERDE",IF(S49&gt;=S86*(1-Config!$C$15),"AMARILLO","ROJO")))</f>
        <v/>
      </c>
      <c r="T87" s="26">
        <f>IF(OR(T49="",T86=""),"",IF(T49&gt;=T86,"VERDE",IF(T49&gt;=T86*(1-Config!$C$15),"AMARILLO","ROJO")))</f>
        <v/>
      </c>
      <c r="U87" s="26">
        <f>IF(OR(U49="",U86=""),"",IF(U49&gt;=U86,"VERDE",IF(U49&gt;=U86*(1-Config!$C$15),"AMARILLO","ROJO")))</f>
        <v/>
      </c>
      <c r="V87" s="26">
        <f>IF(OR(V49="",V86=""),"",IF(V49&gt;=V86,"VERDE",IF(V49&gt;=V86*(1-Config!$C$15),"AMARILLO","ROJO")))</f>
        <v/>
      </c>
      <c r="W87" s="26">
        <f>IF(OR(W49="",W86=""),"",IF(W49&gt;=W86,"VERDE",IF(W49&gt;=W86*(1-Config!$C$15),"AMARILLO","ROJO")))</f>
        <v/>
      </c>
      <c r="X87" s="26">
        <f>IF(OR(X49="",X86=""),"",IF(X49&gt;=X86,"VERDE",IF(X49&gt;=X86*(1-Config!$C$15),"AMARILLO","ROJO")))</f>
        <v/>
      </c>
      <c r="Y87" s="26">
        <f>IF(OR(Y49="",Y86=""),"",IF(Y49&gt;=Y86,"VERDE",IF(Y49&gt;=Y86*(1-Config!$C$15),"AMARILLO","ROJO")))</f>
        <v/>
      </c>
      <c r="Z87" s="26">
        <f>IF(OR(Z49="",Z86=""),"",IF(Z49&gt;=Z86,"VERDE",IF(Z49&gt;=Z86*(1-Config!$C$15),"AMARILLO","ROJO")))</f>
        <v/>
      </c>
      <c r="AA87" s="26">
        <f>IF(OR(AA49="",AA86=""),"",IF(AA49&gt;=AA86,"VERDE",IF(AA49&gt;=AA86*(1-Config!$C$15),"AMARILLO","ROJO")))</f>
        <v/>
      </c>
      <c r="AB87" s="26">
        <f>IF(OR(AB49="",AB86=""),"",IF(AB49&gt;=AB86,"VERDE",IF(AB49&gt;=AB86*(1-Config!$C$15),"AMARILLO","ROJO")))</f>
        <v/>
      </c>
    </row>
    <row r="88">
      <c r="A88" t="inlineStr">
        <is>
          <t>Mediana 4 semanas anteriores</t>
        </is>
      </c>
      <c r="B88" s="4" t="inlineStr">
        <is>
          <t>ROAS sobre cash neto</t>
        </is>
      </c>
      <c r="C88" s="25" t="inlineStr"/>
      <c r="D88" s="20">
        <f>IFERROR(MEDIAN(C60:C60),"")</f>
        <v/>
      </c>
      <c r="E88" s="20">
        <f>IFERROR(MEDIAN(C60:D60),"")</f>
        <v/>
      </c>
      <c r="F88" s="20">
        <f>IFERROR(MEDIAN(C60:E60),"")</f>
        <v/>
      </c>
      <c r="G88" s="20">
        <f>IFERROR(MEDIAN(C60:F60),"")</f>
        <v/>
      </c>
      <c r="H88" s="20">
        <f>IFERROR(MEDIAN(D60:G60),"")</f>
        <v/>
      </c>
      <c r="I88" s="20">
        <f>IFERROR(MEDIAN(E60:H60),"")</f>
        <v/>
      </c>
      <c r="J88" s="20">
        <f>IFERROR(MEDIAN(F60:I60),"")</f>
        <v/>
      </c>
      <c r="K88" s="20">
        <f>IFERROR(MEDIAN(G60:J60),"")</f>
        <v/>
      </c>
      <c r="L88" s="20">
        <f>IFERROR(MEDIAN(H60:K60),"")</f>
        <v/>
      </c>
      <c r="M88" s="20">
        <f>IFERROR(MEDIAN(I60:L60),"")</f>
        <v/>
      </c>
      <c r="N88" s="20">
        <f>IFERROR(MEDIAN(J60:M60),"")</f>
        <v/>
      </c>
      <c r="O88" s="20">
        <f>IFERROR(MEDIAN(K60:N60),"")</f>
        <v/>
      </c>
      <c r="P88" s="20">
        <f>IFERROR(MEDIAN(L60:O60),"")</f>
        <v/>
      </c>
      <c r="Q88" s="20">
        <f>IFERROR(MEDIAN(M60:P60),"")</f>
        <v/>
      </c>
      <c r="R88" s="20">
        <f>IFERROR(MEDIAN(N60:Q60),"")</f>
        <v/>
      </c>
      <c r="S88" s="20">
        <f>IFERROR(MEDIAN(O60:R60),"")</f>
        <v/>
      </c>
      <c r="T88" s="20">
        <f>IFERROR(MEDIAN(P60:S60),"")</f>
        <v/>
      </c>
      <c r="U88" s="20">
        <f>IFERROR(MEDIAN(Q60:T60),"")</f>
        <v/>
      </c>
      <c r="V88" s="20">
        <f>IFERROR(MEDIAN(R60:U60),"")</f>
        <v/>
      </c>
      <c r="W88" s="20">
        <f>IFERROR(MEDIAN(S60:V60),"")</f>
        <v/>
      </c>
      <c r="X88" s="20">
        <f>IFERROR(MEDIAN(T60:W60),"")</f>
        <v/>
      </c>
      <c r="Y88" s="20">
        <f>IFERROR(MEDIAN(U60:X60),"")</f>
        <v/>
      </c>
      <c r="Z88" s="20">
        <f>IFERROR(MEDIAN(V60:Y60),"")</f>
        <v/>
      </c>
      <c r="AA88" s="20">
        <f>IFERROR(MEDIAN(W60:Z60),"")</f>
        <v/>
      </c>
      <c r="AB88" s="20">
        <f>IFERROR(MEDIAN(X60:AA60),"")</f>
        <v/>
      </c>
    </row>
    <row r="89">
      <c r="A89" t="inlineStr">
        <is>
          <t>Semáforo</t>
        </is>
      </c>
      <c r="B89" s="24" t="inlineStr">
        <is>
          <t>ROAS sobre cash neto</t>
        </is>
      </c>
      <c r="C89" s="26">
        <f>IF(OR(C60="",C88=""),"",IF(C60&lt;=1,"ROJO",IF(C60&gt;=C88,"VERDE",IF(C60&gt;=C88*(1-Config!$C$15),"AMARILLO","ROJO"))))</f>
        <v/>
      </c>
      <c r="D89" s="26">
        <f>IF(OR(D60="",D88=""),"",IF(D60&lt;=1,"ROJO",IF(D60&gt;=D88,"VERDE",IF(D60&gt;=D88*(1-Config!$C$15),"AMARILLO","ROJO"))))</f>
        <v/>
      </c>
      <c r="E89" s="26">
        <f>IF(OR(E60="",E88=""),"",IF(E60&lt;=1,"ROJO",IF(E60&gt;=E88,"VERDE",IF(E60&gt;=E88*(1-Config!$C$15),"AMARILLO","ROJO"))))</f>
        <v/>
      </c>
      <c r="F89" s="26">
        <f>IF(OR(F60="",F88=""),"",IF(F60&lt;=1,"ROJO",IF(F60&gt;=F88,"VERDE",IF(F60&gt;=F88*(1-Config!$C$15),"AMARILLO","ROJO"))))</f>
        <v/>
      </c>
      <c r="G89" s="26">
        <f>IF(OR(G60="",G88=""),"",IF(G60&lt;=1,"ROJO",IF(G60&gt;=G88,"VERDE",IF(G60&gt;=G88*(1-Config!$C$15),"AMARILLO","ROJO"))))</f>
        <v/>
      </c>
      <c r="H89" s="26">
        <f>IF(OR(H60="",H88=""),"",IF(H60&lt;=1,"ROJO",IF(H60&gt;=H88,"VERDE",IF(H60&gt;=H88*(1-Config!$C$15),"AMARILLO","ROJO"))))</f>
        <v/>
      </c>
      <c r="I89" s="26">
        <f>IF(OR(I60="",I88=""),"",IF(I60&lt;=1,"ROJO",IF(I60&gt;=I88,"VERDE",IF(I60&gt;=I88*(1-Config!$C$15),"AMARILLO","ROJO"))))</f>
        <v/>
      </c>
      <c r="J89" s="26">
        <f>IF(OR(J60="",J88=""),"",IF(J60&lt;=1,"ROJO",IF(J60&gt;=J88,"VERDE",IF(J60&gt;=J88*(1-Config!$C$15),"AMARILLO","ROJO"))))</f>
        <v/>
      </c>
      <c r="K89" s="26">
        <f>IF(OR(K60="",K88=""),"",IF(K60&lt;=1,"ROJO",IF(K60&gt;=K88,"VERDE",IF(K60&gt;=K88*(1-Config!$C$15),"AMARILLO","ROJO"))))</f>
        <v/>
      </c>
      <c r="L89" s="26">
        <f>IF(OR(L60="",L88=""),"",IF(L60&lt;=1,"ROJO",IF(L60&gt;=L88,"VERDE",IF(L60&gt;=L88*(1-Config!$C$15),"AMARILLO","ROJO"))))</f>
        <v/>
      </c>
      <c r="M89" s="26">
        <f>IF(OR(M60="",M88=""),"",IF(M60&lt;=1,"ROJO",IF(M60&gt;=M88,"VERDE",IF(M60&gt;=M88*(1-Config!$C$15),"AMARILLO","ROJO"))))</f>
        <v/>
      </c>
      <c r="N89" s="26">
        <f>IF(OR(N60="",N88=""),"",IF(N60&lt;=1,"ROJO",IF(N60&gt;=N88,"VERDE",IF(N60&gt;=N88*(1-Config!$C$15),"AMARILLO","ROJO"))))</f>
        <v/>
      </c>
      <c r="O89" s="26">
        <f>IF(OR(O60="",O88=""),"",IF(O60&lt;=1,"ROJO",IF(O60&gt;=O88,"VERDE",IF(O60&gt;=O88*(1-Config!$C$15),"AMARILLO","ROJO"))))</f>
        <v/>
      </c>
      <c r="P89" s="26">
        <f>IF(OR(P60="",P88=""),"",IF(P60&lt;=1,"ROJO",IF(P60&gt;=P88,"VERDE",IF(P60&gt;=P88*(1-Config!$C$15),"AMARILLO","ROJO"))))</f>
        <v/>
      </c>
      <c r="Q89" s="26">
        <f>IF(OR(Q60="",Q88=""),"",IF(Q60&lt;=1,"ROJO",IF(Q60&gt;=Q88,"VERDE",IF(Q60&gt;=Q88*(1-Config!$C$15),"AMARILLO","ROJO"))))</f>
        <v/>
      </c>
      <c r="R89" s="26">
        <f>IF(OR(R60="",R88=""),"",IF(R60&lt;=1,"ROJO",IF(R60&gt;=R88,"VERDE",IF(R60&gt;=R88*(1-Config!$C$15),"AMARILLO","ROJO"))))</f>
        <v/>
      </c>
      <c r="S89" s="26">
        <f>IF(OR(S60="",S88=""),"",IF(S60&lt;=1,"ROJO",IF(S60&gt;=S88,"VERDE",IF(S60&gt;=S88*(1-Config!$C$15),"AMARILLO","ROJO"))))</f>
        <v/>
      </c>
      <c r="T89" s="26">
        <f>IF(OR(T60="",T88=""),"",IF(T60&lt;=1,"ROJO",IF(T60&gt;=T88,"VERDE",IF(T60&gt;=T88*(1-Config!$C$15),"AMARILLO","ROJO"))))</f>
        <v/>
      </c>
      <c r="U89" s="26">
        <f>IF(OR(U60="",U88=""),"",IF(U60&lt;=1,"ROJO",IF(U60&gt;=U88,"VERDE",IF(U60&gt;=U88*(1-Config!$C$15),"AMARILLO","ROJO"))))</f>
        <v/>
      </c>
      <c r="V89" s="26">
        <f>IF(OR(V60="",V88=""),"",IF(V60&lt;=1,"ROJO",IF(V60&gt;=V88,"VERDE",IF(V60&gt;=V88*(1-Config!$C$15),"AMARILLO","ROJO"))))</f>
        <v/>
      </c>
      <c r="W89" s="26">
        <f>IF(OR(W60="",W88=""),"",IF(W60&lt;=1,"ROJO",IF(W60&gt;=W88,"VERDE",IF(W60&gt;=W88*(1-Config!$C$15),"AMARILLO","ROJO"))))</f>
        <v/>
      </c>
      <c r="X89" s="26">
        <f>IF(OR(X60="",X88=""),"",IF(X60&lt;=1,"ROJO",IF(X60&gt;=X88,"VERDE",IF(X60&gt;=X88*(1-Config!$C$15),"AMARILLO","ROJO"))))</f>
        <v/>
      </c>
      <c r="Y89" s="26">
        <f>IF(OR(Y60="",Y88=""),"",IF(Y60&lt;=1,"ROJO",IF(Y60&gt;=Y88,"VERDE",IF(Y60&gt;=Y88*(1-Config!$C$15),"AMARILLO","ROJO"))))</f>
        <v/>
      </c>
      <c r="Z89" s="26">
        <f>IF(OR(Z60="",Z88=""),"",IF(Z60&lt;=1,"ROJO",IF(Z60&gt;=Z88,"VERDE",IF(Z60&gt;=Z88*(1-Config!$C$15),"AMARILLO","ROJO"))))</f>
        <v/>
      </c>
      <c r="AA89" s="26">
        <f>IF(OR(AA60="",AA88=""),"",IF(AA60&lt;=1,"ROJO",IF(AA60&gt;=AA88,"VERDE",IF(AA60&gt;=AA88*(1-Config!$C$15),"AMARILLO","ROJO"))))</f>
        <v/>
      </c>
      <c r="AB89" s="26">
        <f>IF(OR(AB60="",AB88=""),"",IF(AB60&lt;=1,"ROJO",IF(AB60&gt;=AB88,"VERDE",IF(AB60&gt;=AB88*(1-Config!$C$15),"AMARILLO","ROJO"))))</f>
        <v/>
      </c>
    </row>
    <row r="91">
      <c r="A91" s="2" t="inlineStr">
        <is>
          <t>Modelo financiero de embudos · creado por Jesús Tassarolo · TooAudience · youtube.com/@JesusTassaroloSinFiltro · v1.2 · octubre 2026</t>
        </is>
      </c>
    </row>
  </sheetData>
  <conditionalFormatting sqref="C67:AB67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conditionalFormatting sqref="C69:AB69">
    <cfRule type="cellIs" priority="4" operator="equal" dxfId="0">
      <formula>"VERDE"</formula>
    </cfRule>
    <cfRule type="cellIs" priority="5" operator="equal" dxfId="1">
      <formula>"AMARILLO"</formula>
    </cfRule>
    <cfRule type="cellIs" priority="6" operator="equal" dxfId="2">
      <formula>"ROJO"</formula>
    </cfRule>
  </conditionalFormatting>
  <conditionalFormatting sqref="C71:AB71">
    <cfRule type="cellIs" priority="7" operator="equal" dxfId="0">
      <formula>"VERDE"</formula>
    </cfRule>
    <cfRule type="cellIs" priority="8" operator="equal" dxfId="1">
      <formula>"AMARILLO"</formula>
    </cfRule>
    <cfRule type="cellIs" priority="9" operator="equal" dxfId="2">
      <formula>"ROJO"</formula>
    </cfRule>
  </conditionalFormatting>
  <conditionalFormatting sqref="C73:AB73">
    <cfRule type="cellIs" priority="10" operator="equal" dxfId="0">
      <formula>"VERDE"</formula>
    </cfRule>
    <cfRule type="cellIs" priority="11" operator="equal" dxfId="1">
      <formula>"AMARILLO"</formula>
    </cfRule>
    <cfRule type="cellIs" priority="12" operator="equal" dxfId="2">
      <formula>"ROJO"</formula>
    </cfRule>
  </conditionalFormatting>
  <conditionalFormatting sqref="C75:AB75">
    <cfRule type="cellIs" priority="13" operator="equal" dxfId="0">
      <formula>"VERDE"</formula>
    </cfRule>
    <cfRule type="cellIs" priority="14" operator="equal" dxfId="1">
      <formula>"AMARILLO"</formula>
    </cfRule>
    <cfRule type="cellIs" priority="15" operator="equal" dxfId="2">
      <formula>"ROJO"</formula>
    </cfRule>
  </conditionalFormatting>
  <conditionalFormatting sqref="C77:AB77">
    <cfRule type="cellIs" priority="16" operator="equal" dxfId="0">
      <formula>"VERDE"</formula>
    </cfRule>
    <cfRule type="cellIs" priority="17" operator="equal" dxfId="1">
      <formula>"AMARILLO"</formula>
    </cfRule>
    <cfRule type="cellIs" priority="18" operator="equal" dxfId="2">
      <formula>"ROJO"</formula>
    </cfRule>
  </conditionalFormatting>
  <conditionalFormatting sqref="C79:AB79">
    <cfRule type="cellIs" priority="19" operator="equal" dxfId="0">
      <formula>"VERDE"</formula>
    </cfRule>
    <cfRule type="cellIs" priority="20" operator="equal" dxfId="1">
      <formula>"AMARILLO"</formula>
    </cfRule>
    <cfRule type="cellIs" priority="21" operator="equal" dxfId="2">
      <formula>"ROJO"</formula>
    </cfRule>
  </conditionalFormatting>
  <conditionalFormatting sqref="C81:AB81">
    <cfRule type="cellIs" priority="22" operator="equal" dxfId="0">
      <formula>"VERDE"</formula>
    </cfRule>
    <cfRule type="cellIs" priority="23" operator="equal" dxfId="1">
      <formula>"AMARILLO"</formula>
    </cfRule>
    <cfRule type="cellIs" priority="24" operator="equal" dxfId="2">
      <formula>"ROJO"</formula>
    </cfRule>
  </conditionalFormatting>
  <conditionalFormatting sqref="C83:AB83">
    <cfRule type="cellIs" priority="25" operator="equal" dxfId="0">
      <formula>"VERDE"</formula>
    </cfRule>
    <cfRule type="cellIs" priority="26" operator="equal" dxfId="1">
      <formula>"AMARILLO"</formula>
    </cfRule>
    <cfRule type="cellIs" priority="27" operator="equal" dxfId="2">
      <formula>"ROJO"</formula>
    </cfRule>
  </conditionalFormatting>
  <conditionalFormatting sqref="C85:AB85">
    <cfRule type="cellIs" priority="28" operator="equal" dxfId="0">
      <formula>"VERDE"</formula>
    </cfRule>
    <cfRule type="cellIs" priority="29" operator="equal" dxfId="1">
      <formula>"AMARILLO"</formula>
    </cfRule>
    <cfRule type="cellIs" priority="30" operator="equal" dxfId="2">
      <formula>"ROJO"</formula>
    </cfRule>
  </conditionalFormatting>
  <conditionalFormatting sqref="C87:AB87">
    <cfRule type="cellIs" priority="31" operator="equal" dxfId="0">
      <formula>"VERDE"</formula>
    </cfRule>
    <cfRule type="cellIs" priority="32" operator="equal" dxfId="1">
      <formula>"AMARILLO"</formula>
    </cfRule>
    <cfRule type="cellIs" priority="33" operator="equal" dxfId="2">
      <formula>"ROJO"</formula>
    </cfRule>
  </conditionalFormatting>
  <conditionalFormatting sqref="C89:AB89">
    <cfRule type="cellIs" priority="34" operator="equal" dxfId="0">
      <formula>"VERDE"</formula>
    </cfRule>
    <cfRule type="cellIs" priority="35" operator="equal" dxfId="1">
      <formula>"AMARILLO"</formula>
    </cfRule>
    <cfRule type="cellIs" priority="36" operator="equal" dxfId="2">
      <formula>"ROJO"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3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1" customWidth="1" min="4" max="4"/>
    <col width="16" customWidth="1" min="5" max="5"/>
    <col width="18" customWidth="1" min="6" max="6"/>
    <col width="13" customWidth="1" min="7" max="7"/>
    <col width="14" customWidth="1" min="8" max="8"/>
  </cols>
  <sheetData>
    <row r="2">
      <c r="A2" s="1" t="inlineStr">
        <is>
          <t>Resumen: la semana elegida contra la anterior, contra tu mediana y contra tu meta</t>
        </is>
      </c>
    </row>
    <row r="3">
      <c r="A3" s="2" t="inlineStr">
        <is>
          <t>Las filas están en el orden en que miro un embudo. El semáforo compara con la mediana de tus 4 semanas anteriores, con la tolerancia de Config.</t>
        </is>
      </c>
    </row>
    <row r="4">
      <c r="A4" s="3" t="inlineStr">
        <is>
          <t>Semana a mostrar</t>
        </is>
      </c>
      <c r="B4" s="13">
        <f>MAX(Semanal!$C$7:$AB$7)</f>
        <v/>
      </c>
      <c r="C4" s="2" t="inlineStr">
        <is>
          <t>← la última con datos; escribí otro número para ver otra semana</t>
        </is>
      </c>
    </row>
    <row r="6" ht="44" customHeight="1">
      <c r="A6" s="5" t="inlineStr">
        <is>
          <t>KPI</t>
        </is>
      </c>
      <c r="B6" s="5" t="inlineStr">
        <is>
          <t>Esta semana</t>
        </is>
      </c>
      <c r="C6" s="5" t="inlineStr">
        <is>
          <t>Semana anterior</t>
        </is>
      </c>
      <c r="D6" s="5" t="inlineStr">
        <is>
          <t>Variación</t>
        </is>
      </c>
      <c r="E6" s="5" t="inlineStr">
        <is>
          <t>Mediana 4 semanas previas</t>
        </is>
      </c>
      <c r="F6" s="5" t="inlineStr">
        <is>
          <t>Semáforo contra tu promedio</t>
        </is>
      </c>
      <c r="G6" s="5" t="inlineStr">
        <is>
          <t>Mejor semana</t>
        </is>
      </c>
      <c r="H6" s="5" t="inlineStr">
        <is>
          <t>Meta (tu objetivo)</t>
        </is>
      </c>
    </row>
    <row r="7">
      <c r="A7" s="4" t="inlineStr">
        <is>
          <t>Inversión en publicidad (USD)</t>
        </is>
      </c>
      <c r="B7" s="27">
        <f>IFERROR(INDEX(Semanal!$C$10:$AB$10,1,$B$4),"")</f>
        <v/>
      </c>
      <c r="C7" s="19">
        <f>IF($B$4&lt;=1,"",IFERROR(INDEX(Semanal!$C$10:$AB$10,1,$B$4-1),""))</f>
        <v/>
      </c>
      <c r="D7" s="17">
        <f>IFERROR(IF(OR(B7="",C7=""),"",(B7-C7)/C7),"")</f>
        <v/>
      </c>
      <c r="E7" s="25" t="inlineStr"/>
      <c r="F7" s="25" t="inlineStr"/>
      <c r="G7" s="19">
        <f>Semanal!$AE$10</f>
        <v/>
      </c>
      <c r="H7" s="9" t="n"/>
    </row>
    <row r="8">
      <c r="A8" s="4" t="inlineStr">
        <is>
          <t>Visitas a la página</t>
        </is>
      </c>
      <c r="B8" s="28">
        <f>IFERROR(INDEX(Semanal!$C$14:$AB$14,1,$B$4),"")</f>
        <v/>
      </c>
      <c r="C8" s="12">
        <f>IF($B$4&lt;=1,"",IFERROR(INDEX(Semanal!$C$14:$AB$14,1,$B$4-1),""))</f>
        <v/>
      </c>
      <c r="D8" s="17">
        <f>IFERROR(IF(OR(B8="",C8=""),"",(B8-C8)/C8),"")</f>
        <v/>
      </c>
      <c r="E8" s="25" t="inlineStr"/>
      <c r="F8" s="25" t="inlineStr"/>
      <c r="G8" s="12">
        <f>Semanal!$AE$14</f>
        <v/>
      </c>
      <c r="H8" s="13" t="n"/>
    </row>
    <row r="9">
      <c r="A9" s="24" t="inlineStr">
        <is>
          <t>Costo por visita</t>
        </is>
      </c>
      <c r="B9" s="29">
        <f>IFERROR(INDEX(Semanal!$C$20:$AB$20,1,$B$4),"")</f>
        <v/>
      </c>
      <c r="C9" s="14">
        <f>IF($B$4&lt;=1,"",IFERROR(INDEX(Semanal!$C$20:$AB$20,1,$B$4-1),""))</f>
        <v/>
      </c>
      <c r="D9" s="17">
        <f>IFERROR(IF(OR(B9="",C9=""),"",(B9-C9)/C9),"")</f>
        <v/>
      </c>
      <c r="E9" s="14">
        <f>IFERROR(INDEX(Semanal!$C$68:$AB$68,1,$B$4),"")</f>
        <v/>
      </c>
      <c r="F9" s="26">
        <f>IFERROR(INDEX(Semanal!$C$69:$AB$69,1,$B$4),"")</f>
        <v/>
      </c>
      <c r="G9" s="14">
        <f>Semanal!$AE$20</f>
        <v/>
      </c>
      <c r="H9" s="7" t="n"/>
    </row>
    <row r="10">
      <c r="A10" s="4" t="inlineStr">
        <is>
          <t>Registros (leads)</t>
        </is>
      </c>
      <c r="B10" s="28">
        <f>IFERROR(INDEX(Semanal!$C$24:$AB$24,1,$B$4),"")</f>
        <v/>
      </c>
      <c r="C10" s="12">
        <f>IF($B$4&lt;=1,"",IFERROR(INDEX(Semanal!$C$24:$AB$24,1,$B$4-1),""))</f>
        <v/>
      </c>
      <c r="D10" s="17">
        <f>IFERROR(IF(OR(B10="",C10=""),"",(B10-C10)/C10),"")</f>
        <v/>
      </c>
      <c r="E10" s="25" t="inlineStr"/>
      <c r="F10" s="25" t="inlineStr"/>
      <c r="G10" s="12">
        <f>Semanal!$AE$24</f>
        <v/>
      </c>
      <c r="H10" s="13" t="n"/>
    </row>
    <row r="11">
      <c r="A11" s="24" t="inlineStr">
        <is>
          <t>CPL (costo por registro)</t>
        </is>
      </c>
      <c r="B11" s="29">
        <f>IFERROR(INDEX(Semanal!$C$27:$AB$27,1,$B$4),"")</f>
        <v/>
      </c>
      <c r="C11" s="14">
        <f>IF($B$4&lt;=1,"",IFERROR(INDEX(Semanal!$C$27:$AB$27,1,$B$4-1),""))</f>
        <v/>
      </c>
      <c r="D11" s="17">
        <f>IFERROR(IF(OR(B11="",C11=""),"",(B11-C11)/C11),"")</f>
        <v/>
      </c>
      <c r="E11" s="14">
        <f>IFERROR(INDEX(Semanal!$C$70:$AB$70,1,$B$4),"")</f>
        <v/>
      </c>
      <c r="F11" s="26">
        <f>IFERROR(INDEX(Semanal!$C$71:$AB$71,1,$B$4),"")</f>
        <v/>
      </c>
      <c r="G11" s="14">
        <f>Semanal!$AE$27</f>
        <v/>
      </c>
      <c r="H11" s="7" t="n"/>
    </row>
    <row r="12">
      <c r="A12" s="24" t="inlineStr">
        <is>
          <t>CPL como % del CPM (el umbral depende del nicho)</t>
        </is>
      </c>
      <c r="B12" s="30">
        <f>IFERROR(INDEX(Semanal!$C$29:$AB$29,1,$B$4),"")</f>
        <v/>
      </c>
      <c r="C12" s="17">
        <f>IF($B$4&lt;=1,"",IFERROR(INDEX(Semanal!$C$29:$AB$29,1,$B$4-1),""))</f>
        <v/>
      </c>
      <c r="D12" s="17">
        <f>IFERROR(IF(OR(B12="",C12=""),"",(B12-C12)/C12),"")</f>
        <v/>
      </c>
      <c r="E12" s="17">
        <f>IFERROR(INDEX(Semanal!$C$72:$AB$72,1,$B$4),"")</f>
        <v/>
      </c>
      <c r="F12" s="26">
        <f>IFERROR(INDEX(Semanal!$C$73:$AB$73,1,$B$4),"")</f>
        <v/>
      </c>
      <c r="G12" s="17">
        <f>Semanal!$AE$29</f>
        <v/>
      </c>
      <c r="H12" s="8" t="n"/>
    </row>
    <row r="13">
      <c r="A13" s="24" t="inlineStr">
        <is>
          <t>% visita → registro (conversión de la landing)</t>
        </is>
      </c>
      <c r="B13" s="30">
        <f>IFERROR(INDEX(Semanal!$C$26:$AB$26,1,$B$4),"")</f>
        <v/>
      </c>
      <c r="C13" s="17">
        <f>IF($B$4&lt;=1,"",IFERROR(INDEX(Semanal!$C$26:$AB$26,1,$B$4-1),""))</f>
        <v/>
      </c>
      <c r="D13" s="17">
        <f>IFERROR(IF(OR(B13="",C13=""),"",(B13-C13)/C13),"")</f>
        <v/>
      </c>
      <c r="E13" s="17">
        <f>IFERROR(INDEX(Semanal!$C$74:$AB$74,1,$B$4),"")</f>
        <v/>
      </c>
      <c r="F13" s="26">
        <f>IFERROR(INDEX(Semanal!$C$75:$AB$75,1,$B$4),"")</f>
        <v/>
      </c>
      <c r="G13" s="17">
        <f>Semanal!$AE$26</f>
        <v/>
      </c>
      <c r="H13" s="8" t="n"/>
    </row>
    <row r="14">
      <c r="A14" s="4" t="inlineStr">
        <is>
          <t>Asistentes en vivo</t>
        </is>
      </c>
      <c r="B14" s="28">
        <f>IFERROR(INDEX(Semanal!$C$34:$AB$34,1,$B$4),"")</f>
        <v/>
      </c>
      <c r="C14" s="12">
        <f>IF($B$4&lt;=1,"",IFERROR(INDEX(Semanal!$C$34:$AB$34,1,$B$4-1),""))</f>
        <v/>
      </c>
      <c r="D14" s="17">
        <f>IFERROR(IF(OR(B14="",C14=""),"",(B14-C14)/C14),"")</f>
        <v/>
      </c>
      <c r="E14" s="25" t="inlineStr"/>
      <c r="F14" s="25" t="inlineStr"/>
      <c r="G14" s="12">
        <f>Semanal!$AE$34</f>
        <v/>
      </c>
      <c r="H14" s="13" t="n"/>
    </row>
    <row r="15">
      <c r="A15" s="24" t="inlineStr">
        <is>
          <t>% registro → en vivo</t>
        </is>
      </c>
      <c r="B15" s="30">
        <f>IFERROR(INDEX(Semanal!$C$38:$AB$38,1,$B$4),"")</f>
        <v/>
      </c>
      <c r="C15" s="17">
        <f>IF($B$4&lt;=1,"",IFERROR(INDEX(Semanal!$C$38:$AB$38,1,$B$4-1),""))</f>
        <v/>
      </c>
      <c r="D15" s="17">
        <f>IFERROR(IF(OR(B15="",C15=""),"",(B15-C15)/C15),"")</f>
        <v/>
      </c>
      <c r="E15" s="17">
        <f>IFERROR(INDEX(Semanal!$C$82:$AB$82,1,$B$4),"")</f>
        <v/>
      </c>
      <c r="F15" s="26">
        <f>IFERROR(INDEX(Semanal!$C$83:$AB$83,1,$B$4),"")</f>
        <v/>
      </c>
      <c r="G15" s="17">
        <f>Semanal!$AE$38</f>
        <v/>
      </c>
      <c r="H15" s="8" t="n"/>
    </row>
    <row r="16">
      <c r="A16" s="4" t="inlineStr">
        <is>
          <t>Solicitudes (formulario de compra, aplicación o vendedor)</t>
        </is>
      </c>
      <c r="B16" s="28">
        <f>IFERROR(INDEX(Semanal!$C$43:$AB$43,1,$B$4),"")</f>
        <v/>
      </c>
      <c r="C16" s="12">
        <f>IF($B$4&lt;=1,"",IFERROR(INDEX(Semanal!$C$43:$AB$43,1,$B$4-1),""))</f>
        <v/>
      </c>
      <c r="D16" s="17">
        <f>IFERROR(IF(OR(B16="",C16=""),"",(B16-C16)/C16),"")</f>
        <v/>
      </c>
      <c r="E16" s="25" t="inlineStr"/>
      <c r="F16" s="25" t="inlineStr"/>
      <c r="G16" s="12">
        <f>Semanal!$AE$43</f>
        <v/>
      </c>
      <c r="H16" s="13" t="n"/>
    </row>
    <row r="17">
      <c r="A17" s="24" t="inlineStr">
        <is>
          <t>% en vivo → solicitud</t>
        </is>
      </c>
      <c r="B17" s="30">
        <f>IFERROR(INDEX(Semanal!$C$47:$AB$47,1,$B$4),"")</f>
        <v/>
      </c>
      <c r="C17" s="17">
        <f>IF($B$4&lt;=1,"",IFERROR(INDEX(Semanal!$C$47:$AB$47,1,$B$4-1),""))</f>
        <v/>
      </c>
      <c r="D17" s="17">
        <f>IFERROR(IF(OR(B17="",C17=""),"",(B17-C17)/C17),"")</f>
        <v/>
      </c>
      <c r="E17" s="17">
        <f>IFERROR(INDEX(Semanal!$C$84:$AB$84,1,$B$4),"")</f>
        <v/>
      </c>
      <c r="F17" s="26">
        <f>IFERROR(INDEX(Semanal!$C$85:$AB$85,1,$B$4),"")</f>
        <v/>
      </c>
      <c r="G17" s="17">
        <f>Semanal!$AE$47</f>
        <v/>
      </c>
      <c r="H17" s="8" t="n"/>
    </row>
    <row r="18">
      <c r="A18" s="4" t="inlineStr">
        <is>
          <t>Compran la oferta</t>
        </is>
      </c>
      <c r="B18" s="28">
        <f>IFERROR(INDEX(Semanal!$C$44:$AB$44,1,$B$4),"")</f>
        <v/>
      </c>
      <c r="C18" s="12">
        <f>IF($B$4&lt;=1,"",IFERROR(INDEX(Semanal!$C$44:$AB$44,1,$B$4-1),""))</f>
        <v/>
      </c>
      <c r="D18" s="17">
        <f>IFERROR(IF(OR(B18="",C18=""),"",(B18-C18)/C18),"")</f>
        <v/>
      </c>
      <c r="E18" s="25" t="inlineStr"/>
      <c r="F18" s="25" t="inlineStr"/>
      <c r="G18" s="12">
        <f>Semanal!$AE$44</f>
        <v/>
      </c>
      <c r="H18" s="13" t="n"/>
    </row>
    <row r="19">
      <c r="A19" s="24" t="inlineStr">
        <is>
          <t>% solicitud → compra</t>
        </is>
      </c>
      <c r="B19" s="30">
        <f>IFERROR(INDEX(Semanal!$C$49:$AB$49,1,$B$4),"")</f>
        <v/>
      </c>
      <c r="C19" s="17">
        <f>IF($B$4&lt;=1,"",IFERROR(INDEX(Semanal!$C$49:$AB$49,1,$B$4-1),""))</f>
        <v/>
      </c>
      <c r="D19" s="17">
        <f>IFERROR(IF(OR(B19="",C19=""),"",(B19-C19)/C19),"")</f>
        <v/>
      </c>
      <c r="E19" s="17">
        <f>IFERROR(INDEX(Semanal!$C$86:$AB$86,1,$B$4),"")</f>
        <v/>
      </c>
      <c r="F19" s="26">
        <f>IFERROR(INDEX(Semanal!$C$87:$AB$87,1,$B$4),"")</f>
        <v/>
      </c>
      <c r="G19" s="17">
        <f>Semanal!$AE$49</f>
        <v/>
      </c>
      <c r="H19" s="8" t="n"/>
    </row>
    <row r="20">
      <c r="A20" s="4" t="inlineStr">
        <is>
          <t>CPA (costo por comprador)</t>
        </is>
      </c>
      <c r="B20" s="29">
        <f>IFERROR(INDEX(Semanal!$C$51:$AB$51,1,$B$4),"")</f>
        <v/>
      </c>
      <c r="C20" s="14">
        <f>IF($B$4&lt;=1,"",IFERROR(INDEX(Semanal!$C$51:$AB$51,1,$B$4-1),""))</f>
        <v/>
      </c>
      <c r="D20" s="17">
        <f>IFERROR(IF(OR(B20="",C20=""),"",(B20-C20)/C20),"")</f>
        <v/>
      </c>
      <c r="E20" s="25" t="inlineStr"/>
      <c r="F20" s="25" t="inlineStr"/>
      <c r="G20" s="14">
        <f>Semanal!$AE$51</f>
        <v/>
      </c>
      <c r="H20" s="7" t="n"/>
    </row>
    <row r="21">
      <c r="A21" s="4" t="inlineStr">
        <is>
          <t>Facturado (oferta + bump + programa)</t>
        </is>
      </c>
      <c r="B21" s="27">
        <f>IFERROR(INDEX(Semanal!$C$57:$AB$57,1,$B$4),"")</f>
        <v/>
      </c>
      <c r="C21" s="19">
        <f>IF($B$4&lt;=1,"",IFERROR(INDEX(Semanal!$C$57:$AB$57,1,$B$4-1),""))</f>
        <v/>
      </c>
      <c r="D21" s="17">
        <f>IFERROR(IF(OR(B21="",C21=""),"",(B21-C21)/C21),"")</f>
        <v/>
      </c>
      <c r="E21" s="25" t="inlineStr"/>
      <c r="F21" s="25" t="inlineStr"/>
      <c r="G21" s="19">
        <f>Semanal!$AE$57</f>
        <v/>
      </c>
      <c r="H21" s="9" t="n"/>
    </row>
    <row r="22">
      <c r="A22" s="4" t="inlineStr">
        <is>
          <t>Cash neto (después de comisiones y reembolsos)</t>
        </is>
      </c>
      <c r="B22" s="27">
        <f>IFERROR(INDEX(Semanal!$C$58:$AB$58,1,$B$4),"")</f>
        <v/>
      </c>
      <c r="C22" s="19">
        <f>IF($B$4&lt;=1,"",IFERROR(INDEX(Semanal!$C$58:$AB$58,1,$B$4-1),""))</f>
        <v/>
      </c>
      <c r="D22" s="17">
        <f>IFERROR(IF(OR(B22="",C22=""),"",(B22-C22)/C22),"")</f>
        <v/>
      </c>
      <c r="E22" s="25" t="inlineStr"/>
      <c r="F22" s="25" t="inlineStr"/>
      <c r="G22" s="19">
        <f>Semanal!$AE$58</f>
        <v/>
      </c>
      <c r="H22" s="9" t="n"/>
    </row>
    <row r="23">
      <c r="A23" s="4" t="inlineStr">
        <is>
          <t>Ganancia (cash neto − pauta − fijos)</t>
        </is>
      </c>
      <c r="B23" s="27">
        <f>IFERROR(INDEX(Semanal!$C$59:$AB$59,1,$B$4),"")</f>
        <v/>
      </c>
      <c r="C23" s="19">
        <f>IF($B$4&lt;=1,"",IFERROR(INDEX(Semanal!$C$59:$AB$59,1,$B$4-1),""))</f>
        <v/>
      </c>
      <c r="D23" s="17">
        <f>IFERROR(IF(OR(B23="",C23=""),"",(B23-C23)/C23),"")</f>
        <v/>
      </c>
      <c r="E23" s="25" t="inlineStr"/>
      <c r="F23" s="25" t="inlineStr"/>
      <c r="G23" s="19">
        <f>Semanal!$AE$59</f>
        <v/>
      </c>
      <c r="H23" s="9" t="n"/>
    </row>
    <row r="24">
      <c r="A24" s="24" t="inlineStr">
        <is>
          <t>Ganancia por visita (la métrica más valiosa)</t>
        </is>
      </c>
      <c r="B24" s="29">
        <f>IFERROR(INDEX(Semanal!$C$61:$AB$61,1,$B$4),"")</f>
        <v/>
      </c>
      <c r="C24" s="14">
        <f>IF($B$4&lt;=1,"",IFERROR(INDEX(Semanal!$C$61:$AB$61,1,$B$4-1),""))</f>
        <v/>
      </c>
      <c r="D24" s="17">
        <f>IFERROR(IF(OR(B24="",C24=""),"",(B24-C24)/C24),"")</f>
        <v/>
      </c>
      <c r="E24" s="14">
        <f>IFERROR(INDEX(Semanal!$C$66:$AB$66,1,$B$4),"")</f>
        <v/>
      </c>
      <c r="F24" s="26">
        <f>IFERROR(INDEX(Semanal!$C$67:$AB$67,1,$B$4),"")</f>
        <v/>
      </c>
      <c r="G24" s="14">
        <f>Semanal!$AE$61</f>
        <v/>
      </c>
      <c r="H24" s="7" t="n"/>
    </row>
    <row r="25">
      <c r="A25" s="24" t="inlineStr">
        <is>
          <t>ROAS sobre cash neto</t>
        </is>
      </c>
      <c r="B25" s="31">
        <f>IFERROR(INDEX(Semanal!$C$60:$AB$60,1,$B$4),"")</f>
        <v/>
      </c>
      <c r="C25" s="20">
        <f>IF($B$4&lt;=1,"",IFERROR(INDEX(Semanal!$C$60:$AB$60,1,$B$4-1),""))</f>
        <v/>
      </c>
      <c r="D25" s="17">
        <f>IFERROR(IF(OR(B25="",C25=""),"",(B25-C25)/C25),"")</f>
        <v/>
      </c>
      <c r="E25" s="20">
        <f>IFERROR(INDEX(Semanal!$C$88:$AB$88,1,$B$4),"")</f>
        <v/>
      </c>
      <c r="F25" s="26">
        <f>IFERROR(INDEX(Semanal!$C$89:$AB$89,1,$B$4),"")</f>
        <v/>
      </c>
      <c r="G25" s="20">
        <f>Semanal!$AE$60</f>
        <v/>
      </c>
      <c r="H25" s="10" t="n"/>
    </row>
    <row r="26">
      <c r="A26" s="24" t="inlineStr">
        <is>
          <t>CPM</t>
        </is>
      </c>
      <c r="B26" s="29">
        <f>IFERROR(INDEX(Semanal!$C$15:$AB$15,1,$B$4),"")</f>
        <v/>
      </c>
      <c r="C26" s="14">
        <f>IF($B$4&lt;=1,"",IFERROR(INDEX(Semanal!$C$15:$AB$15,1,$B$4-1),""))</f>
        <v/>
      </c>
      <c r="D26" s="17">
        <f>IFERROR(IF(OR(B26="",C26=""),"",(B26-C26)/C26),"")</f>
        <v/>
      </c>
      <c r="E26" s="14">
        <f>IFERROR(INDEX(Semanal!$C$76:$AB$76,1,$B$4),"")</f>
        <v/>
      </c>
      <c r="F26" s="26">
        <f>IFERROR(INDEX(Semanal!$C$77:$AB$77,1,$B$4),"")</f>
        <v/>
      </c>
      <c r="G26" s="14">
        <f>Semanal!$AE$15</f>
        <v/>
      </c>
      <c r="H26" s="7" t="n"/>
    </row>
    <row r="27">
      <c r="A27" s="24" t="inlineStr">
        <is>
          <t>CTR al enlace</t>
        </is>
      </c>
      <c r="B27" s="32">
        <f>IFERROR(INDEX(Semanal!$C$17:$AB$17,1,$B$4),"")</f>
        <v/>
      </c>
      <c r="C27" s="16">
        <f>IF($B$4&lt;=1,"",IFERROR(INDEX(Semanal!$C$17:$AB$17,1,$B$4-1),""))</f>
        <v/>
      </c>
      <c r="D27" s="17">
        <f>IFERROR(IF(OR(B27="",C27=""),"",(B27-C27)/C27),"")</f>
        <v/>
      </c>
      <c r="E27" s="16">
        <f>IFERROR(INDEX(Semanal!$C$78:$AB$78,1,$B$4),"")</f>
        <v/>
      </c>
      <c r="F27" s="26">
        <f>IFERROR(INDEX(Semanal!$C$79:$AB$79,1,$B$4),"")</f>
        <v/>
      </c>
      <c r="G27" s="16">
        <f>Semanal!$AE$17</f>
        <v/>
      </c>
      <c r="H27" s="33" t="n"/>
    </row>
    <row r="29">
      <c r="A29" s="3" t="inlineStr">
        <is>
          <t>Cómo se lee</t>
        </is>
      </c>
    </row>
    <row r="30" ht="30" customHeight="1">
      <c r="A30" s="4" t="inlineStr">
        <is>
          <t>• Se mira de arriba hacia abajo y se para en el primer rojo: un rojo arriba (costo por visita, CPL) arrastra todo lo de abajo.</t>
        </is>
      </c>
    </row>
    <row r="31" ht="30" customHeight="1">
      <c r="A31" s="4" t="inlineStr">
        <is>
          <t>• La ganancia por visita resume todo lo que pasa después de la página: si está en rojo con el costo por visita en verde, el problema no es el tráfico.</t>
        </is>
      </c>
    </row>
    <row r="32" ht="30" customHeight="1">
      <c r="A32" s="4" t="inlineStr">
        <is>
          <t>• El CPL se lee también como % del CPM: el umbral de costo depende del nicho. Con CPM de 3 un CPL de 1 y con CPM de 25 un CPL de 10 son el mismo embudo.</t>
        </is>
      </c>
    </row>
    <row r="33" ht="30" customHeight="1">
      <c r="A33" s="4" t="inlineStr">
        <is>
          <t>• Una decisión por semana, anotada, y a los 7 días mirar qué pasó. Nunca por un día. En llamada, 3 o 4 eventos.</t>
        </is>
      </c>
    </row>
    <row r="34" ht="30" customHeight="1">
      <c r="A34" s="4" t="inlineStr">
        <is>
          <t>• La fila de la semana se copia a la hoja Seguimiento del modelo financiero de este embudo: ahí está el techo (hasta cuánto pagar) y el guardarraíl para subir o bajar.</t>
        </is>
      </c>
    </row>
    <row r="36">
      <c r="A36" s="2" t="inlineStr">
        <is>
          <t>Modelo financiero de embudos · creado por Jesús Tassarolo · TooAudience · youtube.com/@JesusTassaroloSinFiltro · v1.2 · octubre 2026</t>
        </is>
      </c>
    </row>
  </sheetData>
  <mergeCells count="5">
    <mergeCell ref="A30:H30"/>
    <mergeCell ref="A33:H33"/>
    <mergeCell ref="A32:H32"/>
    <mergeCell ref="A31:H31"/>
    <mergeCell ref="A34:H34"/>
  </mergeCells>
  <conditionalFormatting sqref="F7:F27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"ROJO"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Jesús Tassarolo · TooAudience</dc:creator>
  <dc:title xmlns:dc="http://purl.org/dc/elements/1.1/">Métricas diarias · Embudo de webinar gratuito</dc:title>
  <dc:description xmlns:dc="http://purl.org/dc/elements/1.1/">Modelo financiero de embudos · creado por Jesús Tassarolo · TooAudience · youtube.com/@JesusTassaroloSinFiltro</dc:description>
  <dcterms:created xmlns:dcterms="http://purl.org/dc/terms/" xmlns:xsi="http://www.w3.org/2001/XMLSchema-instance" xsi:type="dcterms:W3CDTF">2026-10-02T14:46:00Z</dcterms:created>
  <dcterms:modified xmlns:dcterms="http://purl.org/dc/terms/" xmlns:xsi="http://www.w3.org/2001/XMLSchema-instance" xsi:type="dcterms:W3CDTF">2026-10-02T14:46:00Z</dcterms:modified>
</cp:coreProperties>
</file>