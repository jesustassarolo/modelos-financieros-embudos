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Diario" sheetId="3" state="visible" r:id="rId3"/>
    <sheet xmlns:r="http://schemas.openxmlformats.org/officeDocument/2006/relationships" name="Semanal" sheetId="4" state="visible" r:id="rId4"/>
    <sheet xmlns:r="http://schemas.openxmlformats.org/officeDocument/2006/relationships" name="Resumen" sheetId="5" state="visible" r:id="rId5"/>
    <sheet xmlns:r="http://schemas.openxmlformats.org/officeDocument/2006/relationships" name="Licencia" sheetId="6" state="visible" r:id="rId6"/>
  </sheets>
  <definedNames>
    <definedName name="Autor_Jesus_Tassarolo">"Modelo financiero de embudos · creado por Jesús Tassarolo · TooAudience · youtube.com/@JesusTassaroloSinFiltro"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&quot;$&quot;#,##0.00"/>
    <numFmt numFmtId="167" formatCode="0.0%"/>
    <numFmt numFmtId="168" formatCode="&quot;$&quot;#,##0"/>
    <numFmt numFmtId="169" formatCode="0.00&quot;x&quot;"/>
    <numFmt numFmtId="170" formatCode="0.0"/>
    <numFmt numFmtId="171" formatCode="&quot;SEM &quot;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  <font>
      <i val="1"/>
      <color rgb="008C8C8C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5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168" fontId="0" fillId="3" borderId="1" pivotButton="0" quotePrefix="0" xfId="0"/>
    <xf numFmtId="169" fontId="0" fillId="3" borderId="1" pivotButton="0" quotePrefix="0" xfId="0"/>
    <xf numFmtId="165" fontId="0" fillId="4" borderId="1" pivotButton="0" quotePrefix="0" xfId="0"/>
    <xf numFmtId="3" fontId="0" fillId="4" borderId="1" pivotButton="0" quotePrefix="0" xfId="0"/>
    <xf numFmtId="3" fontId="0" fillId="3" borderId="1" pivotButton="0" quotePrefix="0" xfId="0"/>
    <xf numFmtId="166" fontId="0" fillId="4" borderId="1" pivotButton="0" quotePrefix="0" xfId="0"/>
    <xf numFmtId="2" fontId="0" fillId="4" borderId="1" pivotButton="0" quotePrefix="0" xfId="0"/>
    <xf numFmtId="10" fontId="0" fillId="4" borderId="1" pivotButton="0" quotePrefix="0" xfId="0"/>
    <xf numFmtId="167" fontId="0" fillId="4" borderId="1" pivotButton="0" quotePrefix="0" xfId="0"/>
    <xf numFmtId="170" fontId="0" fillId="4" borderId="1" pivotButton="0" quotePrefix="0" xfId="0"/>
    <xf numFmtId="168" fontId="0" fillId="4" borderId="1" pivotButton="0" quotePrefix="0" xfId="0"/>
    <xf numFmtId="169" fontId="0" fillId="4" borderId="1" pivotButton="0" quotePrefix="0" xfId="0"/>
    <xf numFmtId="171" fontId="3" fillId="2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5" borderId="0" pivotButton="0" quotePrefix="0" xfId="0"/>
    <xf numFmtId="0" fontId="4" fillId="0" borderId="0" applyAlignment="1" pivotButton="0" quotePrefix="0" xfId="0">
      <alignment vertical="top" wrapText="1"/>
    </xf>
    <xf numFmtId="0" fontId="0" fillId="4" borderId="1" pivotButton="0" quotePrefix="0" xfId="0"/>
    <xf numFmtId="49" fontId="4" fillId="4" borderId="1" pivotButton="0" quotePrefix="0" xfId="0"/>
    <xf numFmtId="168" fontId="4" fillId="4" borderId="1" pivotButton="0" quotePrefix="0" xfId="0"/>
    <xf numFmtId="3" fontId="4" fillId="4" borderId="1" pivotButton="0" quotePrefix="0" xfId="0"/>
    <xf numFmtId="166" fontId="4" fillId="4" borderId="1" pivotButton="0" quotePrefix="0" xfId="0"/>
    <xf numFmtId="167" fontId="4" fillId="4" borderId="1" pivotButton="0" quotePrefix="0" xfId="0"/>
    <xf numFmtId="169" fontId="4" fillId="4" borderId="1" pivotButton="0" quotePrefix="0" xfId="0"/>
    <xf numFmtId="10" fontId="4" fillId="4" borderId="1" pivotButton="0" quotePrefix="0" xfId="0"/>
    <xf numFmtId="10" fontId="0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© Jesús Tassarolo · TooAudience · youtube.com/@JesusTassaroloSinFiltro · uso personal; no redistribuir modificado</t>
        </is>
      </c>
    </row>
    <row r="2">
      <c r="B2" s="2" t="inlineStr">
        <is>
          <t>Métricas diarias · Embudo de llamada (high ticket)</t>
        </is>
      </c>
    </row>
    <row r="3">
      <c r="B3" s="3" t="inlineStr">
        <is>
          <t>Las métricas diarias de todo el embudo, para saber cómo estás con tus propios números. Acompaña al modelo financiero del mismo embudo.</t>
        </is>
      </c>
    </row>
    <row r="5">
      <c r="B5" s="4" t="inlineStr">
        <is>
          <t>Qué es</t>
        </is>
      </c>
    </row>
    <row r="6" ht="45" customHeight="1">
      <c r="B6" s="5" t="inlineStr">
        <is>
          <t>Un registro diario de cada paso del embudo (anuncios, página, unidades, etapas, ventas, cash) que se convierte solo en un comparativo semanal y en un resumen con semáforo. El semáforo no usa números de mercado: compara cada semana con la mediana de tus 4 semanas anteriores, con una tolerancia del 25 % (la cambiás en Config).</t>
        </is>
      </c>
    </row>
    <row r="8">
      <c r="B8" s="4" t="inlineStr">
        <is>
          <t>1. Config</t>
        </is>
      </c>
    </row>
    <row r="9" ht="30" customHeight="1">
      <c r="B9" s="5" t="inlineStr">
        <is>
          <t>Poné tus precios, comisiones, reembolsos, costos fijos por día y la fecha de inicio (un lunes). Todo lo demás se calcula con eso.</t>
        </is>
      </c>
    </row>
    <row r="11">
      <c r="B11" s="4" t="inlineStr">
        <is>
          <t>2. Diario (todos los días, 3 minutos)</t>
        </is>
      </c>
    </row>
    <row r="12" ht="45" customHeight="1">
      <c r="B12" s="5" t="inlineStr">
        <is>
          <t>Una fila por día. Cargá las celdas amarillas con lo que hubo: inversión, impresiones, alcance, clics en el enlace, visitas y cada paso del embudo. Si un día no hubo evento, dejá vacío. Las celdas azules se calculan solas (CPM, CTR, costo por visita, CPL, conversiones, facturado, cash neto, ganancia, ROAS y la ganancia por visita).</t>
        </is>
      </c>
    </row>
    <row r="14">
      <c r="B14" s="4" t="inlineStr">
        <is>
          <t>3. Semanal (los lunes, 10 minutos)</t>
        </is>
      </c>
    </row>
    <row r="15" ht="45" customHeight="1">
      <c r="B15" s="5" t="inlineStr">
        <is>
          <t>No se carga nada: suma Diario por semana y calcula las conversiones y los costos de la semana, el promedio, la mediana, la mejor y la peor. Abajo, el bloque «contra tu promedio» marca en verde, amarillo o rojo cada métrica clave contra la mediana de tus 4 semanas anteriores.</t>
        </is>
      </c>
    </row>
    <row r="17">
      <c r="B17" s="4" t="inlineStr">
        <is>
          <t>4. Resumen</t>
        </is>
      </c>
    </row>
    <row r="18" ht="45" customHeight="1">
      <c r="B18" s="5" t="inlineStr">
        <is>
          <t>La semana elegida (por defecto la última con datos) contra la anterior, contra tu mediana y contra la meta que vos escribas. Las filas van en el orden en que se mira un embudo: primero el tráfico y la ganancia por visita, después la página, después las etapas, después las ventas y la caja.</t>
        </is>
      </c>
    </row>
    <row r="20">
      <c r="B20" s="4" t="inlineStr">
        <is>
          <t>5. Decidir</t>
        </is>
      </c>
    </row>
    <row r="21" ht="30" customHeight="1">
      <c r="B21" s="5" t="inlineStr">
        <is>
          <t>Una sola decisión por semana y a los 7 días mirar qué pasó. Se para en el primer rojo de arriba hacia abajo. Nunca se decide por un día, y en llamada se juzga con 3 o 4 eventos.</t>
        </is>
      </c>
    </row>
    <row r="23">
      <c r="B23" s="4" t="inlineStr">
        <is>
          <t>6. Conectar con el modelo financiero</t>
        </is>
      </c>
    </row>
    <row r="24" ht="45" customHeight="1">
      <c r="B24" s="5" t="inlineStr">
        <is>
          <t>Copiá la fila semanal (inversión, cantidades por paso, ventas, facturado, cash cobrado) en la hoja Seguimiento del modelo financiero de este embudo: ahí está el techo (hasta cuánto pagar por cada unidad), el objetivo y el guardarraíl para subir o bajar la inversión.</t>
        </is>
      </c>
    </row>
    <row r="26">
      <c r="B26" s="4" t="inlineStr">
        <is>
          <t>Lo que manda en este embudo</t>
        </is>
      </c>
    </row>
    <row r="27" ht="30" customHeight="1">
      <c r="B27" s="5" t="inlineStr">
        <is>
          <t>Costo por agenda contra lo que vale una agenda, y el cierre juzgado con 3 o 4 eventos, nunca con uno. Cash cobrado, no facturado.</t>
        </is>
      </c>
    </row>
    <row r="29">
      <c r="B29" s="4" t="inlineStr">
        <is>
          <t>Regla de los umbrales</t>
        </is>
      </c>
    </row>
    <row r="30" ht="45" customHeight="1">
      <c r="B30" s="5" t="inlineStr">
        <is>
          <t>Tu promedio es el umbral: igual o mejor, verde; hasta 25 % peor, amarillo; más, rojo. Y los costos dependen del nicho: el CPL se lee también como porcentaje del CPM. Los primeros 28 días del ejemplo están cargados para que veas cómo funciona: borralos y cargá los tuyos.</t>
        </is>
      </c>
    </row>
    <row r="32">
      <c r="B32" s="4" t="inlineStr">
        <is>
          <t>Compatibilidad</t>
        </is>
      </c>
    </row>
    <row r="33" ht="30" customHeight="1">
      <c r="B33" s="5" t="inlineStr">
        <is>
          <t>Funciona en Excel, Google Sheets y Numbers (solo funciones básicas). Si lo subís a Drive, abrilo con Google Sheets: las fórmulas se conservan.</t>
        </is>
      </c>
    </row>
    <row r="35">
      <c r="B35" s="4" t="inlineStr">
        <is>
          <t>Autor y versión</t>
        </is>
      </c>
    </row>
    <row r="36">
      <c r="B36" s="3" t="inlineStr">
        <is>
          <t>Modelo financiero de embudos · creado por Jesús Tassarolo · TooAudience · youtube.com/@JesusTassaroloSinFiltro · v1.2 · octubre 2026</t>
        </is>
      </c>
    </row>
  </sheetData>
  <pageMargins left="0.75" right="0.75" top="1" bottom="1" header="0.5" footer="0.5"/>
  <headerFooter>
    <oddHeader>&amp;CJesús Tassarolo · TooAudience&amp;R&amp;D</oddHeader>
    <oddFooter>&amp;LModelo financiero de embudos · creado por Jesús Tassarolo · TooAudience · youtube.com/@JesusTassaroloSinFiltro&amp;RPágina &amp;P de &amp;N</oddFooter>
    <evenHeader>&amp;CJesús Tassarolo · TooAudience</evenHeader>
    <evenFooter>&amp;LModelo financiero de embudos · creado por Jesús Tassarolo · TooAudience · youtube.com/@JesusTassaroloSinFiltro&amp;RPágina &amp;P de &amp;N</evenFooter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16" customWidth="1" min="3" max="3"/>
    <col width="70" customWidth="1" min="4" max="4"/>
  </cols>
  <sheetData>
    <row r="1">
      <c r="B1" s="1" t="inlineStr">
        <is>
          <t>© Jesús Tassarolo · TooAudience · youtube.com/@JesusTassaroloSinFiltro · uso personal; no redistribuir modificado</t>
        </is>
      </c>
    </row>
    <row r="2">
      <c r="B2" s="2" t="inlineStr">
        <is>
          <t>Config: tus precios, comisiones y la fecha de inicio</t>
        </is>
      </c>
    </row>
    <row r="3">
      <c r="B3" s="3" t="inlineStr">
        <is>
          <t>Amarillo = podés cambiarlo. Todo lo demás del libro se calcula con esto.</t>
        </is>
      </c>
    </row>
    <row r="5">
      <c r="A5" s="6" t="inlineStr"/>
      <c r="B5" s="6" t="inlineStr">
        <is>
          <t>Dato</t>
        </is>
      </c>
      <c r="C5" s="6" t="inlineStr">
        <is>
          <t>Valor</t>
        </is>
      </c>
      <c r="D5" s="6" t="inlineStr">
        <is>
          <t>Nota</t>
        </is>
      </c>
    </row>
    <row r="6">
      <c r="B6" t="inlineStr">
        <is>
          <t>Fecha de inicio del registro (un lunes)</t>
        </is>
      </c>
      <c r="C6" s="7" t="n">
        <v>46272</v>
      </c>
      <c r="D6" s="5" t="inlineStr">
        <is>
          <t>Desde este día se numeran las semanas en Diario y Semanal. Elegí un lunes.</t>
        </is>
      </c>
    </row>
    <row r="7">
      <c r="B7" t="inlineStr">
        <is>
          <t>Precio del programa (ticket)</t>
        </is>
      </c>
      <c r="C7" s="8" t="n">
        <v>1500</v>
      </c>
      <c r="D7" s="5" t="inlineStr">
        <is>
          <t>A precio de lista; las cuotas van en el cash cobrado.</t>
        </is>
      </c>
    </row>
    <row r="8">
      <c r="B8" t="inlineStr">
        <is>
          <t>Precio del downsell</t>
        </is>
      </c>
      <c r="C8" s="8" t="n">
        <v>497</v>
      </c>
      <c r="D8" s="5" t="inlineStr"/>
    </row>
    <row r="9">
      <c r="B9" t="inlineStr">
        <is>
          <t>% del facturado que entra el primer mes (si no cargás el cash cobrado)</t>
        </is>
      </c>
      <c r="C9" s="9" t="n">
        <v>0.6</v>
      </c>
      <c r="D9" s="5" t="inlineStr">
        <is>
          <t>Se usa solo cuando la columna de cash cobrado está vacía.</t>
        </is>
      </c>
    </row>
    <row r="10">
      <c r="B10" t="inlineStr">
        <is>
          <t>Comisión de la pasarela de pago</t>
        </is>
      </c>
      <c r="C10" s="9" t="n">
        <v>0.05</v>
      </c>
      <c r="D10" s="5" t="inlineStr"/>
    </row>
    <row r="11">
      <c r="B11" t="inlineStr">
        <is>
          <t>Comisión del equipo de ventas</t>
        </is>
      </c>
      <c r="C11" s="9" t="n">
        <v>0.1</v>
      </c>
      <c r="D11" s="5" t="inlineStr">
        <is>
          <t>Sobre lo cobrado.</t>
        </is>
      </c>
    </row>
    <row r="12">
      <c r="B12" t="inlineStr">
        <is>
          <t>Reembolsos y contracargos</t>
        </is>
      </c>
      <c r="C12" s="9" t="n">
        <v>0.05</v>
      </c>
      <c r="D12" s="5" t="inlineStr"/>
    </row>
    <row r="13">
      <c r="B13" t="inlineStr">
        <is>
          <t>Costos fijos por día (USD)</t>
        </is>
      </c>
      <c r="C13" s="10" t="n">
        <v>83</v>
      </c>
      <c r="D13" s="5" t="inlineStr">
        <is>
          <t>2.500 por mes ÷ 30.</t>
        </is>
      </c>
    </row>
    <row r="14">
      <c r="B14" t="inlineStr">
        <is>
          <t>ROAS objetivo sobre cash neto</t>
        </is>
      </c>
      <c r="C14" s="11" t="n">
        <v>2.5</v>
      </c>
      <c r="D14" s="5" t="inlineStr">
        <is>
          <t>En llamada, 2,5 a 3 por la varianza.</t>
        </is>
      </c>
    </row>
    <row r="15">
      <c r="B15" t="inlineStr">
        <is>
          <t>Tolerancia del semáforo contra tu promedio</t>
        </is>
      </c>
      <c r="C15" s="9" t="n">
        <v>0.25</v>
      </c>
      <c r="D15" s="5" t="inlineStr">
        <is>
          <t>Igual o mejor que tu mediana = verde; hasta esta distancia peor = amarillo; más = rojo. 20 a 30 %.</t>
        </is>
      </c>
    </row>
    <row r="18">
      <c r="A18" s="3" t="inlineStr">
        <is>
          <t>Modelo financiero de embudos · creado por Jesús Tassarolo · TooAudience · youtube.com/@JesusTassaroloSinFiltro · v1.2 · octubre 2026</t>
        </is>
      </c>
    </row>
  </sheetData>
  <pageMargins left="0.75" right="0.75" top="1" bottom="1" header="0.5" footer="0.5"/>
  <headerFooter>
    <oddHeader>&amp;CJesús Tassarolo · TooAudience&amp;R&amp;D</oddHeader>
    <oddFooter>&amp;LModelo financiero de embudos · creado por Jesús Tassarolo · TooAudience · youtube.com/@JesusTassaroloSinFiltro&amp;RPágina &amp;P de &amp;N</oddFooter>
    <evenHeader>&amp;CJesús Tassarolo · TooAudience</evenHeader>
    <evenFooter>&amp;LModelo financiero de embudos · creado por Jesús Tassarolo · TooAudience · youtube.com/@JesusTassaroloSinFiltro&amp;RPágina &amp;P de &amp;N</evenFooter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© Jesús Tassarolo · TooAudience · youtube.com/@JesusTassaroloSinFiltro · uso personal; no redistribuir modificado</t>
        </is>
      </c>
    </row>
    <row r="2">
      <c r="A2" s="2" t="inlineStr">
        <is>
          <t>Diario: una fila por día. Amarillo = lo que cargás; azul = lo que calcula el libro</t>
        </is>
      </c>
    </row>
    <row r="3">
      <c r="A3" s="3" t="inlineStr">
        <is>
          <t>Cargá cada día lo que hubo (vacío si no hubo). Los porcentajes de un solo día pueden ser raros en embudos con evento semanal: la lectura buena está en Semanal.</t>
        </is>
      </c>
    </row>
    <row r="5" ht="60" customHeight="1">
      <c r="A5" s="6" t="inlineStr">
        <is>
          <t>Fecha</t>
        </is>
      </c>
      <c r="B5" s="6" t="inlineStr">
        <is>
          <t>Semana</t>
        </is>
      </c>
      <c r="C5" s="6" t="inlineStr">
        <is>
          <t>Inversión en publicidad (USD)</t>
        </is>
      </c>
      <c r="D5" s="6" t="inlineStr">
        <is>
          <t>Impresiones</t>
        </is>
      </c>
      <c r="E5" s="6" t="inlineStr">
        <is>
          <t>Alcance (personas únicas)</t>
        </is>
      </c>
      <c r="F5" s="6" t="inlineStr">
        <is>
          <t>Clics en el enlace</t>
        </is>
      </c>
      <c r="G5" s="6" t="inlineStr">
        <is>
          <t>Visitas a la página</t>
        </is>
      </c>
      <c r="H5" s="6" t="inlineStr">
        <is>
          <t>Leads</t>
        </is>
      </c>
      <c r="I5" s="6" t="inlineStr">
        <is>
          <t>Completan la aplicación</t>
        </is>
      </c>
      <c r="J5" s="6" t="inlineStr">
        <is>
          <t>Califican</t>
        </is>
      </c>
      <c r="K5" s="6" t="inlineStr">
        <is>
          <t>Agendan la llamada</t>
        </is>
      </c>
      <c r="L5" s="6" t="inlineStr">
        <is>
          <t>Llamadas realizadas (show)</t>
        </is>
      </c>
      <c r="M5" s="6" t="inlineStr">
        <is>
          <t>Compran el programa</t>
        </is>
      </c>
      <c r="N5" s="6" t="inlineStr">
        <is>
          <t>Toman el downsell</t>
        </is>
      </c>
      <c r="O5" s="6" t="inlineStr">
        <is>
          <t>Cash cobrado ese día (USD)</t>
        </is>
      </c>
      <c r="P5" s="6" t="inlineStr">
        <is>
          <t>CPM</t>
        </is>
      </c>
      <c r="Q5" s="6" t="inlineStr">
        <is>
          <t>Frecuencia</t>
        </is>
      </c>
      <c r="R5" s="6" t="inlineStr">
        <is>
          <t>CTR al enlace</t>
        </is>
      </c>
      <c r="S5" s="6" t="inlineStr">
        <is>
          <t>CPC (por clic en el enlace)</t>
        </is>
      </c>
      <c r="T5" s="6" t="inlineStr">
        <is>
          <t>% clic → visita</t>
        </is>
      </c>
      <c r="U5" s="6" t="inlineStr">
        <is>
          <t>Costo por visita</t>
        </is>
      </c>
      <c r="V5" s="6" t="inlineStr">
        <is>
          <t>Visitas por cada 1.000 impresiones</t>
        </is>
      </c>
      <c r="W5" s="6" t="inlineStr">
        <is>
          <t>% visita → lead (conversión de la página)</t>
        </is>
      </c>
      <c r="X5" s="6" t="inlineStr">
        <is>
          <t>CPL (costo por lead)</t>
        </is>
      </c>
      <c r="Y5" s="6" t="inlineStr">
        <is>
          <t>CPL como % del CPM (el umbral depende del nicho)</t>
        </is>
      </c>
      <c r="Z5" s="6" t="inlineStr">
        <is>
          <t>Leads por cada 1.000 impresiones</t>
        </is>
      </c>
      <c r="AA5" s="6" t="inlineStr">
        <is>
          <t>% lead → aplicación</t>
        </is>
      </c>
      <c r="AB5" s="6" t="inlineStr">
        <is>
          <t>% aplicación → calificado</t>
        </is>
      </c>
      <c r="AC5" s="6" t="inlineStr">
        <is>
          <t>% calificado → agenda</t>
        </is>
      </c>
      <c r="AD5" s="6" t="inlineStr">
        <is>
          <t>Costo por agenda</t>
        </is>
      </c>
      <c r="AE5" s="6" t="inlineStr">
        <is>
          <t>% agenda → llamada (show)</t>
        </is>
      </c>
      <c r="AF5" s="6" t="inlineStr">
        <is>
          <t>% llamada → venta (cierre)</t>
        </is>
      </c>
      <c r="AG5" s="6" t="inlineStr">
        <is>
          <t>% lead → venta</t>
        </is>
      </c>
      <c r="AH5" s="6" t="inlineStr">
        <is>
          <t>CAC (costo por venta)</t>
        </is>
      </c>
      <c r="AI5" s="6" t="inlineStr">
        <is>
          <t>Facturado a precio de lista</t>
        </is>
      </c>
      <c r="AJ5" s="6" t="inlineStr">
        <is>
          <t>Cash cobrado (real, o estimado con el % del primer mes)</t>
        </is>
      </c>
      <c r="AK5" s="6" t="inlineStr">
        <is>
          <t>Cash neto (después de comisiones, closers y reembolsos)</t>
        </is>
      </c>
      <c r="AL5" s="6" t="inlineStr">
        <is>
          <t>Ganancia de caja (cash neto − pauta − fijos)</t>
        </is>
      </c>
      <c r="AM5" s="6" t="inlineStr">
        <is>
          <t>ROAS sobre cash neto</t>
        </is>
      </c>
      <c r="AN5" s="6" t="inlineStr">
        <is>
          <t>ROAS sobre facturado (no decidas con este)</t>
        </is>
      </c>
      <c r="AO5" s="6" t="inlineStr">
        <is>
          <t>Ganancia por visita (la métrica más valiosa)</t>
        </is>
      </c>
      <c r="AP5" s="6" t="inlineStr">
        <is>
          <t>Margen por visita (ganancia por visita ÷ costo por visita)</t>
        </is>
      </c>
      <c r="AQ5" s="6" t="inlineStr">
        <is>
          <t>Ganancia por lead</t>
        </is>
      </c>
    </row>
    <row r="6">
      <c r="A6" s="12">
        <f>Config!$C$6+0</f>
        <v/>
      </c>
      <c r="B6" s="13">
        <f>INT((A6-Config!$C$6)/7)+1</f>
        <v/>
      </c>
      <c r="C6" s="10" t="n">
        <v>148</v>
      </c>
      <c r="D6" s="14" t="n">
        <v>14619</v>
      </c>
      <c r="E6" s="14" t="n">
        <v>9477</v>
      </c>
      <c r="F6" s="14" t="n">
        <v>217</v>
      </c>
      <c r="G6" s="14" t="n">
        <v>185</v>
      </c>
      <c r="H6" s="14" t="n">
        <v>53</v>
      </c>
      <c r="I6" s="14" t="n">
        <v>4</v>
      </c>
      <c r="J6" s="14" t="n">
        <v>3</v>
      </c>
      <c r="K6" s="14" t="n">
        <v>2</v>
      </c>
      <c r="L6" s="14" t="n">
        <v>1</v>
      </c>
      <c r="M6" s="14" t="n">
        <v>0</v>
      </c>
      <c r="N6" s="14" t="n">
        <v>0</v>
      </c>
      <c r="O6" s="10" t="n">
        <v>0</v>
      </c>
      <c r="P6" s="15">
        <f>IF(COUNT(C6:O6)=0,"",IFERROR(C6/D6*1000,0))</f>
        <v/>
      </c>
      <c r="Q6" s="16">
        <f>IF(COUNT(C6:O6)=0,"",IFERROR(D6/E6,0))</f>
        <v/>
      </c>
      <c r="R6" s="17">
        <f>IF(COUNT(C6:O6)=0,"",IFERROR(F6/D6,0))</f>
        <v/>
      </c>
      <c r="S6" s="15">
        <f>IF(COUNT(C6:O6)=0,"",IFERROR(C6/F6,0))</f>
        <v/>
      </c>
      <c r="T6" s="18">
        <f>IF(COUNT(C6:O6)=0,"",IFERROR(G6/F6,0))</f>
        <v/>
      </c>
      <c r="U6" s="15">
        <f>IF(COUNT(C6:O6)=0,"",IFERROR(C6/G6,0))</f>
        <v/>
      </c>
      <c r="V6" s="19">
        <f>IF(COUNT(C6:O6)=0,"",IFERROR(G6/D6*1000,0))</f>
        <v/>
      </c>
      <c r="W6" s="18">
        <f>IF(COUNT(C6:O6)=0,"",IFERROR(H6/G6,0))</f>
        <v/>
      </c>
      <c r="X6" s="15">
        <f>IF(COUNT(C6:O6)=0,"",IFERROR(C6/H6,0))</f>
        <v/>
      </c>
      <c r="Y6" s="18">
        <f>IF(COUNT(C6:O6)=0,"",IFERROR(X6/P6,0))</f>
        <v/>
      </c>
      <c r="Z6" s="19">
        <f>IF(COUNT(C6:O6)=0,"",IFERROR(H6/D6*1000,0))</f>
        <v/>
      </c>
      <c r="AA6" s="18">
        <f>IF(COUNT(C6:O6)=0,"",IFERROR(I6/H6,0))</f>
        <v/>
      </c>
      <c r="AB6" s="18">
        <f>IF(COUNT(C6:O6)=0,"",IFERROR(J6/I6,0))</f>
        <v/>
      </c>
      <c r="AC6" s="18">
        <f>IF(COUNT(C6:O6)=0,"",IFERROR(K6/J6,0))</f>
        <v/>
      </c>
      <c r="AD6" s="15">
        <f>IF(COUNT(C6:O6)=0,"",IFERROR(C6/K6,0))</f>
        <v/>
      </c>
      <c r="AE6" s="18">
        <f>IF(COUNT(C6:O6)=0,"",IFERROR(L6/K6,0))</f>
        <v/>
      </c>
      <c r="AF6" s="18">
        <f>IF(COUNT(C6:O6)=0,"",IFERROR(M6/L6,0))</f>
        <v/>
      </c>
      <c r="AG6" s="17">
        <f>IF(COUNT(C6:O6)=0,"",IFERROR(M6/H6,0))</f>
        <v/>
      </c>
      <c r="AH6" s="15">
        <f>IF(COUNT(C6:O6)=0,"",IFERROR(C6/M6,0))</f>
        <v/>
      </c>
      <c r="AI6" s="20">
        <f>IF(COUNT(C6:O6)=0,"",IFERROR(M6*Config!$C$7+N6*Config!$C$8,0))</f>
        <v/>
      </c>
      <c r="AJ6" s="20">
        <f>IF(COUNT(C6:O6)=0,"",IFERROR(IF(O6&gt;0,O6,AI6*Config!$C$9),0))</f>
        <v/>
      </c>
      <c r="AK6" s="20">
        <f>IF(COUNT(C6:O6)=0,"",IFERROR(AJ6*(1-Config!$C$10-Config!$C$11-Config!$C$12),0))</f>
        <v/>
      </c>
      <c r="AL6" s="20">
        <f>IF(COUNT(C6:O6)=0,"",IFERROR(AK6-C6-Config!$C$13,0))</f>
        <v/>
      </c>
      <c r="AM6" s="21">
        <f>IF(COUNT(C6:O6)=0,"",IFERROR(AK6/C6,0))</f>
        <v/>
      </c>
      <c r="AN6" s="21">
        <f>IF(COUNT(C6:O6)=0,"",IFERROR(AI6/C6,0))</f>
        <v/>
      </c>
      <c r="AO6" s="15">
        <f>IF(COUNT(C6:O6)=0,"",IFERROR(AL6/G6,0))</f>
        <v/>
      </c>
      <c r="AP6" s="21">
        <f>IF(COUNT(C6:O6)=0,"",IFERROR(AO6/U6,0))</f>
        <v/>
      </c>
      <c r="AQ6" s="15">
        <f>IF(COUNT(C6:O6)=0,"",IFERROR(AL6/H6,0))</f>
        <v/>
      </c>
    </row>
    <row r="7">
      <c r="A7" s="12">
        <f>Config!$C$6+1</f>
        <v/>
      </c>
      <c r="B7" s="13">
        <f>INT((A7-Config!$C$6)/7)+1</f>
        <v/>
      </c>
      <c r="C7" s="10" t="n">
        <v>135</v>
      </c>
      <c r="D7" s="14" t="n">
        <v>14209</v>
      </c>
      <c r="E7" s="14" t="n">
        <v>11255</v>
      </c>
      <c r="F7" s="14" t="n">
        <v>229</v>
      </c>
      <c r="G7" s="14" t="n">
        <v>204</v>
      </c>
      <c r="H7" s="14" t="n">
        <v>51</v>
      </c>
      <c r="I7" s="14" t="n">
        <v>7</v>
      </c>
      <c r="J7" s="14" t="n">
        <v>4</v>
      </c>
      <c r="K7" s="14" t="n">
        <v>2</v>
      </c>
      <c r="L7" s="14" t="n">
        <v>2</v>
      </c>
      <c r="M7" s="14" t="n">
        <v>0</v>
      </c>
      <c r="N7" s="14" t="n">
        <v>0</v>
      </c>
      <c r="O7" s="10" t="n">
        <v>0</v>
      </c>
      <c r="P7" s="15">
        <f>IF(COUNT(C7:O7)=0,"",IFERROR(C7/D7*1000,0))</f>
        <v/>
      </c>
      <c r="Q7" s="16">
        <f>IF(COUNT(C7:O7)=0,"",IFERROR(D7/E7,0))</f>
        <v/>
      </c>
      <c r="R7" s="17">
        <f>IF(COUNT(C7:O7)=0,"",IFERROR(F7/D7,0))</f>
        <v/>
      </c>
      <c r="S7" s="15">
        <f>IF(COUNT(C7:O7)=0,"",IFERROR(C7/F7,0))</f>
        <v/>
      </c>
      <c r="T7" s="18">
        <f>IF(COUNT(C7:O7)=0,"",IFERROR(G7/F7,0))</f>
        <v/>
      </c>
      <c r="U7" s="15">
        <f>IF(COUNT(C7:O7)=0,"",IFERROR(C7/G7,0))</f>
        <v/>
      </c>
      <c r="V7" s="19">
        <f>IF(COUNT(C7:O7)=0,"",IFERROR(G7/D7*1000,0))</f>
        <v/>
      </c>
      <c r="W7" s="18">
        <f>IF(COUNT(C7:O7)=0,"",IFERROR(H7/G7,0))</f>
        <v/>
      </c>
      <c r="X7" s="15">
        <f>IF(COUNT(C7:O7)=0,"",IFERROR(C7/H7,0))</f>
        <v/>
      </c>
      <c r="Y7" s="18">
        <f>IF(COUNT(C7:O7)=0,"",IFERROR(X7/P7,0))</f>
        <v/>
      </c>
      <c r="Z7" s="19">
        <f>IF(COUNT(C7:O7)=0,"",IFERROR(H7/D7*1000,0))</f>
        <v/>
      </c>
      <c r="AA7" s="18">
        <f>IF(COUNT(C7:O7)=0,"",IFERROR(I7/H7,0))</f>
        <v/>
      </c>
      <c r="AB7" s="18">
        <f>IF(COUNT(C7:O7)=0,"",IFERROR(J7/I7,0))</f>
        <v/>
      </c>
      <c r="AC7" s="18">
        <f>IF(COUNT(C7:O7)=0,"",IFERROR(K7/J7,0))</f>
        <v/>
      </c>
      <c r="AD7" s="15">
        <f>IF(COUNT(C7:O7)=0,"",IFERROR(C7/K7,0))</f>
        <v/>
      </c>
      <c r="AE7" s="18">
        <f>IF(COUNT(C7:O7)=0,"",IFERROR(L7/K7,0))</f>
        <v/>
      </c>
      <c r="AF7" s="18">
        <f>IF(COUNT(C7:O7)=0,"",IFERROR(M7/L7,0))</f>
        <v/>
      </c>
      <c r="AG7" s="17">
        <f>IF(COUNT(C7:O7)=0,"",IFERROR(M7/H7,0))</f>
        <v/>
      </c>
      <c r="AH7" s="15">
        <f>IF(COUNT(C7:O7)=0,"",IFERROR(C7/M7,0))</f>
        <v/>
      </c>
      <c r="AI7" s="20">
        <f>IF(COUNT(C7:O7)=0,"",IFERROR(M7*Config!$C$7+N7*Config!$C$8,0))</f>
        <v/>
      </c>
      <c r="AJ7" s="20">
        <f>IF(COUNT(C7:O7)=0,"",IFERROR(IF(O7&gt;0,O7,AI7*Config!$C$9),0))</f>
        <v/>
      </c>
      <c r="AK7" s="20">
        <f>IF(COUNT(C7:O7)=0,"",IFERROR(AJ7*(1-Config!$C$10-Config!$C$11-Config!$C$12),0))</f>
        <v/>
      </c>
      <c r="AL7" s="20">
        <f>IF(COUNT(C7:O7)=0,"",IFERROR(AK7-C7-Config!$C$13,0))</f>
        <v/>
      </c>
      <c r="AM7" s="21">
        <f>IF(COUNT(C7:O7)=0,"",IFERROR(AK7/C7,0))</f>
        <v/>
      </c>
      <c r="AN7" s="21">
        <f>IF(COUNT(C7:O7)=0,"",IFERROR(AI7/C7,0))</f>
        <v/>
      </c>
      <c r="AO7" s="15">
        <f>IF(COUNT(C7:O7)=0,"",IFERROR(AL7/G7,0))</f>
        <v/>
      </c>
      <c r="AP7" s="21">
        <f>IF(COUNT(C7:O7)=0,"",IFERROR(AO7/U7,0))</f>
        <v/>
      </c>
      <c r="AQ7" s="15">
        <f>IF(COUNT(C7:O7)=0,"",IFERROR(AL7/H7,0))</f>
        <v/>
      </c>
    </row>
    <row r="8">
      <c r="A8" s="12">
        <f>Config!$C$6+2</f>
        <v/>
      </c>
      <c r="B8" s="13">
        <f>INT((A8-Config!$C$6)/7)+1</f>
        <v/>
      </c>
      <c r="C8" s="10" t="n">
        <v>138</v>
      </c>
      <c r="D8" s="14" t="n">
        <v>15581</v>
      </c>
      <c r="E8" s="14" t="n">
        <v>11054</v>
      </c>
      <c r="F8" s="14" t="n">
        <v>209</v>
      </c>
      <c r="G8" s="14" t="n">
        <v>164</v>
      </c>
      <c r="H8" s="14" t="n">
        <v>43</v>
      </c>
      <c r="I8" s="14" t="n">
        <v>3</v>
      </c>
      <c r="J8" s="14" t="n">
        <v>2</v>
      </c>
      <c r="K8" s="14" t="n">
        <v>1</v>
      </c>
      <c r="L8" s="14" t="n">
        <v>1</v>
      </c>
      <c r="M8" s="14" t="n">
        <v>0</v>
      </c>
      <c r="N8" s="14" t="n">
        <v>0</v>
      </c>
      <c r="O8" s="10" t="n">
        <v>0</v>
      </c>
      <c r="P8" s="15">
        <f>IF(COUNT(C8:O8)=0,"",IFERROR(C8/D8*1000,0))</f>
        <v/>
      </c>
      <c r="Q8" s="16">
        <f>IF(COUNT(C8:O8)=0,"",IFERROR(D8/E8,0))</f>
        <v/>
      </c>
      <c r="R8" s="17">
        <f>IF(COUNT(C8:O8)=0,"",IFERROR(F8/D8,0))</f>
        <v/>
      </c>
      <c r="S8" s="15">
        <f>IF(COUNT(C8:O8)=0,"",IFERROR(C8/F8,0))</f>
        <v/>
      </c>
      <c r="T8" s="18">
        <f>IF(COUNT(C8:O8)=0,"",IFERROR(G8/F8,0))</f>
        <v/>
      </c>
      <c r="U8" s="15">
        <f>IF(COUNT(C8:O8)=0,"",IFERROR(C8/G8,0))</f>
        <v/>
      </c>
      <c r="V8" s="19">
        <f>IF(COUNT(C8:O8)=0,"",IFERROR(G8/D8*1000,0))</f>
        <v/>
      </c>
      <c r="W8" s="18">
        <f>IF(COUNT(C8:O8)=0,"",IFERROR(H8/G8,0))</f>
        <v/>
      </c>
      <c r="X8" s="15">
        <f>IF(COUNT(C8:O8)=0,"",IFERROR(C8/H8,0))</f>
        <v/>
      </c>
      <c r="Y8" s="18">
        <f>IF(COUNT(C8:O8)=0,"",IFERROR(X8/P8,0))</f>
        <v/>
      </c>
      <c r="Z8" s="19">
        <f>IF(COUNT(C8:O8)=0,"",IFERROR(H8/D8*1000,0))</f>
        <v/>
      </c>
      <c r="AA8" s="18">
        <f>IF(COUNT(C8:O8)=0,"",IFERROR(I8/H8,0))</f>
        <v/>
      </c>
      <c r="AB8" s="18">
        <f>IF(COUNT(C8:O8)=0,"",IFERROR(J8/I8,0))</f>
        <v/>
      </c>
      <c r="AC8" s="18">
        <f>IF(COUNT(C8:O8)=0,"",IFERROR(K8/J8,0))</f>
        <v/>
      </c>
      <c r="AD8" s="15">
        <f>IF(COUNT(C8:O8)=0,"",IFERROR(C8/K8,0))</f>
        <v/>
      </c>
      <c r="AE8" s="18">
        <f>IF(COUNT(C8:O8)=0,"",IFERROR(L8/K8,0))</f>
        <v/>
      </c>
      <c r="AF8" s="18">
        <f>IF(COUNT(C8:O8)=0,"",IFERROR(M8/L8,0))</f>
        <v/>
      </c>
      <c r="AG8" s="17">
        <f>IF(COUNT(C8:O8)=0,"",IFERROR(M8/H8,0))</f>
        <v/>
      </c>
      <c r="AH8" s="15">
        <f>IF(COUNT(C8:O8)=0,"",IFERROR(C8/M8,0))</f>
        <v/>
      </c>
      <c r="AI8" s="20">
        <f>IF(COUNT(C8:O8)=0,"",IFERROR(M8*Config!$C$7+N8*Config!$C$8,0))</f>
        <v/>
      </c>
      <c r="AJ8" s="20">
        <f>IF(COUNT(C8:O8)=0,"",IFERROR(IF(O8&gt;0,O8,AI8*Config!$C$9),0))</f>
        <v/>
      </c>
      <c r="AK8" s="20">
        <f>IF(COUNT(C8:O8)=0,"",IFERROR(AJ8*(1-Config!$C$10-Config!$C$11-Config!$C$12),0))</f>
        <v/>
      </c>
      <c r="AL8" s="20">
        <f>IF(COUNT(C8:O8)=0,"",IFERROR(AK8-C8-Config!$C$13,0))</f>
        <v/>
      </c>
      <c r="AM8" s="21">
        <f>IF(COUNT(C8:O8)=0,"",IFERROR(AK8/C8,0))</f>
        <v/>
      </c>
      <c r="AN8" s="21">
        <f>IF(COUNT(C8:O8)=0,"",IFERROR(AI8/C8,0))</f>
        <v/>
      </c>
      <c r="AO8" s="15">
        <f>IF(COUNT(C8:O8)=0,"",IFERROR(AL8/G8,0))</f>
        <v/>
      </c>
      <c r="AP8" s="21">
        <f>IF(COUNT(C8:O8)=0,"",IFERROR(AO8/U8,0))</f>
        <v/>
      </c>
      <c r="AQ8" s="15">
        <f>IF(COUNT(C8:O8)=0,"",IFERROR(AL8/H8,0))</f>
        <v/>
      </c>
    </row>
    <row r="9">
      <c r="A9" s="12">
        <f>Config!$C$6+3</f>
        <v/>
      </c>
      <c r="B9" s="13">
        <f>INT((A9-Config!$C$6)/7)+1</f>
        <v/>
      </c>
      <c r="C9" s="10" t="n">
        <v>151</v>
      </c>
      <c r="D9" s="14" t="n">
        <v>14578</v>
      </c>
      <c r="E9" s="14" t="n">
        <v>10413</v>
      </c>
      <c r="F9" s="14" t="n">
        <v>227</v>
      </c>
      <c r="G9" s="14" t="n">
        <v>191</v>
      </c>
      <c r="H9" s="14" t="n">
        <v>51</v>
      </c>
      <c r="I9" s="14" t="n">
        <v>7</v>
      </c>
      <c r="J9" s="14" t="n">
        <v>4</v>
      </c>
      <c r="K9" s="14" t="n">
        <v>2</v>
      </c>
      <c r="L9" s="14" t="n">
        <v>2</v>
      </c>
      <c r="M9" s="14" t="n">
        <v>0</v>
      </c>
      <c r="N9" s="14" t="n">
        <v>0</v>
      </c>
      <c r="O9" s="10" t="n">
        <v>0</v>
      </c>
      <c r="P9" s="15">
        <f>IF(COUNT(C9:O9)=0,"",IFERROR(C9/D9*1000,0))</f>
        <v/>
      </c>
      <c r="Q9" s="16">
        <f>IF(COUNT(C9:O9)=0,"",IFERROR(D9/E9,0))</f>
        <v/>
      </c>
      <c r="R9" s="17">
        <f>IF(COUNT(C9:O9)=0,"",IFERROR(F9/D9,0))</f>
        <v/>
      </c>
      <c r="S9" s="15">
        <f>IF(COUNT(C9:O9)=0,"",IFERROR(C9/F9,0))</f>
        <v/>
      </c>
      <c r="T9" s="18">
        <f>IF(COUNT(C9:O9)=0,"",IFERROR(G9/F9,0))</f>
        <v/>
      </c>
      <c r="U9" s="15">
        <f>IF(COUNT(C9:O9)=0,"",IFERROR(C9/G9,0))</f>
        <v/>
      </c>
      <c r="V9" s="19">
        <f>IF(COUNT(C9:O9)=0,"",IFERROR(G9/D9*1000,0))</f>
        <v/>
      </c>
      <c r="W9" s="18">
        <f>IF(COUNT(C9:O9)=0,"",IFERROR(H9/G9,0))</f>
        <v/>
      </c>
      <c r="X9" s="15">
        <f>IF(COUNT(C9:O9)=0,"",IFERROR(C9/H9,0))</f>
        <v/>
      </c>
      <c r="Y9" s="18">
        <f>IF(COUNT(C9:O9)=0,"",IFERROR(X9/P9,0))</f>
        <v/>
      </c>
      <c r="Z9" s="19">
        <f>IF(COUNT(C9:O9)=0,"",IFERROR(H9/D9*1000,0))</f>
        <v/>
      </c>
      <c r="AA9" s="18">
        <f>IF(COUNT(C9:O9)=0,"",IFERROR(I9/H9,0))</f>
        <v/>
      </c>
      <c r="AB9" s="18">
        <f>IF(COUNT(C9:O9)=0,"",IFERROR(J9/I9,0))</f>
        <v/>
      </c>
      <c r="AC9" s="18">
        <f>IF(COUNT(C9:O9)=0,"",IFERROR(K9/J9,0))</f>
        <v/>
      </c>
      <c r="AD9" s="15">
        <f>IF(COUNT(C9:O9)=0,"",IFERROR(C9/K9,0))</f>
        <v/>
      </c>
      <c r="AE9" s="18">
        <f>IF(COUNT(C9:O9)=0,"",IFERROR(L9/K9,0))</f>
        <v/>
      </c>
      <c r="AF9" s="18">
        <f>IF(COUNT(C9:O9)=0,"",IFERROR(M9/L9,0))</f>
        <v/>
      </c>
      <c r="AG9" s="17">
        <f>IF(COUNT(C9:O9)=0,"",IFERROR(M9/H9,0))</f>
        <v/>
      </c>
      <c r="AH9" s="15">
        <f>IF(COUNT(C9:O9)=0,"",IFERROR(C9/M9,0))</f>
        <v/>
      </c>
      <c r="AI9" s="20">
        <f>IF(COUNT(C9:O9)=0,"",IFERROR(M9*Config!$C$7+N9*Config!$C$8,0))</f>
        <v/>
      </c>
      <c r="AJ9" s="20">
        <f>IF(COUNT(C9:O9)=0,"",IFERROR(IF(O9&gt;0,O9,AI9*Config!$C$9),0))</f>
        <v/>
      </c>
      <c r="AK9" s="20">
        <f>IF(COUNT(C9:O9)=0,"",IFERROR(AJ9*(1-Config!$C$10-Config!$C$11-Config!$C$12),0))</f>
        <v/>
      </c>
      <c r="AL9" s="20">
        <f>IF(COUNT(C9:O9)=0,"",IFERROR(AK9-C9-Config!$C$13,0))</f>
        <v/>
      </c>
      <c r="AM9" s="21">
        <f>IF(COUNT(C9:O9)=0,"",IFERROR(AK9/C9,0))</f>
        <v/>
      </c>
      <c r="AN9" s="21">
        <f>IF(COUNT(C9:O9)=0,"",IFERROR(AI9/C9,0))</f>
        <v/>
      </c>
      <c r="AO9" s="15">
        <f>IF(COUNT(C9:O9)=0,"",IFERROR(AL9/G9,0))</f>
        <v/>
      </c>
      <c r="AP9" s="21">
        <f>IF(COUNT(C9:O9)=0,"",IFERROR(AO9/U9,0))</f>
        <v/>
      </c>
      <c r="AQ9" s="15">
        <f>IF(COUNT(C9:O9)=0,"",IFERROR(AL9/H9,0))</f>
        <v/>
      </c>
    </row>
    <row r="10">
      <c r="A10" s="12">
        <f>Config!$C$6+4</f>
        <v/>
      </c>
      <c r="B10" s="13">
        <f>INT((A10-Config!$C$6)/7)+1</f>
        <v/>
      </c>
      <c r="C10" s="10" t="n">
        <v>143</v>
      </c>
      <c r="D10" s="14" t="n">
        <v>15330</v>
      </c>
      <c r="E10" s="14" t="n">
        <v>11534</v>
      </c>
      <c r="F10" s="14" t="n">
        <v>206</v>
      </c>
      <c r="G10" s="14" t="n">
        <v>186</v>
      </c>
      <c r="H10" s="14" t="n">
        <v>51</v>
      </c>
      <c r="I10" s="14" t="n">
        <v>6</v>
      </c>
      <c r="J10" s="14" t="n">
        <v>4</v>
      </c>
      <c r="K10" s="14" t="n">
        <v>2</v>
      </c>
      <c r="L10" s="14" t="n">
        <v>2</v>
      </c>
      <c r="M10" s="14" t="n">
        <v>0</v>
      </c>
      <c r="N10" s="14" t="n">
        <v>0</v>
      </c>
      <c r="O10" s="10" t="n">
        <v>0</v>
      </c>
      <c r="P10" s="15">
        <f>IF(COUNT(C10:O10)=0,"",IFERROR(C10/D10*1000,0))</f>
        <v/>
      </c>
      <c r="Q10" s="16">
        <f>IF(COUNT(C10:O10)=0,"",IFERROR(D10/E10,0))</f>
        <v/>
      </c>
      <c r="R10" s="17">
        <f>IF(COUNT(C10:O10)=0,"",IFERROR(F10/D10,0))</f>
        <v/>
      </c>
      <c r="S10" s="15">
        <f>IF(COUNT(C10:O10)=0,"",IFERROR(C10/F10,0))</f>
        <v/>
      </c>
      <c r="T10" s="18">
        <f>IF(COUNT(C10:O10)=0,"",IFERROR(G10/F10,0))</f>
        <v/>
      </c>
      <c r="U10" s="15">
        <f>IF(COUNT(C10:O10)=0,"",IFERROR(C10/G10,0))</f>
        <v/>
      </c>
      <c r="V10" s="19">
        <f>IF(COUNT(C10:O10)=0,"",IFERROR(G10/D10*1000,0))</f>
        <v/>
      </c>
      <c r="W10" s="18">
        <f>IF(COUNT(C10:O10)=0,"",IFERROR(H10/G10,0))</f>
        <v/>
      </c>
      <c r="X10" s="15">
        <f>IF(COUNT(C10:O10)=0,"",IFERROR(C10/H10,0))</f>
        <v/>
      </c>
      <c r="Y10" s="18">
        <f>IF(COUNT(C10:O10)=0,"",IFERROR(X10/P10,0))</f>
        <v/>
      </c>
      <c r="Z10" s="19">
        <f>IF(COUNT(C10:O10)=0,"",IFERROR(H10/D10*1000,0))</f>
        <v/>
      </c>
      <c r="AA10" s="18">
        <f>IF(COUNT(C10:O10)=0,"",IFERROR(I10/H10,0))</f>
        <v/>
      </c>
      <c r="AB10" s="18">
        <f>IF(COUNT(C10:O10)=0,"",IFERROR(J10/I10,0))</f>
        <v/>
      </c>
      <c r="AC10" s="18">
        <f>IF(COUNT(C10:O10)=0,"",IFERROR(K10/J10,0))</f>
        <v/>
      </c>
      <c r="AD10" s="15">
        <f>IF(COUNT(C10:O10)=0,"",IFERROR(C10/K10,0))</f>
        <v/>
      </c>
      <c r="AE10" s="18">
        <f>IF(COUNT(C10:O10)=0,"",IFERROR(L10/K10,0))</f>
        <v/>
      </c>
      <c r="AF10" s="18">
        <f>IF(COUNT(C10:O10)=0,"",IFERROR(M10/L10,0))</f>
        <v/>
      </c>
      <c r="AG10" s="17">
        <f>IF(COUNT(C10:O10)=0,"",IFERROR(M10/H10,0))</f>
        <v/>
      </c>
      <c r="AH10" s="15">
        <f>IF(COUNT(C10:O10)=0,"",IFERROR(C10/M10,0))</f>
        <v/>
      </c>
      <c r="AI10" s="20">
        <f>IF(COUNT(C10:O10)=0,"",IFERROR(M10*Config!$C$7+N10*Config!$C$8,0))</f>
        <v/>
      </c>
      <c r="AJ10" s="20">
        <f>IF(COUNT(C10:O10)=0,"",IFERROR(IF(O10&gt;0,O10,AI10*Config!$C$9),0))</f>
        <v/>
      </c>
      <c r="AK10" s="20">
        <f>IF(COUNT(C10:O10)=0,"",IFERROR(AJ10*(1-Config!$C$10-Config!$C$11-Config!$C$12),0))</f>
        <v/>
      </c>
      <c r="AL10" s="20">
        <f>IF(COUNT(C10:O10)=0,"",IFERROR(AK10-C10-Config!$C$13,0))</f>
        <v/>
      </c>
      <c r="AM10" s="21">
        <f>IF(COUNT(C10:O10)=0,"",IFERROR(AK10/C10,0))</f>
        <v/>
      </c>
      <c r="AN10" s="21">
        <f>IF(COUNT(C10:O10)=0,"",IFERROR(AI10/C10,0))</f>
        <v/>
      </c>
      <c r="AO10" s="15">
        <f>IF(COUNT(C10:O10)=0,"",IFERROR(AL10/G10,0))</f>
        <v/>
      </c>
      <c r="AP10" s="21">
        <f>IF(COUNT(C10:O10)=0,"",IFERROR(AO10/U10,0))</f>
        <v/>
      </c>
      <c r="AQ10" s="15">
        <f>IF(COUNT(C10:O10)=0,"",IFERROR(AL10/H10,0))</f>
        <v/>
      </c>
    </row>
    <row r="11">
      <c r="A11" s="12">
        <f>Config!$C$6+5</f>
        <v/>
      </c>
      <c r="B11" s="13">
        <f>INT((A11-Config!$C$6)/7)+1</f>
        <v/>
      </c>
      <c r="C11" s="10" t="n">
        <v>132</v>
      </c>
      <c r="D11" s="14" t="n">
        <v>14191</v>
      </c>
      <c r="E11" s="14" t="n">
        <v>9228</v>
      </c>
      <c r="F11" s="14" t="n">
        <v>211</v>
      </c>
      <c r="G11" s="14" t="n">
        <v>200</v>
      </c>
      <c r="H11" s="14" t="n">
        <v>55</v>
      </c>
      <c r="I11" s="14" t="n">
        <v>4</v>
      </c>
      <c r="J11" s="14" t="n">
        <v>2</v>
      </c>
      <c r="K11" s="14" t="n">
        <v>1</v>
      </c>
      <c r="L11" s="14" t="n">
        <v>1</v>
      </c>
      <c r="M11" s="14" t="n">
        <v>0</v>
      </c>
      <c r="N11" s="14" t="n">
        <v>0</v>
      </c>
      <c r="O11" s="10" t="n">
        <v>300</v>
      </c>
      <c r="P11" s="15">
        <f>IF(COUNT(C11:O11)=0,"",IFERROR(C11/D11*1000,0))</f>
        <v/>
      </c>
      <c r="Q11" s="16">
        <f>IF(COUNT(C11:O11)=0,"",IFERROR(D11/E11,0))</f>
        <v/>
      </c>
      <c r="R11" s="17">
        <f>IF(COUNT(C11:O11)=0,"",IFERROR(F11/D11,0))</f>
        <v/>
      </c>
      <c r="S11" s="15">
        <f>IF(COUNT(C11:O11)=0,"",IFERROR(C11/F11,0))</f>
        <v/>
      </c>
      <c r="T11" s="18">
        <f>IF(COUNT(C11:O11)=0,"",IFERROR(G11/F11,0))</f>
        <v/>
      </c>
      <c r="U11" s="15">
        <f>IF(COUNT(C11:O11)=0,"",IFERROR(C11/G11,0))</f>
        <v/>
      </c>
      <c r="V11" s="19">
        <f>IF(COUNT(C11:O11)=0,"",IFERROR(G11/D11*1000,0))</f>
        <v/>
      </c>
      <c r="W11" s="18">
        <f>IF(COUNT(C11:O11)=0,"",IFERROR(H11/G11,0))</f>
        <v/>
      </c>
      <c r="X11" s="15">
        <f>IF(COUNT(C11:O11)=0,"",IFERROR(C11/H11,0))</f>
        <v/>
      </c>
      <c r="Y11" s="18">
        <f>IF(COUNT(C11:O11)=0,"",IFERROR(X11/P11,0))</f>
        <v/>
      </c>
      <c r="Z11" s="19">
        <f>IF(COUNT(C11:O11)=0,"",IFERROR(H11/D11*1000,0))</f>
        <v/>
      </c>
      <c r="AA11" s="18">
        <f>IF(COUNT(C11:O11)=0,"",IFERROR(I11/H11,0))</f>
        <v/>
      </c>
      <c r="AB11" s="18">
        <f>IF(COUNT(C11:O11)=0,"",IFERROR(J11/I11,0))</f>
        <v/>
      </c>
      <c r="AC11" s="18">
        <f>IF(COUNT(C11:O11)=0,"",IFERROR(K11/J11,0))</f>
        <v/>
      </c>
      <c r="AD11" s="15">
        <f>IF(COUNT(C11:O11)=0,"",IFERROR(C11/K11,0))</f>
        <v/>
      </c>
      <c r="AE11" s="18">
        <f>IF(COUNT(C11:O11)=0,"",IFERROR(L11/K11,0))</f>
        <v/>
      </c>
      <c r="AF11" s="18">
        <f>IF(COUNT(C11:O11)=0,"",IFERROR(M11/L11,0))</f>
        <v/>
      </c>
      <c r="AG11" s="17">
        <f>IF(COUNT(C11:O11)=0,"",IFERROR(M11/H11,0))</f>
        <v/>
      </c>
      <c r="AH11" s="15">
        <f>IF(COUNT(C11:O11)=0,"",IFERROR(C11/M11,0))</f>
        <v/>
      </c>
      <c r="AI11" s="20">
        <f>IF(COUNT(C11:O11)=0,"",IFERROR(M11*Config!$C$7+N11*Config!$C$8,0))</f>
        <v/>
      </c>
      <c r="AJ11" s="20">
        <f>IF(COUNT(C11:O11)=0,"",IFERROR(IF(O11&gt;0,O11,AI11*Config!$C$9),0))</f>
        <v/>
      </c>
      <c r="AK11" s="20">
        <f>IF(COUNT(C11:O11)=0,"",IFERROR(AJ11*(1-Config!$C$10-Config!$C$11-Config!$C$12),0))</f>
        <v/>
      </c>
      <c r="AL11" s="20">
        <f>IF(COUNT(C11:O11)=0,"",IFERROR(AK11-C11-Config!$C$13,0))</f>
        <v/>
      </c>
      <c r="AM11" s="21">
        <f>IF(COUNT(C11:O11)=0,"",IFERROR(AK11/C11,0))</f>
        <v/>
      </c>
      <c r="AN11" s="21">
        <f>IF(COUNT(C11:O11)=0,"",IFERROR(AI11/C11,0))</f>
        <v/>
      </c>
      <c r="AO11" s="15">
        <f>IF(COUNT(C11:O11)=0,"",IFERROR(AL11/G11,0))</f>
        <v/>
      </c>
      <c r="AP11" s="21">
        <f>IF(COUNT(C11:O11)=0,"",IFERROR(AO11/U11,0))</f>
        <v/>
      </c>
      <c r="AQ11" s="15">
        <f>IF(COUNT(C11:O11)=0,"",IFERROR(AL11/H11,0))</f>
        <v/>
      </c>
    </row>
    <row r="12">
      <c r="A12" s="12">
        <f>Config!$C$6+6</f>
        <v/>
      </c>
      <c r="B12" s="13">
        <f>INT((A12-Config!$C$6)/7)+1</f>
        <v/>
      </c>
      <c r="C12" s="10" t="n">
        <v>135</v>
      </c>
      <c r="D12" s="14" t="n">
        <v>14079</v>
      </c>
      <c r="E12" s="14" t="n">
        <v>9049</v>
      </c>
      <c r="F12" s="14" t="n">
        <v>224</v>
      </c>
      <c r="G12" s="14" t="n">
        <v>173</v>
      </c>
      <c r="H12" s="14" t="n">
        <v>46</v>
      </c>
      <c r="I12" s="14" t="n">
        <v>3</v>
      </c>
      <c r="J12" s="14" t="n">
        <v>2</v>
      </c>
      <c r="K12" s="14" t="n">
        <v>1</v>
      </c>
      <c r="L12" s="14" t="n">
        <v>1</v>
      </c>
      <c r="M12" s="14" t="n">
        <v>1</v>
      </c>
      <c r="N12" s="14" t="n">
        <v>0</v>
      </c>
      <c r="O12" s="10" t="n">
        <v>900</v>
      </c>
      <c r="P12" s="15">
        <f>IF(COUNT(C12:O12)=0,"",IFERROR(C12/D12*1000,0))</f>
        <v/>
      </c>
      <c r="Q12" s="16">
        <f>IF(COUNT(C12:O12)=0,"",IFERROR(D12/E12,0))</f>
        <v/>
      </c>
      <c r="R12" s="17">
        <f>IF(COUNT(C12:O12)=0,"",IFERROR(F12/D12,0))</f>
        <v/>
      </c>
      <c r="S12" s="15">
        <f>IF(COUNT(C12:O12)=0,"",IFERROR(C12/F12,0))</f>
        <v/>
      </c>
      <c r="T12" s="18">
        <f>IF(COUNT(C12:O12)=0,"",IFERROR(G12/F12,0))</f>
        <v/>
      </c>
      <c r="U12" s="15">
        <f>IF(COUNT(C12:O12)=0,"",IFERROR(C12/G12,0))</f>
        <v/>
      </c>
      <c r="V12" s="19">
        <f>IF(COUNT(C12:O12)=0,"",IFERROR(G12/D12*1000,0))</f>
        <v/>
      </c>
      <c r="W12" s="18">
        <f>IF(COUNT(C12:O12)=0,"",IFERROR(H12/G12,0))</f>
        <v/>
      </c>
      <c r="X12" s="15">
        <f>IF(COUNT(C12:O12)=0,"",IFERROR(C12/H12,0))</f>
        <v/>
      </c>
      <c r="Y12" s="18">
        <f>IF(COUNT(C12:O12)=0,"",IFERROR(X12/P12,0))</f>
        <v/>
      </c>
      <c r="Z12" s="19">
        <f>IF(COUNT(C12:O12)=0,"",IFERROR(H12/D12*1000,0))</f>
        <v/>
      </c>
      <c r="AA12" s="18">
        <f>IF(COUNT(C12:O12)=0,"",IFERROR(I12/H12,0))</f>
        <v/>
      </c>
      <c r="AB12" s="18">
        <f>IF(COUNT(C12:O12)=0,"",IFERROR(J12/I12,0))</f>
        <v/>
      </c>
      <c r="AC12" s="18">
        <f>IF(COUNT(C12:O12)=0,"",IFERROR(K12/J12,0))</f>
        <v/>
      </c>
      <c r="AD12" s="15">
        <f>IF(COUNT(C12:O12)=0,"",IFERROR(C12/K12,0))</f>
        <v/>
      </c>
      <c r="AE12" s="18">
        <f>IF(COUNT(C12:O12)=0,"",IFERROR(L12/K12,0))</f>
        <v/>
      </c>
      <c r="AF12" s="18">
        <f>IF(COUNT(C12:O12)=0,"",IFERROR(M12/L12,0))</f>
        <v/>
      </c>
      <c r="AG12" s="17">
        <f>IF(COUNT(C12:O12)=0,"",IFERROR(M12/H12,0))</f>
        <v/>
      </c>
      <c r="AH12" s="15">
        <f>IF(COUNT(C12:O12)=0,"",IFERROR(C12/M12,0))</f>
        <v/>
      </c>
      <c r="AI12" s="20">
        <f>IF(COUNT(C12:O12)=0,"",IFERROR(M12*Config!$C$7+N12*Config!$C$8,0))</f>
        <v/>
      </c>
      <c r="AJ12" s="20">
        <f>IF(COUNT(C12:O12)=0,"",IFERROR(IF(O12&gt;0,O12,AI12*Config!$C$9),0))</f>
        <v/>
      </c>
      <c r="AK12" s="20">
        <f>IF(COUNT(C12:O12)=0,"",IFERROR(AJ12*(1-Config!$C$10-Config!$C$11-Config!$C$12),0))</f>
        <v/>
      </c>
      <c r="AL12" s="20">
        <f>IF(COUNT(C12:O12)=0,"",IFERROR(AK12-C12-Config!$C$13,0))</f>
        <v/>
      </c>
      <c r="AM12" s="21">
        <f>IF(COUNT(C12:O12)=0,"",IFERROR(AK12/C12,0))</f>
        <v/>
      </c>
      <c r="AN12" s="21">
        <f>IF(COUNT(C12:O12)=0,"",IFERROR(AI12/C12,0))</f>
        <v/>
      </c>
      <c r="AO12" s="15">
        <f>IF(COUNT(C12:O12)=0,"",IFERROR(AL12/G12,0))</f>
        <v/>
      </c>
      <c r="AP12" s="21">
        <f>IF(COUNT(C12:O12)=0,"",IFERROR(AO12/U12,0))</f>
        <v/>
      </c>
      <c r="AQ12" s="15">
        <f>IF(COUNT(C12:O12)=0,"",IFERROR(AL12/H12,0))</f>
        <v/>
      </c>
    </row>
    <row r="13">
      <c r="A13" s="12">
        <f>Config!$C$6+7</f>
        <v/>
      </c>
      <c r="B13" s="13">
        <f>INT((A13-Config!$C$6)/7)+1</f>
        <v/>
      </c>
      <c r="C13" s="10" t="n">
        <v>138</v>
      </c>
      <c r="D13" s="14" t="n">
        <v>13645</v>
      </c>
      <c r="E13" s="14" t="n">
        <v>9871</v>
      </c>
      <c r="F13" s="14" t="n">
        <v>189</v>
      </c>
      <c r="G13" s="14" t="n">
        <v>170</v>
      </c>
      <c r="H13" s="14" t="n">
        <v>43</v>
      </c>
      <c r="I13" s="14" t="n">
        <v>5</v>
      </c>
      <c r="J13" s="14" t="n">
        <v>3</v>
      </c>
      <c r="K13" s="14" t="n">
        <v>2</v>
      </c>
      <c r="L13" s="14" t="n">
        <v>1</v>
      </c>
      <c r="M13" s="14" t="n">
        <v>1</v>
      </c>
      <c r="N13" s="14" t="n">
        <v>0</v>
      </c>
      <c r="O13" s="10" t="n">
        <v>900</v>
      </c>
      <c r="P13" s="15">
        <f>IF(COUNT(C13:O13)=0,"",IFERROR(C13/D13*1000,0))</f>
        <v/>
      </c>
      <c r="Q13" s="16">
        <f>IF(COUNT(C13:O13)=0,"",IFERROR(D13/E13,0))</f>
        <v/>
      </c>
      <c r="R13" s="17">
        <f>IF(COUNT(C13:O13)=0,"",IFERROR(F13/D13,0))</f>
        <v/>
      </c>
      <c r="S13" s="15">
        <f>IF(COUNT(C13:O13)=0,"",IFERROR(C13/F13,0))</f>
        <v/>
      </c>
      <c r="T13" s="18">
        <f>IF(COUNT(C13:O13)=0,"",IFERROR(G13/F13,0))</f>
        <v/>
      </c>
      <c r="U13" s="15">
        <f>IF(COUNT(C13:O13)=0,"",IFERROR(C13/G13,0))</f>
        <v/>
      </c>
      <c r="V13" s="19">
        <f>IF(COUNT(C13:O13)=0,"",IFERROR(G13/D13*1000,0))</f>
        <v/>
      </c>
      <c r="W13" s="18">
        <f>IF(COUNT(C13:O13)=0,"",IFERROR(H13/G13,0))</f>
        <v/>
      </c>
      <c r="X13" s="15">
        <f>IF(COUNT(C13:O13)=0,"",IFERROR(C13/H13,0))</f>
        <v/>
      </c>
      <c r="Y13" s="18">
        <f>IF(COUNT(C13:O13)=0,"",IFERROR(X13/P13,0))</f>
        <v/>
      </c>
      <c r="Z13" s="19">
        <f>IF(COUNT(C13:O13)=0,"",IFERROR(H13/D13*1000,0))</f>
        <v/>
      </c>
      <c r="AA13" s="18">
        <f>IF(COUNT(C13:O13)=0,"",IFERROR(I13/H13,0))</f>
        <v/>
      </c>
      <c r="AB13" s="18">
        <f>IF(COUNT(C13:O13)=0,"",IFERROR(J13/I13,0))</f>
        <v/>
      </c>
      <c r="AC13" s="18">
        <f>IF(COUNT(C13:O13)=0,"",IFERROR(K13/J13,0))</f>
        <v/>
      </c>
      <c r="AD13" s="15">
        <f>IF(COUNT(C13:O13)=0,"",IFERROR(C13/K13,0))</f>
        <v/>
      </c>
      <c r="AE13" s="18">
        <f>IF(COUNT(C13:O13)=0,"",IFERROR(L13/K13,0))</f>
        <v/>
      </c>
      <c r="AF13" s="18">
        <f>IF(COUNT(C13:O13)=0,"",IFERROR(M13/L13,0))</f>
        <v/>
      </c>
      <c r="AG13" s="17">
        <f>IF(COUNT(C13:O13)=0,"",IFERROR(M13/H13,0))</f>
        <v/>
      </c>
      <c r="AH13" s="15">
        <f>IF(COUNT(C13:O13)=0,"",IFERROR(C13/M13,0))</f>
        <v/>
      </c>
      <c r="AI13" s="20">
        <f>IF(COUNT(C13:O13)=0,"",IFERROR(M13*Config!$C$7+N13*Config!$C$8,0))</f>
        <v/>
      </c>
      <c r="AJ13" s="20">
        <f>IF(COUNT(C13:O13)=0,"",IFERROR(IF(O13&gt;0,O13,AI13*Config!$C$9),0))</f>
        <v/>
      </c>
      <c r="AK13" s="20">
        <f>IF(COUNT(C13:O13)=0,"",IFERROR(AJ13*(1-Config!$C$10-Config!$C$11-Config!$C$12),0))</f>
        <v/>
      </c>
      <c r="AL13" s="20">
        <f>IF(COUNT(C13:O13)=0,"",IFERROR(AK13-C13-Config!$C$13,0))</f>
        <v/>
      </c>
      <c r="AM13" s="21">
        <f>IF(COUNT(C13:O13)=0,"",IFERROR(AK13/C13,0))</f>
        <v/>
      </c>
      <c r="AN13" s="21">
        <f>IF(COUNT(C13:O13)=0,"",IFERROR(AI13/C13,0))</f>
        <v/>
      </c>
      <c r="AO13" s="15">
        <f>IF(COUNT(C13:O13)=0,"",IFERROR(AL13/G13,0))</f>
        <v/>
      </c>
      <c r="AP13" s="21">
        <f>IF(COUNT(C13:O13)=0,"",IFERROR(AO13/U13,0))</f>
        <v/>
      </c>
      <c r="AQ13" s="15">
        <f>IF(COUNT(C13:O13)=0,"",IFERROR(AL13/H13,0))</f>
        <v/>
      </c>
    </row>
    <row r="14">
      <c r="A14" s="12">
        <f>Config!$C$6+8</f>
        <v/>
      </c>
      <c r="B14" s="13">
        <f>INT((A14-Config!$C$6)/7)+1</f>
        <v/>
      </c>
      <c r="C14" s="10" t="n">
        <v>140</v>
      </c>
      <c r="D14" s="14" t="n">
        <v>14783</v>
      </c>
      <c r="E14" s="14" t="n">
        <v>9487</v>
      </c>
      <c r="F14" s="14" t="n">
        <v>238</v>
      </c>
      <c r="G14" s="14" t="n">
        <v>193</v>
      </c>
      <c r="H14" s="14" t="n">
        <v>59</v>
      </c>
      <c r="I14" s="14" t="n">
        <v>5</v>
      </c>
      <c r="J14" s="14" t="n">
        <v>3</v>
      </c>
      <c r="K14" s="14" t="n">
        <v>2</v>
      </c>
      <c r="L14" s="14" t="n">
        <v>1</v>
      </c>
      <c r="M14" s="14" t="n">
        <v>0</v>
      </c>
      <c r="N14" s="14" t="n">
        <v>0</v>
      </c>
      <c r="O14" s="10" t="n">
        <v>0</v>
      </c>
      <c r="P14" s="15">
        <f>IF(COUNT(C14:O14)=0,"",IFERROR(C14/D14*1000,0))</f>
        <v/>
      </c>
      <c r="Q14" s="16">
        <f>IF(COUNT(C14:O14)=0,"",IFERROR(D14/E14,0))</f>
        <v/>
      </c>
      <c r="R14" s="17">
        <f>IF(COUNT(C14:O14)=0,"",IFERROR(F14/D14,0))</f>
        <v/>
      </c>
      <c r="S14" s="15">
        <f>IF(COUNT(C14:O14)=0,"",IFERROR(C14/F14,0))</f>
        <v/>
      </c>
      <c r="T14" s="18">
        <f>IF(COUNT(C14:O14)=0,"",IFERROR(G14/F14,0))</f>
        <v/>
      </c>
      <c r="U14" s="15">
        <f>IF(COUNT(C14:O14)=0,"",IFERROR(C14/G14,0))</f>
        <v/>
      </c>
      <c r="V14" s="19">
        <f>IF(COUNT(C14:O14)=0,"",IFERROR(G14/D14*1000,0))</f>
        <v/>
      </c>
      <c r="W14" s="18">
        <f>IF(COUNT(C14:O14)=0,"",IFERROR(H14/G14,0))</f>
        <v/>
      </c>
      <c r="X14" s="15">
        <f>IF(COUNT(C14:O14)=0,"",IFERROR(C14/H14,0))</f>
        <v/>
      </c>
      <c r="Y14" s="18">
        <f>IF(COUNT(C14:O14)=0,"",IFERROR(X14/P14,0))</f>
        <v/>
      </c>
      <c r="Z14" s="19">
        <f>IF(COUNT(C14:O14)=0,"",IFERROR(H14/D14*1000,0))</f>
        <v/>
      </c>
      <c r="AA14" s="18">
        <f>IF(COUNT(C14:O14)=0,"",IFERROR(I14/H14,0))</f>
        <v/>
      </c>
      <c r="AB14" s="18">
        <f>IF(COUNT(C14:O14)=0,"",IFERROR(J14/I14,0))</f>
        <v/>
      </c>
      <c r="AC14" s="18">
        <f>IF(COUNT(C14:O14)=0,"",IFERROR(K14/J14,0))</f>
        <v/>
      </c>
      <c r="AD14" s="15">
        <f>IF(COUNT(C14:O14)=0,"",IFERROR(C14/K14,0))</f>
        <v/>
      </c>
      <c r="AE14" s="18">
        <f>IF(COUNT(C14:O14)=0,"",IFERROR(L14/K14,0))</f>
        <v/>
      </c>
      <c r="AF14" s="18">
        <f>IF(COUNT(C14:O14)=0,"",IFERROR(M14/L14,0))</f>
        <v/>
      </c>
      <c r="AG14" s="17">
        <f>IF(COUNT(C14:O14)=0,"",IFERROR(M14/H14,0))</f>
        <v/>
      </c>
      <c r="AH14" s="15">
        <f>IF(COUNT(C14:O14)=0,"",IFERROR(C14/M14,0))</f>
        <v/>
      </c>
      <c r="AI14" s="20">
        <f>IF(COUNT(C14:O14)=0,"",IFERROR(M14*Config!$C$7+N14*Config!$C$8,0))</f>
        <v/>
      </c>
      <c r="AJ14" s="20">
        <f>IF(COUNT(C14:O14)=0,"",IFERROR(IF(O14&gt;0,O14,AI14*Config!$C$9),0))</f>
        <v/>
      </c>
      <c r="AK14" s="20">
        <f>IF(COUNT(C14:O14)=0,"",IFERROR(AJ14*(1-Config!$C$10-Config!$C$11-Config!$C$12),0))</f>
        <v/>
      </c>
      <c r="AL14" s="20">
        <f>IF(COUNT(C14:O14)=0,"",IFERROR(AK14-C14-Config!$C$13,0))</f>
        <v/>
      </c>
      <c r="AM14" s="21">
        <f>IF(COUNT(C14:O14)=0,"",IFERROR(AK14/C14,0))</f>
        <v/>
      </c>
      <c r="AN14" s="21">
        <f>IF(COUNT(C14:O14)=0,"",IFERROR(AI14/C14,0))</f>
        <v/>
      </c>
      <c r="AO14" s="15">
        <f>IF(COUNT(C14:O14)=0,"",IFERROR(AL14/G14,0))</f>
        <v/>
      </c>
      <c r="AP14" s="21">
        <f>IF(COUNT(C14:O14)=0,"",IFERROR(AO14/U14,0))</f>
        <v/>
      </c>
      <c r="AQ14" s="15">
        <f>IF(COUNT(C14:O14)=0,"",IFERROR(AL14/H14,0))</f>
        <v/>
      </c>
    </row>
    <row r="15">
      <c r="A15" s="12">
        <f>Config!$C$6+9</f>
        <v/>
      </c>
      <c r="B15" s="13">
        <f>INT((A15-Config!$C$6)/7)+1</f>
        <v/>
      </c>
      <c r="C15" s="10" t="n">
        <v>136</v>
      </c>
      <c r="D15" s="14" t="n">
        <v>12136</v>
      </c>
      <c r="E15" s="14" t="n">
        <v>9309</v>
      </c>
      <c r="F15" s="14" t="n">
        <v>171</v>
      </c>
      <c r="G15" s="14" t="n">
        <v>155</v>
      </c>
      <c r="H15" s="14" t="n">
        <v>42</v>
      </c>
      <c r="I15" s="14" t="n">
        <v>4</v>
      </c>
      <c r="J15" s="14" t="n">
        <v>2</v>
      </c>
      <c r="K15" s="14" t="n">
        <v>1</v>
      </c>
      <c r="L15" s="14" t="n">
        <v>1</v>
      </c>
      <c r="M15" s="14" t="n">
        <v>1</v>
      </c>
      <c r="N15" s="14" t="n">
        <v>0</v>
      </c>
      <c r="O15" s="10" t="n">
        <v>1200</v>
      </c>
      <c r="P15" s="15">
        <f>IF(COUNT(C15:O15)=0,"",IFERROR(C15/D15*1000,0))</f>
        <v/>
      </c>
      <c r="Q15" s="16">
        <f>IF(COUNT(C15:O15)=0,"",IFERROR(D15/E15,0))</f>
        <v/>
      </c>
      <c r="R15" s="17">
        <f>IF(COUNT(C15:O15)=0,"",IFERROR(F15/D15,0))</f>
        <v/>
      </c>
      <c r="S15" s="15">
        <f>IF(COUNT(C15:O15)=0,"",IFERROR(C15/F15,0))</f>
        <v/>
      </c>
      <c r="T15" s="18">
        <f>IF(COUNT(C15:O15)=0,"",IFERROR(G15/F15,0))</f>
        <v/>
      </c>
      <c r="U15" s="15">
        <f>IF(COUNT(C15:O15)=0,"",IFERROR(C15/G15,0))</f>
        <v/>
      </c>
      <c r="V15" s="19">
        <f>IF(COUNT(C15:O15)=0,"",IFERROR(G15/D15*1000,0))</f>
        <v/>
      </c>
      <c r="W15" s="18">
        <f>IF(COUNT(C15:O15)=0,"",IFERROR(H15/G15,0))</f>
        <v/>
      </c>
      <c r="X15" s="15">
        <f>IF(COUNT(C15:O15)=0,"",IFERROR(C15/H15,0))</f>
        <v/>
      </c>
      <c r="Y15" s="18">
        <f>IF(COUNT(C15:O15)=0,"",IFERROR(X15/P15,0))</f>
        <v/>
      </c>
      <c r="Z15" s="19">
        <f>IF(COUNT(C15:O15)=0,"",IFERROR(H15/D15*1000,0))</f>
        <v/>
      </c>
      <c r="AA15" s="18">
        <f>IF(COUNT(C15:O15)=0,"",IFERROR(I15/H15,0))</f>
        <v/>
      </c>
      <c r="AB15" s="18">
        <f>IF(COUNT(C15:O15)=0,"",IFERROR(J15/I15,0))</f>
        <v/>
      </c>
      <c r="AC15" s="18">
        <f>IF(COUNT(C15:O15)=0,"",IFERROR(K15/J15,0))</f>
        <v/>
      </c>
      <c r="AD15" s="15">
        <f>IF(COUNT(C15:O15)=0,"",IFERROR(C15/K15,0))</f>
        <v/>
      </c>
      <c r="AE15" s="18">
        <f>IF(COUNT(C15:O15)=0,"",IFERROR(L15/K15,0))</f>
        <v/>
      </c>
      <c r="AF15" s="18">
        <f>IF(COUNT(C15:O15)=0,"",IFERROR(M15/L15,0))</f>
        <v/>
      </c>
      <c r="AG15" s="17">
        <f>IF(COUNT(C15:O15)=0,"",IFERROR(M15/H15,0))</f>
        <v/>
      </c>
      <c r="AH15" s="15">
        <f>IF(COUNT(C15:O15)=0,"",IFERROR(C15/M15,0))</f>
        <v/>
      </c>
      <c r="AI15" s="20">
        <f>IF(COUNT(C15:O15)=0,"",IFERROR(M15*Config!$C$7+N15*Config!$C$8,0))</f>
        <v/>
      </c>
      <c r="AJ15" s="20">
        <f>IF(COUNT(C15:O15)=0,"",IFERROR(IF(O15&gt;0,O15,AI15*Config!$C$9),0))</f>
        <v/>
      </c>
      <c r="AK15" s="20">
        <f>IF(COUNT(C15:O15)=0,"",IFERROR(AJ15*(1-Config!$C$10-Config!$C$11-Config!$C$12),0))</f>
        <v/>
      </c>
      <c r="AL15" s="20">
        <f>IF(COUNT(C15:O15)=0,"",IFERROR(AK15-C15-Config!$C$13,0))</f>
        <v/>
      </c>
      <c r="AM15" s="21">
        <f>IF(COUNT(C15:O15)=0,"",IFERROR(AK15/C15,0))</f>
        <v/>
      </c>
      <c r="AN15" s="21">
        <f>IF(COUNT(C15:O15)=0,"",IFERROR(AI15/C15,0))</f>
        <v/>
      </c>
      <c r="AO15" s="15">
        <f>IF(COUNT(C15:O15)=0,"",IFERROR(AL15/G15,0))</f>
        <v/>
      </c>
      <c r="AP15" s="21">
        <f>IF(COUNT(C15:O15)=0,"",IFERROR(AO15/U15,0))</f>
        <v/>
      </c>
      <c r="AQ15" s="15">
        <f>IF(COUNT(C15:O15)=0,"",IFERROR(AL15/H15,0))</f>
        <v/>
      </c>
    </row>
    <row r="16">
      <c r="A16" s="12">
        <f>Config!$C$6+10</f>
        <v/>
      </c>
      <c r="B16" s="13">
        <f>INT((A16-Config!$C$6)/7)+1</f>
        <v/>
      </c>
      <c r="C16" s="10" t="n">
        <v>153</v>
      </c>
      <c r="D16" s="14" t="n">
        <v>16303</v>
      </c>
      <c r="E16" s="14" t="n">
        <v>11369</v>
      </c>
      <c r="F16" s="14" t="n">
        <v>237</v>
      </c>
      <c r="G16" s="14" t="n">
        <v>199</v>
      </c>
      <c r="H16" s="14" t="n">
        <v>62</v>
      </c>
      <c r="I16" s="14" t="n">
        <v>6</v>
      </c>
      <c r="J16" s="14" t="n">
        <v>4</v>
      </c>
      <c r="K16" s="14" t="n">
        <v>2</v>
      </c>
      <c r="L16" s="14" t="n">
        <v>2</v>
      </c>
      <c r="M16" s="14" t="n">
        <v>0</v>
      </c>
      <c r="N16" s="14" t="n">
        <v>0</v>
      </c>
      <c r="O16" s="10" t="n">
        <v>300</v>
      </c>
      <c r="P16" s="15">
        <f>IF(COUNT(C16:O16)=0,"",IFERROR(C16/D16*1000,0))</f>
        <v/>
      </c>
      <c r="Q16" s="16">
        <f>IF(COUNT(C16:O16)=0,"",IFERROR(D16/E16,0))</f>
        <v/>
      </c>
      <c r="R16" s="17">
        <f>IF(COUNT(C16:O16)=0,"",IFERROR(F16/D16,0))</f>
        <v/>
      </c>
      <c r="S16" s="15">
        <f>IF(COUNT(C16:O16)=0,"",IFERROR(C16/F16,0))</f>
        <v/>
      </c>
      <c r="T16" s="18">
        <f>IF(COUNT(C16:O16)=0,"",IFERROR(G16/F16,0))</f>
        <v/>
      </c>
      <c r="U16" s="15">
        <f>IF(COUNT(C16:O16)=0,"",IFERROR(C16/G16,0))</f>
        <v/>
      </c>
      <c r="V16" s="19">
        <f>IF(COUNT(C16:O16)=0,"",IFERROR(G16/D16*1000,0))</f>
        <v/>
      </c>
      <c r="W16" s="18">
        <f>IF(COUNT(C16:O16)=0,"",IFERROR(H16/G16,0))</f>
        <v/>
      </c>
      <c r="X16" s="15">
        <f>IF(COUNT(C16:O16)=0,"",IFERROR(C16/H16,0))</f>
        <v/>
      </c>
      <c r="Y16" s="18">
        <f>IF(COUNT(C16:O16)=0,"",IFERROR(X16/P16,0))</f>
        <v/>
      </c>
      <c r="Z16" s="19">
        <f>IF(COUNT(C16:O16)=0,"",IFERROR(H16/D16*1000,0))</f>
        <v/>
      </c>
      <c r="AA16" s="18">
        <f>IF(COUNT(C16:O16)=0,"",IFERROR(I16/H16,0))</f>
        <v/>
      </c>
      <c r="AB16" s="18">
        <f>IF(COUNT(C16:O16)=0,"",IFERROR(J16/I16,0))</f>
        <v/>
      </c>
      <c r="AC16" s="18">
        <f>IF(COUNT(C16:O16)=0,"",IFERROR(K16/J16,0))</f>
        <v/>
      </c>
      <c r="AD16" s="15">
        <f>IF(COUNT(C16:O16)=0,"",IFERROR(C16/K16,0))</f>
        <v/>
      </c>
      <c r="AE16" s="18">
        <f>IF(COUNT(C16:O16)=0,"",IFERROR(L16/K16,0))</f>
        <v/>
      </c>
      <c r="AF16" s="18">
        <f>IF(COUNT(C16:O16)=0,"",IFERROR(M16/L16,0))</f>
        <v/>
      </c>
      <c r="AG16" s="17">
        <f>IF(COUNT(C16:O16)=0,"",IFERROR(M16/H16,0))</f>
        <v/>
      </c>
      <c r="AH16" s="15">
        <f>IF(COUNT(C16:O16)=0,"",IFERROR(C16/M16,0))</f>
        <v/>
      </c>
      <c r="AI16" s="20">
        <f>IF(COUNT(C16:O16)=0,"",IFERROR(M16*Config!$C$7+N16*Config!$C$8,0))</f>
        <v/>
      </c>
      <c r="AJ16" s="20">
        <f>IF(COUNT(C16:O16)=0,"",IFERROR(IF(O16&gt;0,O16,AI16*Config!$C$9),0))</f>
        <v/>
      </c>
      <c r="AK16" s="20">
        <f>IF(COUNT(C16:O16)=0,"",IFERROR(AJ16*(1-Config!$C$10-Config!$C$11-Config!$C$12),0))</f>
        <v/>
      </c>
      <c r="AL16" s="20">
        <f>IF(COUNT(C16:O16)=0,"",IFERROR(AK16-C16-Config!$C$13,0))</f>
        <v/>
      </c>
      <c r="AM16" s="21">
        <f>IF(COUNT(C16:O16)=0,"",IFERROR(AK16/C16,0))</f>
        <v/>
      </c>
      <c r="AN16" s="21">
        <f>IF(COUNT(C16:O16)=0,"",IFERROR(AI16/C16,0))</f>
        <v/>
      </c>
      <c r="AO16" s="15">
        <f>IF(COUNT(C16:O16)=0,"",IFERROR(AL16/G16,0))</f>
        <v/>
      </c>
      <c r="AP16" s="21">
        <f>IF(COUNT(C16:O16)=0,"",IFERROR(AO16/U16,0))</f>
        <v/>
      </c>
      <c r="AQ16" s="15">
        <f>IF(COUNT(C16:O16)=0,"",IFERROR(AL16/H16,0))</f>
        <v/>
      </c>
    </row>
    <row r="17">
      <c r="A17" s="12">
        <f>Config!$C$6+11</f>
        <v/>
      </c>
      <c r="B17" s="13">
        <f>INT((A17-Config!$C$6)/7)+1</f>
        <v/>
      </c>
      <c r="C17" s="10" t="n">
        <v>138</v>
      </c>
      <c r="D17" s="14" t="n">
        <v>12527</v>
      </c>
      <c r="E17" s="14" t="n">
        <v>8314</v>
      </c>
      <c r="F17" s="14" t="n">
        <v>177</v>
      </c>
      <c r="G17" s="14" t="n">
        <v>139</v>
      </c>
      <c r="H17" s="14" t="n">
        <v>41</v>
      </c>
      <c r="I17" s="14" t="n">
        <v>5</v>
      </c>
      <c r="J17" s="14" t="n">
        <v>3</v>
      </c>
      <c r="K17" s="14" t="n">
        <v>2</v>
      </c>
      <c r="L17" s="14" t="n">
        <v>1</v>
      </c>
      <c r="M17" s="14" t="n">
        <v>1</v>
      </c>
      <c r="N17" s="14" t="n">
        <v>0</v>
      </c>
      <c r="O17" s="10" t="n">
        <v>900</v>
      </c>
      <c r="P17" s="15">
        <f>IF(COUNT(C17:O17)=0,"",IFERROR(C17/D17*1000,0))</f>
        <v/>
      </c>
      <c r="Q17" s="16">
        <f>IF(COUNT(C17:O17)=0,"",IFERROR(D17/E17,0))</f>
        <v/>
      </c>
      <c r="R17" s="17">
        <f>IF(COUNT(C17:O17)=0,"",IFERROR(F17/D17,0))</f>
        <v/>
      </c>
      <c r="S17" s="15">
        <f>IF(COUNT(C17:O17)=0,"",IFERROR(C17/F17,0))</f>
        <v/>
      </c>
      <c r="T17" s="18">
        <f>IF(COUNT(C17:O17)=0,"",IFERROR(G17/F17,0))</f>
        <v/>
      </c>
      <c r="U17" s="15">
        <f>IF(COUNT(C17:O17)=0,"",IFERROR(C17/G17,0))</f>
        <v/>
      </c>
      <c r="V17" s="19">
        <f>IF(COUNT(C17:O17)=0,"",IFERROR(G17/D17*1000,0))</f>
        <v/>
      </c>
      <c r="W17" s="18">
        <f>IF(COUNT(C17:O17)=0,"",IFERROR(H17/G17,0))</f>
        <v/>
      </c>
      <c r="X17" s="15">
        <f>IF(COUNT(C17:O17)=0,"",IFERROR(C17/H17,0))</f>
        <v/>
      </c>
      <c r="Y17" s="18">
        <f>IF(COUNT(C17:O17)=0,"",IFERROR(X17/P17,0))</f>
        <v/>
      </c>
      <c r="Z17" s="19">
        <f>IF(COUNT(C17:O17)=0,"",IFERROR(H17/D17*1000,0))</f>
        <v/>
      </c>
      <c r="AA17" s="18">
        <f>IF(COUNT(C17:O17)=0,"",IFERROR(I17/H17,0))</f>
        <v/>
      </c>
      <c r="AB17" s="18">
        <f>IF(COUNT(C17:O17)=0,"",IFERROR(J17/I17,0))</f>
        <v/>
      </c>
      <c r="AC17" s="18">
        <f>IF(COUNT(C17:O17)=0,"",IFERROR(K17/J17,0))</f>
        <v/>
      </c>
      <c r="AD17" s="15">
        <f>IF(COUNT(C17:O17)=0,"",IFERROR(C17/K17,0))</f>
        <v/>
      </c>
      <c r="AE17" s="18">
        <f>IF(COUNT(C17:O17)=0,"",IFERROR(L17/K17,0))</f>
        <v/>
      </c>
      <c r="AF17" s="18">
        <f>IF(COUNT(C17:O17)=0,"",IFERROR(M17/L17,0))</f>
        <v/>
      </c>
      <c r="AG17" s="17">
        <f>IF(COUNT(C17:O17)=0,"",IFERROR(M17/H17,0))</f>
        <v/>
      </c>
      <c r="AH17" s="15">
        <f>IF(COUNT(C17:O17)=0,"",IFERROR(C17/M17,0))</f>
        <v/>
      </c>
      <c r="AI17" s="20">
        <f>IF(COUNT(C17:O17)=0,"",IFERROR(M17*Config!$C$7+N17*Config!$C$8,0))</f>
        <v/>
      </c>
      <c r="AJ17" s="20">
        <f>IF(COUNT(C17:O17)=0,"",IFERROR(IF(O17&gt;0,O17,AI17*Config!$C$9),0))</f>
        <v/>
      </c>
      <c r="AK17" s="20">
        <f>IF(COUNT(C17:O17)=0,"",IFERROR(AJ17*(1-Config!$C$10-Config!$C$11-Config!$C$12),0))</f>
        <v/>
      </c>
      <c r="AL17" s="20">
        <f>IF(COUNT(C17:O17)=0,"",IFERROR(AK17-C17-Config!$C$13,0))</f>
        <v/>
      </c>
      <c r="AM17" s="21">
        <f>IF(COUNT(C17:O17)=0,"",IFERROR(AK17/C17,0))</f>
        <v/>
      </c>
      <c r="AN17" s="21">
        <f>IF(COUNT(C17:O17)=0,"",IFERROR(AI17/C17,0))</f>
        <v/>
      </c>
      <c r="AO17" s="15">
        <f>IF(COUNT(C17:O17)=0,"",IFERROR(AL17/G17,0))</f>
        <v/>
      </c>
      <c r="AP17" s="21">
        <f>IF(COUNT(C17:O17)=0,"",IFERROR(AO17/U17,0))</f>
        <v/>
      </c>
      <c r="AQ17" s="15">
        <f>IF(COUNT(C17:O17)=0,"",IFERROR(AL17/H17,0))</f>
        <v/>
      </c>
    </row>
    <row r="18">
      <c r="A18" s="12">
        <f>Config!$C$6+12</f>
        <v/>
      </c>
      <c r="B18" s="13">
        <f>INT((A18-Config!$C$6)/7)+1</f>
        <v/>
      </c>
      <c r="C18" s="10" t="n">
        <v>164</v>
      </c>
      <c r="D18" s="14" t="n">
        <v>15979</v>
      </c>
      <c r="E18" s="14" t="n">
        <v>11633</v>
      </c>
      <c r="F18" s="14" t="n">
        <v>217</v>
      </c>
      <c r="G18" s="14" t="n">
        <v>164</v>
      </c>
      <c r="H18" s="14" t="n">
        <v>51</v>
      </c>
      <c r="I18" s="14" t="n">
        <v>4</v>
      </c>
      <c r="J18" s="14" t="n">
        <v>3</v>
      </c>
      <c r="K18" s="14" t="n">
        <v>2</v>
      </c>
      <c r="L18" s="14" t="n">
        <v>1</v>
      </c>
      <c r="M18" s="14" t="n">
        <v>0</v>
      </c>
      <c r="N18" s="14" t="n">
        <v>0</v>
      </c>
      <c r="O18" s="10" t="n">
        <v>0</v>
      </c>
      <c r="P18" s="15">
        <f>IF(COUNT(C18:O18)=0,"",IFERROR(C18/D18*1000,0))</f>
        <v/>
      </c>
      <c r="Q18" s="16">
        <f>IF(COUNT(C18:O18)=0,"",IFERROR(D18/E18,0))</f>
        <v/>
      </c>
      <c r="R18" s="17">
        <f>IF(COUNT(C18:O18)=0,"",IFERROR(F18/D18,0))</f>
        <v/>
      </c>
      <c r="S18" s="15">
        <f>IF(COUNT(C18:O18)=0,"",IFERROR(C18/F18,0))</f>
        <v/>
      </c>
      <c r="T18" s="18">
        <f>IF(COUNT(C18:O18)=0,"",IFERROR(G18/F18,0))</f>
        <v/>
      </c>
      <c r="U18" s="15">
        <f>IF(COUNT(C18:O18)=0,"",IFERROR(C18/G18,0))</f>
        <v/>
      </c>
      <c r="V18" s="19">
        <f>IF(COUNT(C18:O18)=0,"",IFERROR(G18/D18*1000,0))</f>
        <v/>
      </c>
      <c r="W18" s="18">
        <f>IF(COUNT(C18:O18)=0,"",IFERROR(H18/G18,0))</f>
        <v/>
      </c>
      <c r="X18" s="15">
        <f>IF(COUNT(C18:O18)=0,"",IFERROR(C18/H18,0))</f>
        <v/>
      </c>
      <c r="Y18" s="18">
        <f>IF(COUNT(C18:O18)=0,"",IFERROR(X18/P18,0))</f>
        <v/>
      </c>
      <c r="Z18" s="19">
        <f>IF(COUNT(C18:O18)=0,"",IFERROR(H18/D18*1000,0))</f>
        <v/>
      </c>
      <c r="AA18" s="18">
        <f>IF(COUNT(C18:O18)=0,"",IFERROR(I18/H18,0))</f>
        <v/>
      </c>
      <c r="AB18" s="18">
        <f>IF(COUNT(C18:O18)=0,"",IFERROR(J18/I18,0))</f>
        <v/>
      </c>
      <c r="AC18" s="18">
        <f>IF(COUNT(C18:O18)=0,"",IFERROR(K18/J18,0))</f>
        <v/>
      </c>
      <c r="AD18" s="15">
        <f>IF(COUNT(C18:O18)=0,"",IFERROR(C18/K18,0))</f>
        <v/>
      </c>
      <c r="AE18" s="18">
        <f>IF(COUNT(C18:O18)=0,"",IFERROR(L18/K18,0))</f>
        <v/>
      </c>
      <c r="AF18" s="18">
        <f>IF(COUNT(C18:O18)=0,"",IFERROR(M18/L18,0))</f>
        <v/>
      </c>
      <c r="AG18" s="17">
        <f>IF(COUNT(C18:O18)=0,"",IFERROR(M18/H18,0))</f>
        <v/>
      </c>
      <c r="AH18" s="15">
        <f>IF(COUNT(C18:O18)=0,"",IFERROR(C18/M18,0))</f>
        <v/>
      </c>
      <c r="AI18" s="20">
        <f>IF(COUNT(C18:O18)=0,"",IFERROR(M18*Config!$C$7+N18*Config!$C$8,0))</f>
        <v/>
      </c>
      <c r="AJ18" s="20">
        <f>IF(COUNT(C18:O18)=0,"",IFERROR(IF(O18&gt;0,O18,AI18*Config!$C$9),0))</f>
        <v/>
      </c>
      <c r="AK18" s="20">
        <f>IF(COUNT(C18:O18)=0,"",IFERROR(AJ18*(1-Config!$C$10-Config!$C$11-Config!$C$12),0))</f>
        <v/>
      </c>
      <c r="AL18" s="20">
        <f>IF(COUNT(C18:O18)=0,"",IFERROR(AK18-C18-Config!$C$13,0))</f>
        <v/>
      </c>
      <c r="AM18" s="21">
        <f>IF(COUNT(C18:O18)=0,"",IFERROR(AK18/C18,0))</f>
        <v/>
      </c>
      <c r="AN18" s="21">
        <f>IF(COUNT(C18:O18)=0,"",IFERROR(AI18/C18,0))</f>
        <v/>
      </c>
      <c r="AO18" s="15">
        <f>IF(COUNT(C18:O18)=0,"",IFERROR(AL18/G18,0))</f>
        <v/>
      </c>
      <c r="AP18" s="21">
        <f>IF(COUNT(C18:O18)=0,"",IFERROR(AO18/U18,0))</f>
        <v/>
      </c>
      <c r="AQ18" s="15">
        <f>IF(COUNT(C18:O18)=0,"",IFERROR(AL18/H18,0))</f>
        <v/>
      </c>
    </row>
    <row r="19">
      <c r="A19" s="12">
        <f>Config!$C$6+13</f>
        <v/>
      </c>
      <c r="B19" s="13">
        <f>INT((A19-Config!$C$6)/7)+1</f>
        <v/>
      </c>
      <c r="C19" s="10" t="n">
        <v>153</v>
      </c>
      <c r="D19" s="14" t="n">
        <v>16148</v>
      </c>
      <c r="E19" s="14" t="n">
        <v>12509</v>
      </c>
      <c r="F19" s="14" t="n">
        <v>255</v>
      </c>
      <c r="G19" s="14" t="n">
        <v>194</v>
      </c>
      <c r="H19" s="14" t="n">
        <v>51</v>
      </c>
      <c r="I19" s="14" t="n">
        <v>5</v>
      </c>
      <c r="J19" s="14" t="n">
        <v>3</v>
      </c>
      <c r="K19" s="14" t="n">
        <v>2</v>
      </c>
      <c r="L19" s="14" t="n">
        <v>1</v>
      </c>
      <c r="M19" s="14" t="n">
        <v>0</v>
      </c>
      <c r="N19" s="14" t="n">
        <v>0</v>
      </c>
      <c r="O19" s="10" t="n">
        <v>300</v>
      </c>
      <c r="P19" s="15">
        <f>IF(COUNT(C19:O19)=0,"",IFERROR(C19/D19*1000,0))</f>
        <v/>
      </c>
      <c r="Q19" s="16">
        <f>IF(COUNT(C19:O19)=0,"",IFERROR(D19/E19,0))</f>
        <v/>
      </c>
      <c r="R19" s="17">
        <f>IF(COUNT(C19:O19)=0,"",IFERROR(F19/D19,0))</f>
        <v/>
      </c>
      <c r="S19" s="15">
        <f>IF(COUNT(C19:O19)=0,"",IFERROR(C19/F19,0))</f>
        <v/>
      </c>
      <c r="T19" s="18">
        <f>IF(COUNT(C19:O19)=0,"",IFERROR(G19/F19,0))</f>
        <v/>
      </c>
      <c r="U19" s="15">
        <f>IF(COUNT(C19:O19)=0,"",IFERROR(C19/G19,0))</f>
        <v/>
      </c>
      <c r="V19" s="19">
        <f>IF(COUNT(C19:O19)=0,"",IFERROR(G19/D19*1000,0))</f>
        <v/>
      </c>
      <c r="W19" s="18">
        <f>IF(COUNT(C19:O19)=0,"",IFERROR(H19/G19,0))</f>
        <v/>
      </c>
      <c r="X19" s="15">
        <f>IF(COUNT(C19:O19)=0,"",IFERROR(C19/H19,0))</f>
        <v/>
      </c>
      <c r="Y19" s="18">
        <f>IF(COUNT(C19:O19)=0,"",IFERROR(X19/P19,0))</f>
        <v/>
      </c>
      <c r="Z19" s="19">
        <f>IF(COUNT(C19:O19)=0,"",IFERROR(H19/D19*1000,0))</f>
        <v/>
      </c>
      <c r="AA19" s="18">
        <f>IF(COUNT(C19:O19)=0,"",IFERROR(I19/H19,0))</f>
        <v/>
      </c>
      <c r="AB19" s="18">
        <f>IF(COUNT(C19:O19)=0,"",IFERROR(J19/I19,0))</f>
        <v/>
      </c>
      <c r="AC19" s="18">
        <f>IF(COUNT(C19:O19)=0,"",IFERROR(K19/J19,0))</f>
        <v/>
      </c>
      <c r="AD19" s="15">
        <f>IF(COUNT(C19:O19)=0,"",IFERROR(C19/K19,0))</f>
        <v/>
      </c>
      <c r="AE19" s="18">
        <f>IF(COUNT(C19:O19)=0,"",IFERROR(L19/K19,0))</f>
        <v/>
      </c>
      <c r="AF19" s="18">
        <f>IF(COUNT(C19:O19)=0,"",IFERROR(M19/L19,0))</f>
        <v/>
      </c>
      <c r="AG19" s="17">
        <f>IF(COUNT(C19:O19)=0,"",IFERROR(M19/H19,0))</f>
        <v/>
      </c>
      <c r="AH19" s="15">
        <f>IF(COUNT(C19:O19)=0,"",IFERROR(C19/M19,0))</f>
        <v/>
      </c>
      <c r="AI19" s="20">
        <f>IF(COUNT(C19:O19)=0,"",IFERROR(M19*Config!$C$7+N19*Config!$C$8,0))</f>
        <v/>
      </c>
      <c r="AJ19" s="20">
        <f>IF(COUNT(C19:O19)=0,"",IFERROR(IF(O19&gt;0,O19,AI19*Config!$C$9),0))</f>
        <v/>
      </c>
      <c r="AK19" s="20">
        <f>IF(COUNT(C19:O19)=0,"",IFERROR(AJ19*(1-Config!$C$10-Config!$C$11-Config!$C$12),0))</f>
        <v/>
      </c>
      <c r="AL19" s="20">
        <f>IF(COUNT(C19:O19)=0,"",IFERROR(AK19-C19-Config!$C$13,0))</f>
        <v/>
      </c>
      <c r="AM19" s="21">
        <f>IF(COUNT(C19:O19)=0,"",IFERROR(AK19/C19,0))</f>
        <v/>
      </c>
      <c r="AN19" s="21">
        <f>IF(COUNT(C19:O19)=0,"",IFERROR(AI19/C19,0))</f>
        <v/>
      </c>
      <c r="AO19" s="15">
        <f>IF(COUNT(C19:O19)=0,"",IFERROR(AL19/G19,0))</f>
        <v/>
      </c>
      <c r="AP19" s="21">
        <f>IF(COUNT(C19:O19)=0,"",IFERROR(AO19/U19,0))</f>
        <v/>
      </c>
      <c r="AQ19" s="15">
        <f>IF(COUNT(C19:O19)=0,"",IFERROR(AL19/H19,0))</f>
        <v/>
      </c>
    </row>
    <row r="20">
      <c r="A20" s="12">
        <f>Config!$C$6+14</f>
        <v/>
      </c>
      <c r="B20" s="13">
        <f>INT((A20-Config!$C$6)/7)+1</f>
        <v/>
      </c>
      <c r="C20" s="10" t="n">
        <v>165</v>
      </c>
      <c r="D20" s="14" t="n">
        <v>17765</v>
      </c>
      <c r="E20" s="14" t="n">
        <v>14354</v>
      </c>
      <c r="F20" s="14" t="n">
        <v>252</v>
      </c>
      <c r="G20" s="14" t="n">
        <v>211</v>
      </c>
      <c r="H20" s="14" t="n">
        <v>53</v>
      </c>
      <c r="I20" s="14" t="n">
        <v>4</v>
      </c>
      <c r="J20" s="14" t="n">
        <v>3</v>
      </c>
      <c r="K20" s="14" t="n">
        <v>2</v>
      </c>
      <c r="L20" s="14" t="n">
        <v>1</v>
      </c>
      <c r="M20" s="14" t="n">
        <v>0</v>
      </c>
      <c r="N20" s="14" t="n">
        <v>0</v>
      </c>
      <c r="O20" s="10" t="n">
        <v>300</v>
      </c>
      <c r="P20" s="15">
        <f>IF(COUNT(C20:O20)=0,"",IFERROR(C20/D20*1000,0))</f>
        <v/>
      </c>
      <c r="Q20" s="16">
        <f>IF(COUNT(C20:O20)=0,"",IFERROR(D20/E20,0))</f>
        <v/>
      </c>
      <c r="R20" s="17">
        <f>IF(COUNT(C20:O20)=0,"",IFERROR(F20/D20,0))</f>
        <v/>
      </c>
      <c r="S20" s="15">
        <f>IF(COUNT(C20:O20)=0,"",IFERROR(C20/F20,0))</f>
        <v/>
      </c>
      <c r="T20" s="18">
        <f>IF(COUNT(C20:O20)=0,"",IFERROR(G20/F20,0))</f>
        <v/>
      </c>
      <c r="U20" s="15">
        <f>IF(COUNT(C20:O20)=0,"",IFERROR(C20/G20,0))</f>
        <v/>
      </c>
      <c r="V20" s="19">
        <f>IF(COUNT(C20:O20)=0,"",IFERROR(G20/D20*1000,0))</f>
        <v/>
      </c>
      <c r="W20" s="18">
        <f>IF(COUNT(C20:O20)=0,"",IFERROR(H20/G20,0))</f>
        <v/>
      </c>
      <c r="X20" s="15">
        <f>IF(COUNT(C20:O20)=0,"",IFERROR(C20/H20,0))</f>
        <v/>
      </c>
      <c r="Y20" s="18">
        <f>IF(COUNT(C20:O20)=0,"",IFERROR(X20/P20,0))</f>
        <v/>
      </c>
      <c r="Z20" s="19">
        <f>IF(COUNT(C20:O20)=0,"",IFERROR(H20/D20*1000,0))</f>
        <v/>
      </c>
      <c r="AA20" s="18">
        <f>IF(COUNT(C20:O20)=0,"",IFERROR(I20/H20,0))</f>
        <v/>
      </c>
      <c r="AB20" s="18">
        <f>IF(COUNT(C20:O20)=0,"",IFERROR(J20/I20,0))</f>
        <v/>
      </c>
      <c r="AC20" s="18">
        <f>IF(COUNT(C20:O20)=0,"",IFERROR(K20/J20,0))</f>
        <v/>
      </c>
      <c r="AD20" s="15">
        <f>IF(COUNT(C20:O20)=0,"",IFERROR(C20/K20,0))</f>
        <v/>
      </c>
      <c r="AE20" s="18">
        <f>IF(COUNT(C20:O20)=0,"",IFERROR(L20/K20,0))</f>
        <v/>
      </c>
      <c r="AF20" s="18">
        <f>IF(COUNT(C20:O20)=0,"",IFERROR(M20/L20,0))</f>
        <v/>
      </c>
      <c r="AG20" s="17">
        <f>IF(COUNT(C20:O20)=0,"",IFERROR(M20/H20,0))</f>
        <v/>
      </c>
      <c r="AH20" s="15">
        <f>IF(COUNT(C20:O20)=0,"",IFERROR(C20/M20,0))</f>
        <v/>
      </c>
      <c r="AI20" s="20">
        <f>IF(COUNT(C20:O20)=0,"",IFERROR(M20*Config!$C$7+N20*Config!$C$8,0))</f>
        <v/>
      </c>
      <c r="AJ20" s="20">
        <f>IF(COUNT(C20:O20)=0,"",IFERROR(IF(O20&gt;0,O20,AI20*Config!$C$9),0))</f>
        <v/>
      </c>
      <c r="AK20" s="20">
        <f>IF(COUNT(C20:O20)=0,"",IFERROR(AJ20*(1-Config!$C$10-Config!$C$11-Config!$C$12),0))</f>
        <v/>
      </c>
      <c r="AL20" s="20">
        <f>IF(COUNT(C20:O20)=0,"",IFERROR(AK20-C20-Config!$C$13,0))</f>
        <v/>
      </c>
      <c r="AM20" s="21">
        <f>IF(COUNT(C20:O20)=0,"",IFERROR(AK20/C20,0))</f>
        <v/>
      </c>
      <c r="AN20" s="21">
        <f>IF(COUNT(C20:O20)=0,"",IFERROR(AI20/C20,0))</f>
        <v/>
      </c>
      <c r="AO20" s="15">
        <f>IF(COUNT(C20:O20)=0,"",IFERROR(AL20/G20,0))</f>
        <v/>
      </c>
      <c r="AP20" s="21">
        <f>IF(COUNT(C20:O20)=0,"",IFERROR(AO20/U20,0))</f>
        <v/>
      </c>
      <c r="AQ20" s="15">
        <f>IF(COUNT(C20:O20)=0,"",IFERROR(AL20/H20,0))</f>
        <v/>
      </c>
    </row>
    <row r="21">
      <c r="A21" s="12">
        <f>Config!$C$6+15</f>
        <v/>
      </c>
      <c r="B21" s="13">
        <f>INT((A21-Config!$C$6)/7)+1</f>
        <v/>
      </c>
      <c r="C21" s="10" t="n">
        <v>145</v>
      </c>
      <c r="D21" s="14" t="n">
        <v>13260</v>
      </c>
      <c r="E21" s="14" t="n">
        <v>8492</v>
      </c>
      <c r="F21" s="14" t="n">
        <v>206</v>
      </c>
      <c r="G21" s="14" t="n">
        <v>183</v>
      </c>
      <c r="H21" s="14" t="n">
        <v>52</v>
      </c>
      <c r="I21" s="14" t="n">
        <v>4</v>
      </c>
      <c r="J21" s="14" t="n">
        <v>2</v>
      </c>
      <c r="K21" s="14" t="n">
        <v>1</v>
      </c>
      <c r="L21" s="14" t="n">
        <v>1</v>
      </c>
      <c r="M21" s="14" t="n">
        <v>1</v>
      </c>
      <c r="N21" s="14" t="n">
        <v>0</v>
      </c>
      <c r="O21" s="10" t="n">
        <v>1200</v>
      </c>
      <c r="P21" s="15">
        <f>IF(COUNT(C21:O21)=0,"",IFERROR(C21/D21*1000,0))</f>
        <v/>
      </c>
      <c r="Q21" s="16">
        <f>IF(COUNT(C21:O21)=0,"",IFERROR(D21/E21,0))</f>
        <v/>
      </c>
      <c r="R21" s="17">
        <f>IF(COUNT(C21:O21)=0,"",IFERROR(F21/D21,0))</f>
        <v/>
      </c>
      <c r="S21" s="15">
        <f>IF(COUNT(C21:O21)=0,"",IFERROR(C21/F21,0))</f>
        <v/>
      </c>
      <c r="T21" s="18">
        <f>IF(COUNT(C21:O21)=0,"",IFERROR(G21/F21,0))</f>
        <v/>
      </c>
      <c r="U21" s="15">
        <f>IF(COUNT(C21:O21)=0,"",IFERROR(C21/G21,0))</f>
        <v/>
      </c>
      <c r="V21" s="19">
        <f>IF(COUNT(C21:O21)=0,"",IFERROR(G21/D21*1000,0))</f>
        <v/>
      </c>
      <c r="W21" s="18">
        <f>IF(COUNT(C21:O21)=0,"",IFERROR(H21/G21,0))</f>
        <v/>
      </c>
      <c r="X21" s="15">
        <f>IF(COUNT(C21:O21)=0,"",IFERROR(C21/H21,0))</f>
        <v/>
      </c>
      <c r="Y21" s="18">
        <f>IF(COUNT(C21:O21)=0,"",IFERROR(X21/P21,0))</f>
        <v/>
      </c>
      <c r="Z21" s="19">
        <f>IF(COUNT(C21:O21)=0,"",IFERROR(H21/D21*1000,0))</f>
        <v/>
      </c>
      <c r="AA21" s="18">
        <f>IF(COUNT(C21:O21)=0,"",IFERROR(I21/H21,0))</f>
        <v/>
      </c>
      <c r="AB21" s="18">
        <f>IF(COUNT(C21:O21)=0,"",IFERROR(J21/I21,0))</f>
        <v/>
      </c>
      <c r="AC21" s="18">
        <f>IF(COUNT(C21:O21)=0,"",IFERROR(K21/J21,0))</f>
        <v/>
      </c>
      <c r="AD21" s="15">
        <f>IF(COUNT(C21:O21)=0,"",IFERROR(C21/K21,0))</f>
        <v/>
      </c>
      <c r="AE21" s="18">
        <f>IF(COUNT(C21:O21)=0,"",IFERROR(L21/K21,0))</f>
        <v/>
      </c>
      <c r="AF21" s="18">
        <f>IF(COUNT(C21:O21)=0,"",IFERROR(M21/L21,0))</f>
        <v/>
      </c>
      <c r="AG21" s="17">
        <f>IF(COUNT(C21:O21)=0,"",IFERROR(M21/H21,0))</f>
        <v/>
      </c>
      <c r="AH21" s="15">
        <f>IF(COUNT(C21:O21)=0,"",IFERROR(C21/M21,0))</f>
        <v/>
      </c>
      <c r="AI21" s="20">
        <f>IF(COUNT(C21:O21)=0,"",IFERROR(M21*Config!$C$7+N21*Config!$C$8,0))</f>
        <v/>
      </c>
      <c r="AJ21" s="20">
        <f>IF(COUNT(C21:O21)=0,"",IFERROR(IF(O21&gt;0,O21,AI21*Config!$C$9),0))</f>
        <v/>
      </c>
      <c r="AK21" s="20">
        <f>IF(COUNT(C21:O21)=0,"",IFERROR(AJ21*(1-Config!$C$10-Config!$C$11-Config!$C$12),0))</f>
        <v/>
      </c>
      <c r="AL21" s="20">
        <f>IF(COUNT(C21:O21)=0,"",IFERROR(AK21-C21-Config!$C$13,0))</f>
        <v/>
      </c>
      <c r="AM21" s="21">
        <f>IF(COUNT(C21:O21)=0,"",IFERROR(AK21/C21,0))</f>
        <v/>
      </c>
      <c r="AN21" s="21">
        <f>IF(COUNT(C21:O21)=0,"",IFERROR(AI21/C21,0))</f>
        <v/>
      </c>
      <c r="AO21" s="15">
        <f>IF(COUNT(C21:O21)=0,"",IFERROR(AL21/G21,0))</f>
        <v/>
      </c>
      <c r="AP21" s="21">
        <f>IF(COUNT(C21:O21)=0,"",IFERROR(AO21/U21,0))</f>
        <v/>
      </c>
      <c r="AQ21" s="15">
        <f>IF(COUNT(C21:O21)=0,"",IFERROR(AL21/H21,0))</f>
        <v/>
      </c>
    </row>
    <row r="22">
      <c r="A22" s="12">
        <f>Config!$C$6+16</f>
        <v/>
      </c>
      <c r="B22" s="13">
        <f>INT((A22-Config!$C$6)/7)+1</f>
        <v/>
      </c>
      <c r="C22" s="10" t="n">
        <v>165</v>
      </c>
      <c r="D22" s="14" t="n">
        <v>15719</v>
      </c>
      <c r="E22" s="14" t="n">
        <v>10105</v>
      </c>
      <c r="F22" s="14" t="n">
        <v>209</v>
      </c>
      <c r="G22" s="14" t="n">
        <v>183</v>
      </c>
      <c r="H22" s="14" t="n">
        <v>51</v>
      </c>
      <c r="I22" s="14" t="n">
        <v>6</v>
      </c>
      <c r="J22" s="14" t="n">
        <v>3</v>
      </c>
      <c r="K22" s="14" t="n">
        <v>2</v>
      </c>
      <c r="L22" s="14" t="n">
        <v>1</v>
      </c>
      <c r="M22" s="14" t="n">
        <v>1</v>
      </c>
      <c r="N22" s="14" t="n">
        <v>0</v>
      </c>
      <c r="O22" s="10" t="n">
        <v>900</v>
      </c>
      <c r="P22" s="15">
        <f>IF(COUNT(C22:O22)=0,"",IFERROR(C22/D22*1000,0))</f>
        <v/>
      </c>
      <c r="Q22" s="16">
        <f>IF(COUNT(C22:O22)=0,"",IFERROR(D22/E22,0))</f>
        <v/>
      </c>
      <c r="R22" s="17">
        <f>IF(COUNT(C22:O22)=0,"",IFERROR(F22/D22,0))</f>
        <v/>
      </c>
      <c r="S22" s="15">
        <f>IF(COUNT(C22:O22)=0,"",IFERROR(C22/F22,0))</f>
        <v/>
      </c>
      <c r="T22" s="18">
        <f>IF(COUNT(C22:O22)=0,"",IFERROR(G22/F22,0))</f>
        <v/>
      </c>
      <c r="U22" s="15">
        <f>IF(COUNT(C22:O22)=0,"",IFERROR(C22/G22,0))</f>
        <v/>
      </c>
      <c r="V22" s="19">
        <f>IF(COUNT(C22:O22)=0,"",IFERROR(G22/D22*1000,0))</f>
        <v/>
      </c>
      <c r="W22" s="18">
        <f>IF(COUNT(C22:O22)=0,"",IFERROR(H22/G22,0))</f>
        <v/>
      </c>
      <c r="X22" s="15">
        <f>IF(COUNT(C22:O22)=0,"",IFERROR(C22/H22,0))</f>
        <v/>
      </c>
      <c r="Y22" s="18">
        <f>IF(COUNT(C22:O22)=0,"",IFERROR(X22/P22,0))</f>
        <v/>
      </c>
      <c r="Z22" s="19">
        <f>IF(COUNT(C22:O22)=0,"",IFERROR(H22/D22*1000,0))</f>
        <v/>
      </c>
      <c r="AA22" s="18">
        <f>IF(COUNT(C22:O22)=0,"",IFERROR(I22/H22,0))</f>
        <v/>
      </c>
      <c r="AB22" s="18">
        <f>IF(COUNT(C22:O22)=0,"",IFERROR(J22/I22,0))</f>
        <v/>
      </c>
      <c r="AC22" s="18">
        <f>IF(COUNT(C22:O22)=0,"",IFERROR(K22/J22,0))</f>
        <v/>
      </c>
      <c r="AD22" s="15">
        <f>IF(COUNT(C22:O22)=0,"",IFERROR(C22/K22,0))</f>
        <v/>
      </c>
      <c r="AE22" s="18">
        <f>IF(COUNT(C22:O22)=0,"",IFERROR(L22/K22,0))</f>
        <v/>
      </c>
      <c r="AF22" s="18">
        <f>IF(COUNT(C22:O22)=0,"",IFERROR(M22/L22,0))</f>
        <v/>
      </c>
      <c r="AG22" s="17">
        <f>IF(COUNT(C22:O22)=0,"",IFERROR(M22/H22,0))</f>
        <v/>
      </c>
      <c r="AH22" s="15">
        <f>IF(COUNT(C22:O22)=0,"",IFERROR(C22/M22,0))</f>
        <v/>
      </c>
      <c r="AI22" s="20">
        <f>IF(COUNT(C22:O22)=0,"",IFERROR(M22*Config!$C$7+N22*Config!$C$8,0))</f>
        <v/>
      </c>
      <c r="AJ22" s="20">
        <f>IF(COUNT(C22:O22)=0,"",IFERROR(IF(O22&gt;0,O22,AI22*Config!$C$9),0))</f>
        <v/>
      </c>
      <c r="AK22" s="20">
        <f>IF(COUNT(C22:O22)=0,"",IFERROR(AJ22*(1-Config!$C$10-Config!$C$11-Config!$C$12),0))</f>
        <v/>
      </c>
      <c r="AL22" s="20">
        <f>IF(COUNT(C22:O22)=0,"",IFERROR(AK22-C22-Config!$C$13,0))</f>
        <v/>
      </c>
      <c r="AM22" s="21">
        <f>IF(COUNT(C22:O22)=0,"",IFERROR(AK22/C22,0))</f>
        <v/>
      </c>
      <c r="AN22" s="21">
        <f>IF(COUNT(C22:O22)=0,"",IFERROR(AI22/C22,0))</f>
        <v/>
      </c>
      <c r="AO22" s="15">
        <f>IF(COUNT(C22:O22)=0,"",IFERROR(AL22/G22,0))</f>
        <v/>
      </c>
      <c r="AP22" s="21">
        <f>IF(COUNT(C22:O22)=0,"",IFERROR(AO22/U22,0))</f>
        <v/>
      </c>
      <c r="AQ22" s="15">
        <f>IF(COUNT(C22:O22)=0,"",IFERROR(AL22/H22,0))</f>
        <v/>
      </c>
    </row>
    <row r="23">
      <c r="A23" s="12">
        <f>Config!$C$6+17</f>
        <v/>
      </c>
      <c r="B23" s="13">
        <f>INT((A23-Config!$C$6)/7)+1</f>
        <v/>
      </c>
      <c r="C23" s="10" t="n">
        <v>135</v>
      </c>
      <c r="D23" s="14" t="n">
        <v>13324</v>
      </c>
      <c r="E23" s="14" t="n">
        <v>9005</v>
      </c>
      <c r="F23" s="14" t="n">
        <v>219</v>
      </c>
      <c r="G23" s="14" t="n">
        <v>197</v>
      </c>
      <c r="H23" s="14" t="n">
        <v>58</v>
      </c>
      <c r="I23" s="14" t="n">
        <v>7</v>
      </c>
      <c r="J23" s="14" t="n">
        <v>4</v>
      </c>
      <c r="K23" s="14" t="n">
        <v>2</v>
      </c>
      <c r="L23" s="14" t="n">
        <v>2</v>
      </c>
      <c r="M23" s="14" t="n">
        <v>0</v>
      </c>
      <c r="N23" s="14" t="n">
        <v>0</v>
      </c>
      <c r="O23" s="10" t="n">
        <v>0</v>
      </c>
      <c r="P23" s="15">
        <f>IF(COUNT(C23:O23)=0,"",IFERROR(C23/D23*1000,0))</f>
        <v/>
      </c>
      <c r="Q23" s="16">
        <f>IF(COUNT(C23:O23)=0,"",IFERROR(D23/E23,0))</f>
        <v/>
      </c>
      <c r="R23" s="17">
        <f>IF(COUNT(C23:O23)=0,"",IFERROR(F23/D23,0))</f>
        <v/>
      </c>
      <c r="S23" s="15">
        <f>IF(COUNT(C23:O23)=0,"",IFERROR(C23/F23,0))</f>
        <v/>
      </c>
      <c r="T23" s="18">
        <f>IF(COUNT(C23:O23)=0,"",IFERROR(G23/F23,0))</f>
        <v/>
      </c>
      <c r="U23" s="15">
        <f>IF(COUNT(C23:O23)=0,"",IFERROR(C23/G23,0))</f>
        <v/>
      </c>
      <c r="V23" s="19">
        <f>IF(COUNT(C23:O23)=0,"",IFERROR(G23/D23*1000,0))</f>
        <v/>
      </c>
      <c r="W23" s="18">
        <f>IF(COUNT(C23:O23)=0,"",IFERROR(H23/G23,0))</f>
        <v/>
      </c>
      <c r="X23" s="15">
        <f>IF(COUNT(C23:O23)=0,"",IFERROR(C23/H23,0))</f>
        <v/>
      </c>
      <c r="Y23" s="18">
        <f>IF(COUNT(C23:O23)=0,"",IFERROR(X23/P23,0))</f>
        <v/>
      </c>
      <c r="Z23" s="19">
        <f>IF(COUNT(C23:O23)=0,"",IFERROR(H23/D23*1000,0))</f>
        <v/>
      </c>
      <c r="AA23" s="18">
        <f>IF(COUNT(C23:O23)=0,"",IFERROR(I23/H23,0))</f>
        <v/>
      </c>
      <c r="AB23" s="18">
        <f>IF(COUNT(C23:O23)=0,"",IFERROR(J23/I23,0))</f>
        <v/>
      </c>
      <c r="AC23" s="18">
        <f>IF(COUNT(C23:O23)=0,"",IFERROR(K23/J23,0))</f>
        <v/>
      </c>
      <c r="AD23" s="15">
        <f>IF(COUNT(C23:O23)=0,"",IFERROR(C23/K23,0))</f>
        <v/>
      </c>
      <c r="AE23" s="18">
        <f>IF(COUNT(C23:O23)=0,"",IFERROR(L23/K23,0))</f>
        <v/>
      </c>
      <c r="AF23" s="18">
        <f>IF(COUNT(C23:O23)=0,"",IFERROR(M23/L23,0))</f>
        <v/>
      </c>
      <c r="AG23" s="17">
        <f>IF(COUNT(C23:O23)=0,"",IFERROR(M23/H23,0))</f>
        <v/>
      </c>
      <c r="AH23" s="15">
        <f>IF(COUNT(C23:O23)=0,"",IFERROR(C23/M23,0))</f>
        <v/>
      </c>
      <c r="AI23" s="20">
        <f>IF(COUNT(C23:O23)=0,"",IFERROR(M23*Config!$C$7+N23*Config!$C$8,0))</f>
        <v/>
      </c>
      <c r="AJ23" s="20">
        <f>IF(COUNT(C23:O23)=0,"",IFERROR(IF(O23&gt;0,O23,AI23*Config!$C$9),0))</f>
        <v/>
      </c>
      <c r="AK23" s="20">
        <f>IF(COUNT(C23:O23)=0,"",IFERROR(AJ23*(1-Config!$C$10-Config!$C$11-Config!$C$12),0))</f>
        <v/>
      </c>
      <c r="AL23" s="20">
        <f>IF(COUNT(C23:O23)=0,"",IFERROR(AK23-C23-Config!$C$13,0))</f>
        <v/>
      </c>
      <c r="AM23" s="21">
        <f>IF(COUNT(C23:O23)=0,"",IFERROR(AK23/C23,0))</f>
        <v/>
      </c>
      <c r="AN23" s="21">
        <f>IF(COUNT(C23:O23)=0,"",IFERROR(AI23/C23,0))</f>
        <v/>
      </c>
      <c r="AO23" s="15">
        <f>IF(COUNT(C23:O23)=0,"",IFERROR(AL23/G23,0))</f>
        <v/>
      </c>
      <c r="AP23" s="21">
        <f>IF(COUNT(C23:O23)=0,"",IFERROR(AO23/U23,0))</f>
        <v/>
      </c>
      <c r="AQ23" s="15">
        <f>IF(COUNT(C23:O23)=0,"",IFERROR(AL23/H23,0))</f>
        <v/>
      </c>
    </row>
    <row r="24">
      <c r="A24" s="12">
        <f>Config!$C$6+18</f>
        <v/>
      </c>
      <c r="B24" s="13">
        <f>INT((A24-Config!$C$6)/7)+1</f>
        <v/>
      </c>
      <c r="C24" s="10" t="n">
        <v>164</v>
      </c>
      <c r="D24" s="14" t="n">
        <v>15098</v>
      </c>
      <c r="E24" s="14" t="n">
        <v>11003</v>
      </c>
      <c r="F24" s="14" t="n">
        <v>242</v>
      </c>
      <c r="G24" s="14" t="n">
        <v>224</v>
      </c>
      <c r="H24" s="14" t="n">
        <v>64</v>
      </c>
      <c r="I24" s="14" t="n">
        <v>7</v>
      </c>
      <c r="J24" s="14" t="n">
        <v>4</v>
      </c>
      <c r="K24" s="14" t="n">
        <v>2</v>
      </c>
      <c r="L24" s="14" t="n">
        <v>2</v>
      </c>
      <c r="M24" s="14" t="n">
        <v>0</v>
      </c>
      <c r="N24" s="14" t="n">
        <v>0</v>
      </c>
      <c r="O24" s="10" t="n">
        <v>0</v>
      </c>
      <c r="P24" s="15">
        <f>IF(COUNT(C24:O24)=0,"",IFERROR(C24/D24*1000,0))</f>
        <v/>
      </c>
      <c r="Q24" s="16">
        <f>IF(COUNT(C24:O24)=0,"",IFERROR(D24/E24,0))</f>
        <v/>
      </c>
      <c r="R24" s="17">
        <f>IF(COUNT(C24:O24)=0,"",IFERROR(F24/D24,0))</f>
        <v/>
      </c>
      <c r="S24" s="15">
        <f>IF(COUNT(C24:O24)=0,"",IFERROR(C24/F24,0))</f>
        <v/>
      </c>
      <c r="T24" s="18">
        <f>IF(COUNT(C24:O24)=0,"",IFERROR(G24/F24,0))</f>
        <v/>
      </c>
      <c r="U24" s="15">
        <f>IF(COUNT(C24:O24)=0,"",IFERROR(C24/G24,0))</f>
        <v/>
      </c>
      <c r="V24" s="19">
        <f>IF(COUNT(C24:O24)=0,"",IFERROR(G24/D24*1000,0))</f>
        <v/>
      </c>
      <c r="W24" s="18">
        <f>IF(COUNT(C24:O24)=0,"",IFERROR(H24/G24,0))</f>
        <v/>
      </c>
      <c r="X24" s="15">
        <f>IF(COUNT(C24:O24)=0,"",IFERROR(C24/H24,0))</f>
        <v/>
      </c>
      <c r="Y24" s="18">
        <f>IF(COUNT(C24:O24)=0,"",IFERROR(X24/P24,0))</f>
        <v/>
      </c>
      <c r="Z24" s="19">
        <f>IF(COUNT(C24:O24)=0,"",IFERROR(H24/D24*1000,0))</f>
        <v/>
      </c>
      <c r="AA24" s="18">
        <f>IF(COUNT(C24:O24)=0,"",IFERROR(I24/H24,0))</f>
        <v/>
      </c>
      <c r="AB24" s="18">
        <f>IF(COUNT(C24:O24)=0,"",IFERROR(J24/I24,0))</f>
        <v/>
      </c>
      <c r="AC24" s="18">
        <f>IF(COUNT(C24:O24)=0,"",IFERROR(K24/J24,0))</f>
        <v/>
      </c>
      <c r="AD24" s="15">
        <f>IF(COUNT(C24:O24)=0,"",IFERROR(C24/K24,0))</f>
        <v/>
      </c>
      <c r="AE24" s="18">
        <f>IF(COUNT(C24:O24)=0,"",IFERROR(L24/K24,0))</f>
        <v/>
      </c>
      <c r="AF24" s="18">
        <f>IF(COUNT(C24:O24)=0,"",IFERROR(M24/L24,0))</f>
        <v/>
      </c>
      <c r="AG24" s="17">
        <f>IF(COUNT(C24:O24)=0,"",IFERROR(M24/H24,0))</f>
        <v/>
      </c>
      <c r="AH24" s="15">
        <f>IF(COUNT(C24:O24)=0,"",IFERROR(C24/M24,0))</f>
        <v/>
      </c>
      <c r="AI24" s="20">
        <f>IF(COUNT(C24:O24)=0,"",IFERROR(M24*Config!$C$7+N24*Config!$C$8,0))</f>
        <v/>
      </c>
      <c r="AJ24" s="20">
        <f>IF(COUNT(C24:O24)=0,"",IFERROR(IF(O24&gt;0,O24,AI24*Config!$C$9),0))</f>
        <v/>
      </c>
      <c r="AK24" s="20">
        <f>IF(COUNT(C24:O24)=0,"",IFERROR(AJ24*(1-Config!$C$10-Config!$C$11-Config!$C$12),0))</f>
        <v/>
      </c>
      <c r="AL24" s="20">
        <f>IF(COUNT(C24:O24)=0,"",IFERROR(AK24-C24-Config!$C$13,0))</f>
        <v/>
      </c>
      <c r="AM24" s="21">
        <f>IF(COUNT(C24:O24)=0,"",IFERROR(AK24/C24,0))</f>
        <v/>
      </c>
      <c r="AN24" s="21">
        <f>IF(COUNT(C24:O24)=0,"",IFERROR(AI24/C24,0))</f>
        <v/>
      </c>
      <c r="AO24" s="15">
        <f>IF(COUNT(C24:O24)=0,"",IFERROR(AL24/G24,0))</f>
        <v/>
      </c>
      <c r="AP24" s="21">
        <f>IF(COUNT(C24:O24)=0,"",IFERROR(AO24/U24,0))</f>
        <v/>
      </c>
      <c r="AQ24" s="15">
        <f>IF(COUNT(C24:O24)=0,"",IFERROR(AL24/H24,0))</f>
        <v/>
      </c>
    </row>
    <row r="25">
      <c r="A25" s="12">
        <f>Config!$C$6+19</f>
        <v/>
      </c>
      <c r="B25" s="13">
        <f>INT((A25-Config!$C$6)/7)+1</f>
        <v/>
      </c>
      <c r="C25" s="10" t="n">
        <v>135</v>
      </c>
      <c r="D25" s="14" t="n">
        <v>13052</v>
      </c>
      <c r="E25" s="14" t="n">
        <v>8336</v>
      </c>
      <c r="F25" s="14" t="n">
        <v>214</v>
      </c>
      <c r="G25" s="14" t="n">
        <v>192</v>
      </c>
      <c r="H25" s="14" t="n">
        <v>52</v>
      </c>
      <c r="I25" s="14" t="n">
        <v>6</v>
      </c>
      <c r="J25" s="14" t="n">
        <v>4</v>
      </c>
      <c r="K25" s="14" t="n">
        <v>2</v>
      </c>
      <c r="L25" s="14" t="n">
        <v>2</v>
      </c>
      <c r="M25" s="14" t="n">
        <v>0</v>
      </c>
      <c r="N25" s="14" t="n">
        <v>0</v>
      </c>
      <c r="O25" s="10" t="n">
        <v>0</v>
      </c>
      <c r="P25" s="15">
        <f>IF(COUNT(C25:O25)=0,"",IFERROR(C25/D25*1000,0))</f>
        <v/>
      </c>
      <c r="Q25" s="16">
        <f>IF(COUNT(C25:O25)=0,"",IFERROR(D25/E25,0))</f>
        <v/>
      </c>
      <c r="R25" s="17">
        <f>IF(COUNT(C25:O25)=0,"",IFERROR(F25/D25,0))</f>
        <v/>
      </c>
      <c r="S25" s="15">
        <f>IF(COUNT(C25:O25)=0,"",IFERROR(C25/F25,0))</f>
        <v/>
      </c>
      <c r="T25" s="18">
        <f>IF(COUNT(C25:O25)=0,"",IFERROR(G25/F25,0))</f>
        <v/>
      </c>
      <c r="U25" s="15">
        <f>IF(COUNT(C25:O25)=0,"",IFERROR(C25/G25,0))</f>
        <v/>
      </c>
      <c r="V25" s="19">
        <f>IF(COUNT(C25:O25)=0,"",IFERROR(G25/D25*1000,0))</f>
        <v/>
      </c>
      <c r="W25" s="18">
        <f>IF(COUNT(C25:O25)=0,"",IFERROR(H25/G25,0))</f>
        <v/>
      </c>
      <c r="X25" s="15">
        <f>IF(COUNT(C25:O25)=0,"",IFERROR(C25/H25,0))</f>
        <v/>
      </c>
      <c r="Y25" s="18">
        <f>IF(COUNT(C25:O25)=0,"",IFERROR(X25/P25,0))</f>
        <v/>
      </c>
      <c r="Z25" s="19">
        <f>IF(COUNT(C25:O25)=0,"",IFERROR(H25/D25*1000,0))</f>
        <v/>
      </c>
      <c r="AA25" s="18">
        <f>IF(COUNT(C25:O25)=0,"",IFERROR(I25/H25,0))</f>
        <v/>
      </c>
      <c r="AB25" s="18">
        <f>IF(COUNT(C25:O25)=0,"",IFERROR(J25/I25,0))</f>
        <v/>
      </c>
      <c r="AC25" s="18">
        <f>IF(COUNT(C25:O25)=0,"",IFERROR(K25/J25,0))</f>
        <v/>
      </c>
      <c r="AD25" s="15">
        <f>IF(COUNT(C25:O25)=0,"",IFERROR(C25/K25,0))</f>
        <v/>
      </c>
      <c r="AE25" s="18">
        <f>IF(COUNT(C25:O25)=0,"",IFERROR(L25/K25,0))</f>
        <v/>
      </c>
      <c r="AF25" s="18">
        <f>IF(COUNT(C25:O25)=0,"",IFERROR(M25/L25,0))</f>
        <v/>
      </c>
      <c r="AG25" s="17">
        <f>IF(COUNT(C25:O25)=0,"",IFERROR(M25/H25,0))</f>
        <v/>
      </c>
      <c r="AH25" s="15">
        <f>IF(COUNT(C25:O25)=0,"",IFERROR(C25/M25,0))</f>
        <v/>
      </c>
      <c r="AI25" s="20">
        <f>IF(COUNT(C25:O25)=0,"",IFERROR(M25*Config!$C$7+N25*Config!$C$8,0))</f>
        <v/>
      </c>
      <c r="AJ25" s="20">
        <f>IF(COUNT(C25:O25)=0,"",IFERROR(IF(O25&gt;0,O25,AI25*Config!$C$9),0))</f>
        <v/>
      </c>
      <c r="AK25" s="20">
        <f>IF(COUNT(C25:O25)=0,"",IFERROR(AJ25*(1-Config!$C$10-Config!$C$11-Config!$C$12),0))</f>
        <v/>
      </c>
      <c r="AL25" s="20">
        <f>IF(COUNT(C25:O25)=0,"",IFERROR(AK25-C25-Config!$C$13,0))</f>
        <v/>
      </c>
      <c r="AM25" s="21">
        <f>IF(COUNT(C25:O25)=0,"",IFERROR(AK25/C25,0))</f>
        <v/>
      </c>
      <c r="AN25" s="21">
        <f>IF(COUNT(C25:O25)=0,"",IFERROR(AI25/C25,0))</f>
        <v/>
      </c>
      <c r="AO25" s="15">
        <f>IF(COUNT(C25:O25)=0,"",IFERROR(AL25/G25,0))</f>
        <v/>
      </c>
      <c r="AP25" s="21">
        <f>IF(COUNT(C25:O25)=0,"",IFERROR(AO25/U25,0))</f>
        <v/>
      </c>
      <c r="AQ25" s="15">
        <f>IF(COUNT(C25:O25)=0,"",IFERROR(AL25/H25,0))</f>
        <v/>
      </c>
    </row>
    <row r="26">
      <c r="A26" s="12">
        <f>Config!$C$6+20</f>
        <v/>
      </c>
      <c r="B26" s="13">
        <f>INT((A26-Config!$C$6)/7)+1</f>
        <v/>
      </c>
      <c r="C26" s="10" t="n">
        <v>135</v>
      </c>
      <c r="D26" s="14" t="n">
        <v>12737</v>
      </c>
      <c r="E26" s="14" t="n">
        <v>10255</v>
      </c>
      <c r="F26" s="14" t="n">
        <v>196</v>
      </c>
      <c r="G26" s="14" t="n">
        <v>166</v>
      </c>
      <c r="H26" s="14" t="n">
        <v>43</v>
      </c>
      <c r="I26" s="14" t="n">
        <v>5</v>
      </c>
      <c r="J26" s="14" t="n">
        <v>3</v>
      </c>
      <c r="K26" s="14" t="n">
        <v>2</v>
      </c>
      <c r="L26" s="14" t="n">
        <v>1</v>
      </c>
      <c r="M26" s="14" t="n">
        <v>0</v>
      </c>
      <c r="N26" s="14" t="n">
        <v>0</v>
      </c>
      <c r="O26" s="10" t="n">
        <v>0</v>
      </c>
      <c r="P26" s="15">
        <f>IF(COUNT(C26:O26)=0,"",IFERROR(C26/D26*1000,0))</f>
        <v/>
      </c>
      <c r="Q26" s="16">
        <f>IF(COUNT(C26:O26)=0,"",IFERROR(D26/E26,0))</f>
        <v/>
      </c>
      <c r="R26" s="17">
        <f>IF(COUNT(C26:O26)=0,"",IFERROR(F26/D26,0))</f>
        <v/>
      </c>
      <c r="S26" s="15">
        <f>IF(COUNT(C26:O26)=0,"",IFERROR(C26/F26,0))</f>
        <v/>
      </c>
      <c r="T26" s="18">
        <f>IF(COUNT(C26:O26)=0,"",IFERROR(G26/F26,0))</f>
        <v/>
      </c>
      <c r="U26" s="15">
        <f>IF(COUNT(C26:O26)=0,"",IFERROR(C26/G26,0))</f>
        <v/>
      </c>
      <c r="V26" s="19">
        <f>IF(COUNT(C26:O26)=0,"",IFERROR(G26/D26*1000,0))</f>
        <v/>
      </c>
      <c r="W26" s="18">
        <f>IF(COUNT(C26:O26)=0,"",IFERROR(H26/G26,0))</f>
        <v/>
      </c>
      <c r="X26" s="15">
        <f>IF(COUNT(C26:O26)=0,"",IFERROR(C26/H26,0))</f>
        <v/>
      </c>
      <c r="Y26" s="18">
        <f>IF(COUNT(C26:O26)=0,"",IFERROR(X26/P26,0))</f>
        <v/>
      </c>
      <c r="Z26" s="19">
        <f>IF(COUNT(C26:O26)=0,"",IFERROR(H26/D26*1000,0))</f>
        <v/>
      </c>
      <c r="AA26" s="18">
        <f>IF(COUNT(C26:O26)=0,"",IFERROR(I26/H26,0))</f>
        <v/>
      </c>
      <c r="AB26" s="18">
        <f>IF(COUNT(C26:O26)=0,"",IFERROR(J26/I26,0))</f>
        <v/>
      </c>
      <c r="AC26" s="18">
        <f>IF(COUNT(C26:O26)=0,"",IFERROR(K26/J26,0))</f>
        <v/>
      </c>
      <c r="AD26" s="15">
        <f>IF(COUNT(C26:O26)=0,"",IFERROR(C26/K26,0))</f>
        <v/>
      </c>
      <c r="AE26" s="18">
        <f>IF(COUNT(C26:O26)=0,"",IFERROR(L26/K26,0))</f>
        <v/>
      </c>
      <c r="AF26" s="18">
        <f>IF(COUNT(C26:O26)=0,"",IFERROR(M26/L26,0))</f>
        <v/>
      </c>
      <c r="AG26" s="17">
        <f>IF(COUNT(C26:O26)=0,"",IFERROR(M26/H26,0))</f>
        <v/>
      </c>
      <c r="AH26" s="15">
        <f>IF(COUNT(C26:O26)=0,"",IFERROR(C26/M26,0))</f>
        <v/>
      </c>
      <c r="AI26" s="20">
        <f>IF(COUNT(C26:O26)=0,"",IFERROR(M26*Config!$C$7+N26*Config!$C$8,0))</f>
        <v/>
      </c>
      <c r="AJ26" s="20">
        <f>IF(COUNT(C26:O26)=0,"",IFERROR(IF(O26&gt;0,O26,AI26*Config!$C$9),0))</f>
        <v/>
      </c>
      <c r="AK26" s="20">
        <f>IF(COUNT(C26:O26)=0,"",IFERROR(AJ26*(1-Config!$C$10-Config!$C$11-Config!$C$12),0))</f>
        <v/>
      </c>
      <c r="AL26" s="20">
        <f>IF(COUNT(C26:O26)=0,"",IFERROR(AK26-C26-Config!$C$13,0))</f>
        <v/>
      </c>
      <c r="AM26" s="21">
        <f>IF(COUNT(C26:O26)=0,"",IFERROR(AK26/C26,0))</f>
        <v/>
      </c>
      <c r="AN26" s="21">
        <f>IF(COUNT(C26:O26)=0,"",IFERROR(AI26/C26,0))</f>
        <v/>
      </c>
      <c r="AO26" s="15">
        <f>IF(COUNT(C26:O26)=0,"",IFERROR(AL26/G26,0))</f>
        <v/>
      </c>
      <c r="AP26" s="21">
        <f>IF(COUNT(C26:O26)=0,"",IFERROR(AO26/U26,0))</f>
        <v/>
      </c>
      <c r="AQ26" s="15">
        <f>IF(COUNT(C26:O26)=0,"",IFERROR(AL26/H26,0))</f>
        <v/>
      </c>
    </row>
    <row r="27">
      <c r="A27" s="12">
        <f>Config!$C$6+21</f>
        <v/>
      </c>
      <c r="B27" s="13">
        <f>INT((A27-Config!$C$6)/7)+1</f>
        <v/>
      </c>
      <c r="C27" s="10" t="n">
        <v>141</v>
      </c>
      <c r="D27" s="14" t="n">
        <v>15997</v>
      </c>
      <c r="E27" s="14" t="n">
        <v>12000</v>
      </c>
      <c r="F27" s="14" t="n">
        <v>250</v>
      </c>
      <c r="G27" s="14" t="n">
        <v>198</v>
      </c>
      <c r="H27" s="14" t="n">
        <v>51</v>
      </c>
      <c r="I27" s="14" t="n">
        <v>6</v>
      </c>
      <c r="J27" s="14" t="n">
        <v>4</v>
      </c>
      <c r="K27" s="14" t="n">
        <v>2</v>
      </c>
      <c r="L27" s="14" t="n">
        <v>2</v>
      </c>
      <c r="M27" s="14" t="n">
        <v>0</v>
      </c>
      <c r="N27" s="14" t="n">
        <v>0</v>
      </c>
      <c r="O27" s="10" t="n">
        <v>0</v>
      </c>
      <c r="P27" s="15">
        <f>IF(COUNT(C27:O27)=0,"",IFERROR(C27/D27*1000,0))</f>
        <v/>
      </c>
      <c r="Q27" s="16">
        <f>IF(COUNT(C27:O27)=0,"",IFERROR(D27/E27,0))</f>
        <v/>
      </c>
      <c r="R27" s="17">
        <f>IF(COUNT(C27:O27)=0,"",IFERROR(F27/D27,0))</f>
        <v/>
      </c>
      <c r="S27" s="15">
        <f>IF(COUNT(C27:O27)=0,"",IFERROR(C27/F27,0))</f>
        <v/>
      </c>
      <c r="T27" s="18">
        <f>IF(COUNT(C27:O27)=0,"",IFERROR(G27/F27,0))</f>
        <v/>
      </c>
      <c r="U27" s="15">
        <f>IF(COUNT(C27:O27)=0,"",IFERROR(C27/G27,0))</f>
        <v/>
      </c>
      <c r="V27" s="19">
        <f>IF(COUNT(C27:O27)=0,"",IFERROR(G27/D27*1000,0))</f>
        <v/>
      </c>
      <c r="W27" s="18">
        <f>IF(COUNT(C27:O27)=0,"",IFERROR(H27/G27,0))</f>
        <v/>
      </c>
      <c r="X27" s="15">
        <f>IF(COUNT(C27:O27)=0,"",IFERROR(C27/H27,0))</f>
        <v/>
      </c>
      <c r="Y27" s="18">
        <f>IF(COUNT(C27:O27)=0,"",IFERROR(X27/P27,0))</f>
        <v/>
      </c>
      <c r="Z27" s="19">
        <f>IF(COUNT(C27:O27)=0,"",IFERROR(H27/D27*1000,0))</f>
        <v/>
      </c>
      <c r="AA27" s="18">
        <f>IF(COUNT(C27:O27)=0,"",IFERROR(I27/H27,0))</f>
        <v/>
      </c>
      <c r="AB27" s="18">
        <f>IF(COUNT(C27:O27)=0,"",IFERROR(J27/I27,0))</f>
        <v/>
      </c>
      <c r="AC27" s="18">
        <f>IF(COUNT(C27:O27)=0,"",IFERROR(K27/J27,0))</f>
        <v/>
      </c>
      <c r="AD27" s="15">
        <f>IF(COUNT(C27:O27)=0,"",IFERROR(C27/K27,0))</f>
        <v/>
      </c>
      <c r="AE27" s="18">
        <f>IF(COUNT(C27:O27)=0,"",IFERROR(L27/K27,0))</f>
        <v/>
      </c>
      <c r="AF27" s="18">
        <f>IF(COUNT(C27:O27)=0,"",IFERROR(M27/L27,0))</f>
        <v/>
      </c>
      <c r="AG27" s="17">
        <f>IF(COUNT(C27:O27)=0,"",IFERROR(M27/H27,0))</f>
        <v/>
      </c>
      <c r="AH27" s="15">
        <f>IF(COUNT(C27:O27)=0,"",IFERROR(C27/M27,0))</f>
        <v/>
      </c>
      <c r="AI27" s="20">
        <f>IF(COUNT(C27:O27)=0,"",IFERROR(M27*Config!$C$7+N27*Config!$C$8,0))</f>
        <v/>
      </c>
      <c r="AJ27" s="20">
        <f>IF(COUNT(C27:O27)=0,"",IFERROR(IF(O27&gt;0,O27,AI27*Config!$C$9),0))</f>
        <v/>
      </c>
      <c r="AK27" s="20">
        <f>IF(COUNT(C27:O27)=0,"",IFERROR(AJ27*(1-Config!$C$10-Config!$C$11-Config!$C$12),0))</f>
        <v/>
      </c>
      <c r="AL27" s="20">
        <f>IF(COUNT(C27:O27)=0,"",IFERROR(AK27-C27-Config!$C$13,0))</f>
        <v/>
      </c>
      <c r="AM27" s="21">
        <f>IF(COUNT(C27:O27)=0,"",IFERROR(AK27/C27,0))</f>
        <v/>
      </c>
      <c r="AN27" s="21">
        <f>IF(COUNT(C27:O27)=0,"",IFERROR(AI27/C27,0))</f>
        <v/>
      </c>
      <c r="AO27" s="15">
        <f>IF(COUNT(C27:O27)=0,"",IFERROR(AL27/G27,0))</f>
        <v/>
      </c>
      <c r="AP27" s="21">
        <f>IF(COUNT(C27:O27)=0,"",IFERROR(AO27/U27,0))</f>
        <v/>
      </c>
      <c r="AQ27" s="15">
        <f>IF(COUNT(C27:O27)=0,"",IFERROR(AL27/H27,0))</f>
        <v/>
      </c>
    </row>
    <row r="28">
      <c r="A28" s="12">
        <f>Config!$C$6+22</f>
        <v/>
      </c>
      <c r="B28" s="13">
        <f>INT((A28-Config!$C$6)/7)+1</f>
        <v/>
      </c>
      <c r="C28" s="10" t="n">
        <v>144</v>
      </c>
      <c r="D28" s="14" t="n">
        <v>13827</v>
      </c>
      <c r="E28" s="14" t="n">
        <v>10646</v>
      </c>
      <c r="F28" s="14" t="n">
        <v>204</v>
      </c>
      <c r="G28" s="14" t="n">
        <v>186</v>
      </c>
      <c r="H28" s="14" t="n">
        <v>57</v>
      </c>
      <c r="I28" s="14" t="n">
        <v>7</v>
      </c>
      <c r="J28" s="14" t="n">
        <v>4</v>
      </c>
      <c r="K28" s="14" t="n">
        <v>3</v>
      </c>
      <c r="L28" s="14" t="n">
        <v>2</v>
      </c>
      <c r="M28" s="14" t="n">
        <v>0</v>
      </c>
      <c r="N28" s="14" t="n">
        <v>0</v>
      </c>
      <c r="O28" s="10" t="n">
        <v>0</v>
      </c>
      <c r="P28" s="15">
        <f>IF(COUNT(C28:O28)=0,"",IFERROR(C28/D28*1000,0))</f>
        <v/>
      </c>
      <c r="Q28" s="16">
        <f>IF(COUNT(C28:O28)=0,"",IFERROR(D28/E28,0))</f>
        <v/>
      </c>
      <c r="R28" s="17">
        <f>IF(COUNT(C28:O28)=0,"",IFERROR(F28/D28,0))</f>
        <v/>
      </c>
      <c r="S28" s="15">
        <f>IF(COUNT(C28:O28)=0,"",IFERROR(C28/F28,0))</f>
        <v/>
      </c>
      <c r="T28" s="18">
        <f>IF(COUNT(C28:O28)=0,"",IFERROR(G28/F28,0))</f>
        <v/>
      </c>
      <c r="U28" s="15">
        <f>IF(COUNT(C28:O28)=0,"",IFERROR(C28/G28,0))</f>
        <v/>
      </c>
      <c r="V28" s="19">
        <f>IF(COUNT(C28:O28)=0,"",IFERROR(G28/D28*1000,0))</f>
        <v/>
      </c>
      <c r="W28" s="18">
        <f>IF(COUNT(C28:O28)=0,"",IFERROR(H28/G28,0))</f>
        <v/>
      </c>
      <c r="X28" s="15">
        <f>IF(COUNT(C28:O28)=0,"",IFERROR(C28/H28,0))</f>
        <v/>
      </c>
      <c r="Y28" s="18">
        <f>IF(COUNT(C28:O28)=0,"",IFERROR(X28/P28,0))</f>
        <v/>
      </c>
      <c r="Z28" s="19">
        <f>IF(COUNT(C28:O28)=0,"",IFERROR(H28/D28*1000,0))</f>
        <v/>
      </c>
      <c r="AA28" s="18">
        <f>IF(COUNT(C28:O28)=0,"",IFERROR(I28/H28,0))</f>
        <v/>
      </c>
      <c r="AB28" s="18">
        <f>IF(COUNT(C28:O28)=0,"",IFERROR(J28/I28,0))</f>
        <v/>
      </c>
      <c r="AC28" s="18">
        <f>IF(COUNT(C28:O28)=0,"",IFERROR(K28/J28,0))</f>
        <v/>
      </c>
      <c r="AD28" s="15">
        <f>IF(COUNT(C28:O28)=0,"",IFERROR(C28/K28,0))</f>
        <v/>
      </c>
      <c r="AE28" s="18">
        <f>IF(COUNT(C28:O28)=0,"",IFERROR(L28/K28,0))</f>
        <v/>
      </c>
      <c r="AF28" s="18">
        <f>IF(COUNT(C28:O28)=0,"",IFERROR(M28/L28,0))</f>
        <v/>
      </c>
      <c r="AG28" s="17">
        <f>IF(COUNT(C28:O28)=0,"",IFERROR(M28/H28,0))</f>
        <v/>
      </c>
      <c r="AH28" s="15">
        <f>IF(COUNT(C28:O28)=0,"",IFERROR(C28/M28,0))</f>
        <v/>
      </c>
      <c r="AI28" s="20">
        <f>IF(COUNT(C28:O28)=0,"",IFERROR(M28*Config!$C$7+N28*Config!$C$8,0))</f>
        <v/>
      </c>
      <c r="AJ28" s="20">
        <f>IF(COUNT(C28:O28)=0,"",IFERROR(IF(O28&gt;0,O28,AI28*Config!$C$9),0))</f>
        <v/>
      </c>
      <c r="AK28" s="20">
        <f>IF(COUNT(C28:O28)=0,"",IFERROR(AJ28*(1-Config!$C$10-Config!$C$11-Config!$C$12),0))</f>
        <v/>
      </c>
      <c r="AL28" s="20">
        <f>IF(COUNT(C28:O28)=0,"",IFERROR(AK28-C28-Config!$C$13,0))</f>
        <v/>
      </c>
      <c r="AM28" s="21">
        <f>IF(COUNT(C28:O28)=0,"",IFERROR(AK28/C28,0))</f>
        <v/>
      </c>
      <c r="AN28" s="21">
        <f>IF(COUNT(C28:O28)=0,"",IFERROR(AI28/C28,0))</f>
        <v/>
      </c>
      <c r="AO28" s="15">
        <f>IF(COUNT(C28:O28)=0,"",IFERROR(AL28/G28,0))</f>
        <v/>
      </c>
      <c r="AP28" s="21">
        <f>IF(COUNT(C28:O28)=0,"",IFERROR(AO28/U28,0))</f>
        <v/>
      </c>
      <c r="AQ28" s="15">
        <f>IF(COUNT(C28:O28)=0,"",IFERROR(AL28/H28,0))</f>
        <v/>
      </c>
    </row>
    <row r="29">
      <c r="A29" s="12">
        <f>Config!$C$6+23</f>
        <v/>
      </c>
      <c r="B29" s="13">
        <f>INT((A29-Config!$C$6)/7)+1</f>
        <v/>
      </c>
      <c r="C29" s="10" t="n">
        <v>137</v>
      </c>
      <c r="D29" s="14" t="n">
        <v>13702</v>
      </c>
      <c r="E29" s="14" t="n">
        <v>9055</v>
      </c>
      <c r="F29" s="14" t="n">
        <v>223</v>
      </c>
      <c r="G29" s="14" t="n">
        <v>199</v>
      </c>
      <c r="H29" s="14" t="n">
        <v>62</v>
      </c>
      <c r="I29" s="14" t="n">
        <v>5</v>
      </c>
      <c r="J29" s="14" t="n">
        <v>3</v>
      </c>
      <c r="K29" s="14" t="n">
        <v>2</v>
      </c>
      <c r="L29" s="14" t="n">
        <v>1</v>
      </c>
      <c r="M29" s="14" t="n">
        <v>1</v>
      </c>
      <c r="N29" s="14" t="n">
        <v>0</v>
      </c>
      <c r="O29" s="10" t="n">
        <v>900</v>
      </c>
      <c r="P29" s="15">
        <f>IF(COUNT(C29:O29)=0,"",IFERROR(C29/D29*1000,0))</f>
        <v/>
      </c>
      <c r="Q29" s="16">
        <f>IF(COUNT(C29:O29)=0,"",IFERROR(D29/E29,0))</f>
        <v/>
      </c>
      <c r="R29" s="17">
        <f>IF(COUNT(C29:O29)=0,"",IFERROR(F29/D29,0))</f>
        <v/>
      </c>
      <c r="S29" s="15">
        <f>IF(COUNT(C29:O29)=0,"",IFERROR(C29/F29,0))</f>
        <v/>
      </c>
      <c r="T29" s="18">
        <f>IF(COUNT(C29:O29)=0,"",IFERROR(G29/F29,0))</f>
        <v/>
      </c>
      <c r="U29" s="15">
        <f>IF(COUNT(C29:O29)=0,"",IFERROR(C29/G29,0))</f>
        <v/>
      </c>
      <c r="V29" s="19">
        <f>IF(COUNT(C29:O29)=0,"",IFERROR(G29/D29*1000,0))</f>
        <v/>
      </c>
      <c r="W29" s="18">
        <f>IF(COUNT(C29:O29)=0,"",IFERROR(H29/G29,0))</f>
        <v/>
      </c>
      <c r="X29" s="15">
        <f>IF(COUNT(C29:O29)=0,"",IFERROR(C29/H29,0))</f>
        <v/>
      </c>
      <c r="Y29" s="18">
        <f>IF(COUNT(C29:O29)=0,"",IFERROR(X29/P29,0))</f>
        <v/>
      </c>
      <c r="Z29" s="19">
        <f>IF(COUNT(C29:O29)=0,"",IFERROR(H29/D29*1000,0))</f>
        <v/>
      </c>
      <c r="AA29" s="18">
        <f>IF(COUNT(C29:O29)=0,"",IFERROR(I29/H29,0))</f>
        <v/>
      </c>
      <c r="AB29" s="18">
        <f>IF(COUNT(C29:O29)=0,"",IFERROR(J29/I29,0))</f>
        <v/>
      </c>
      <c r="AC29" s="18">
        <f>IF(COUNT(C29:O29)=0,"",IFERROR(K29/J29,0))</f>
        <v/>
      </c>
      <c r="AD29" s="15">
        <f>IF(COUNT(C29:O29)=0,"",IFERROR(C29/K29,0))</f>
        <v/>
      </c>
      <c r="AE29" s="18">
        <f>IF(COUNT(C29:O29)=0,"",IFERROR(L29/K29,0))</f>
        <v/>
      </c>
      <c r="AF29" s="18">
        <f>IF(COUNT(C29:O29)=0,"",IFERROR(M29/L29,0))</f>
        <v/>
      </c>
      <c r="AG29" s="17">
        <f>IF(COUNT(C29:O29)=0,"",IFERROR(M29/H29,0))</f>
        <v/>
      </c>
      <c r="AH29" s="15">
        <f>IF(COUNT(C29:O29)=0,"",IFERROR(C29/M29,0))</f>
        <v/>
      </c>
      <c r="AI29" s="20">
        <f>IF(COUNT(C29:O29)=0,"",IFERROR(M29*Config!$C$7+N29*Config!$C$8,0))</f>
        <v/>
      </c>
      <c r="AJ29" s="20">
        <f>IF(COUNT(C29:O29)=0,"",IFERROR(IF(O29&gt;0,O29,AI29*Config!$C$9),0))</f>
        <v/>
      </c>
      <c r="AK29" s="20">
        <f>IF(COUNT(C29:O29)=0,"",IFERROR(AJ29*(1-Config!$C$10-Config!$C$11-Config!$C$12),0))</f>
        <v/>
      </c>
      <c r="AL29" s="20">
        <f>IF(COUNT(C29:O29)=0,"",IFERROR(AK29-C29-Config!$C$13,0))</f>
        <v/>
      </c>
      <c r="AM29" s="21">
        <f>IF(COUNT(C29:O29)=0,"",IFERROR(AK29/C29,0))</f>
        <v/>
      </c>
      <c r="AN29" s="21">
        <f>IF(COUNT(C29:O29)=0,"",IFERROR(AI29/C29,0))</f>
        <v/>
      </c>
      <c r="AO29" s="15">
        <f>IF(COUNT(C29:O29)=0,"",IFERROR(AL29/G29,0))</f>
        <v/>
      </c>
      <c r="AP29" s="21">
        <f>IF(COUNT(C29:O29)=0,"",IFERROR(AO29/U29,0))</f>
        <v/>
      </c>
      <c r="AQ29" s="15">
        <f>IF(COUNT(C29:O29)=0,"",IFERROR(AL29/H29,0))</f>
        <v/>
      </c>
    </row>
    <row r="30">
      <c r="A30" s="12">
        <f>Config!$C$6+24</f>
        <v/>
      </c>
      <c r="B30" s="13">
        <f>INT((A30-Config!$C$6)/7)+1</f>
        <v/>
      </c>
      <c r="C30" s="10" t="n">
        <v>142</v>
      </c>
      <c r="D30" s="14" t="n">
        <v>15236</v>
      </c>
      <c r="E30" s="14" t="n">
        <v>11112</v>
      </c>
      <c r="F30" s="14" t="n">
        <v>235</v>
      </c>
      <c r="G30" s="14" t="n">
        <v>200</v>
      </c>
      <c r="H30" s="14" t="n">
        <v>53</v>
      </c>
      <c r="I30" s="14" t="n">
        <v>6</v>
      </c>
      <c r="J30" s="14" t="n">
        <v>4</v>
      </c>
      <c r="K30" s="14" t="n">
        <v>2</v>
      </c>
      <c r="L30" s="14" t="n">
        <v>2</v>
      </c>
      <c r="M30" s="14" t="n">
        <v>0</v>
      </c>
      <c r="N30" s="14" t="n">
        <v>0</v>
      </c>
      <c r="O30" s="10" t="n">
        <v>300</v>
      </c>
      <c r="P30" s="15">
        <f>IF(COUNT(C30:O30)=0,"",IFERROR(C30/D30*1000,0))</f>
        <v/>
      </c>
      <c r="Q30" s="16">
        <f>IF(COUNT(C30:O30)=0,"",IFERROR(D30/E30,0))</f>
        <v/>
      </c>
      <c r="R30" s="17">
        <f>IF(COUNT(C30:O30)=0,"",IFERROR(F30/D30,0))</f>
        <v/>
      </c>
      <c r="S30" s="15">
        <f>IF(COUNT(C30:O30)=0,"",IFERROR(C30/F30,0))</f>
        <v/>
      </c>
      <c r="T30" s="18">
        <f>IF(COUNT(C30:O30)=0,"",IFERROR(G30/F30,0))</f>
        <v/>
      </c>
      <c r="U30" s="15">
        <f>IF(COUNT(C30:O30)=0,"",IFERROR(C30/G30,0))</f>
        <v/>
      </c>
      <c r="V30" s="19">
        <f>IF(COUNT(C30:O30)=0,"",IFERROR(G30/D30*1000,0))</f>
        <v/>
      </c>
      <c r="W30" s="18">
        <f>IF(COUNT(C30:O30)=0,"",IFERROR(H30/G30,0))</f>
        <v/>
      </c>
      <c r="X30" s="15">
        <f>IF(COUNT(C30:O30)=0,"",IFERROR(C30/H30,0))</f>
        <v/>
      </c>
      <c r="Y30" s="18">
        <f>IF(COUNT(C30:O30)=0,"",IFERROR(X30/P30,0))</f>
        <v/>
      </c>
      <c r="Z30" s="19">
        <f>IF(COUNT(C30:O30)=0,"",IFERROR(H30/D30*1000,0))</f>
        <v/>
      </c>
      <c r="AA30" s="18">
        <f>IF(COUNT(C30:O30)=0,"",IFERROR(I30/H30,0))</f>
        <v/>
      </c>
      <c r="AB30" s="18">
        <f>IF(COUNT(C30:O30)=0,"",IFERROR(J30/I30,0))</f>
        <v/>
      </c>
      <c r="AC30" s="18">
        <f>IF(COUNT(C30:O30)=0,"",IFERROR(K30/J30,0))</f>
        <v/>
      </c>
      <c r="AD30" s="15">
        <f>IF(COUNT(C30:O30)=0,"",IFERROR(C30/K30,0))</f>
        <v/>
      </c>
      <c r="AE30" s="18">
        <f>IF(COUNT(C30:O30)=0,"",IFERROR(L30/K30,0))</f>
        <v/>
      </c>
      <c r="AF30" s="18">
        <f>IF(COUNT(C30:O30)=0,"",IFERROR(M30/L30,0))</f>
        <v/>
      </c>
      <c r="AG30" s="17">
        <f>IF(COUNT(C30:O30)=0,"",IFERROR(M30/H30,0))</f>
        <v/>
      </c>
      <c r="AH30" s="15">
        <f>IF(COUNT(C30:O30)=0,"",IFERROR(C30/M30,0))</f>
        <v/>
      </c>
      <c r="AI30" s="20">
        <f>IF(COUNT(C30:O30)=0,"",IFERROR(M30*Config!$C$7+N30*Config!$C$8,0))</f>
        <v/>
      </c>
      <c r="AJ30" s="20">
        <f>IF(COUNT(C30:O30)=0,"",IFERROR(IF(O30&gt;0,O30,AI30*Config!$C$9),0))</f>
        <v/>
      </c>
      <c r="AK30" s="20">
        <f>IF(COUNT(C30:O30)=0,"",IFERROR(AJ30*(1-Config!$C$10-Config!$C$11-Config!$C$12),0))</f>
        <v/>
      </c>
      <c r="AL30" s="20">
        <f>IF(COUNT(C30:O30)=0,"",IFERROR(AK30-C30-Config!$C$13,0))</f>
        <v/>
      </c>
      <c r="AM30" s="21">
        <f>IF(COUNT(C30:O30)=0,"",IFERROR(AK30/C30,0))</f>
        <v/>
      </c>
      <c r="AN30" s="21">
        <f>IF(COUNT(C30:O30)=0,"",IFERROR(AI30/C30,0))</f>
        <v/>
      </c>
      <c r="AO30" s="15">
        <f>IF(COUNT(C30:O30)=0,"",IFERROR(AL30/G30,0))</f>
        <v/>
      </c>
      <c r="AP30" s="21">
        <f>IF(COUNT(C30:O30)=0,"",IFERROR(AO30/U30,0))</f>
        <v/>
      </c>
      <c r="AQ30" s="15">
        <f>IF(COUNT(C30:O30)=0,"",IFERROR(AL30/H30,0))</f>
        <v/>
      </c>
    </row>
    <row r="31">
      <c r="A31" s="12">
        <f>Config!$C$6+25</f>
        <v/>
      </c>
      <c r="B31" s="13">
        <f>INT((A31-Config!$C$6)/7)+1</f>
        <v/>
      </c>
      <c r="C31" s="10" t="n">
        <v>133</v>
      </c>
      <c r="D31" s="14" t="n">
        <v>12220</v>
      </c>
      <c r="E31" s="14" t="n">
        <v>9808</v>
      </c>
      <c r="F31" s="14" t="n">
        <v>192</v>
      </c>
      <c r="G31" s="14" t="n">
        <v>166</v>
      </c>
      <c r="H31" s="14" t="n">
        <v>44</v>
      </c>
      <c r="I31" s="14" t="n">
        <v>5</v>
      </c>
      <c r="J31" s="14" t="n">
        <v>3</v>
      </c>
      <c r="K31" s="14" t="n">
        <v>2</v>
      </c>
      <c r="L31" s="14" t="n">
        <v>1</v>
      </c>
      <c r="M31" s="14" t="n">
        <v>1</v>
      </c>
      <c r="N31" s="14" t="n">
        <v>0</v>
      </c>
      <c r="O31" s="10" t="n">
        <v>1200</v>
      </c>
      <c r="P31" s="15">
        <f>IF(COUNT(C31:O31)=0,"",IFERROR(C31/D31*1000,0))</f>
        <v/>
      </c>
      <c r="Q31" s="16">
        <f>IF(COUNT(C31:O31)=0,"",IFERROR(D31/E31,0))</f>
        <v/>
      </c>
      <c r="R31" s="17">
        <f>IF(COUNT(C31:O31)=0,"",IFERROR(F31/D31,0))</f>
        <v/>
      </c>
      <c r="S31" s="15">
        <f>IF(COUNT(C31:O31)=0,"",IFERROR(C31/F31,0))</f>
        <v/>
      </c>
      <c r="T31" s="18">
        <f>IF(COUNT(C31:O31)=0,"",IFERROR(G31/F31,0))</f>
        <v/>
      </c>
      <c r="U31" s="15">
        <f>IF(COUNT(C31:O31)=0,"",IFERROR(C31/G31,0))</f>
        <v/>
      </c>
      <c r="V31" s="19">
        <f>IF(COUNT(C31:O31)=0,"",IFERROR(G31/D31*1000,0))</f>
        <v/>
      </c>
      <c r="W31" s="18">
        <f>IF(COUNT(C31:O31)=0,"",IFERROR(H31/G31,0))</f>
        <v/>
      </c>
      <c r="X31" s="15">
        <f>IF(COUNT(C31:O31)=0,"",IFERROR(C31/H31,0))</f>
        <v/>
      </c>
      <c r="Y31" s="18">
        <f>IF(COUNT(C31:O31)=0,"",IFERROR(X31/P31,0))</f>
        <v/>
      </c>
      <c r="Z31" s="19">
        <f>IF(COUNT(C31:O31)=0,"",IFERROR(H31/D31*1000,0))</f>
        <v/>
      </c>
      <c r="AA31" s="18">
        <f>IF(COUNT(C31:O31)=0,"",IFERROR(I31/H31,0))</f>
        <v/>
      </c>
      <c r="AB31" s="18">
        <f>IF(COUNT(C31:O31)=0,"",IFERROR(J31/I31,0))</f>
        <v/>
      </c>
      <c r="AC31" s="18">
        <f>IF(COUNT(C31:O31)=0,"",IFERROR(K31/J31,0))</f>
        <v/>
      </c>
      <c r="AD31" s="15">
        <f>IF(COUNT(C31:O31)=0,"",IFERROR(C31/K31,0))</f>
        <v/>
      </c>
      <c r="AE31" s="18">
        <f>IF(COUNT(C31:O31)=0,"",IFERROR(L31/K31,0))</f>
        <v/>
      </c>
      <c r="AF31" s="18">
        <f>IF(COUNT(C31:O31)=0,"",IFERROR(M31/L31,0))</f>
        <v/>
      </c>
      <c r="AG31" s="17">
        <f>IF(COUNT(C31:O31)=0,"",IFERROR(M31/H31,0))</f>
        <v/>
      </c>
      <c r="AH31" s="15">
        <f>IF(COUNT(C31:O31)=0,"",IFERROR(C31/M31,0))</f>
        <v/>
      </c>
      <c r="AI31" s="20">
        <f>IF(COUNT(C31:O31)=0,"",IFERROR(M31*Config!$C$7+N31*Config!$C$8,0))</f>
        <v/>
      </c>
      <c r="AJ31" s="20">
        <f>IF(COUNT(C31:O31)=0,"",IFERROR(IF(O31&gt;0,O31,AI31*Config!$C$9),0))</f>
        <v/>
      </c>
      <c r="AK31" s="20">
        <f>IF(COUNT(C31:O31)=0,"",IFERROR(AJ31*(1-Config!$C$10-Config!$C$11-Config!$C$12),0))</f>
        <v/>
      </c>
      <c r="AL31" s="20">
        <f>IF(COUNT(C31:O31)=0,"",IFERROR(AK31-C31-Config!$C$13,0))</f>
        <v/>
      </c>
      <c r="AM31" s="21">
        <f>IF(COUNT(C31:O31)=0,"",IFERROR(AK31/C31,0))</f>
        <v/>
      </c>
      <c r="AN31" s="21">
        <f>IF(COUNT(C31:O31)=0,"",IFERROR(AI31/C31,0))</f>
        <v/>
      </c>
      <c r="AO31" s="15">
        <f>IF(COUNT(C31:O31)=0,"",IFERROR(AL31/G31,0))</f>
        <v/>
      </c>
      <c r="AP31" s="21">
        <f>IF(COUNT(C31:O31)=0,"",IFERROR(AO31/U31,0))</f>
        <v/>
      </c>
      <c r="AQ31" s="15">
        <f>IF(COUNT(C31:O31)=0,"",IFERROR(AL31/H31,0))</f>
        <v/>
      </c>
    </row>
    <row r="32">
      <c r="A32" s="12">
        <f>Config!$C$6+26</f>
        <v/>
      </c>
      <c r="B32" s="13">
        <f>INT((A32-Config!$C$6)/7)+1</f>
        <v/>
      </c>
      <c r="C32" s="10" t="n">
        <v>148</v>
      </c>
      <c r="D32" s="14" t="n">
        <v>16748</v>
      </c>
      <c r="E32" s="14" t="n">
        <v>11086</v>
      </c>
      <c r="F32" s="14" t="n">
        <v>235</v>
      </c>
      <c r="G32" s="14" t="n">
        <v>183</v>
      </c>
      <c r="H32" s="14" t="n">
        <v>46</v>
      </c>
      <c r="I32" s="14" t="n">
        <v>5</v>
      </c>
      <c r="J32" s="14" t="n">
        <v>3</v>
      </c>
      <c r="K32" s="14" t="n">
        <v>2</v>
      </c>
      <c r="L32" s="14" t="n">
        <v>1</v>
      </c>
      <c r="M32" s="14" t="n">
        <v>0</v>
      </c>
      <c r="N32" s="14" t="n">
        <v>0</v>
      </c>
      <c r="O32" s="10" t="n">
        <v>0</v>
      </c>
      <c r="P32" s="15">
        <f>IF(COUNT(C32:O32)=0,"",IFERROR(C32/D32*1000,0))</f>
        <v/>
      </c>
      <c r="Q32" s="16">
        <f>IF(COUNT(C32:O32)=0,"",IFERROR(D32/E32,0))</f>
        <v/>
      </c>
      <c r="R32" s="17">
        <f>IF(COUNT(C32:O32)=0,"",IFERROR(F32/D32,0))</f>
        <v/>
      </c>
      <c r="S32" s="15">
        <f>IF(COUNT(C32:O32)=0,"",IFERROR(C32/F32,0))</f>
        <v/>
      </c>
      <c r="T32" s="18">
        <f>IF(COUNT(C32:O32)=0,"",IFERROR(G32/F32,0))</f>
        <v/>
      </c>
      <c r="U32" s="15">
        <f>IF(COUNT(C32:O32)=0,"",IFERROR(C32/G32,0))</f>
        <v/>
      </c>
      <c r="V32" s="19">
        <f>IF(COUNT(C32:O32)=0,"",IFERROR(G32/D32*1000,0))</f>
        <v/>
      </c>
      <c r="W32" s="18">
        <f>IF(COUNT(C32:O32)=0,"",IFERROR(H32/G32,0))</f>
        <v/>
      </c>
      <c r="X32" s="15">
        <f>IF(COUNT(C32:O32)=0,"",IFERROR(C32/H32,0))</f>
        <v/>
      </c>
      <c r="Y32" s="18">
        <f>IF(COUNT(C32:O32)=0,"",IFERROR(X32/P32,0))</f>
        <v/>
      </c>
      <c r="Z32" s="19">
        <f>IF(COUNT(C32:O32)=0,"",IFERROR(H32/D32*1000,0))</f>
        <v/>
      </c>
      <c r="AA32" s="18">
        <f>IF(COUNT(C32:O32)=0,"",IFERROR(I32/H32,0))</f>
        <v/>
      </c>
      <c r="AB32" s="18">
        <f>IF(COUNT(C32:O32)=0,"",IFERROR(J32/I32,0))</f>
        <v/>
      </c>
      <c r="AC32" s="18">
        <f>IF(COUNT(C32:O32)=0,"",IFERROR(K32/J32,0))</f>
        <v/>
      </c>
      <c r="AD32" s="15">
        <f>IF(COUNT(C32:O32)=0,"",IFERROR(C32/K32,0))</f>
        <v/>
      </c>
      <c r="AE32" s="18">
        <f>IF(COUNT(C32:O32)=0,"",IFERROR(L32/K32,0))</f>
        <v/>
      </c>
      <c r="AF32" s="18">
        <f>IF(COUNT(C32:O32)=0,"",IFERROR(M32/L32,0))</f>
        <v/>
      </c>
      <c r="AG32" s="17">
        <f>IF(COUNT(C32:O32)=0,"",IFERROR(M32/H32,0))</f>
        <v/>
      </c>
      <c r="AH32" s="15">
        <f>IF(COUNT(C32:O32)=0,"",IFERROR(C32/M32,0))</f>
        <v/>
      </c>
      <c r="AI32" s="20">
        <f>IF(COUNT(C32:O32)=0,"",IFERROR(M32*Config!$C$7+N32*Config!$C$8,0))</f>
        <v/>
      </c>
      <c r="AJ32" s="20">
        <f>IF(COUNT(C32:O32)=0,"",IFERROR(IF(O32&gt;0,O32,AI32*Config!$C$9),0))</f>
        <v/>
      </c>
      <c r="AK32" s="20">
        <f>IF(COUNT(C32:O32)=0,"",IFERROR(AJ32*(1-Config!$C$10-Config!$C$11-Config!$C$12),0))</f>
        <v/>
      </c>
      <c r="AL32" s="20">
        <f>IF(COUNT(C32:O32)=0,"",IFERROR(AK32-C32-Config!$C$13,0))</f>
        <v/>
      </c>
      <c r="AM32" s="21">
        <f>IF(COUNT(C32:O32)=0,"",IFERROR(AK32/C32,0))</f>
        <v/>
      </c>
      <c r="AN32" s="21">
        <f>IF(COUNT(C32:O32)=0,"",IFERROR(AI32/C32,0))</f>
        <v/>
      </c>
      <c r="AO32" s="15">
        <f>IF(COUNT(C32:O32)=0,"",IFERROR(AL32/G32,0))</f>
        <v/>
      </c>
      <c r="AP32" s="21">
        <f>IF(COUNT(C32:O32)=0,"",IFERROR(AO32/U32,0))</f>
        <v/>
      </c>
      <c r="AQ32" s="15">
        <f>IF(COUNT(C32:O32)=0,"",IFERROR(AL32/H32,0))</f>
        <v/>
      </c>
    </row>
    <row r="33">
      <c r="A33" s="12">
        <f>Config!$C$6+27</f>
        <v/>
      </c>
      <c r="B33" s="13">
        <f>INT((A33-Config!$C$6)/7)+1</f>
        <v/>
      </c>
      <c r="C33" s="10" t="n">
        <v>161</v>
      </c>
      <c r="D33" s="14" t="n">
        <v>14510</v>
      </c>
      <c r="E33" s="14" t="n">
        <v>9925</v>
      </c>
      <c r="F33" s="14" t="n">
        <v>202</v>
      </c>
      <c r="G33" s="14" t="n">
        <v>171</v>
      </c>
      <c r="H33" s="14" t="n">
        <v>44</v>
      </c>
      <c r="I33" s="14" t="n">
        <v>3</v>
      </c>
      <c r="J33" s="14" t="n">
        <v>2</v>
      </c>
      <c r="K33" s="14" t="n">
        <v>1</v>
      </c>
      <c r="L33" s="14" t="n">
        <v>1</v>
      </c>
      <c r="M33" s="14" t="n">
        <v>0</v>
      </c>
      <c r="N33" s="14" t="n">
        <v>0</v>
      </c>
      <c r="O33" s="10" t="n">
        <v>300</v>
      </c>
      <c r="P33" s="15">
        <f>IF(COUNT(C33:O33)=0,"",IFERROR(C33/D33*1000,0))</f>
        <v/>
      </c>
      <c r="Q33" s="16">
        <f>IF(COUNT(C33:O33)=0,"",IFERROR(D33/E33,0))</f>
        <v/>
      </c>
      <c r="R33" s="17">
        <f>IF(COUNT(C33:O33)=0,"",IFERROR(F33/D33,0))</f>
        <v/>
      </c>
      <c r="S33" s="15">
        <f>IF(COUNT(C33:O33)=0,"",IFERROR(C33/F33,0))</f>
        <v/>
      </c>
      <c r="T33" s="18">
        <f>IF(COUNT(C33:O33)=0,"",IFERROR(G33/F33,0))</f>
        <v/>
      </c>
      <c r="U33" s="15">
        <f>IF(COUNT(C33:O33)=0,"",IFERROR(C33/G33,0))</f>
        <v/>
      </c>
      <c r="V33" s="19">
        <f>IF(COUNT(C33:O33)=0,"",IFERROR(G33/D33*1000,0))</f>
        <v/>
      </c>
      <c r="W33" s="18">
        <f>IF(COUNT(C33:O33)=0,"",IFERROR(H33/G33,0))</f>
        <v/>
      </c>
      <c r="X33" s="15">
        <f>IF(COUNT(C33:O33)=0,"",IFERROR(C33/H33,0))</f>
        <v/>
      </c>
      <c r="Y33" s="18">
        <f>IF(COUNT(C33:O33)=0,"",IFERROR(X33/P33,0))</f>
        <v/>
      </c>
      <c r="Z33" s="19">
        <f>IF(COUNT(C33:O33)=0,"",IFERROR(H33/D33*1000,0))</f>
        <v/>
      </c>
      <c r="AA33" s="18">
        <f>IF(COUNT(C33:O33)=0,"",IFERROR(I33/H33,0))</f>
        <v/>
      </c>
      <c r="AB33" s="18">
        <f>IF(COUNT(C33:O33)=0,"",IFERROR(J33/I33,0))</f>
        <v/>
      </c>
      <c r="AC33" s="18">
        <f>IF(COUNT(C33:O33)=0,"",IFERROR(K33/J33,0))</f>
        <v/>
      </c>
      <c r="AD33" s="15">
        <f>IF(COUNT(C33:O33)=0,"",IFERROR(C33/K33,0))</f>
        <v/>
      </c>
      <c r="AE33" s="18">
        <f>IF(COUNT(C33:O33)=0,"",IFERROR(L33/K33,0))</f>
        <v/>
      </c>
      <c r="AF33" s="18">
        <f>IF(COUNT(C33:O33)=0,"",IFERROR(M33/L33,0))</f>
        <v/>
      </c>
      <c r="AG33" s="17">
        <f>IF(COUNT(C33:O33)=0,"",IFERROR(M33/H33,0))</f>
        <v/>
      </c>
      <c r="AH33" s="15">
        <f>IF(COUNT(C33:O33)=0,"",IFERROR(C33/M33,0))</f>
        <v/>
      </c>
      <c r="AI33" s="20">
        <f>IF(COUNT(C33:O33)=0,"",IFERROR(M33*Config!$C$7+N33*Config!$C$8,0))</f>
        <v/>
      </c>
      <c r="AJ33" s="20">
        <f>IF(COUNT(C33:O33)=0,"",IFERROR(IF(O33&gt;0,O33,AI33*Config!$C$9),0))</f>
        <v/>
      </c>
      <c r="AK33" s="20">
        <f>IF(COUNT(C33:O33)=0,"",IFERROR(AJ33*(1-Config!$C$10-Config!$C$11-Config!$C$12),0))</f>
        <v/>
      </c>
      <c r="AL33" s="20">
        <f>IF(COUNT(C33:O33)=0,"",IFERROR(AK33-C33-Config!$C$13,0))</f>
        <v/>
      </c>
      <c r="AM33" s="21">
        <f>IF(COUNT(C33:O33)=0,"",IFERROR(AK33/C33,0))</f>
        <v/>
      </c>
      <c r="AN33" s="21">
        <f>IF(COUNT(C33:O33)=0,"",IFERROR(AI33/C33,0))</f>
        <v/>
      </c>
      <c r="AO33" s="15">
        <f>IF(COUNT(C33:O33)=0,"",IFERROR(AL33/G33,0))</f>
        <v/>
      </c>
      <c r="AP33" s="21">
        <f>IF(COUNT(C33:O33)=0,"",IFERROR(AO33/U33,0))</f>
        <v/>
      </c>
      <c r="AQ33" s="15">
        <f>IF(COUNT(C33:O33)=0,"",IFERROR(AL33/H33,0))</f>
        <v/>
      </c>
    </row>
    <row r="34">
      <c r="A34" s="12">
        <f>Config!$C$6+28</f>
        <v/>
      </c>
      <c r="B34" s="13">
        <f>INT((A34-Config!$C$6)/7)+1</f>
        <v/>
      </c>
      <c r="C34" s="10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0" t="n"/>
      <c r="P34" s="15">
        <f>IF(COUNT(C34:O34)=0,"",IFERROR(C34/D34*1000,0))</f>
        <v/>
      </c>
      <c r="Q34" s="16">
        <f>IF(COUNT(C34:O34)=0,"",IFERROR(D34/E34,0))</f>
        <v/>
      </c>
      <c r="R34" s="17">
        <f>IF(COUNT(C34:O34)=0,"",IFERROR(F34/D34,0))</f>
        <v/>
      </c>
      <c r="S34" s="15">
        <f>IF(COUNT(C34:O34)=0,"",IFERROR(C34/F34,0))</f>
        <v/>
      </c>
      <c r="T34" s="18">
        <f>IF(COUNT(C34:O34)=0,"",IFERROR(G34/F34,0))</f>
        <v/>
      </c>
      <c r="U34" s="15">
        <f>IF(COUNT(C34:O34)=0,"",IFERROR(C34/G34,0))</f>
        <v/>
      </c>
      <c r="V34" s="19">
        <f>IF(COUNT(C34:O34)=0,"",IFERROR(G34/D34*1000,0))</f>
        <v/>
      </c>
      <c r="W34" s="18">
        <f>IF(COUNT(C34:O34)=0,"",IFERROR(H34/G34,0))</f>
        <v/>
      </c>
      <c r="X34" s="15">
        <f>IF(COUNT(C34:O34)=0,"",IFERROR(C34/H34,0))</f>
        <v/>
      </c>
      <c r="Y34" s="18">
        <f>IF(COUNT(C34:O34)=0,"",IFERROR(X34/P34,0))</f>
        <v/>
      </c>
      <c r="Z34" s="19">
        <f>IF(COUNT(C34:O34)=0,"",IFERROR(H34/D34*1000,0))</f>
        <v/>
      </c>
      <c r="AA34" s="18">
        <f>IF(COUNT(C34:O34)=0,"",IFERROR(I34/H34,0))</f>
        <v/>
      </c>
      <c r="AB34" s="18">
        <f>IF(COUNT(C34:O34)=0,"",IFERROR(J34/I34,0))</f>
        <v/>
      </c>
      <c r="AC34" s="18">
        <f>IF(COUNT(C34:O34)=0,"",IFERROR(K34/J34,0))</f>
        <v/>
      </c>
      <c r="AD34" s="15">
        <f>IF(COUNT(C34:O34)=0,"",IFERROR(C34/K34,0))</f>
        <v/>
      </c>
      <c r="AE34" s="18">
        <f>IF(COUNT(C34:O34)=0,"",IFERROR(L34/K34,0))</f>
        <v/>
      </c>
      <c r="AF34" s="18">
        <f>IF(COUNT(C34:O34)=0,"",IFERROR(M34/L34,0))</f>
        <v/>
      </c>
      <c r="AG34" s="17">
        <f>IF(COUNT(C34:O34)=0,"",IFERROR(M34/H34,0))</f>
        <v/>
      </c>
      <c r="AH34" s="15">
        <f>IF(COUNT(C34:O34)=0,"",IFERROR(C34/M34,0))</f>
        <v/>
      </c>
      <c r="AI34" s="20">
        <f>IF(COUNT(C34:O34)=0,"",IFERROR(M34*Config!$C$7+N34*Config!$C$8,0))</f>
        <v/>
      </c>
      <c r="AJ34" s="20">
        <f>IF(COUNT(C34:O34)=0,"",IFERROR(IF(O34&gt;0,O34,AI34*Config!$C$9),0))</f>
        <v/>
      </c>
      <c r="AK34" s="20">
        <f>IF(COUNT(C34:O34)=0,"",IFERROR(AJ34*(1-Config!$C$10-Config!$C$11-Config!$C$12),0))</f>
        <v/>
      </c>
      <c r="AL34" s="20">
        <f>IF(COUNT(C34:O34)=0,"",IFERROR(AK34-C34-Config!$C$13,0))</f>
        <v/>
      </c>
      <c r="AM34" s="21">
        <f>IF(COUNT(C34:O34)=0,"",IFERROR(AK34/C34,0))</f>
        <v/>
      </c>
      <c r="AN34" s="21">
        <f>IF(COUNT(C34:O34)=0,"",IFERROR(AI34/C34,0))</f>
        <v/>
      </c>
      <c r="AO34" s="15">
        <f>IF(COUNT(C34:O34)=0,"",IFERROR(AL34/G34,0))</f>
        <v/>
      </c>
      <c r="AP34" s="21">
        <f>IF(COUNT(C34:O34)=0,"",IFERROR(AO34/U34,0))</f>
        <v/>
      </c>
      <c r="AQ34" s="15">
        <f>IF(COUNT(C34:O34)=0,"",IFERROR(AL34/H34,0))</f>
        <v/>
      </c>
    </row>
    <row r="35">
      <c r="A35" s="12">
        <f>Config!$C$6+29</f>
        <v/>
      </c>
      <c r="B35" s="13">
        <f>INT((A35-Config!$C$6)/7)+1</f>
        <v/>
      </c>
      <c r="C35" s="10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0" t="n"/>
      <c r="P35" s="15">
        <f>IF(COUNT(C35:O35)=0,"",IFERROR(C35/D35*1000,0))</f>
        <v/>
      </c>
      <c r="Q35" s="16">
        <f>IF(COUNT(C35:O35)=0,"",IFERROR(D35/E35,0))</f>
        <v/>
      </c>
      <c r="R35" s="17">
        <f>IF(COUNT(C35:O35)=0,"",IFERROR(F35/D35,0))</f>
        <v/>
      </c>
      <c r="S35" s="15">
        <f>IF(COUNT(C35:O35)=0,"",IFERROR(C35/F35,0))</f>
        <v/>
      </c>
      <c r="T35" s="18">
        <f>IF(COUNT(C35:O35)=0,"",IFERROR(G35/F35,0))</f>
        <v/>
      </c>
      <c r="U35" s="15">
        <f>IF(COUNT(C35:O35)=0,"",IFERROR(C35/G35,0))</f>
        <v/>
      </c>
      <c r="V35" s="19">
        <f>IF(COUNT(C35:O35)=0,"",IFERROR(G35/D35*1000,0))</f>
        <v/>
      </c>
      <c r="W35" s="18">
        <f>IF(COUNT(C35:O35)=0,"",IFERROR(H35/G35,0))</f>
        <v/>
      </c>
      <c r="X35" s="15">
        <f>IF(COUNT(C35:O35)=0,"",IFERROR(C35/H35,0))</f>
        <v/>
      </c>
      <c r="Y35" s="18">
        <f>IF(COUNT(C35:O35)=0,"",IFERROR(X35/P35,0))</f>
        <v/>
      </c>
      <c r="Z35" s="19">
        <f>IF(COUNT(C35:O35)=0,"",IFERROR(H35/D35*1000,0))</f>
        <v/>
      </c>
      <c r="AA35" s="18">
        <f>IF(COUNT(C35:O35)=0,"",IFERROR(I35/H35,0))</f>
        <v/>
      </c>
      <c r="AB35" s="18">
        <f>IF(COUNT(C35:O35)=0,"",IFERROR(J35/I35,0))</f>
        <v/>
      </c>
      <c r="AC35" s="18">
        <f>IF(COUNT(C35:O35)=0,"",IFERROR(K35/J35,0))</f>
        <v/>
      </c>
      <c r="AD35" s="15">
        <f>IF(COUNT(C35:O35)=0,"",IFERROR(C35/K35,0))</f>
        <v/>
      </c>
      <c r="AE35" s="18">
        <f>IF(COUNT(C35:O35)=0,"",IFERROR(L35/K35,0))</f>
        <v/>
      </c>
      <c r="AF35" s="18">
        <f>IF(COUNT(C35:O35)=0,"",IFERROR(M35/L35,0))</f>
        <v/>
      </c>
      <c r="AG35" s="17">
        <f>IF(COUNT(C35:O35)=0,"",IFERROR(M35/H35,0))</f>
        <v/>
      </c>
      <c r="AH35" s="15">
        <f>IF(COUNT(C35:O35)=0,"",IFERROR(C35/M35,0))</f>
        <v/>
      </c>
      <c r="AI35" s="20">
        <f>IF(COUNT(C35:O35)=0,"",IFERROR(M35*Config!$C$7+N35*Config!$C$8,0))</f>
        <v/>
      </c>
      <c r="AJ35" s="20">
        <f>IF(COUNT(C35:O35)=0,"",IFERROR(IF(O35&gt;0,O35,AI35*Config!$C$9),0))</f>
        <v/>
      </c>
      <c r="AK35" s="20">
        <f>IF(COUNT(C35:O35)=0,"",IFERROR(AJ35*(1-Config!$C$10-Config!$C$11-Config!$C$12),0))</f>
        <v/>
      </c>
      <c r="AL35" s="20">
        <f>IF(COUNT(C35:O35)=0,"",IFERROR(AK35-C35-Config!$C$13,0))</f>
        <v/>
      </c>
      <c r="AM35" s="21">
        <f>IF(COUNT(C35:O35)=0,"",IFERROR(AK35/C35,0))</f>
        <v/>
      </c>
      <c r="AN35" s="21">
        <f>IF(COUNT(C35:O35)=0,"",IFERROR(AI35/C35,0))</f>
        <v/>
      </c>
      <c r="AO35" s="15">
        <f>IF(COUNT(C35:O35)=0,"",IFERROR(AL35/G35,0))</f>
        <v/>
      </c>
      <c r="AP35" s="21">
        <f>IF(COUNT(C35:O35)=0,"",IFERROR(AO35/U35,0))</f>
        <v/>
      </c>
      <c r="AQ35" s="15">
        <f>IF(COUNT(C35:O35)=0,"",IFERROR(AL35/H35,0))</f>
        <v/>
      </c>
    </row>
    <row r="36">
      <c r="A36" s="12">
        <f>Config!$C$6+30</f>
        <v/>
      </c>
      <c r="B36" s="13">
        <f>INT((A36-Config!$C$6)/7)+1</f>
        <v/>
      </c>
      <c r="C36" s="10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0" t="n"/>
      <c r="P36" s="15">
        <f>IF(COUNT(C36:O36)=0,"",IFERROR(C36/D36*1000,0))</f>
        <v/>
      </c>
      <c r="Q36" s="16">
        <f>IF(COUNT(C36:O36)=0,"",IFERROR(D36/E36,0))</f>
        <v/>
      </c>
      <c r="R36" s="17">
        <f>IF(COUNT(C36:O36)=0,"",IFERROR(F36/D36,0))</f>
        <v/>
      </c>
      <c r="S36" s="15">
        <f>IF(COUNT(C36:O36)=0,"",IFERROR(C36/F36,0))</f>
        <v/>
      </c>
      <c r="T36" s="18">
        <f>IF(COUNT(C36:O36)=0,"",IFERROR(G36/F36,0))</f>
        <v/>
      </c>
      <c r="U36" s="15">
        <f>IF(COUNT(C36:O36)=0,"",IFERROR(C36/G36,0))</f>
        <v/>
      </c>
      <c r="V36" s="19">
        <f>IF(COUNT(C36:O36)=0,"",IFERROR(G36/D36*1000,0))</f>
        <v/>
      </c>
      <c r="W36" s="18">
        <f>IF(COUNT(C36:O36)=0,"",IFERROR(H36/G36,0))</f>
        <v/>
      </c>
      <c r="X36" s="15">
        <f>IF(COUNT(C36:O36)=0,"",IFERROR(C36/H36,0))</f>
        <v/>
      </c>
      <c r="Y36" s="18">
        <f>IF(COUNT(C36:O36)=0,"",IFERROR(X36/P36,0))</f>
        <v/>
      </c>
      <c r="Z36" s="19">
        <f>IF(COUNT(C36:O36)=0,"",IFERROR(H36/D36*1000,0))</f>
        <v/>
      </c>
      <c r="AA36" s="18">
        <f>IF(COUNT(C36:O36)=0,"",IFERROR(I36/H36,0))</f>
        <v/>
      </c>
      <c r="AB36" s="18">
        <f>IF(COUNT(C36:O36)=0,"",IFERROR(J36/I36,0))</f>
        <v/>
      </c>
      <c r="AC36" s="18">
        <f>IF(COUNT(C36:O36)=0,"",IFERROR(K36/J36,0))</f>
        <v/>
      </c>
      <c r="AD36" s="15">
        <f>IF(COUNT(C36:O36)=0,"",IFERROR(C36/K36,0))</f>
        <v/>
      </c>
      <c r="AE36" s="18">
        <f>IF(COUNT(C36:O36)=0,"",IFERROR(L36/K36,0))</f>
        <v/>
      </c>
      <c r="AF36" s="18">
        <f>IF(COUNT(C36:O36)=0,"",IFERROR(M36/L36,0))</f>
        <v/>
      </c>
      <c r="AG36" s="17">
        <f>IF(COUNT(C36:O36)=0,"",IFERROR(M36/H36,0))</f>
        <v/>
      </c>
      <c r="AH36" s="15">
        <f>IF(COUNT(C36:O36)=0,"",IFERROR(C36/M36,0))</f>
        <v/>
      </c>
      <c r="AI36" s="20">
        <f>IF(COUNT(C36:O36)=0,"",IFERROR(M36*Config!$C$7+N36*Config!$C$8,0))</f>
        <v/>
      </c>
      <c r="AJ36" s="20">
        <f>IF(COUNT(C36:O36)=0,"",IFERROR(IF(O36&gt;0,O36,AI36*Config!$C$9),0))</f>
        <v/>
      </c>
      <c r="AK36" s="20">
        <f>IF(COUNT(C36:O36)=0,"",IFERROR(AJ36*(1-Config!$C$10-Config!$C$11-Config!$C$12),0))</f>
        <v/>
      </c>
      <c r="AL36" s="20">
        <f>IF(COUNT(C36:O36)=0,"",IFERROR(AK36-C36-Config!$C$13,0))</f>
        <v/>
      </c>
      <c r="AM36" s="21">
        <f>IF(COUNT(C36:O36)=0,"",IFERROR(AK36/C36,0))</f>
        <v/>
      </c>
      <c r="AN36" s="21">
        <f>IF(COUNT(C36:O36)=0,"",IFERROR(AI36/C36,0))</f>
        <v/>
      </c>
      <c r="AO36" s="15">
        <f>IF(COUNT(C36:O36)=0,"",IFERROR(AL36/G36,0))</f>
        <v/>
      </c>
      <c r="AP36" s="21">
        <f>IF(COUNT(C36:O36)=0,"",IFERROR(AO36/U36,0))</f>
        <v/>
      </c>
      <c r="AQ36" s="15">
        <f>IF(COUNT(C36:O36)=0,"",IFERROR(AL36/H36,0))</f>
        <v/>
      </c>
    </row>
    <row r="37">
      <c r="A37" s="12">
        <f>Config!$C$6+31</f>
        <v/>
      </c>
      <c r="B37" s="13">
        <f>INT((A37-Config!$C$6)/7)+1</f>
        <v/>
      </c>
      <c r="C37" s="10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0" t="n"/>
      <c r="P37" s="15">
        <f>IF(COUNT(C37:O37)=0,"",IFERROR(C37/D37*1000,0))</f>
        <v/>
      </c>
      <c r="Q37" s="16">
        <f>IF(COUNT(C37:O37)=0,"",IFERROR(D37/E37,0))</f>
        <v/>
      </c>
      <c r="R37" s="17">
        <f>IF(COUNT(C37:O37)=0,"",IFERROR(F37/D37,0))</f>
        <v/>
      </c>
      <c r="S37" s="15">
        <f>IF(COUNT(C37:O37)=0,"",IFERROR(C37/F37,0))</f>
        <v/>
      </c>
      <c r="T37" s="18">
        <f>IF(COUNT(C37:O37)=0,"",IFERROR(G37/F37,0))</f>
        <v/>
      </c>
      <c r="U37" s="15">
        <f>IF(COUNT(C37:O37)=0,"",IFERROR(C37/G37,0))</f>
        <v/>
      </c>
      <c r="V37" s="19">
        <f>IF(COUNT(C37:O37)=0,"",IFERROR(G37/D37*1000,0))</f>
        <v/>
      </c>
      <c r="W37" s="18">
        <f>IF(COUNT(C37:O37)=0,"",IFERROR(H37/G37,0))</f>
        <v/>
      </c>
      <c r="X37" s="15">
        <f>IF(COUNT(C37:O37)=0,"",IFERROR(C37/H37,0))</f>
        <v/>
      </c>
      <c r="Y37" s="18">
        <f>IF(COUNT(C37:O37)=0,"",IFERROR(X37/P37,0))</f>
        <v/>
      </c>
      <c r="Z37" s="19">
        <f>IF(COUNT(C37:O37)=0,"",IFERROR(H37/D37*1000,0))</f>
        <v/>
      </c>
      <c r="AA37" s="18">
        <f>IF(COUNT(C37:O37)=0,"",IFERROR(I37/H37,0))</f>
        <v/>
      </c>
      <c r="AB37" s="18">
        <f>IF(COUNT(C37:O37)=0,"",IFERROR(J37/I37,0))</f>
        <v/>
      </c>
      <c r="AC37" s="18">
        <f>IF(COUNT(C37:O37)=0,"",IFERROR(K37/J37,0))</f>
        <v/>
      </c>
      <c r="AD37" s="15">
        <f>IF(COUNT(C37:O37)=0,"",IFERROR(C37/K37,0))</f>
        <v/>
      </c>
      <c r="AE37" s="18">
        <f>IF(COUNT(C37:O37)=0,"",IFERROR(L37/K37,0))</f>
        <v/>
      </c>
      <c r="AF37" s="18">
        <f>IF(COUNT(C37:O37)=0,"",IFERROR(M37/L37,0))</f>
        <v/>
      </c>
      <c r="AG37" s="17">
        <f>IF(COUNT(C37:O37)=0,"",IFERROR(M37/H37,0))</f>
        <v/>
      </c>
      <c r="AH37" s="15">
        <f>IF(COUNT(C37:O37)=0,"",IFERROR(C37/M37,0))</f>
        <v/>
      </c>
      <c r="AI37" s="20">
        <f>IF(COUNT(C37:O37)=0,"",IFERROR(M37*Config!$C$7+N37*Config!$C$8,0))</f>
        <v/>
      </c>
      <c r="AJ37" s="20">
        <f>IF(COUNT(C37:O37)=0,"",IFERROR(IF(O37&gt;0,O37,AI37*Config!$C$9),0))</f>
        <v/>
      </c>
      <c r="AK37" s="20">
        <f>IF(COUNT(C37:O37)=0,"",IFERROR(AJ37*(1-Config!$C$10-Config!$C$11-Config!$C$12),0))</f>
        <v/>
      </c>
      <c r="AL37" s="20">
        <f>IF(COUNT(C37:O37)=0,"",IFERROR(AK37-C37-Config!$C$13,0))</f>
        <v/>
      </c>
      <c r="AM37" s="21">
        <f>IF(COUNT(C37:O37)=0,"",IFERROR(AK37/C37,0))</f>
        <v/>
      </c>
      <c r="AN37" s="21">
        <f>IF(COUNT(C37:O37)=0,"",IFERROR(AI37/C37,0))</f>
        <v/>
      </c>
      <c r="AO37" s="15">
        <f>IF(COUNT(C37:O37)=0,"",IFERROR(AL37/G37,0))</f>
        <v/>
      </c>
      <c r="AP37" s="21">
        <f>IF(COUNT(C37:O37)=0,"",IFERROR(AO37/U37,0))</f>
        <v/>
      </c>
      <c r="AQ37" s="15">
        <f>IF(COUNT(C37:O37)=0,"",IFERROR(AL37/H37,0))</f>
        <v/>
      </c>
    </row>
    <row r="38">
      <c r="A38" s="12">
        <f>Config!$C$6+32</f>
        <v/>
      </c>
      <c r="B38" s="13">
        <f>INT((A38-Config!$C$6)/7)+1</f>
        <v/>
      </c>
      <c r="C38" s="10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0" t="n"/>
      <c r="P38" s="15">
        <f>IF(COUNT(C38:O38)=0,"",IFERROR(C38/D38*1000,0))</f>
        <v/>
      </c>
      <c r="Q38" s="16">
        <f>IF(COUNT(C38:O38)=0,"",IFERROR(D38/E38,0))</f>
        <v/>
      </c>
      <c r="R38" s="17">
        <f>IF(COUNT(C38:O38)=0,"",IFERROR(F38/D38,0))</f>
        <v/>
      </c>
      <c r="S38" s="15">
        <f>IF(COUNT(C38:O38)=0,"",IFERROR(C38/F38,0))</f>
        <v/>
      </c>
      <c r="T38" s="18">
        <f>IF(COUNT(C38:O38)=0,"",IFERROR(G38/F38,0))</f>
        <v/>
      </c>
      <c r="U38" s="15">
        <f>IF(COUNT(C38:O38)=0,"",IFERROR(C38/G38,0))</f>
        <v/>
      </c>
      <c r="V38" s="19">
        <f>IF(COUNT(C38:O38)=0,"",IFERROR(G38/D38*1000,0))</f>
        <v/>
      </c>
      <c r="W38" s="18">
        <f>IF(COUNT(C38:O38)=0,"",IFERROR(H38/G38,0))</f>
        <v/>
      </c>
      <c r="X38" s="15">
        <f>IF(COUNT(C38:O38)=0,"",IFERROR(C38/H38,0))</f>
        <v/>
      </c>
      <c r="Y38" s="18">
        <f>IF(COUNT(C38:O38)=0,"",IFERROR(X38/P38,0))</f>
        <v/>
      </c>
      <c r="Z38" s="19">
        <f>IF(COUNT(C38:O38)=0,"",IFERROR(H38/D38*1000,0))</f>
        <v/>
      </c>
      <c r="AA38" s="18">
        <f>IF(COUNT(C38:O38)=0,"",IFERROR(I38/H38,0))</f>
        <v/>
      </c>
      <c r="AB38" s="18">
        <f>IF(COUNT(C38:O38)=0,"",IFERROR(J38/I38,0))</f>
        <v/>
      </c>
      <c r="AC38" s="18">
        <f>IF(COUNT(C38:O38)=0,"",IFERROR(K38/J38,0))</f>
        <v/>
      </c>
      <c r="AD38" s="15">
        <f>IF(COUNT(C38:O38)=0,"",IFERROR(C38/K38,0))</f>
        <v/>
      </c>
      <c r="AE38" s="18">
        <f>IF(COUNT(C38:O38)=0,"",IFERROR(L38/K38,0))</f>
        <v/>
      </c>
      <c r="AF38" s="18">
        <f>IF(COUNT(C38:O38)=0,"",IFERROR(M38/L38,0))</f>
        <v/>
      </c>
      <c r="AG38" s="17">
        <f>IF(COUNT(C38:O38)=0,"",IFERROR(M38/H38,0))</f>
        <v/>
      </c>
      <c r="AH38" s="15">
        <f>IF(COUNT(C38:O38)=0,"",IFERROR(C38/M38,0))</f>
        <v/>
      </c>
      <c r="AI38" s="20">
        <f>IF(COUNT(C38:O38)=0,"",IFERROR(M38*Config!$C$7+N38*Config!$C$8,0))</f>
        <v/>
      </c>
      <c r="AJ38" s="20">
        <f>IF(COUNT(C38:O38)=0,"",IFERROR(IF(O38&gt;0,O38,AI38*Config!$C$9),0))</f>
        <v/>
      </c>
      <c r="AK38" s="20">
        <f>IF(COUNT(C38:O38)=0,"",IFERROR(AJ38*(1-Config!$C$10-Config!$C$11-Config!$C$12),0))</f>
        <v/>
      </c>
      <c r="AL38" s="20">
        <f>IF(COUNT(C38:O38)=0,"",IFERROR(AK38-C38-Config!$C$13,0))</f>
        <v/>
      </c>
      <c r="AM38" s="21">
        <f>IF(COUNT(C38:O38)=0,"",IFERROR(AK38/C38,0))</f>
        <v/>
      </c>
      <c r="AN38" s="21">
        <f>IF(COUNT(C38:O38)=0,"",IFERROR(AI38/C38,0))</f>
        <v/>
      </c>
      <c r="AO38" s="15">
        <f>IF(COUNT(C38:O38)=0,"",IFERROR(AL38/G38,0))</f>
        <v/>
      </c>
      <c r="AP38" s="21">
        <f>IF(COUNT(C38:O38)=0,"",IFERROR(AO38/U38,0))</f>
        <v/>
      </c>
      <c r="AQ38" s="15">
        <f>IF(COUNT(C38:O38)=0,"",IFERROR(AL38/H38,0))</f>
        <v/>
      </c>
    </row>
    <row r="39">
      <c r="A39" s="12">
        <f>Config!$C$6+33</f>
        <v/>
      </c>
      <c r="B39" s="13">
        <f>INT((A39-Config!$C$6)/7)+1</f>
        <v/>
      </c>
      <c r="C39" s="10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0" t="n"/>
      <c r="P39" s="15">
        <f>IF(COUNT(C39:O39)=0,"",IFERROR(C39/D39*1000,0))</f>
        <v/>
      </c>
      <c r="Q39" s="16">
        <f>IF(COUNT(C39:O39)=0,"",IFERROR(D39/E39,0))</f>
        <v/>
      </c>
      <c r="R39" s="17">
        <f>IF(COUNT(C39:O39)=0,"",IFERROR(F39/D39,0))</f>
        <v/>
      </c>
      <c r="S39" s="15">
        <f>IF(COUNT(C39:O39)=0,"",IFERROR(C39/F39,0))</f>
        <v/>
      </c>
      <c r="T39" s="18">
        <f>IF(COUNT(C39:O39)=0,"",IFERROR(G39/F39,0))</f>
        <v/>
      </c>
      <c r="U39" s="15">
        <f>IF(COUNT(C39:O39)=0,"",IFERROR(C39/G39,0))</f>
        <v/>
      </c>
      <c r="V39" s="19">
        <f>IF(COUNT(C39:O39)=0,"",IFERROR(G39/D39*1000,0))</f>
        <v/>
      </c>
      <c r="W39" s="18">
        <f>IF(COUNT(C39:O39)=0,"",IFERROR(H39/G39,0))</f>
        <v/>
      </c>
      <c r="X39" s="15">
        <f>IF(COUNT(C39:O39)=0,"",IFERROR(C39/H39,0))</f>
        <v/>
      </c>
      <c r="Y39" s="18">
        <f>IF(COUNT(C39:O39)=0,"",IFERROR(X39/P39,0))</f>
        <v/>
      </c>
      <c r="Z39" s="19">
        <f>IF(COUNT(C39:O39)=0,"",IFERROR(H39/D39*1000,0))</f>
        <v/>
      </c>
      <c r="AA39" s="18">
        <f>IF(COUNT(C39:O39)=0,"",IFERROR(I39/H39,0))</f>
        <v/>
      </c>
      <c r="AB39" s="18">
        <f>IF(COUNT(C39:O39)=0,"",IFERROR(J39/I39,0))</f>
        <v/>
      </c>
      <c r="AC39" s="18">
        <f>IF(COUNT(C39:O39)=0,"",IFERROR(K39/J39,0))</f>
        <v/>
      </c>
      <c r="AD39" s="15">
        <f>IF(COUNT(C39:O39)=0,"",IFERROR(C39/K39,0))</f>
        <v/>
      </c>
      <c r="AE39" s="18">
        <f>IF(COUNT(C39:O39)=0,"",IFERROR(L39/K39,0))</f>
        <v/>
      </c>
      <c r="AF39" s="18">
        <f>IF(COUNT(C39:O39)=0,"",IFERROR(M39/L39,0))</f>
        <v/>
      </c>
      <c r="AG39" s="17">
        <f>IF(COUNT(C39:O39)=0,"",IFERROR(M39/H39,0))</f>
        <v/>
      </c>
      <c r="AH39" s="15">
        <f>IF(COUNT(C39:O39)=0,"",IFERROR(C39/M39,0))</f>
        <v/>
      </c>
      <c r="AI39" s="20">
        <f>IF(COUNT(C39:O39)=0,"",IFERROR(M39*Config!$C$7+N39*Config!$C$8,0))</f>
        <v/>
      </c>
      <c r="AJ39" s="20">
        <f>IF(COUNT(C39:O39)=0,"",IFERROR(IF(O39&gt;0,O39,AI39*Config!$C$9),0))</f>
        <v/>
      </c>
      <c r="AK39" s="20">
        <f>IF(COUNT(C39:O39)=0,"",IFERROR(AJ39*(1-Config!$C$10-Config!$C$11-Config!$C$12),0))</f>
        <v/>
      </c>
      <c r="AL39" s="20">
        <f>IF(COUNT(C39:O39)=0,"",IFERROR(AK39-C39-Config!$C$13,0))</f>
        <v/>
      </c>
      <c r="AM39" s="21">
        <f>IF(COUNT(C39:O39)=0,"",IFERROR(AK39/C39,0))</f>
        <v/>
      </c>
      <c r="AN39" s="21">
        <f>IF(COUNT(C39:O39)=0,"",IFERROR(AI39/C39,0))</f>
        <v/>
      </c>
      <c r="AO39" s="15">
        <f>IF(COUNT(C39:O39)=0,"",IFERROR(AL39/G39,0))</f>
        <v/>
      </c>
      <c r="AP39" s="21">
        <f>IF(COUNT(C39:O39)=0,"",IFERROR(AO39/U39,0))</f>
        <v/>
      </c>
      <c r="AQ39" s="15">
        <f>IF(COUNT(C39:O39)=0,"",IFERROR(AL39/H39,0))</f>
        <v/>
      </c>
    </row>
    <row r="40">
      <c r="A40" s="12">
        <f>Config!$C$6+34</f>
        <v/>
      </c>
      <c r="B40" s="13">
        <f>INT((A40-Config!$C$6)/7)+1</f>
        <v/>
      </c>
      <c r="C40" s="10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0" t="n"/>
      <c r="P40" s="15">
        <f>IF(COUNT(C40:O40)=0,"",IFERROR(C40/D40*1000,0))</f>
        <v/>
      </c>
      <c r="Q40" s="16">
        <f>IF(COUNT(C40:O40)=0,"",IFERROR(D40/E40,0))</f>
        <v/>
      </c>
      <c r="R40" s="17">
        <f>IF(COUNT(C40:O40)=0,"",IFERROR(F40/D40,0))</f>
        <v/>
      </c>
      <c r="S40" s="15">
        <f>IF(COUNT(C40:O40)=0,"",IFERROR(C40/F40,0))</f>
        <v/>
      </c>
      <c r="T40" s="18">
        <f>IF(COUNT(C40:O40)=0,"",IFERROR(G40/F40,0))</f>
        <v/>
      </c>
      <c r="U40" s="15">
        <f>IF(COUNT(C40:O40)=0,"",IFERROR(C40/G40,0))</f>
        <v/>
      </c>
      <c r="V40" s="19">
        <f>IF(COUNT(C40:O40)=0,"",IFERROR(G40/D40*1000,0))</f>
        <v/>
      </c>
      <c r="W40" s="18">
        <f>IF(COUNT(C40:O40)=0,"",IFERROR(H40/G40,0))</f>
        <v/>
      </c>
      <c r="X40" s="15">
        <f>IF(COUNT(C40:O40)=0,"",IFERROR(C40/H40,0))</f>
        <v/>
      </c>
      <c r="Y40" s="18">
        <f>IF(COUNT(C40:O40)=0,"",IFERROR(X40/P40,0))</f>
        <v/>
      </c>
      <c r="Z40" s="19">
        <f>IF(COUNT(C40:O40)=0,"",IFERROR(H40/D40*1000,0))</f>
        <v/>
      </c>
      <c r="AA40" s="18">
        <f>IF(COUNT(C40:O40)=0,"",IFERROR(I40/H40,0))</f>
        <v/>
      </c>
      <c r="AB40" s="18">
        <f>IF(COUNT(C40:O40)=0,"",IFERROR(J40/I40,0))</f>
        <v/>
      </c>
      <c r="AC40" s="18">
        <f>IF(COUNT(C40:O40)=0,"",IFERROR(K40/J40,0))</f>
        <v/>
      </c>
      <c r="AD40" s="15">
        <f>IF(COUNT(C40:O40)=0,"",IFERROR(C40/K40,0))</f>
        <v/>
      </c>
      <c r="AE40" s="18">
        <f>IF(COUNT(C40:O40)=0,"",IFERROR(L40/K40,0))</f>
        <v/>
      </c>
      <c r="AF40" s="18">
        <f>IF(COUNT(C40:O40)=0,"",IFERROR(M40/L40,0))</f>
        <v/>
      </c>
      <c r="AG40" s="17">
        <f>IF(COUNT(C40:O40)=0,"",IFERROR(M40/H40,0))</f>
        <v/>
      </c>
      <c r="AH40" s="15">
        <f>IF(COUNT(C40:O40)=0,"",IFERROR(C40/M40,0))</f>
        <v/>
      </c>
      <c r="AI40" s="20">
        <f>IF(COUNT(C40:O40)=0,"",IFERROR(M40*Config!$C$7+N40*Config!$C$8,0))</f>
        <v/>
      </c>
      <c r="AJ40" s="20">
        <f>IF(COUNT(C40:O40)=0,"",IFERROR(IF(O40&gt;0,O40,AI40*Config!$C$9),0))</f>
        <v/>
      </c>
      <c r="AK40" s="20">
        <f>IF(COUNT(C40:O40)=0,"",IFERROR(AJ40*(1-Config!$C$10-Config!$C$11-Config!$C$12),0))</f>
        <v/>
      </c>
      <c r="AL40" s="20">
        <f>IF(COUNT(C40:O40)=0,"",IFERROR(AK40-C40-Config!$C$13,0))</f>
        <v/>
      </c>
      <c r="AM40" s="21">
        <f>IF(COUNT(C40:O40)=0,"",IFERROR(AK40/C40,0))</f>
        <v/>
      </c>
      <c r="AN40" s="21">
        <f>IF(COUNT(C40:O40)=0,"",IFERROR(AI40/C40,0))</f>
        <v/>
      </c>
      <c r="AO40" s="15">
        <f>IF(COUNT(C40:O40)=0,"",IFERROR(AL40/G40,0))</f>
        <v/>
      </c>
      <c r="AP40" s="21">
        <f>IF(COUNT(C40:O40)=0,"",IFERROR(AO40/U40,0))</f>
        <v/>
      </c>
      <c r="AQ40" s="15">
        <f>IF(COUNT(C40:O40)=0,"",IFERROR(AL40/H40,0))</f>
        <v/>
      </c>
    </row>
    <row r="41">
      <c r="A41" s="12">
        <f>Config!$C$6+35</f>
        <v/>
      </c>
      <c r="B41" s="13">
        <f>INT((A41-Config!$C$6)/7)+1</f>
        <v/>
      </c>
      <c r="C41" s="10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0" t="n"/>
      <c r="P41" s="15">
        <f>IF(COUNT(C41:O41)=0,"",IFERROR(C41/D41*1000,0))</f>
        <v/>
      </c>
      <c r="Q41" s="16">
        <f>IF(COUNT(C41:O41)=0,"",IFERROR(D41/E41,0))</f>
        <v/>
      </c>
      <c r="R41" s="17">
        <f>IF(COUNT(C41:O41)=0,"",IFERROR(F41/D41,0))</f>
        <v/>
      </c>
      <c r="S41" s="15">
        <f>IF(COUNT(C41:O41)=0,"",IFERROR(C41/F41,0))</f>
        <v/>
      </c>
      <c r="T41" s="18">
        <f>IF(COUNT(C41:O41)=0,"",IFERROR(G41/F41,0))</f>
        <v/>
      </c>
      <c r="U41" s="15">
        <f>IF(COUNT(C41:O41)=0,"",IFERROR(C41/G41,0))</f>
        <v/>
      </c>
      <c r="V41" s="19">
        <f>IF(COUNT(C41:O41)=0,"",IFERROR(G41/D41*1000,0))</f>
        <v/>
      </c>
      <c r="W41" s="18">
        <f>IF(COUNT(C41:O41)=0,"",IFERROR(H41/G41,0))</f>
        <v/>
      </c>
      <c r="X41" s="15">
        <f>IF(COUNT(C41:O41)=0,"",IFERROR(C41/H41,0))</f>
        <v/>
      </c>
      <c r="Y41" s="18">
        <f>IF(COUNT(C41:O41)=0,"",IFERROR(X41/P41,0))</f>
        <v/>
      </c>
      <c r="Z41" s="19">
        <f>IF(COUNT(C41:O41)=0,"",IFERROR(H41/D41*1000,0))</f>
        <v/>
      </c>
      <c r="AA41" s="18">
        <f>IF(COUNT(C41:O41)=0,"",IFERROR(I41/H41,0))</f>
        <v/>
      </c>
      <c r="AB41" s="18">
        <f>IF(COUNT(C41:O41)=0,"",IFERROR(J41/I41,0))</f>
        <v/>
      </c>
      <c r="AC41" s="18">
        <f>IF(COUNT(C41:O41)=0,"",IFERROR(K41/J41,0))</f>
        <v/>
      </c>
      <c r="AD41" s="15">
        <f>IF(COUNT(C41:O41)=0,"",IFERROR(C41/K41,0))</f>
        <v/>
      </c>
      <c r="AE41" s="18">
        <f>IF(COUNT(C41:O41)=0,"",IFERROR(L41/K41,0))</f>
        <v/>
      </c>
      <c r="AF41" s="18">
        <f>IF(COUNT(C41:O41)=0,"",IFERROR(M41/L41,0))</f>
        <v/>
      </c>
      <c r="AG41" s="17">
        <f>IF(COUNT(C41:O41)=0,"",IFERROR(M41/H41,0))</f>
        <v/>
      </c>
      <c r="AH41" s="15">
        <f>IF(COUNT(C41:O41)=0,"",IFERROR(C41/M41,0))</f>
        <v/>
      </c>
      <c r="AI41" s="20">
        <f>IF(COUNT(C41:O41)=0,"",IFERROR(M41*Config!$C$7+N41*Config!$C$8,0))</f>
        <v/>
      </c>
      <c r="AJ41" s="20">
        <f>IF(COUNT(C41:O41)=0,"",IFERROR(IF(O41&gt;0,O41,AI41*Config!$C$9),0))</f>
        <v/>
      </c>
      <c r="AK41" s="20">
        <f>IF(COUNT(C41:O41)=0,"",IFERROR(AJ41*(1-Config!$C$10-Config!$C$11-Config!$C$12),0))</f>
        <v/>
      </c>
      <c r="AL41" s="20">
        <f>IF(COUNT(C41:O41)=0,"",IFERROR(AK41-C41-Config!$C$13,0))</f>
        <v/>
      </c>
      <c r="AM41" s="21">
        <f>IF(COUNT(C41:O41)=0,"",IFERROR(AK41/C41,0))</f>
        <v/>
      </c>
      <c r="AN41" s="21">
        <f>IF(COUNT(C41:O41)=0,"",IFERROR(AI41/C41,0))</f>
        <v/>
      </c>
      <c r="AO41" s="15">
        <f>IF(COUNT(C41:O41)=0,"",IFERROR(AL41/G41,0))</f>
        <v/>
      </c>
      <c r="AP41" s="21">
        <f>IF(COUNT(C41:O41)=0,"",IFERROR(AO41/U41,0))</f>
        <v/>
      </c>
      <c r="AQ41" s="15">
        <f>IF(COUNT(C41:O41)=0,"",IFERROR(AL41/H41,0))</f>
        <v/>
      </c>
    </row>
    <row r="42">
      <c r="A42" s="12">
        <f>Config!$C$6+36</f>
        <v/>
      </c>
      <c r="B42" s="13">
        <f>INT((A42-Config!$C$6)/7)+1</f>
        <v/>
      </c>
      <c r="C42" s="10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0" t="n"/>
      <c r="P42" s="15">
        <f>IF(COUNT(C42:O42)=0,"",IFERROR(C42/D42*1000,0))</f>
        <v/>
      </c>
      <c r="Q42" s="16">
        <f>IF(COUNT(C42:O42)=0,"",IFERROR(D42/E42,0))</f>
        <v/>
      </c>
      <c r="R42" s="17">
        <f>IF(COUNT(C42:O42)=0,"",IFERROR(F42/D42,0))</f>
        <v/>
      </c>
      <c r="S42" s="15">
        <f>IF(COUNT(C42:O42)=0,"",IFERROR(C42/F42,0))</f>
        <v/>
      </c>
      <c r="T42" s="18">
        <f>IF(COUNT(C42:O42)=0,"",IFERROR(G42/F42,0))</f>
        <v/>
      </c>
      <c r="U42" s="15">
        <f>IF(COUNT(C42:O42)=0,"",IFERROR(C42/G42,0))</f>
        <v/>
      </c>
      <c r="V42" s="19">
        <f>IF(COUNT(C42:O42)=0,"",IFERROR(G42/D42*1000,0))</f>
        <v/>
      </c>
      <c r="W42" s="18">
        <f>IF(COUNT(C42:O42)=0,"",IFERROR(H42/G42,0))</f>
        <v/>
      </c>
      <c r="X42" s="15">
        <f>IF(COUNT(C42:O42)=0,"",IFERROR(C42/H42,0))</f>
        <v/>
      </c>
      <c r="Y42" s="18">
        <f>IF(COUNT(C42:O42)=0,"",IFERROR(X42/P42,0))</f>
        <v/>
      </c>
      <c r="Z42" s="19">
        <f>IF(COUNT(C42:O42)=0,"",IFERROR(H42/D42*1000,0))</f>
        <v/>
      </c>
      <c r="AA42" s="18">
        <f>IF(COUNT(C42:O42)=0,"",IFERROR(I42/H42,0))</f>
        <v/>
      </c>
      <c r="AB42" s="18">
        <f>IF(COUNT(C42:O42)=0,"",IFERROR(J42/I42,0))</f>
        <v/>
      </c>
      <c r="AC42" s="18">
        <f>IF(COUNT(C42:O42)=0,"",IFERROR(K42/J42,0))</f>
        <v/>
      </c>
      <c r="AD42" s="15">
        <f>IF(COUNT(C42:O42)=0,"",IFERROR(C42/K42,0))</f>
        <v/>
      </c>
      <c r="AE42" s="18">
        <f>IF(COUNT(C42:O42)=0,"",IFERROR(L42/K42,0))</f>
        <v/>
      </c>
      <c r="AF42" s="18">
        <f>IF(COUNT(C42:O42)=0,"",IFERROR(M42/L42,0))</f>
        <v/>
      </c>
      <c r="AG42" s="17">
        <f>IF(COUNT(C42:O42)=0,"",IFERROR(M42/H42,0))</f>
        <v/>
      </c>
      <c r="AH42" s="15">
        <f>IF(COUNT(C42:O42)=0,"",IFERROR(C42/M42,0))</f>
        <v/>
      </c>
      <c r="AI42" s="20">
        <f>IF(COUNT(C42:O42)=0,"",IFERROR(M42*Config!$C$7+N42*Config!$C$8,0))</f>
        <v/>
      </c>
      <c r="AJ42" s="20">
        <f>IF(COUNT(C42:O42)=0,"",IFERROR(IF(O42&gt;0,O42,AI42*Config!$C$9),0))</f>
        <v/>
      </c>
      <c r="AK42" s="20">
        <f>IF(COUNT(C42:O42)=0,"",IFERROR(AJ42*(1-Config!$C$10-Config!$C$11-Config!$C$12),0))</f>
        <v/>
      </c>
      <c r="AL42" s="20">
        <f>IF(COUNT(C42:O42)=0,"",IFERROR(AK42-C42-Config!$C$13,0))</f>
        <v/>
      </c>
      <c r="AM42" s="21">
        <f>IF(COUNT(C42:O42)=0,"",IFERROR(AK42/C42,0))</f>
        <v/>
      </c>
      <c r="AN42" s="21">
        <f>IF(COUNT(C42:O42)=0,"",IFERROR(AI42/C42,0))</f>
        <v/>
      </c>
      <c r="AO42" s="15">
        <f>IF(COUNT(C42:O42)=0,"",IFERROR(AL42/G42,0))</f>
        <v/>
      </c>
      <c r="AP42" s="21">
        <f>IF(COUNT(C42:O42)=0,"",IFERROR(AO42/U42,0))</f>
        <v/>
      </c>
      <c r="AQ42" s="15">
        <f>IF(COUNT(C42:O42)=0,"",IFERROR(AL42/H42,0))</f>
        <v/>
      </c>
    </row>
    <row r="43">
      <c r="A43" s="12">
        <f>Config!$C$6+37</f>
        <v/>
      </c>
      <c r="B43" s="13">
        <f>INT((A43-Config!$C$6)/7)+1</f>
        <v/>
      </c>
      <c r="C43" s="10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0" t="n"/>
      <c r="P43" s="15">
        <f>IF(COUNT(C43:O43)=0,"",IFERROR(C43/D43*1000,0))</f>
        <v/>
      </c>
      <c r="Q43" s="16">
        <f>IF(COUNT(C43:O43)=0,"",IFERROR(D43/E43,0))</f>
        <v/>
      </c>
      <c r="R43" s="17">
        <f>IF(COUNT(C43:O43)=0,"",IFERROR(F43/D43,0))</f>
        <v/>
      </c>
      <c r="S43" s="15">
        <f>IF(COUNT(C43:O43)=0,"",IFERROR(C43/F43,0))</f>
        <v/>
      </c>
      <c r="T43" s="18">
        <f>IF(COUNT(C43:O43)=0,"",IFERROR(G43/F43,0))</f>
        <v/>
      </c>
      <c r="U43" s="15">
        <f>IF(COUNT(C43:O43)=0,"",IFERROR(C43/G43,0))</f>
        <v/>
      </c>
      <c r="V43" s="19">
        <f>IF(COUNT(C43:O43)=0,"",IFERROR(G43/D43*1000,0))</f>
        <v/>
      </c>
      <c r="W43" s="18">
        <f>IF(COUNT(C43:O43)=0,"",IFERROR(H43/G43,0))</f>
        <v/>
      </c>
      <c r="X43" s="15">
        <f>IF(COUNT(C43:O43)=0,"",IFERROR(C43/H43,0))</f>
        <v/>
      </c>
      <c r="Y43" s="18">
        <f>IF(COUNT(C43:O43)=0,"",IFERROR(X43/P43,0))</f>
        <v/>
      </c>
      <c r="Z43" s="19">
        <f>IF(COUNT(C43:O43)=0,"",IFERROR(H43/D43*1000,0))</f>
        <v/>
      </c>
      <c r="AA43" s="18">
        <f>IF(COUNT(C43:O43)=0,"",IFERROR(I43/H43,0))</f>
        <v/>
      </c>
      <c r="AB43" s="18">
        <f>IF(COUNT(C43:O43)=0,"",IFERROR(J43/I43,0))</f>
        <v/>
      </c>
      <c r="AC43" s="18">
        <f>IF(COUNT(C43:O43)=0,"",IFERROR(K43/J43,0))</f>
        <v/>
      </c>
      <c r="AD43" s="15">
        <f>IF(COUNT(C43:O43)=0,"",IFERROR(C43/K43,0))</f>
        <v/>
      </c>
      <c r="AE43" s="18">
        <f>IF(COUNT(C43:O43)=0,"",IFERROR(L43/K43,0))</f>
        <v/>
      </c>
      <c r="AF43" s="18">
        <f>IF(COUNT(C43:O43)=0,"",IFERROR(M43/L43,0))</f>
        <v/>
      </c>
      <c r="AG43" s="17">
        <f>IF(COUNT(C43:O43)=0,"",IFERROR(M43/H43,0))</f>
        <v/>
      </c>
      <c r="AH43" s="15">
        <f>IF(COUNT(C43:O43)=0,"",IFERROR(C43/M43,0))</f>
        <v/>
      </c>
      <c r="AI43" s="20">
        <f>IF(COUNT(C43:O43)=0,"",IFERROR(M43*Config!$C$7+N43*Config!$C$8,0))</f>
        <v/>
      </c>
      <c r="AJ43" s="20">
        <f>IF(COUNT(C43:O43)=0,"",IFERROR(IF(O43&gt;0,O43,AI43*Config!$C$9),0))</f>
        <v/>
      </c>
      <c r="AK43" s="20">
        <f>IF(COUNT(C43:O43)=0,"",IFERROR(AJ43*(1-Config!$C$10-Config!$C$11-Config!$C$12),0))</f>
        <v/>
      </c>
      <c r="AL43" s="20">
        <f>IF(COUNT(C43:O43)=0,"",IFERROR(AK43-C43-Config!$C$13,0))</f>
        <v/>
      </c>
      <c r="AM43" s="21">
        <f>IF(COUNT(C43:O43)=0,"",IFERROR(AK43/C43,0))</f>
        <v/>
      </c>
      <c r="AN43" s="21">
        <f>IF(COUNT(C43:O43)=0,"",IFERROR(AI43/C43,0))</f>
        <v/>
      </c>
      <c r="AO43" s="15">
        <f>IF(COUNT(C43:O43)=0,"",IFERROR(AL43/G43,0))</f>
        <v/>
      </c>
      <c r="AP43" s="21">
        <f>IF(COUNT(C43:O43)=0,"",IFERROR(AO43/U43,0))</f>
        <v/>
      </c>
      <c r="AQ43" s="15">
        <f>IF(COUNT(C43:O43)=0,"",IFERROR(AL43/H43,0))</f>
        <v/>
      </c>
    </row>
    <row r="44">
      <c r="A44" s="12">
        <f>Config!$C$6+38</f>
        <v/>
      </c>
      <c r="B44" s="13">
        <f>INT((A44-Config!$C$6)/7)+1</f>
        <v/>
      </c>
      <c r="C44" s="10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0" t="n"/>
      <c r="P44" s="15">
        <f>IF(COUNT(C44:O44)=0,"",IFERROR(C44/D44*1000,0))</f>
        <v/>
      </c>
      <c r="Q44" s="16">
        <f>IF(COUNT(C44:O44)=0,"",IFERROR(D44/E44,0))</f>
        <v/>
      </c>
      <c r="R44" s="17">
        <f>IF(COUNT(C44:O44)=0,"",IFERROR(F44/D44,0))</f>
        <v/>
      </c>
      <c r="S44" s="15">
        <f>IF(COUNT(C44:O44)=0,"",IFERROR(C44/F44,0))</f>
        <v/>
      </c>
      <c r="T44" s="18">
        <f>IF(COUNT(C44:O44)=0,"",IFERROR(G44/F44,0))</f>
        <v/>
      </c>
      <c r="U44" s="15">
        <f>IF(COUNT(C44:O44)=0,"",IFERROR(C44/G44,0))</f>
        <v/>
      </c>
      <c r="V44" s="19">
        <f>IF(COUNT(C44:O44)=0,"",IFERROR(G44/D44*1000,0))</f>
        <v/>
      </c>
      <c r="W44" s="18">
        <f>IF(COUNT(C44:O44)=0,"",IFERROR(H44/G44,0))</f>
        <v/>
      </c>
      <c r="X44" s="15">
        <f>IF(COUNT(C44:O44)=0,"",IFERROR(C44/H44,0))</f>
        <v/>
      </c>
      <c r="Y44" s="18">
        <f>IF(COUNT(C44:O44)=0,"",IFERROR(X44/P44,0))</f>
        <v/>
      </c>
      <c r="Z44" s="19">
        <f>IF(COUNT(C44:O44)=0,"",IFERROR(H44/D44*1000,0))</f>
        <v/>
      </c>
      <c r="AA44" s="18">
        <f>IF(COUNT(C44:O44)=0,"",IFERROR(I44/H44,0))</f>
        <v/>
      </c>
      <c r="AB44" s="18">
        <f>IF(COUNT(C44:O44)=0,"",IFERROR(J44/I44,0))</f>
        <v/>
      </c>
      <c r="AC44" s="18">
        <f>IF(COUNT(C44:O44)=0,"",IFERROR(K44/J44,0))</f>
        <v/>
      </c>
      <c r="AD44" s="15">
        <f>IF(COUNT(C44:O44)=0,"",IFERROR(C44/K44,0))</f>
        <v/>
      </c>
      <c r="AE44" s="18">
        <f>IF(COUNT(C44:O44)=0,"",IFERROR(L44/K44,0))</f>
        <v/>
      </c>
      <c r="AF44" s="18">
        <f>IF(COUNT(C44:O44)=0,"",IFERROR(M44/L44,0))</f>
        <v/>
      </c>
      <c r="AG44" s="17">
        <f>IF(COUNT(C44:O44)=0,"",IFERROR(M44/H44,0))</f>
        <v/>
      </c>
      <c r="AH44" s="15">
        <f>IF(COUNT(C44:O44)=0,"",IFERROR(C44/M44,0))</f>
        <v/>
      </c>
      <c r="AI44" s="20">
        <f>IF(COUNT(C44:O44)=0,"",IFERROR(M44*Config!$C$7+N44*Config!$C$8,0))</f>
        <v/>
      </c>
      <c r="AJ44" s="20">
        <f>IF(COUNT(C44:O44)=0,"",IFERROR(IF(O44&gt;0,O44,AI44*Config!$C$9),0))</f>
        <v/>
      </c>
      <c r="AK44" s="20">
        <f>IF(COUNT(C44:O44)=0,"",IFERROR(AJ44*(1-Config!$C$10-Config!$C$11-Config!$C$12),0))</f>
        <v/>
      </c>
      <c r="AL44" s="20">
        <f>IF(COUNT(C44:O44)=0,"",IFERROR(AK44-C44-Config!$C$13,0))</f>
        <v/>
      </c>
      <c r="AM44" s="21">
        <f>IF(COUNT(C44:O44)=0,"",IFERROR(AK44/C44,0))</f>
        <v/>
      </c>
      <c r="AN44" s="21">
        <f>IF(COUNT(C44:O44)=0,"",IFERROR(AI44/C44,0))</f>
        <v/>
      </c>
      <c r="AO44" s="15">
        <f>IF(COUNT(C44:O44)=0,"",IFERROR(AL44/G44,0))</f>
        <v/>
      </c>
      <c r="AP44" s="21">
        <f>IF(COUNT(C44:O44)=0,"",IFERROR(AO44/U44,0))</f>
        <v/>
      </c>
      <c r="AQ44" s="15">
        <f>IF(COUNT(C44:O44)=0,"",IFERROR(AL44/H44,0))</f>
        <v/>
      </c>
    </row>
    <row r="45">
      <c r="A45" s="12">
        <f>Config!$C$6+39</f>
        <v/>
      </c>
      <c r="B45" s="13">
        <f>INT((A45-Config!$C$6)/7)+1</f>
        <v/>
      </c>
      <c r="C45" s="10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0" t="n"/>
      <c r="P45" s="15">
        <f>IF(COUNT(C45:O45)=0,"",IFERROR(C45/D45*1000,0))</f>
        <v/>
      </c>
      <c r="Q45" s="16">
        <f>IF(COUNT(C45:O45)=0,"",IFERROR(D45/E45,0))</f>
        <v/>
      </c>
      <c r="R45" s="17">
        <f>IF(COUNT(C45:O45)=0,"",IFERROR(F45/D45,0))</f>
        <v/>
      </c>
      <c r="S45" s="15">
        <f>IF(COUNT(C45:O45)=0,"",IFERROR(C45/F45,0))</f>
        <v/>
      </c>
      <c r="T45" s="18">
        <f>IF(COUNT(C45:O45)=0,"",IFERROR(G45/F45,0))</f>
        <v/>
      </c>
      <c r="U45" s="15">
        <f>IF(COUNT(C45:O45)=0,"",IFERROR(C45/G45,0))</f>
        <v/>
      </c>
      <c r="V45" s="19">
        <f>IF(COUNT(C45:O45)=0,"",IFERROR(G45/D45*1000,0))</f>
        <v/>
      </c>
      <c r="W45" s="18">
        <f>IF(COUNT(C45:O45)=0,"",IFERROR(H45/G45,0))</f>
        <v/>
      </c>
      <c r="X45" s="15">
        <f>IF(COUNT(C45:O45)=0,"",IFERROR(C45/H45,0))</f>
        <v/>
      </c>
      <c r="Y45" s="18">
        <f>IF(COUNT(C45:O45)=0,"",IFERROR(X45/P45,0))</f>
        <v/>
      </c>
      <c r="Z45" s="19">
        <f>IF(COUNT(C45:O45)=0,"",IFERROR(H45/D45*1000,0))</f>
        <v/>
      </c>
      <c r="AA45" s="18">
        <f>IF(COUNT(C45:O45)=0,"",IFERROR(I45/H45,0))</f>
        <v/>
      </c>
      <c r="AB45" s="18">
        <f>IF(COUNT(C45:O45)=0,"",IFERROR(J45/I45,0))</f>
        <v/>
      </c>
      <c r="AC45" s="18">
        <f>IF(COUNT(C45:O45)=0,"",IFERROR(K45/J45,0))</f>
        <v/>
      </c>
      <c r="AD45" s="15">
        <f>IF(COUNT(C45:O45)=0,"",IFERROR(C45/K45,0))</f>
        <v/>
      </c>
      <c r="AE45" s="18">
        <f>IF(COUNT(C45:O45)=0,"",IFERROR(L45/K45,0))</f>
        <v/>
      </c>
      <c r="AF45" s="18">
        <f>IF(COUNT(C45:O45)=0,"",IFERROR(M45/L45,0))</f>
        <v/>
      </c>
      <c r="AG45" s="17">
        <f>IF(COUNT(C45:O45)=0,"",IFERROR(M45/H45,0))</f>
        <v/>
      </c>
      <c r="AH45" s="15">
        <f>IF(COUNT(C45:O45)=0,"",IFERROR(C45/M45,0))</f>
        <v/>
      </c>
      <c r="AI45" s="20">
        <f>IF(COUNT(C45:O45)=0,"",IFERROR(M45*Config!$C$7+N45*Config!$C$8,0))</f>
        <v/>
      </c>
      <c r="AJ45" s="20">
        <f>IF(COUNT(C45:O45)=0,"",IFERROR(IF(O45&gt;0,O45,AI45*Config!$C$9),0))</f>
        <v/>
      </c>
      <c r="AK45" s="20">
        <f>IF(COUNT(C45:O45)=0,"",IFERROR(AJ45*(1-Config!$C$10-Config!$C$11-Config!$C$12),0))</f>
        <v/>
      </c>
      <c r="AL45" s="20">
        <f>IF(COUNT(C45:O45)=0,"",IFERROR(AK45-C45-Config!$C$13,0))</f>
        <v/>
      </c>
      <c r="AM45" s="21">
        <f>IF(COUNT(C45:O45)=0,"",IFERROR(AK45/C45,0))</f>
        <v/>
      </c>
      <c r="AN45" s="21">
        <f>IF(COUNT(C45:O45)=0,"",IFERROR(AI45/C45,0))</f>
        <v/>
      </c>
      <c r="AO45" s="15">
        <f>IF(COUNT(C45:O45)=0,"",IFERROR(AL45/G45,0))</f>
        <v/>
      </c>
      <c r="AP45" s="21">
        <f>IF(COUNT(C45:O45)=0,"",IFERROR(AO45/U45,0))</f>
        <v/>
      </c>
      <c r="AQ45" s="15">
        <f>IF(COUNT(C45:O45)=0,"",IFERROR(AL45/H45,0))</f>
        <v/>
      </c>
    </row>
    <row r="46">
      <c r="A46" s="12">
        <f>Config!$C$6+40</f>
        <v/>
      </c>
      <c r="B46" s="13">
        <f>INT((A46-Config!$C$6)/7)+1</f>
        <v/>
      </c>
      <c r="C46" s="10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0" t="n"/>
      <c r="P46" s="15">
        <f>IF(COUNT(C46:O46)=0,"",IFERROR(C46/D46*1000,0))</f>
        <v/>
      </c>
      <c r="Q46" s="16">
        <f>IF(COUNT(C46:O46)=0,"",IFERROR(D46/E46,0))</f>
        <v/>
      </c>
      <c r="R46" s="17">
        <f>IF(COUNT(C46:O46)=0,"",IFERROR(F46/D46,0))</f>
        <v/>
      </c>
      <c r="S46" s="15">
        <f>IF(COUNT(C46:O46)=0,"",IFERROR(C46/F46,0))</f>
        <v/>
      </c>
      <c r="T46" s="18">
        <f>IF(COUNT(C46:O46)=0,"",IFERROR(G46/F46,0))</f>
        <v/>
      </c>
      <c r="U46" s="15">
        <f>IF(COUNT(C46:O46)=0,"",IFERROR(C46/G46,0))</f>
        <v/>
      </c>
      <c r="V46" s="19">
        <f>IF(COUNT(C46:O46)=0,"",IFERROR(G46/D46*1000,0))</f>
        <v/>
      </c>
      <c r="W46" s="18">
        <f>IF(COUNT(C46:O46)=0,"",IFERROR(H46/G46,0))</f>
        <v/>
      </c>
      <c r="X46" s="15">
        <f>IF(COUNT(C46:O46)=0,"",IFERROR(C46/H46,0))</f>
        <v/>
      </c>
      <c r="Y46" s="18">
        <f>IF(COUNT(C46:O46)=0,"",IFERROR(X46/P46,0))</f>
        <v/>
      </c>
      <c r="Z46" s="19">
        <f>IF(COUNT(C46:O46)=0,"",IFERROR(H46/D46*1000,0))</f>
        <v/>
      </c>
      <c r="AA46" s="18">
        <f>IF(COUNT(C46:O46)=0,"",IFERROR(I46/H46,0))</f>
        <v/>
      </c>
      <c r="AB46" s="18">
        <f>IF(COUNT(C46:O46)=0,"",IFERROR(J46/I46,0))</f>
        <v/>
      </c>
      <c r="AC46" s="18">
        <f>IF(COUNT(C46:O46)=0,"",IFERROR(K46/J46,0))</f>
        <v/>
      </c>
      <c r="AD46" s="15">
        <f>IF(COUNT(C46:O46)=0,"",IFERROR(C46/K46,0))</f>
        <v/>
      </c>
      <c r="AE46" s="18">
        <f>IF(COUNT(C46:O46)=0,"",IFERROR(L46/K46,0))</f>
        <v/>
      </c>
      <c r="AF46" s="18">
        <f>IF(COUNT(C46:O46)=0,"",IFERROR(M46/L46,0))</f>
        <v/>
      </c>
      <c r="AG46" s="17">
        <f>IF(COUNT(C46:O46)=0,"",IFERROR(M46/H46,0))</f>
        <v/>
      </c>
      <c r="AH46" s="15">
        <f>IF(COUNT(C46:O46)=0,"",IFERROR(C46/M46,0))</f>
        <v/>
      </c>
      <c r="AI46" s="20">
        <f>IF(COUNT(C46:O46)=0,"",IFERROR(M46*Config!$C$7+N46*Config!$C$8,0))</f>
        <v/>
      </c>
      <c r="AJ46" s="20">
        <f>IF(COUNT(C46:O46)=0,"",IFERROR(IF(O46&gt;0,O46,AI46*Config!$C$9),0))</f>
        <v/>
      </c>
      <c r="AK46" s="20">
        <f>IF(COUNT(C46:O46)=0,"",IFERROR(AJ46*(1-Config!$C$10-Config!$C$11-Config!$C$12),0))</f>
        <v/>
      </c>
      <c r="AL46" s="20">
        <f>IF(COUNT(C46:O46)=0,"",IFERROR(AK46-C46-Config!$C$13,0))</f>
        <v/>
      </c>
      <c r="AM46" s="21">
        <f>IF(COUNT(C46:O46)=0,"",IFERROR(AK46/C46,0))</f>
        <v/>
      </c>
      <c r="AN46" s="21">
        <f>IF(COUNT(C46:O46)=0,"",IFERROR(AI46/C46,0))</f>
        <v/>
      </c>
      <c r="AO46" s="15">
        <f>IF(COUNT(C46:O46)=0,"",IFERROR(AL46/G46,0))</f>
        <v/>
      </c>
      <c r="AP46" s="21">
        <f>IF(COUNT(C46:O46)=0,"",IFERROR(AO46/U46,0))</f>
        <v/>
      </c>
      <c r="AQ46" s="15">
        <f>IF(COUNT(C46:O46)=0,"",IFERROR(AL46/H46,0))</f>
        <v/>
      </c>
    </row>
    <row r="47">
      <c r="A47" s="12">
        <f>Config!$C$6+41</f>
        <v/>
      </c>
      <c r="B47" s="13">
        <f>INT((A47-Config!$C$6)/7)+1</f>
        <v/>
      </c>
      <c r="C47" s="10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0" t="n"/>
      <c r="P47" s="15">
        <f>IF(COUNT(C47:O47)=0,"",IFERROR(C47/D47*1000,0))</f>
        <v/>
      </c>
      <c r="Q47" s="16">
        <f>IF(COUNT(C47:O47)=0,"",IFERROR(D47/E47,0))</f>
        <v/>
      </c>
      <c r="R47" s="17">
        <f>IF(COUNT(C47:O47)=0,"",IFERROR(F47/D47,0))</f>
        <v/>
      </c>
      <c r="S47" s="15">
        <f>IF(COUNT(C47:O47)=0,"",IFERROR(C47/F47,0))</f>
        <v/>
      </c>
      <c r="T47" s="18">
        <f>IF(COUNT(C47:O47)=0,"",IFERROR(G47/F47,0))</f>
        <v/>
      </c>
      <c r="U47" s="15">
        <f>IF(COUNT(C47:O47)=0,"",IFERROR(C47/G47,0))</f>
        <v/>
      </c>
      <c r="V47" s="19">
        <f>IF(COUNT(C47:O47)=0,"",IFERROR(G47/D47*1000,0))</f>
        <v/>
      </c>
      <c r="W47" s="18">
        <f>IF(COUNT(C47:O47)=0,"",IFERROR(H47/G47,0))</f>
        <v/>
      </c>
      <c r="X47" s="15">
        <f>IF(COUNT(C47:O47)=0,"",IFERROR(C47/H47,0))</f>
        <v/>
      </c>
      <c r="Y47" s="18">
        <f>IF(COUNT(C47:O47)=0,"",IFERROR(X47/P47,0))</f>
        <v/>
      </c>
      <c r="Z47" s="19">
        <f>IF(COUNT(C47:O47)=0,"",IFERROR(H47/D47*1000,0))</f>
        <v/>
      </c>
      <c r="AA47" s="18">
        <f>IF(COUNT(C47:O47)=0,"",IFERROR(I47/H47,0))</f>
        <v/>
      </c>
      <c r="AB47" s="18">
        <f>IF(COUNT(C47:O47)=0,"",IFERROR(J47/I47,0))</f>
        <v/>
      </c>
      <c r="AC47" s="18">
        <f>IF(COUNT(C47:O47)=0,"",IFERROR(K47/J47,0))</f>
        <v/>
      </c>
      <c r="AD47" s="15">
        <f>IF(COUNT(C47:O47)=0,"",IFERROR(C47/K47,0))</f>
        <v/>
      </c>
      <c r="AE47" s="18">
        <f>IF(COUNT(C47:O47)=0,"",IFERROR(L47/K47,0))</f>
        <v/>
      </c>
      <c r="AF47" s="18">
        <f>IF(COUNT(C47:O47)=0,"",IFERROR(M47/L47,0))</f>
        <v/>
      </c>
      <c r="AG47" s="17">
        <f>IF(COUNT(C47:O47)=0,"",IFERROR(M47/H47,0))</f>
        <v/>
      </c>
      <c r="AH47" s="15">
        <f>IF(COUNT(C47:O47)=0,"",IFERROR(C47/M47,0))</f>
        <v/>
      </c>
      <c r="AI47" s="20">
        <f>IF(COUNT(C47:O47)=0,"",IFERROR(M47*Config!$C$7+N47*Config!$C$8,0))</f>
        <v/>
      </c>
      <c r="AJ47" s="20">
        <f>IF(COUNT(C47:O47)=0,"",IFERROR(IF(O47&gt;0,O47,AI47*Config!$C$9),0))</f>
        <v/>
      </c>
      <c r="AK47" s="20">
        <f>IF(COUNT(C47:O47)=0,"",IFERROR(AJ47*(1-Config!$C$10-Config!$C$11-Config!$C$12),0))</f>
        <v/>
      </c>
      <c r="AL47" s="20">
        <f>IF(COUNT(C47:O47)=0,"",IFERROR(AK47-C47-Config!$C$13,0))</f>
        <v/>
      </c>
      <c r="AM47" s="21">
        <f>IF(COUNT(C47:O47)=0,"",IFERROR(AK47/C47,0))</f>
        <v/>
      </c>
      <c r="AN47" s="21">
        <f>IF(COUNT(C47:O47)=0,"",IFERROR(AI47/C47,0))</f>
        <v/>
      </c>
      <c r="AO47" s="15">
        <f>IF(COUNT(C47:O47)=0,"",IFERROR(AL47/G47,0))</f>
        <v/>
      </c>
      <c r="AP47" s="21">
        <f>IF(COUNT(C47:O47)=0,"",IFERROR(AO47/U47,0))</f>
        <v/>
      </c>
      <c r="AQ47" s="15">
        <f>IF(COUNT(C47:O47)=0,"",IFERROR(AL47/H47,0))</f>
        <v/>
      </c>
    </row>
    <row r="48">
      <c r="A48" s="12">
        <f>Config!$C$6+42</f>
        <v/>
      </c>
      <c r="B48" s="13">
        <f>INT((A48-Config!$C$6)/7)+1</f>
        <v/>
      </c>
      <c r="C48" s="10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0" t="n"/>
      <c r="P48" s="15">
        <f>IF(COUNT(C48:O48)=0,"",IFERROR(C48/D48*1000,0))</f>
        <v/>
      </c>
      <c r="Q48" s="16">
        <f>IF(COUNT(C48:O48)=0,"",IFERROR(D48/E48,0))</f>
        <v/>
      </c>
      <c r="R48" s="17">
        <f>IF(COUNT(C48:O48)=0,"",IFERROR(F48/D48,0))</f>
        <v/>
      </c>
      <c r="S48" s="15">
        <f>IF(COUNT(C48:O48)=0,"",IFERROR(C48/F48,0))</f>
        <v/>
      </c>
      <c r="T48" s="18">
        <f>IF(COUNT(C48:O48)=0,"",IFERROR(G48/F48,0))</f>
        <v/>
      </c>
      <c r="U48" s="15">
        <f>IF(COUNT(C48:O48)=0,"",IFERROR(C48/G48,0))</f>
        <v/>
      </c>
      <c r="V48" s="19">
        <f>IF(COUNT(C48:O48)=0,"",IFERROR(G48/D48*1000,0))</f>
        <v/>
      </c>
      <c r="W48" s="18">
        <f>IF(COUNT(C48:O48)=0,"",IFERROR(H48/G48,0))</f>
        <v/>
      </c>
      <c r="X48" s="15">
        <f>IF(COUNT(C48:O48)=0,"",IFERROR(C48/H48,0))</f>
        <v/>
      </c>
      <c r="Y48" s="18">
        <f>IF(COUNT(C48:O48)=0,"",IFERROR(X48/P48,0))</f>
        <v/>
      </c>
      <c r="Z48" s="19">
        <f>IF(COUNT(C48:O48)=0,"",IFERROR(H48/D48*1000,0))</f>
        <v/>
      </c>
      <c r="AA48" s="18">
        <f>IF(COUNT(C48:O48)=0,"",IFERROR(I48/H48,0))</f>
        <v/>
      </c>
      <c r="AB48" s="18">
        <f>IF(COUNT(C48:O48)=0,"",IFERROR(J48/I48,0))</f>
        <v/>
      </c>
      <c r="AC48" s="18">
        <f>IF(COUNT(C48:O48)=0,"",IFERROR(K48/J48,0))</f>
        <v/>
      </c>
      <c r="AD48" s="15">
        <f>IF(COUNT(C48:O48)=0,"",IFERROR(C48/K48,0))</f>
        <v/>
      </c>
      <c r="AE48" s="18">
        <f>IF(COUNT(C48:O48)=0,"",IFERROR(L48/K48,0))</f>
        <v/>
      </c>
      <c r="AF48" s="18">
        <f>IF(COUNT(C48:O48)=0,"",IFERROR(M48/L48,0))</f>
        <v/>
      </c>
      <c r="AG48" s="17">
        <f>IF(COUNT(C48:O48)=0,"",IFERROR(M48/H48,0))</f>
        <v/>
      </c>
      <c r="AH48" s="15">
        <f>IF(COUNT(C48:O48)=0,"",IFERROR(C48/M48,0))</f>
        <v/>
      </c>
      <c r="AI48" s="20">
        <f>IF(COUNT(C48:O48)=0,"",IFERROR(M48*Config!$C$7+N48*Config!$C$8,0))</f>
        <v/>
      </c>
      <c r="AJ48" s="20">
        <f>IF(COUNT(C48:O48)=0,"",IFERROR(IF(O48&gt;0,O48,AI48*Config!$C$9),0))</f>
        <v/>
      </c>
      <c r="AK48" s="20">
        <f>IF(COUNT(C48:O48)=0,"",IFERROR(AJ48*(1-Config!$C$10-Config!$C$11-Config!$C$12),0))</f>
        <v/>
      </c>
      <c r="AL48" s="20">
        <f>IF(COUNT(C48:O48)=0,"",IFERROR(AK48-C48-Config!$C$13,0))</f>
        <v/>
      </c>
      <c r="AM48" s="21">
        <f>IF(COUNT(C48:O48)=0,"",IFERROR(AK48/C48,0))</f>
        <v/>
      </c>
      <c r="AN48" s="21">
        <f>IF(COUNT(C48:O48)=0,"",IFERROR(AI48/C48,0))</f>
        <v/>
      </c>
      <c r="AO48" s="15">
        <f>IF(COUNT(C48:O48)=0,"",IFERROR(AL48/G48,0))</f>
        <v/>
      </c>
      <c r="AP48" s="21">
        <f>IF(COUNT(C48:O48)=0,"",IFERROR(AO48/U48,0))</f>
        <v/>
      </c>
      <c r="AQ48" s="15">
        <f>IF(COUNT(C48:O48)=0,"",IFERROR(AL48/H48,0))</f>
        <v/>
      </c>
    </row>
    <row r="49">
      <c r="A49" s="12">
        <f>Config!$C$6+43</f>
        <v/>
      </c>
      <c r="B49" s="13">
        <f>INT((A49-Config!$C$6)/7)+1</f>
        <v/>
      </c>
      <c r="C49" s="10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0" t="n"/>
      <c r="P49" s="15">
        <f>IF(COUNT(C49:O49)=0,"",IFERROR(C49/D49*1000,0))</f>
        <v/>
      </c>
      <c r="Q49" s="16">
        <f>IF(COUNT(C49:O49)=0,"",IFERROR(D49/E49,0))</f>
        <v/>
      </c>
      <c r="R49" s="17">
        <f>IF(COUNT(C49:O49)=0,"",IFERROR(F49/D49,0))</f>
        <v/>
      </c>
      <c r="S49" s="15">
        <f>IF(COUNT(C49:O49)=0,"",IFERROR(C49/F49,0))</f>
        <v/>
      </c>
      <c r="T49" s="18">
        <f>IF(COUNT(C49:O49)=0,"",IFERROR(G49/F49,0))</f>
        <v/>
      </c>
      <c r="U49" s="15">
        <f>IF(COUNT(C49:O49)=0,"",IFERROR(C49/G49,0))</f>
        <v/>
      </c>
      <c r="V49" s="19">
        <f>IF(COUNT(C49:O49)=0,"",IFERROR(G49/D49*1000,0))</f>
        <v/>
      </c>
      <c r="W49" s="18">
        <f>IF(COUNT(C49:O49)=0,"",IFERROR(H49/G49,0))</f>
        <v/>
      </c>
      <c r="X49" s="15">
        <f>IF(COUNT(C49:O49)=0,"",IFERROR(C49/H49,0))</f>
        <v/>
      </c>
      <c r="Y49" s="18">
        <f>IF(COUNT(C49:O49)=0,"",IFERROR(X49/P49,0))</f>
        <v/>
      </c>
      <c r="Z49" s="19">
        <f>IF(COUNT(C49:O49)=0,"",IFERROR(H49/D49*1000,0))</f>
        <v/>
      </c>
      <c r="AA49" s="18">
        <f>IF(COUNT(C49:O49)=0,"",IFERROR(I49/H49,0))</f>
        <v/>
      </c>
      <c r="AB49" s="18">
        <f>IF(COUNT(C49:O49)=0,"",IFERROR(J49/I49,0))</f>
        <v/>
      </c>
      <c r="AC49" s="18">
        <f>IF(COUNT(C49:O49)=0,"",IFERROR(K49/J49,0))</f>
        <v/>
      </c>
      <c r="AD49" s="15">
        <f>IF(COUNT(C49:O49)=0,"",IFERROR(C49/K49,0))</f>
        <v/>
      </c>
      <c r="AE49" s="18">
        <f>IF(COUNT(C49:O49)=0,"",IFERROR(L49/K49,0))</f>
        <v/>
      </c>
      <c r="AF49" s="18">
        <f>IF(COUNT(C49:O49)=0,"",IFERROR(M49/L49,0))</f>
        <v/>
      </c>
      <c r="AG49" s="17">
        <f>IF(COUNT(C49:O49)=0,"",IFERROR(M49/H49,0))</f>
        <v/>
      </c>
      <c r="AH49" s="15">
        <f>IF(COUNT(C49:O49)=0,"",IFERROR(C49/M49,0))</f>
        <v/>
      </c>
      <c r="AI49" s="20">
        <f>IF(COUNT(C49:O49)=0,"",IFERROR(M49*Config!$C$7+N49*Config!$C$8,0))</f>
        <v/>
      </c>
      <c r="AJ49" s="20">
        <f>IF(COUNT(C49:O49)=0,"",IFERROR(IF(O49&gt;0,O49,AI49*Config!$C$9),0))</f>
        <v/>
      </c>
      <c r="AK49" s="20">
        <f>IF(COUNT(C49:O49)=0,"",IFERROR(AJ49*(1-Config!$C$10-Config!$C$11-Config!$C$12),0))</f>
        <v/>
      </c>
      <c r="AL49" s="20">
        <f>IF(COUNT(C49:O49)=0,"",IFERROR(AK49-C49-Config!$C$13,0))</f>
        <v/>
      </c>
      <c r="AM49" s="21">
        <f>IF(COUNT(C49:O49)=0,"",IFERROR(AK49/C49,0))</f>
        <v/>
      </c>
      <c r="AN49" s="21">
        <f>IF(COUNT(C49:O49)=0,"",IFERROR(AI49/C49,0))</f>
        <v/>
      </c>
      <c r="AO49" s="15">
        <f>IF(COUNT(C49:O49)=0,"",IFERROR(AL49/G49,0))</f>
        <v/>
      </c>
      <c r="AP49" s="21">
        <f>IF(COUNT(C49:O49)=0,"",IFERROR(AO49/U49,0))</f>
        <v/>
      </c>
      <c r="AQ49" s="15">
        <f>IF(COUNT(C49:O49)=0,"",IFERROR(AL49/H49,0))</f>
        <v/>
      </c>
    </row>
    <row r="50">
      <c r="A50" s="12">
        <f>Config!$C$6+44</f>
        <v/>
      </c>
      <c r="B50" s="13">
        <f>INT((A50-Config!$C$6)/7)+1</f>
        <v/>
      </c>
      <c r="C50" s="10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0" t="n"/>
      <c r="P50" s="15">
        <f>IF(COUNT(C50:O50)=0,"",IFERROR(C50/D50*1000,0))</f>
        <v/>
      </c>
      <c r="Q50" s="16">
        <f>IF(COUNT(C50:O50)=0,"",IFERROR(D50/E50,0))</f>
        <v/>
      </c>
      <c r="R50" s="17">
        <f>IF(COUNT(C50:O50)=0,"",IFERROR(F50/D50,0))</f>
        <v/>
      </c>
      <c r="S50" s="15">
        <f>IF(COUNT(C50:O50)=0,"",IFERROR(C50/F50,0))</f>
        <v/>
      </c>
      <c r="T50" s="18">
        <f>IF(COUNT(C50:O50)=0,"",IFERROR(G50/F50,0))</f>
        <v/>
      </c>
      <c r="U50" s="15">
        <f>IF(COUNT(C50:O50)=0,"",IFERROR(C50/G50,0))</f>
        <v/>
      </c>
      <c r="V50" s="19">
        <f>IF(COUNT(C50:O50)=0,"",IFERROR(G50/D50*1000,0))</f>
        <v/>
      </c>
      <c r="W50" s="18">
        <f>IF(COUNT(C50:O50)=0,"",IFERROR(H50/G50,0))</f>
        <v/>
      </c>
      <c r="X50" s="15">
        <f>IF(COUNT(C50:O50)=0,"",IFERROR(C50/H50,0))</f>
        <v/>
      </c>
      <c r="Y50" s="18">
        <f>IF(COUNT(C50:O50)=0,"",IFERROR(X50/P50,0))</f>
        <v/>
      </c>
      <c r="Z50" s="19">
        <f>IF(COUNT(C50:O50)=0,"",IFERROR(H50/D50*1000,0))</f>
        <v/>
      </c>
      <c r="AA50" s="18">
        <f>IF(COUNT(C50:O50)=0,"",IFERROR(I50/H50,0))</f>
        <v/>
      </c>
      <c r="AB50" s="18">
        <f>IF(COUNT(C50:O50)=0,"",IFERROR(J50/I50,0))</f>
        <v/>
      </c>
      <c r="AC50" s="18">
        <f>IF(COUNT(C50:O50)=0,"",IFERROR(K50/J50,0))</f>
        <v/>
      </c>
      <c r="AD50" s="15">
        <f>IF(COUNT(C50:O50)=0,"",IFERROR(C50/K50,0))</f>
        <v/>
      </c>
      <c r="AE50" s="18">
        <f>IF(COUNT(C50:O50)=0,"",IFERROR(L50/K50,0))</f>
        <v/>
      </c>
      <c r="AF50" s="18">
        <f>IF(COUNT(C50:O50)=0,"",IFERROR(M50/L50,0))</f>
        <v/>
      </c>
      <c r="AG50" s="17">
        <f>IF(COUNT(C50:O50)=0,"",IFERROR(M50/H50,0))</f>
        <v/>
      </c>
      <c r="AH50" s="15">
        <f>IF(COUNT(C50:O50)=0,"",IFERROR(C50/M50,0))</f>
        <v/>
      </c>
      <c r="AI50" s="20">
        <f>IF(COUNT(C50:O50)=0,"",IFERROR(M50*Config!$C$7+N50*Config!$C$8,0))</f>
        <v/>
      </c>
      <c r="AJ50" s="20">
        <f>IF(COUNT(C50:O50)=0,"",IFERROR(IF(O50&gt;0,O50,AI50*Config!$C$9),0))</f>
        <v/>
      </c>
      <c r="AK50" s="20">
        <f>IF(COUNT(C50:O50)=0,"",IFERROR(AJ50*(1-Config!$C$10-Config!$C$11-Config!$C$12),0))</f>
        <v/>
      </c>
      <c r="AL50" s="20">
        <f>IF(COUNT(C50:O50)=0,"",IFERROR(AK50-C50-Config!$C$13,0))</f>
        <v/>
      </c>
      <c r="AM50" s="21">
        <f>IF(COUNT(C50:O50)=0,"",IFERROR(AK50/C50,0))</f>
        <v/>
      </c>
      <c r="AN50" s="21">
        <f>IF(COUNT(C50:O50)=0,"",IFERROR(AI50/C50,0))</f>
        <v/>
      </c>
      <c r="AO50" s="15">
        <f>IF(COUNT(C50:O50)=0,"",IFERROR(AL50/G50,0))</f>
        <v/>
      </c>
      <c r="AP50" s="21">
        <f>IF(COUNT(C50:O50)=0,"",IFERROR(AO50/U50,0))</f>
        <v/>
      </c>
      <c r="AQ50" s="15">
        <f>IF(COUNT(C50:O50)=0,"",IFERROR(AL50/H50,0))</f>
        <v/>
      </c>
    </row>
    <row r="51">
      <c r="A51" s="12">
        <f>Config!$C$6+45</f>
        <v/>
      </c>
      <c r="B51" s="13">
        <f>INT((A51-Config!$C$6)/7)+1</f>
        <v/>
      </c>
      <c r="C51" s="10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0" t="n"/>
      <c r="P51" s="15">
        <f>IF(COUNT(C51:O51)=0,"",IFERROR(C51/D51*1000,0))</f>
        <v/>
      </c>
      <c r="Q51" s="16">
        <f>IF(COUNT(C51:O51)=0,"",IFERROR(D51/E51,0))</f>
        <v/>
      </c>
      <c r="R51" s="17">
        <f>IF(COUNT(C51:O51)=0,"",IFERROR(F51/D51,0))</f>
        <v/>
      </c>
      <c r="S51" s="15">
        <f>IF(COUNT(C51:O51)=0,"",IFERROR(C51/F51,0))</f>
        <v/>
      </c>
      <c r="T51" s="18">
        <f>IF(COUNT(C51:O51)=0,"",IFERROR(G51/F51,0))</f>
        <v/>
      </c>
      <c r="U51" s="15">
        <f>IF(COUNT(C51:O51)=0,"",IFERROR(C51/G51,0))</f>
        <v/>
      </c>
      <c r="V51" s="19">
        <f>IF(COUNT(C51:O51)=0,"",IFERROR(G51/D51*1000,0))</f>
        <v/>
      </c>
      <c r="W51" s="18">
        <f>IF(COUNT(C51:O51)=0,"",IFERROR(H51/G51,0))</f>
        <v/>
      </c>
      <c r="X51" s="15">
        <f>IF(COUNT(C51:O51)=0,"",IFERROR(C51/H51,0))</f>
        <v/>
      </c>
      <c r="Y51" s="18">
        <f>IF(COUNT(C51:O51)=0,"",IFERROR(X51/P51,0))</f>
        <v/>
      </c>
      <c r="Z51" s="19">
        <f>IF(COUNT(C51:O51)=0,"",IFERROR(H51/D51*1000,0))</f>
        <v/>
      </c>
      <c r="AA51" s="18">
        <f>IF(COUNT(C51:O51)=0,"",IFERROR(I51/H51,0))</f>
        <v/>
      </c>
      <c r="AB51" s="18">
        <f>IF(COUNT(C51:O51)=0,"",IFERROR(J51/I51,0))</f>
        <v/>
      </c>
      <c r="AC51" s="18">
        <f>IF(COUNT(C51:O51)=0,"",IFERROR(K51/J51,0))</f>
        <v/>
      </c>
      <c r="AD51" s="15">
        <f>IF(COUNT(C51:O51)=0,"",IFERROR(C51/K51,0))</f>
        <v/>
      </c>
      <c r="AE51" s="18">
        <f>IF(COUNT(C51:O51)=0,"",IFERROR(L51/K51,0))</f>
        <v/>
      </c>
      <c r="AF51" s="18">
        <f>IF(COUNT(C51:O51)=0,"",IFERROR(M51/L51,0))</f>
        <v/>
      </c>
      <c r="AG51" s="17">
        <f>IF(COUNT(C51:O51)=0,"",IFERROR(M51/H51,0))</f>
        <v/>
      </c>
      <c r="AH51" s="15">
        <f>IF(COUNT(C51:O51)=0,"",IFERROR(C51/M51,0))</f>
        <v/>
      </c>
      <c r="AI51" s="20">
        <f>IF(COUNT(C51:O51)=0,"",IFERROR(M51*Config!$C$7+N51*Config!$C$8,0))</f>
        <v/>
      </c>
      <c r="AJ51" s="20">
        <f>IF(COUNT(C51:O51)=0,"",IFERROR(IF(O51&gt;0,O51,AI51*Config!$C$9),0))</f>
        <v/>
      </c>
      <c r="AK51" s="20">
        <f>IF(COUNT(C51:O51)=0,"",IFERROR(AJ51*(1-Config!$C$10-Config!$C$11-Config!$C$12),0))</f>
        <v/>
      </c>
      <c r="AL51" s="20">
        <f>IF(COUNT(C51:O51)=0,"",IFERROR(AK51-C51-Config!$C$13,0))</f>
        <v/>
      </c>
      <c r="AM51" s="21">
        <f>IF(COUNT(C51:O51)=0,"",IFERROR(AK51/C51,0))</f>
        <v/>
      </c>
      <c r="AN51" s="21">
        <f>IF(COUNT(C51:O51)=0,"",IFERROR(AI51/C51,0))</f>
        <v/>
      </c>
      <c r="AO51" s="15">
        <f>IF(COUNT(C51:O51)=0,"",IFERROR(AL51/G51,0))</f>
        <v/>
      </c>
      <c r="AP51" s="21">
        <f>IF(COUNT(C51:O51)=0,"",IFERROR(AO51/U51,0))</f>
        <v/>
      </c>
      <c r="AQ51" s="15">
        <f>IF(COUNT(C51:O51)=0,"",IFERROR(AL51/H51,0))</f>
        <v/>
      </c>
    </row>
    <row r="52">
      <c r="A52" s="12">
        <f>Config!$C$6+46</f>
        <v/>
      </c>
      <c r="B52" s="13">
        <f>INT((A52-Config!$C$6)/7)+1</f>
        <v/>
      </c>
      <c r="C52" s="10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0" t="n"/>
      <c r="P52" s="15">
        <f>IF(COUNT(C52:O52)=0,"",IFERROR(C52/D52*1000,0))</f>
        <v/>
      </c>
      <c r="Q52" s="16">
        <f>IF(COUNT(C52:O52)=0,"",IFERROR(D52/E52,0))</f>
        <v/>
      </c>
      <c r="R52" s="17">
        <f>IF(COUNT(C52:O52)=0,"",IFERROR(F52/D52,0))</f>
        <v/>
      </c>
      <c r="S52" s="15">
        <f>IF(COUNT(C52:O52)=0,"",IFERROR(C52/F52,0))</f>
        <v/>
      </c>
      <c r="T52" s="18">
        <f>IF(COUNT(C52:O52)=0,"",IFERROR(G52/F52,0))</f>
        <v/>
      </c>
      <c r="U52" s="15">
        <f>IF(COUNT(C52:O52)=0,"",IFERROR(C52/G52,0))</f>
        <v/>
      </c>
      <c r="V52" s="19">
        <f>IF(COUNT(C52:O52)=0,"",IFERROR(G52/D52*1000,0))</f>
        <v/>
      </c>
      <c r="W52" s="18">
        <f>IF(COUNT(C52:O52)=0,"",IFERROR(H52/G52,0))</f>
        <v/>
      </c>
      <c r="X52" s="15">
        <f>IF(COUNT(C52:O52)=0,"",IFERROR(C52/H52,0))</f>
        <v/>
      </c>
      <c r="Y52" s="18">
        <f>IF(COUNT(C52:O52)=0,"",IFERROR(X52/P52,0))</f>
        <v/>
      </c>
      <c r="Z52" s="19">
        <f>IF(COUNT(C52:O52)=0,"",IFERROR(H52/D52*1000,0))</f>
        <v/>
      </c>
      <c r="AA52" s="18">
        <f>IF(COUNT(C52:O52)=0,"",IFERROR(I52/H52,0))</f>
        <v/>
      </c>
      <c r="AB52" s="18">
        <f>IF(COUNT(C52:O52)=0,"",IFERROR(J52/I52,0))</f>
        <v/>
      </c>
      <c r="AC52" s="18">
        <f>IF(COUNT(C52:O52)=0,"",IFERROR(K52/J52,0))</f>
        <v/>
      </c>
      <c r="AD52" s="15">
        <f>IF(COUNT(C52:O52)=0,"",IFERROR(C52/K52,0))</f>
        <v/>
      </c>
      <c r="AE52" s="18">
        <f>IF(COUNT(C52:O52)=0,"",IFERROR(L52/K52,0))</f>
        <v/>
      </c>
      <c r="AF52" s="18">
        <f>IF(COUNT(C52:O52)=0,"",IFERROR(M52/L52,0))</f>
        <v/>
      </c>
      <c r="AG52" s="17">
        <f>IF(COUNT(C52:O52)=0,"",IFERROR(M52/H52,0))</f>
        <v/>
      </c>
      <c r="AH52" s="15">
        <f>IF(COUNT(C52:O52)=0,"",IFERROR(C52/M52,0))</f>
        <v/>
      </c>
      <c r="AI52" s="20">
        <f>IF(COUNT(C52:O52)=0,"",IFERROR(M52*Config!$C$7+N52*Config!$C$8,0))</f>
        <v/>
      </c>
      <c r="AJ52" s="20">
        <f>IF(COUNT(C52:O52)=0,"",IFERROR(IF(O52&gt;0,O52,AI52*Config!$C$9),0))</f>
        <v/>
      </c>
      <c r="AK52" s="20">
        <f>IF(COUNT(C52:O52)=0,"",IFERROR(AJ52*(1-Config!$C$10-Config!$C$11-Config!$C$12),0))</f>
        <v/>
      </c>
      <c r="AL52" s="20">
        <f>IF(COUNT(C52:O52)=0,"",IFERROR(AK52-C52-Config!$C$13,0))</f>
        <v/>
      </c>
      <c r="AM52" s="21">
        <f>IF(COUNT(C52:O52)=0,"",IFERROR(AK52/C52,0))</f>
        <v/>
      </c>
      <c r="AN52" s="21">
        <f>IF(COUNT(C52:O52)=0,"",IFERROR(AI52/C52,0))</f>
        <v/>
      </c>
      <c r="AO52" s="15">
        <f>IF(COUNT(C52:O52)=0,"",IFERROR(AL52/G52,0))</f>
        <v/>
      </c>
      <c r="AP52" s="21">
        <f>IF(COUNT(C52:O52)=0,"",IFERROR(AO52/U52,0))</f>
        <v/>
      </c>
      <c r="AQ52" s="15">
        <f>IF(COUNT(C52:O52)=0,"",IFERROR(AL52/H52,0))</f>
        <v/>
      </c>
    </row>
    <row r="53">
      <c r="A53" s="12">
        <f>Config!$C$6+47</f>
        <v/>
      </c>
      <c r="B53" s="13">
        <f>INT((A53-Config!$C$6)/7)+1</f>
        <v/>
      </c>
      <c r="C53" s="10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0" t="n"/>
      <c r="P53" s="15">
        <f>IF(COUNT(C53:O53)=0,"",IFERROR(C53/D53*1000,0))</f>
        <v/>
      </c>
      <c r="Q53" s="16">
        <f>IF(COUNT(C53:O53)=0,"",IFERROR(D53/E53,0))</f>
        <v/>
      </c>
      <c r="R53" s="17">
        <f>IF(COUNT(C53:O53)=0,"",IFERROR(F53/D53,0))</f>
        <v/>
      </c>
      <c r="S53" s="15">
        <f>IF(COUNT(C53:O53)=0,"",IFERROR(C53/F53,0))</f>
        <v/>
      </c>
      <c r="T53" s="18">
        <f>IF(COUNT(C53:O53)=0,"",IFERROR(G53/F53,0))</f>
        <v/>
      </c>
      <c r="U53" s="15">
        <f>IF(COUNT(C53:O53)=0,"",IFERROR(C53/G53,0))</f>
        <v/>
      </c>
      <c r="V53" s="19">
        <f>IF(COUNT(C53:O53)=0,"",IFERROR(G53/D53*1000,0))</f>
        <v/>
      </c>
      <c r="W53" s="18">
        <f>IF(COUNT(C53:O53)=0,"",IFERROR(H53/G53,0))</f>
        <v/>
      </c>
      <c r="X53" s="15">
        <f>IF(COUNT(C53:O53)=0,"",IFERROR(C53/H53,0))</f>
        <v/>
      </c>
      <c r="Y53" s="18">
        <f>IF(COUNT(C53:O53)=0,"",IFERROR(X53/P53,0))</f>
        <v/>
      </c>
      <c r="Z53" s="19">
        <f>IF(COUNT(C53:O53)=0,"",IFERROR(H53/D53*1000,0))</f>
        <v/>
      </c>
      <c r="AA53" s="18">
        <f>IF(COUNT(C53:O53)=0,"",IFERROR(I53/H53,0))</f>
        <v/>
      </c>
      <c r="AB53" s="18">
        <f>IF(COUNT(C53:O53)=0,"",IFERROR(J53/I53,0))</f>
        <v/>
      </c>
      <c r="AC53" s="18">
        <f>IF(COUNT(C53:O53)=0,"",IFERROR(K53/J53,0))</f>
        <v/>
      </c>
      <c r="AD53" s="15">
        <f>IF(COUNT(C53:O53)=0,"",IFERROR(C53/K53,0))</f>
        <v/>
      </c>
      <c r="AE53" s="18">
        <f>IF(COUNT(C53:O53)=0,"",IFERROR(L53/K53,0))</f>
        <v/>
      </c>
      <c r="AF53" s="18">
        <f>IF(COUNT(C53:O53)=0,"",IFERROR(M53/L53,0))</f>
        <v/>
      </c>
      <c r="AG53" s="17">
        <f>IF(COUNT(C53:O53)=0,"",IFERROR(M53/H53,0))</f>
        <v/>
      </c>
      <c r="AH53" s="15">
        <f>IF(COUNT(C53:O53)=0,"",IFERROR(C53/M53,0))</f>
        <v/>
      </c>
      <c r="AI53" s="20">
        <f>IF(COUNT(C53:O53)=0,"",IFERROR(M53*Config!$C$7+N53*Config!$C$8,0))</f>
        <v/>
      </c>
      <c r="AJ53" s="20">
        <f>IF(COUNT(C53:O53)=0,"",IFERROR(IF(O53&gt;0,O53,AI53*Config!$C$9),0))</f>
        <v/>
      </c>
      <c r="AK53" s="20">
        <f>IF(COUNT(C53:O53)=0,"",IFERROR(AJ53*(1-Config!$C$10-Config!$C$11-Config!$C$12),0))</f>
        <v/>
      </c>
      <c r="AL53" s="20">
        <f>IF(COUNT(C53:O53)=0,"",IFERROR(AK53-C53-Config!$C$13,0))</f>
        <v/>
      </c>
      <c r="AM53" s="21">
        <f>IF(COUNT(C53:O53)=0,"",IFERROR(AK53/C53,0))</f>
        <v/>
      </c>
      <c r="AN53" s="21">
        <f>IF(COUNT(C53:O53)=0,"",IFERROR(AI53/C53,0))</f>
        <v/>
      </c>
      <c r="AO53" s="15">
        <f>IF(COUNT(C53:O53)=0,"",IFERROR(AL53/G53,0))</f>
        <v/>
      </c>
      <c r="AP53" s="21">
        <f>IF(COUNT(C53:O53)=0,"",IFERROR(AO53/U53,0))</f>
        <v/>
      </c>
      <c r="AQ53" s="15">
        <f>IF(COUNT(C53:O53)=0,"",IFERROR(AL53/H53,0))</f>
        <v/>
      </c>
    </row>
    <row r="54">
      <c r="A54" s="12">
        <f>Config!$C$6+48</f>
        <v/>
      </c>
      <c r="B54" s="13">
        <f>INT((A54-Config!$C$6)/7)+1</f>
        <v/>
      </c>
      <c r="C54" s="10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0" t="n"/>
      <c r="P54" s="15">
        <f>IF(COUNT(C54:O54)=0,"",IFERROR(C54/D54*1000,0))</f>
        <v/>
      </c>
      <c r="Q54" s="16">
        <f>IF(COUNT(C54:O54)=0,"",IFERROR(D54/E54,0))</f>
        <v/>
      </c>
      <c r="R54" s="17">
        <f>IF(COUNT(C54:O54)=0,"",IFERROR(F54/D54,0))</f>
        <v/>
      </c>
      <c r="S54" s="15">
        <f>IF(COUNT(C54:O54)=0,"",IFERROR(C54/F54,0))</f>
        <v/>
      </c>
      <c r="T54" s="18">
        <f>IF(COUNT(C54:O54)=0,"",IFERROR(G54/F54,0))</f>
        <v/>
      </c>
      <c r="U54" s="15">
        <f>IF(COUNT(C54:O54)=0,"",IFERROR(C54/G54,0))</f>
        <v/>
      </c>
      <c r="V54" s="19">
        <f>IF(COUNT(C54:O54)=0,"",IFERROR(G54/D54*1000,0))</f>
        <v/>
      </c>
      <c r="W54" s="18">
        <f>IF(COUNT(C54:O54)=0,"",IFERROR(H54/G54,0))</f>
        <v/>
      </c>
      <c r="X54" s="15">
        <f>IF(COUNT(C54:O54)=0,"",IFERROR(C54/H54,0))</f>
        <v/>
      </c>
      <c r="Y54" s="18">
        <f>IF(COUNT(C54:O54)=0,"",IFERROR(X54/P54,0))</f>
        <v/>
      </c>
      <c r="Z54" s="19">
        <f>IF(COUNT(C54:O54)=0,"",IFERROR(H54/D54*1000,0))</f>
        <v/>
      </c>
      <c r="AA54" s="18">
        <f>IF(COUNT(C54:O54)=0,"",IFERROR(I54/H54,0))</f>
        <v/>
      </c>
      <c r="AB54" s="18">
        <f>IF(COUNT(C54:O54)=0,"",IFERROR(J54/I54,0))</f>
        <v/>
      </c>
      <c r="AC54" s="18">
        <f>IF(COUNT(C54:O54)=0,"",IFERROR(K54/J54,0))</f>
        <v/>
      </c>
      <c r="AD54" s="15">
        <f>IF(COUNT(C54:O54)=0,"",IFERROR(C54/K54,0))</f>
        <v/>
      </c>
      <c r="AE54" s="18">
        <f>IF(COUNT(C54:O54)=0,"",IFERROR(L54/K54,0))</f>
        <v/>
      </c>
      <c r="AF54" s="18">
        <f>IF(COUNT(C54:O54)=0,"",IFERROR(M54/L54,0))</f>
        <v/>
      </c>
      <c r="AG54" s="17">
        <f>IF(COUNT(C54:O54)=0,"",IFERROR(M54/H54,0))</f>
        <v/>
      </c>
      <c r="AH54" s="15">
        <f>IF(COUNT(C54:O54)=0,"",IFERROR(C54/M54,0))</f>
        <v/>
      </c>
      <c r="AI54" s="20">
        <f>IF(COUNT(C54:O54)=0,"",IFERROR(M54*Config!$C$7+N54*Config!$C$8,0))</f>
        <v/>
      </c>
      <c r="AJ54" s="20">
        <f>IF(COUNT(C54:O54)=0,"",IFERROR(IF(O54&gt;0,O54,AI54*Config!$C$9),0))</f>
        <v/>
      </c>
      <c r="AK54" s="20">
        <f>IF(COUNT(C54:O54)=0,"",IFERROR(AJ54*(1-Config!$C$10-Config!$C$11-Config!$C$12),0))</f>
        <v/>
      </c>
      <c r="AL54" s="20">
        <f>IF(COUNT(C54:O54)=0,"",IFERROR(AK54-C54-Config!$C$13,0))</f>
        <v/>
      </c>
      <c r="AM54" s="21">
        <f>IF(COUNT(C54:O54)=0,"",IFERROR(AK54/C54,0))</f>
        <v/>
      </c>
      <c r="AN54" s="21">
        <f>IF(COUNT(C54:O54)=0,"",IFERROR(AI54/C54,0))</f>
        <v/>
      </c>
      <c r="AO54" s="15">
        <f>IF(COUNT(C54:O54)=0,"",IFERROR(AL54/G54,0))</f>
        <v/>
      </c>
      <c r="AP54" s="21">
        <f>IF(COUNT(C54:O54)=0,"",IFERROR(AO54/U54,0))</f>
        <v/>
      </c>
      <c r="AQ54" s="15">
        <f>IF(COUNT(C54:O54)=0,"",IFERROR(AL54/H54,0))</f>
        <v/>
      </c>
    </row>
    <row r="55">
      <c r="A55" s="12">
        <f>Config!$C$6+49</f>
        <v/>
      </c>
      <c r="B55" s="13">
        <f>INT((A55-Config!$C$6)/7)+1</f>
        <v/>
      </c>
      <c r="C55" s="10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0" t="n"/>
      <c r="P55" s="15">
        <f>IF(COUNT(C55:O55)=0,"",IFERROR(C55/D55*1000,0))</f>
        <v/>
      </c>
      <c r="Q55" s="16">
        <f>IF(COUNT(C55:O55)=0,"",IFERROR(D55/E55,0))</f>
        <v/>
      </c>
      <c r="R55" s="17">
        <f>IF(COUNT(C55:O55)=0,"",IFERROR(F55/D55,0))</f>
        <v/>
      </c>
      <c r="S55" s="15">
        <f>IF(COUNT(C55:O55)=0,"",IFERROR(C55/F55,0))</f>
        <v/>
      </c>
      <c r="T55" s="18">
        <f>IF(COUNT(C55:O55)=0,"",IFERROR(G55/F55,0))</f>
        <v/>
      </c>
      <c r="U55" s="15">
        <f>IF(COUNT(C55:O55)=0,"",IFERROR(C55/G55,0))</f>
        <v/>
      </c>
      <c r="V55" s="19">
        <f>IF(COUNT(C55:O55)=0,"",IFERROR(G55/D55*1000,0))</f>
        <v/>
      </c>
      <c r="W55" s="18">
        <f>IF(COUNT(C55:O55)=0,"",IFERROR(H55/G55,0))</f>
        <v/>
      </c>
      <c r="X55" s="15">
        <f>IF(COUNT(C55:O55)=0,"",IFERROR(C55/H55,0))</f>
        <v/>
      </c>
      <c r="Y55" s="18">
        <f>IF(COUNT(C55:O55)=0,"",IFERROR(X55/P55,0))</f>
        <v/>
      </c>
      <c r="Z55" s="19">
        <f>IF(COUNT(C55:O55)=0,"",IFERROR(H55/D55*1000,0))</f>
        <v/>
      </c>
      <c r="AA55" s="18">
        <f>IF(COUNT(C55:O55)=0,"",IFERROR(I55/H55,0))</f>
        <v/>
      </c>
      <c r="AB55" s="18">
        <f>IF(COUNT(C55:O55)=0,"",IFERROR(J55/I55,0))</f>
        <v/>
      </c>
      <c r="AC55" s="18">
        <f>IF(COUNT(C55:O55)=0,"",IFERROR(K55/J55,0))</f>
        <v/>
      </c>
      <c r="AD55" s="15">
        <f>IF(COUNT(C55:O55)=0,"",IFERROR(C55/K55,0))</f>
        <v/>
      </c>
      <c r="AE55" s="18">
        <f>IF(COUNT(C55:O55)=0,"",IFERROR(L55/K55,0))</f>
        <v/>
      </c>
      <c r="AF55" s="18">
        <f>IF(COUNT(C55:O55)=0,"",IFERROR(M55/L55,0))</f>
        <v/>
      </c>
      <c r="AG55" s="17">
        <f>IF(COUNT(C55:O55)=0,"",IFERROR(M55/H55,0))</f>
        <v/>
      </c>
      <c r="AH55" s="15">
        <f>IF(COUNT(C55:O55)=0,"",IFERROR(C55/M55,0))</f>
        <v/>
      </c>
      <c r="AI55" s="20">
        <f>IF(COUNT(C55:O55)=0,"",IFERROR(M55*Config!$C$7+N55*Config!$C$8,0))</f>
        <v/>
      </c>
      <c r="AJ55" s="20">
        <f>IF(COUNT(C55:O55)=0,"",IFERROR(IF(O55&gt;0,O55,AI55*Config!$C$9),0))</f>
        <v/>
      </c>
      <c r="AK55" s="20">
        <f>IF(COUNT(C55:O55)=0,"",IFERROR(AJ55*(1-Config!$C$10-Config!$C$11-Config!$C$12),0))</f>
        <v/>
      </c>
      <c r="AL55" s="20">
        <f>IF(COUNT(C55:O55)=0,"",IFERROR(AK55-C55-Config!$C$13,0))</f>
        <v/>
      </c>
      <c r="AM55" s="21">
        <f>IF(COUNT(C55:O55)=0,"",IFERROR(AK55/C55,0))</f>
        <v/>
      </c>
      <c r="AN55" s="21">
        <f>IF(COUNT(C55:O55)=0,"",IFERROR(AI55/C55,0))</f>
        <v/>
      </c>
      <c r="AO55" s="15">
        <f>IF(COUNT(C55:O55)=0,"",IFERROR(AL55/G55,0))</f>
        <v/>
      </c>
      <c r="AP55" s="21">
        <f>IF(COUNT(C55:O55)=0,"",IFERROR(AO55/U55,0))</f>
        <v/>
      </c>
      <c r="AQ55" s="15">
        <f>IF(COUNT(C55:O55)=0,"",IFERROR(AL55/H55,0))</f>
        <v/>
      </c>
    </row>
    <row r="56">
      <c r="A56" s="12">
        <f>Config!$C$6+50</f>
        <v/>
      </c>
      <c r="B56" s="13">
        <f>INT((A56-Config!$C$6)/7)+1</f>
        <v/>
      </c>
      <c r="C56" s="10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0" t="n"/>
      <c r="P56" s="15">
        <f>IF(COUNT(C56:O56)=0,"",IFERROR(C56/D56*1000,0))</f>
        <v/>
      </c>
      <c r="Q56" s="16">
        <f>IF(COUNT(C56:O56)=0,"",IFERROR(D56/E56,0))</f>
        <v/>
      </c>
      <c r="R56" s="17">
        <f>IF(COUNT(C56:O56)=0,"",IFERROR(F56/D56,0))</f>
        <v/>
      </c>
      <c r="S56" s="15">
        <f>IF(COUNT(C56:O56)=0,"",IFERROR(C56/F56,0))</f>
        <v/>
      </c>
      <c r="T56" s="18">
        <f>IF(COUNT(C56:O56)=0,"",IFERROR(G56/F56,0))</f>
        <v/>
      </c>
      <c r="U56" s="15">
        <f>IF(COUNT(C56:O56)=0,"",IFERROR(C56/G56,0))</f>
        <v/>
      </c>
      <c r="V56" s="19">
        <f>IF(COUNT(C56:O56)=0,"",IFERROR(G56/D56*1000,0))</f>
        <v/>
      </c>
      <c r="W56" s="18">
        <f>IF(COUNT(C56:O56)=0,"",IFERROR(H56/G56,0))</f>
        <v/>
      </c>
      <c r="X56" s="15">
        <f>IF(COUNT(C56:O56)=0,"",IFERROR(C56/H56,0))</f>
        <v/>
      </c>
      <c r="Y56" s="18">
        <f>IF(COUNT(C56:O56)=0,"",IFERROR(X56/P56,0))</f>
        <v/>
      </c>
      <c r="Z56" s="19">
        <f>IF(COUNT(C56:O56)=0,"",IFERROR(H56/D56*1000,0))</f>
        <v/>
      </c>
      <c r="AA56" s="18">
        <f>IF(COUNT(C56:O56)=0,"",IFERROR(I56/H56,0))</f>
        <v/>
      </c>
      <c r="AB56" s="18">
        <f>IF(COUNT(C56:O56)=0,"",IFERROR(J56/I56,0))</f>
        <v/>
      </c>
      <c r="AC56" s="18">
        <f>IF(COUNT(C56:O56)=0,"",IFERROR(K56/J56,0))</f>
        <v/>
      </c>
      <c r="AD56" s="15">
        <f>IF(COUNT(C56:O56)=0,"",IFERROR(C56/K56,0))</f>
        <v/>
      </c>
      <c r="AE56" s="18">
        <f>IF(COUNT(C56:O56)=0,"",IFERROR(L56/K56,0))</f>
        <v/>
      </c>
      <c r="AF56" s="18">
        <f>IF(COUNT(C56:O56)=0,"",IFERROR(M56/L56,0))</f>
        <v/>
      </c>
      <c r="AG56" s="17">
        <f>IF(COUNT(C56:O56)=0,"",IFERROR(M56/H56,0))</f>
        <v/>
      </c>
      <c r="AH56" s="15">
        <f>IF(COUNT(C56:O56)=0,"",IFERROR(C56/M56,0))</f>
        <v/>
      </c>
      <c r="AI56" s="20">
        <f>IF(COUNT(C56:O56)=0,"",IFERROR(M56*Config!$C$7+N56*Config!$C$8,0))</f>
        <v/>
      </c>
      <c r="AJ56" s="20">
        <f>IF(COUNT(C56:O56)=0,"",IFERROR(IF(O56&gt;0,O56,AI56*Config!$C$9),0))</f>
        <v/>
      </c>
      <c r="AK56" s="20">
        <f>IF(COUNT(C56:O56)=0,"",IFERROR(AJ56*(1-Config!$C$10-Config!$C$11-Config!$C$12),0))</f>
        <v/>
      </c>
      <c r="AL56" s="20">
        <f>IF(COUNT(C56:O56)=0,"",IFERROR(AK56-C56-Config!$C$13,0))</f>
        <v/>
      </c>
      <c r="AM56" s="21">
        <f>IF(COUNT(C56:O56)=0,"",IFERROR(AK56/C56,0))</f>
        <v/>
      </c>
      <c r="AN56" s="21">
        <f>IF(COUNT(C56:O56)=0,"",IFERROR(AI56/C56,0))</f>
        <v/>
      </c>
      <c r="AO56" s="15">
        <f>IF(COUNT(C56:O56)=0,"",IFERROR(AL56/G56,0))</f>
        <v/>
      </c>
      <c r="AP56" s="21">
        <f>IF(COUNT(C56:O56)=0,"",IFERROR(AO56/U56,0))</f>
        <v/>
      </c>
      <c r="AQ56" s="15">
        <f>IF(COUNT(C56:O56)=0,"",IFERROR(AL56/H56,0))</f>
        <v/>
      </c>
    </row>
    <row r="57">
      <c r="A57" s="12">
        <f>Config!$C$6+51</f>
        <v/>
      </c>
      <c r="B57" s="13">
        <f>INT((A57-Config!$C$6)/7)+1</f>
        <v/>
      </c>
      <c r="C57" s="10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0" t="n"/>
      <c r="P57" s="15">
        <f>IF(COUNT(C57:O57)=0,"",IFERROR(C57/D57*1000,0))</f>
        <v/>
      </c>
      <c r="Q57" s="16">
        <f>IF(COUNT(C57:O57)=0,"",IFERROR(D57/E57,0))</f>
        <v/>
      </c>
      <c r="R57" s="17">
        <f>IF(COUNT(C57:O57)=0,"",IFERROR(F57/D57,0))</f>
        <v/>
      </c>
      <c r="S57" s="15">
        <f>IF(COUNT(C57:O57)=0,"",IFERROR(C57/F57,0))</f>
        <v/>
      </c>
      <c r="T57" s="18">
        <f>IF(COUNT(C57:O57)=0,"",IFERROR(G57/F57,0))</f>
        <v/>
      </c>
      <c r="U57" s="15">
        <f>IF(COUNT(C57:O57)=0,"",IFERROR(C57/G57,0))</f>
        <v/>
      </c>
      <c r="V57" s="19">
        <f>IF(COUNT(C57:O57)=0,"",IFERROR(G57/D57*1000,0))</f>
        <v/>
      </c>
      <c r="W57" s="18">
        <f>IF(COUNT(C57:O57)=0,"",IFERROR(H57/G57,0))</f>
        <v/>
      </c>
      <c r="X57" s="15">
        <f>IF(COUNT(C57:O57)=0,"",IFERROR(C57/H57,0))</f>
        <v/>
      </c>
      <c r="Y57" s="18">
        <f>IF(COUNT(C57:O57)=0,"",IFERROR(X57/P57,0))</f>
        <v/>
      </c>
      <c r="Z57" s="19">
        <f>IF(COUNT(C57:O57)=0,"",IFERROR(H57/D57*1000,0))</f>
        <v/>
      </c>
      <c r="AA57" s="18">
        <f>IF(COUNT(C57:O57)=0,"",IFERROR(I57/H57,0))</f>
        <v/>
      </c>
      <c r="AB57" s="18">
        <f>IF(COUNT(C57:O57)=0,"",IFERROR(J57/I57,0))</f>
        <v/>
      </c>
      <c r="AC57" s="18">
        <f>IF(COUNT(C57:O57)=0,"",IFERROR(K57/J57,0))</f>
        <v/>
      </c>
      <c r="AD57" s="15">
        <f>IF(COUNT(C57:O57)=0,"",IFERROR(C57/K57,0))</f>
        <v/>
      </c>
      <c r="AE57" s="18">
        <f>IF(COUNT(C57:O57)=0,"",IFERROR(L57/K57,0))</f>
        <v/>
      </c>
      <c r="AF57" s="18">
        <f>IF(COUNT(C57:O57)=0,"",IFERROR(M57/L57,0))</f>
        <v/>
      </c>
      <c r="AG57" s="17">
        <f>IF(COUNT(C57:O57)=0,"",IFERROR(M57/H57,0))</f>
        <v/>
      </c>
      <c r="AH57" s="15">
        <f>IF(COUNT(C57:O57)=0,"",IFERROR(C57/M57,0))</f>
        <v/>
      </c>
      <c r="AI57" s="20">
        <f>IF(COUNT(C57:O57)=0,"",IFERROR(M57*Config!$C$7+N57*Config!$C$8,0))</f>
        <v/>
      </c>
      <c r="AJ57" s="20">
        <f>IF(COUNT(C57:O57)=0,"",IFERROR(IF(O57&gt;0,O57,AI57*Config!$C$9),0))</f>
        <v/>
      </c>
      <c r="AK57" s="20">
        <f>IF(COUNT(C57:O57)=0,"",IFERROR(AJ57*(1-Config!$C$10-Config!$C$11-Config!$C$12),0))</f>
        <v/>
      </c>
      <c r="AL57" s="20">
        <f>IF(COUNT(C57:O57)=0,"",IFERROR(AK57-C57-Config!$C$13,0))</f>
        <v/>
      </c>
      <c r="AM57" s="21">
        <f>IF(COUNT(C57:O57)=0,"",IFERROR(AK57/C57,0))</f>
        <v/>
      </c>
      <c r="AN57" s="21">
        <f>IF(COUNT(C57:O57)=0,"",IFERROR(AI57/C57,0))</f>
        <v/>
      </c>
      <c r="AO57" s="15">
        <f>IF(COUNT(C57:O57)=0,"",IFERROR(AL57/G57,0))</f>
        <v/>
      </c>
      <c r="AP57" s="21">
        <f>IF(COUNT(C57:O57)=0,"",IFERROR(AO57/U57,0))</f>
        <v/>
      </c>
      <c r="AQ57" s="15">
        <f>IF(COUNT(C57:O57)=0,"",IFERROR(AL57/H57,0))</f>
        <v/>
      </c>
    </row>
    <row r="58">
      <c r="A58" s="12">
        <f>Config!$C$6+52</f>
        <v/>
      </c>
      <c r="B58" s="13">
        <f>INT((A58-Config!$C$6)/7)+1</f>
        <v/>
      </c>
      <c r="C58" s="10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0" t="n"/>
      <c r="P58" s="15">
        <f>IF(COUNT(C58:O58)=0,"",IFERROR(C58/D58*1000,0))</f>
        <v/>
      </c>
      <c r="Q58" s="16">
        <f>IF(COUNT(C58:O58)=0,"",IFERROR(D58/E58,0))</f>
        <v/>
      </c>
      <c r="R58" s="17">
        <f>IF(COUNT(C58:O58)=0,"",IFERROR(F58/D58,0))</f>
        <v/>
      </c>
      <c r="S58" s="15">
        <f>IF(COUNT(C58:O58)=0,"",IFERROR(C58/F58,0))</f>
        <v/>
      </c>
      <c r="T58" s="18">
        <f>IF(COUNT(C58:O58)=0,"",IFERROR(G58/F58,0))</f>
        <v/>
      </c>
      <c r="U58" s="15">
        <f>IF(COUNT(C58:O58)=0,"",IFERROR(C58/G58,0))</f>
        <v/>
      </c>
      <c r="V58" s="19">
        <f>IF(COUNT(C58:O58)=0,"",IFERROR(G58/D58*1000,0))</f>
        <v/>
      </c>
      <c r="W58" s="18">
        <f>IF(COUNT(C58:O58)=0,"",IFERROR(H58/G58,0))</f>
        <v/>
      </c>
      <c r="X58" s="15">
        <f>IF(COUNT(C58:O58)=0,"",IFERROR(C58/H58,0))</f>
        <v/>
      </c>
      <c r="Y58" s="18">
        <f>IF(COUNT(C58:O58)=0,"",IFERROR(X58/P58,0))</f>
        <v/>
      </c>
      <c r="Z58" s="19">
        <f>IF(COUNT(C58:O58)=0,"",IFERROR(H58/D58*1000,0))</f>
        <v/>
      </c>
      <c r="AA58" s="18">
        <f>IF(COUNT(C58:O58)=0,"",IFERROR(I58/H58,0))</f>
        <v/>
      </c>
      <c r="AB58" s="18">
        <f>IF(COUNT(C58:O58)=0,"",IFERROR(J58/I58,0))</f>
        <v/>
      </c>
      <c r="AC58" s="18">
        <f>IF(COUNT(C58:O58)=0,"",IFERROR(K58/J58,0))</f>
        <v/>
      </c>
      <c r="AD58" s="15">
        <f>IF(COUNT(C58:O58)=0,"",IFERROR(C58/K58,0))</f>
        <v/>
      </c>
      <c r="AE58" s="18">
        <f>IF(COUNT(C58:O58)=0,"",IFERROR(L58/K58,0))</f>
        <v/>
      </c>
      <c r="AF58" s="18">
        <f>IF(COUNT(C58:O58)=0,"",IFERROR(M58/L58,0))</f>
        <v/>
      </c>
      <c r="AG58" s="17">
        <f>IF(COUNT(C58:O58)=0,"",IFERROR(M58/H58,0))</f>
        <v/>
      </c>
      <c r="AH58" s="15">
        <f>IF(COUNT(C58:O58)=0,"",IFERROR(C58/M58,0))</f>
        <v/>
      </c>
      <c r="AI58" s="20">
        <f>IF(COUNT(C58:O58)=0,"",IFERROR(M58*Config!$C$7+N58*Config!$C$8,0))</f>
        <v/>
      </c>
      <c r="AJ58" s="20">
        <f>IF(COUNT(C58:O58)=0,"",IFERROR(IF(O58&gt;0,O58,AI58*Config!$C$9),0))</f>
        <v/>
      </c>
      <c r="AK58" s="20">
        <f>IF(COUNT(C58:O58)=0,"",IFERROR(AJ58*(1-Config!$C$10-Config!$C$11-Config!$C$12),0))</f>
        <v/>
      </c>
      <c r="AL58" s="20">
        <f>IF(COUNT(C58:O58)=0,"",IFERROR(AK58-C58-Config!$C$13,0))</f>
        <v/>
      </c>
      <c r="AM58" s="21">
        <f>IF(COUNT(C58:O58)=0,"",IFERROR(AK58/C58,0))</f>
        <v/>
      </c>
      <c r="AN58" s="21">
        <f>IF(COUNT(C58:O58)=0,"",IFERROR(AI58/C58,0))</f>
        <v/>
      </c>
      <c r="AO58" s="15">
        <f>IF(COUNT(C58:O58)=0,"",IFERROR(AL58/G58,0))</f>
        <v/>
      </c>
      <c r="AP58" s="21">
        <f>IF(COUNT(C58:O58)=0,"",IFERROR(AO58/U58,0))</f>
        <v/>
      </c>
      <c r="AQ58" s="15">
        <f>IF(COUNT(C58:O58)=0,"",IFERROR(AL58/H58,0))</f>
        <v/>
      </c>
    </row>
    <row r="59">
      <c r="A59" s="12">
        <f>Config!$C$6+53</f>
        <v/>
      </c>
      <c r="B59" s="13">
        <f>INT((A59-Config!$C$6)/7)+1</f>
        <v/>
      </c>
      <c r="C59" s="10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0" t="n"/>
      <c r="P59" s="15">
        <f>IF(COUNT(C59:O59)=0,"",IFERROR(C59/D59*1000,0))</f>
        <v/>
      </c>
      <c r="Q59" s="16">
        <f>IF(COUNT(C59:O59)=0,"",IFERROR(D59/E59,0))</f>
        <v/>
      </c>
      <c r="R59" s="17">
        <f>IF(COUNT(C59:O59)=0,"",IFERROR(F59/D59,0))</f>
        <v/>
      </c>
      <c r="S59" s="15">
        <f>IF(COUNT(C59:O59)=0,"",IFERROR(C59/F59,0))</f>
        <v/>
      </c>
      <c r="T59" s="18">
        <f>IF(COUNT(C59:O59)=0,"",IFERROR(G59/F59,0))</f>
        <v/>
      </c>
      <c r="U59" s="15">
        <f>IF(COUNT(C59:O59)=0,"",IFERROR(C59/G59,0))</f>
        <v/>
      </c>
      <c r="V59" s="19">
        <f>IF(COUNT(C59:O59)=0,"",IFERROR(G59/D59*1000,0))</f>
        <v/>
      </c>
      <c r="W59" s="18">
        <f>IF(COUNT(C59:O59)=0,"",IFERROR(H59/G59,0))</f>
        <v/>
      </c>
      <c r="X59" s="15">
        <f>IF(COUNT(C59:O59)=0,"",IFERROR(C59/H59,0))</f>
        <v/>
      </c>
      <c r="Y59" s="18">
        <f>IF(COUNT(C59:O59)=0,"",IFERROR(X59/P59,0))</f>
        <v/>
      </c>
      <c r="Z59" s="19">
        <f>IF(COUNT(C59:O59)=0,"",IFERROR(H59/D59*1000,0))</f>
        <v/>
      </c>
      <c r="AA59" s="18">
        <f>IF(COUNT(C59:O59)=0,"",IFERROR(I59/H59,0))</f>
        <v/>
      </c>
      <c r="AB59" s="18">
        <f>IF(COUNT(C59:O59)=0,"",IFERROR(J59/I59,0))</f>
        <v/>
      </c>
      <c r="AC59" s="18">
        <f>IF(COUNT(C59:O59)=0,"",IFERROR(K59/J59,0))</f>
        <v/>
      </c>
      <c r="AD59" s="15">
        <f>IF(COUNT(C59:O59)=0,"",IFERROR(C59/K59,0))</f>
        <v/>
      </c>
      <c r="AE59" s="18">
        <f>IF(COUNT(C59:O59)=0,"",IFERROR(L59/K59,0))</f>
        <v/>
      </c>
      <c r="AF59" s="18">
        <f>IF(COUNT(C59:O59)=0,"",IFERROR(M59/L59,0))</f>
        <v/>
      </c>
      <c r="AG59" s="17">
        <f>IF(COUNT(C59:O59)=0,"",IFERROR(M59/H59,0))</f>
        <v/>
      </c>
      <c r="AH59" s="15">
        <f>IF(COUNT(C59:O59)=0,"",IFERROR(C59/M59,0))</f>
        <v/>
      </c>
      <c r="AI59" s="20">
        <f>IF(COUNT(C59:O59)=0,"",IFERROR(M59*Config!$C$7+N59*Config!$C$8,0))</f>
        <v/>
      </c>
      <c r="AJ59" s="20">
        <f>IF(COUNT(C59:O59)=0,"",IFERROR(IF(O59&gt;0,O59,AI59*Config!$C$9),0))</f>
        <v/>
      </c>
      <c r="AK59" s="20">
        <f>IF(COUNT(C59:O59)=0,"",IFERROR(AJ59*(1-Config!$C$10-Config!$C$11-Config!$C$12),0))</f>
        <v/>
      </c>
      <c r="AL59" s="20">
        <f>IF(COUNT(C59:O59)=0,"",IFERROR(AK59-C59-Config!$C$13,0))</f>
        <v/>
      </c>
      <c r="AM59" s="21">
        <f>IF(COUNT(C59:O59)=0,"",IFERROR(AK59/C59,0))</f>
        <v/>
      </c>
      <c r="AN59" s="21">
        <f>IF(COUNT(C59:O59)=0,"",IFERROR(AI59/C59,0))</f>
        <v/>
      </c>
      <c r="AO59" s="15">
        <f>IF(COUNT(C59:O59)=0,"",IFERROR(AL59/G59,0))</f>
        <v/>
      </c>
      <c r="AP59" s="21">
        <f>IF(COUNT(C59:O59)=0,"",IFERROR(AO59/U59,0))</f>
        <v/>
      </c>
      <c r="AQ59" s="15">
        <f>IF(COUNT(C59:O59)=0,"",IFERROR(AL59/H59,0))</f>
        <v/>
      </c>
    </row>
    <row r="60">
      <c r="A60" s="12">
        <f>Config!$C$6+54</f>
        <v/>
      </c>
      <c r="B60" s="13">
        <f>INT((A60-Config!$C$6)/7)+1</f>
        <v/>
      </c>
      <c r="C60" s="10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0" t="n"/>
      <c r="P60" s="15">
        <f>IF(COUNT(C60:O60)=0,"",IFERROR(C60/D60*1000,0))</f>
        <v/>
      </c>
      <c r="Q60" s="16">
        <f>IF(COUNT(C60:O60)=0,"",IFERROR(D60/E60,0))</f>
        <v/>
      </c>
      <c r="R60" s="17">
        <f>IF(COUNT(C60:O60)=0,"",IFERROR(F60/D60,0))</f>
        <v/>
      </c>
      <c r="S60" s="15">
        <f>IF(COUNT(C60:O60)=0,"",IFERROR(C60/F60,0))</f>
        <v/>
      </c>
      <c r="T60" s="18">
        <f>IF(COUNT(C60:O60)=0,"",IFERROR(G60/F60,0))</f>
        <v/>
      </c>
      <c r="U60" s="15">
        <f>IF(COUNT(C60:O60)=0,"",IFERROR(C60/G60,0))</f>
        <v/>
      </c>
      <c r="V60" s="19">
        <f>IF(COUNT(C60:O60)=0,"",IFERROR(G60/D60*1000,0))</f>
        <v/>
      </c>
      <c r="W60" s="18">
        <f>IF(COUNT(C60:O60)=0,"",IFERROR(H60/G60,0))</f>
        <v/>
      </c>
      <c r="X60" s="15">
        <f>IF(COUNT(C60:O60)=0,"",IFERROR(C60/H60,0))</f>
        <v/>
      </c>
      <c r="Y60" s="18">
        <f>IF(COUNT(C60:O60)=0,"",IFERROR(X60/P60,0))</f>
        <v/>
      </c>
      <c r="Z60" s="19">
        <f>IF(COUNT(C60:O60)=0,"",IFERROR(H60/D60*1000,0))</f>
        <v/>
      </c>
      <c r="AA60" s="18">
        <f>IF(COUNT(C60:O60)=0,"",IFERROR(I60/H60,0))</f>
        <v/>
      </c>
      <c r="AB60" s="18">
        <f>IF(COUNT(C60:O60)=0,"",IFERROR(J60/I60,0))</f>
        <v/>
      </c>
      <c r="AC60" s="18">
        <f>IF(COUNT(C60:O60)=0,"",IFERROR(K60/J60,0))</f>
        <v/>
      </c>
      <c r="AD60" s="15">
        <f>IF(COUNT(C60:O60)=0,"",IFERROR(C60/K60,0))</f>
        <v/>
      </c>
      <c r="AE60" s="18">
        <f>IF(COUNT(C60:O60)=0,"",IFERROR(L60/K60,0))</f>
        <v/>
      </c>
      <c r="AF60" s="18">
        <f>IF(COUNT(C60:O60)=0,"",IFERROR(M60/L60,0))</f>
        <v/>
      </c>
      <c r="AG60" s="17">
        <f>IF(COUNT(C60:O60)=0,"",IFERROR(M60/H60,0))</f>
        <v/>
      </c>
      <c r="AH60" s="15">
        <f>IF(COUNT(C60:O60)=0,"",IFERROR(C60/M60,0))</f>
        <v/>
      </c>
      <c r="AI60" s="20">
        <f>IF(COUNT(C60:O60)=0,"",IFERROR(M60*Config!$C$7+N60*Config!$C$8,0))</f>
        <v/>
      </c>
      <c r="AJ60" s="20">
        <f>IF(COUNT(C60:O60)=0,"",IFERROR(IF(O60&gt;0,O60,AI60*Config!$C$9),0))</f>
        <v/>
      </c>
      <c r="AK60" s="20">
        <f>IF(COUNT(C60:O60)=0,"",IFERROR(AJ60*(1-Config!$C$10-Config!$C$11-Config!$C$12),0))</f>
        <v/>
      </c>
      <c r="AL60" s="20">
        <f>IF(COUNT(C60:O60)=0,"",IFERROR(AK60-C60-Config!$C$13,0))</f>
        <v/>
      </c>
      <c r="AM60" s="21">
        <f>IF(COUNT(C60:O60)=0,"",IFERROR(AK60/C60,0))</f>
        <v/>
      </c>
      <c r="AN60" s="21">
        <f>IF(COUNT(C60:O60)=0,"",IFERROR(AI60/C60,0))</f>
        <v/>
      </c>
      <c r="AO60" s="15">
        <f>IF(COUNT(C60:O60)=0,"",IFERROR(AL60/G60,0))</f>
        <v/>
      </c>
      <c r="AP60" s="21">
        <f>IF(COUNT(C60:O60)=0,"",IFERROR(AO60/U60,0))</f>
        <v/>
      </c>
      <c r="AQ60" s="15">
        <f>IF(COUNT(C60:O60)=0,"",IFERROR(AL60/H60,0))</f>
        <v/>
      </c>
    </row>
    <row r="61">
      <c r="A61" s="12">
        <f>Config!$C$6+55</f>
        <v/>
      </c>
      <c r="B61" s="13">
        <f>INT((A61-Config!$C$6)/7)+1</f>
        <v/>
      </c>
      <c r="C61" s="10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0" t="n"/>
      <c r="P61" s="15">
        <f>IF(COUNT(C61:O61)=0,"",IFERROR(C61/D61*1000,0))</f>
        <v/>
      </c>
      <c r="Q61" s="16">
        <f>IF(COUNT(C61:O61)=0,"",IFERROR(D61/E61,0))</f>
        <v/>
      </c>
      <c r="R61" s="17">
        <f>IF(COUNT(C61:O61)=0,"",IFERROR(F61/D61,0))</f>
        <v/>
      </c>
      <c r="S61" s="15">
        <f>IF(COUNT(C61:O61)=0,"",IFERROR(C61/F61,0))</f>
        <v/>
      </c>
      <c r="T61" s="18">
        <f>IF(COUNT(C61:O61)=0,"",IFERROR(G61/F61,0))</f>
        <v/>
      </c>
      <c r="U61" s="15">
        <f>IF(COUNT(C61:O61)=0,"",IFERROR(C61/G61,0))</f>
        <v/>
      </c>
      <c r="V61" s="19">
        <f>IF(COUNT(C61:O61)=0,"",IFERROR(G61/D61*1000,0))</f>
        <v/>
      </c>
      <c r="W61" s="18">
        <f>IF(COUNT(C61:O61)=0,"",IFERROR(H61/G61,0))</f>
        <v/>
      </c>
      <c r="X61" s="15">
        <f>IF(COUNT(C61:O61)=0,"",IFERROR(C61/H61,0))</f>
        <v/>
      </c>
      <c r="Y61" s="18">
        <f>IF(COUNT(C61:O61)=0,"",IFERROR(X61/P61,0))</f>
        <v/>
      </c>
      <c r="Z61" s="19">
        <f>IF(COUNT(C61:O61)=0,"",IFERROR(H61/D61*1000,0))</f>
        <v/>
      </c>
      <c r="AA61" s="18">
        <f>IF(COUNT(C61:O61)=0,"",IFERROR(I61/H61,0))</f>
        <v/>
      </c>
      <c r="AB61" s="18">
        <f>IF(COUNT(C61:O61)=0,"",IFERROR(J61/I61,0))</f>
        <v/>
      </c>
      <c r="AC61" s="18">
        <f>IF(COUNT(C61:O61)=0,"",IFERROR(K61/J61,0))</f>
        <v/>
      </c>
      <c r="AD61" s="15">
        <f>IF(COUNT(C61:O61)=0,"",IFERROR(C61/K61,0))</f>
        <v/>
      </c>
      <c r="AE61" s="18">
        <f>IF(COUNT(C61:O61)=0,"",IFERROR(L61/K61,0))</f>
        <v/>
      </c>
      <c r="AF61" s="18">
        <f>IF(COUNT(C61:O61)=0,"",IFERROR(M61/L61,0))</f>
        <v/>
      </c>
      <c r="AG61" s="17">
        <f>IF(COUNT(C61:O61)=0,"",IFERROR(M61/H61,0))</f>
        <v/>
      </c>
      <c r="AH61" s="15">
        <f>IF(COUNT(C61:O61)=0,"",IFERROR(C61/M61,0))</f>
        <v/>
      </c>
      <c r="AI61" s="20">
        <f>IF(COUNT(C61:O61)=0,"",IFERROR(M61*Config!$C$7+N61*Config!$C$8,0))</f>
        <v/>
      </c>
      <c r="AJ61" s="20">
        <f>IF(COUNT(C61:O61)=0,"",IFERROR(IF(O61&gt;0,O61,AI61*Config!$C$9),0))</f>
        <v/>
      </c>
      <c r="AK61" s="20">
        <f>IF(COUNT(C61:O61)=0,"",IFERROR(AJ61*(1-Config!$C$10-Config!$C$11-Config!$C$12),0))</f>
        <v/>
      </c>
      <c r="AL61" s="20">
        <f>IF(COUNT(C61:O61)=0,"",IFERROR(AK61-C61-Config!$C$13,0))</f>
        <v/>
      </c>
      <c r="AM61" s="21">
        <f>IF(COUNT(C61:O61)=0,"",IFERROR(AK61/C61,0))</f>
        <v/>
      </c>
      <c r="AN61" s="21">
        <f>IF(COUNT(C61:O61)=0,"",IFERROR(AI61/C61,0))</f>
        <v/>
      </c>
      <c r="AO61" s="15">
        <f>IF(COUNT(C61:O61)=0,"",IFERROR(AL61/G61,0))</f>
        <v/>
      </c>
      <c r="AP61" s="21">
        <f>IF(COUNT(C61:O61)=0,"",IFERROR(AO61/U61,0))</f>
        <v/>
      </c>
      <c r="AQ61" s="15">
        <f>IF(COUNT(C61:O61)=0,"",IFERROR(AL61/H61,0))</f>
        <v/>
      </c>
    </row>
    <row r="62">
      <c r="A62" s="12">
        <f>Config!$C$6+56</f>
        <v/>
      </c>
      <c r="B62" s="13">
        <f>INT((A62-Config!$C$6)/7)+1</f>
        <v/>
      </c>
      <c r="C62" s="10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0" t="n"/>
      <c r="P62" s="15">
        <f>IF(COUNT(C62:O62)=0,"",IFERROR(C62/D62*1000,0))</f>
        <v/>
      </c>
      <c r="Q62" s="16">
        <f>IF(COUNT(C62:O62)=0,"",IFERROR(D62/E62,0))</f>
        <v/>
      </c>
      <c r="R62" s="17">
        <f>IF(COUNT(C62:O62)=0,"",IFERROR(F62/D62,0))</f>
        <v/>
      </c>
      <c r="S62" s="15">
        <f>IF(COUNT(C62:O62)=0,"",IFERROR(C62/F62,0))</f>
        <v/>
      </c>
      <c r="T62" s="18">
        <f>IF(COUNT(C62:O62)=0,"",IFERROR(G62/F62,0))</f>
        <v/>
      </c>
      <c r="U62" s="15">
        <f>IF(COUNT(C62:O62)=0,"",IFERROR(C62/G62,0))</f>
        <v/>
      </c>
      <c r="V62" s="19">
        <f>IF(COUNT(C62:O62)=0,"",IFERROR(G62/D62*1000,0))</f>
        <v/>
      </c>
      <c r="W62" s="18">
        <f>IF(COUNT(C62:O62)=0,"",IFERROR(H62/G62,0))</f>
        <v/>
      </c>
      <c r="X62" s="15">
        <f>IF(COUNT(C62:O62)=0,"",IFERROR(C62/H62,0))</f>
        <v/>
      </c>
      <c r="Y62" s="18">
        <f>IF(COUNT(C62:O62)=0,"",IFERROR(X62/P62,0))</f>
        <v/>
      </c>
      <c r="Z62" s="19">
        <f>IF(COUNT(C62:O62)=0,"",IFERROR(H62/D62*1000,0))</f>
        <v/>
      </c>
      <c r="AA62" s="18">
        <f>IF(COUNT(C62:O62)=0,"",IFERROR(I62/H62,0))</f>
        <v/>
      </c>
      <c r="AB62" s="18">
        <f>IF(COUNT(C62:O62)=0,"",IFERROR(J62/I62,0))</f>
        <v/>
      </c>
      <c r="AC62" s="18">
        <f>IF(COUNT(C62:O62)=0,"",IFERROR(K62/J62,0))</f>
        <v/>
      </c>
      <c r="AD62" s="15">
        <f>IF(COUNT(C62:O62)=0,"",IFERROR(C62/K62,0))</f>
        <v/>
      </c>
      <c r="AE62" s="18">
        <f>IF(COUNT(C62:O62)=0,"",IFERROR(L62/K62,0))</f>
        <v/>
      </c>
      <c r="AF62" s="18">
        <f>IF(COUNT(C62:O62)=0,"",IFERROR(M62/L62,0))</f>
        <v/>
      </c>
      <c r="AG62" s="17">
        <f>IF(COUNT(C62:O62)=0,"",IFERROR(M62/H62,0))</f>
        <v/>
      </c>
      <c r="AH62" s="15">
        <f>IF(COUNT(C62:O62)=0,"",IFERROR(C62/M62,0))</f>
        <v/>
      </c>
      <c r="AI62" s="20">
        <f>IF(COUNT(C62:O62)=0,"",IFERROR(M62*Config!$C$7+N62*Config!$C$8,0))</f>
        <v/>
      </c>
      <c r="AJ62" s="20">
        <f>IF(COUNT(C62:O62)=0,"",IFERROR(IF(O62&gt;0,O62,AI62*Config!$C$9),0))</f>
        <v/>
      </c>
      <c r="AK62" s="20">
        <f>IF(COUNT(C62:O62)=0,"",IFERROR(AJ62*(1-Config!$C$10-Config!$C$11-Config!$C$12),0))</f>
        <v/>
      </c>
      <c r="AL62" s="20">
        <f>IF(COUNT(C62:O62)=0,"",IFERROR(AK62-C62-Config!$C$13,0))</f>
        <v/>
      </c>
      <c r="AM62" s="21">
        <f>IF(COUNT(C62:O62)=0,"",IFERROR(AK62/C62,0))</f>
        <v/>
      </c>
      <c r="AN62" s="21">
        <f>IF(COUNT(C62:O62)=0,"",IFERROR(AI62/C62,0))</f>
        <v/>
      </c>
      <c r="AO62" s="15">
        <f>IF(COUNT(C62:O62)=0,"",IFERROR(AL62/G62,0))</f>
        <v/>
      </c>
      <c r="AP62" s="21">
        <f>IF(COUNT(C62:O62)=0,"",IFERROR(AO62/U62,0))</f>
        <v/>
      </c>
      <c r="AQ62" s="15">
        <f>IF(COUNT(C62:O62)=0,"",IFERROR(AL62/H62,0))</f>
        <v/>
      </c>
    </row>
    <row r="63">
      <c r="A63" s="12">
        <f>Config!$C$6+57</f>
        <v/>
      </c>
      <c r="B63" s="13">
        <f>INT((A63-Config!$C$6)/7)+1</f>
        <v/>
      </c>
      <c r="C63" s="10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0" t="n"/>
      <c r="P63" s="15">
        <f>IF(COUNT(C63:O63)=0,"",IFERROR(C63/D63*1000,0))</f>
        <v/>
      </c>
      <c r="Q63" s="16">
        <f>IF(COUNT(C63:O63)=0,"",IFERROR(D63/E63,0))</f>
        <v/>
      </c>
      <c r="R63" s="17">
        <f>IF(COUNT(C63:O63)=0,"",IFERROR(F63/D63,0))</f>
        <v/>
      </c>
      <c r="S63" s="15">
        <f>IF(COUNT(C63:O63)=0,"",IFERROR(C63/F63,0))</f>
        <v/>
      </c>
      <c r="T63" s="18">
        <f>IF(COUNT(C63:O63)=0,"",IFERROR(G63/F63,0))</f>
        <v/>
      </c>
      <c r="U63" s="15">
        <f>IF(COUNT(C63:O63)=0,"",IFERROR(C63/G63,0))</f>
        <v/>
      </c>
      <c r="V63" s="19">
        <f>IF(COUNT(C63:O63)=0,"",IFERROR(G63/D63*1000,0))</f>
        <v/>
      </c>
      <c r="W63" s="18">
        <f>IF(COUNT(C63:O63)=0,"",IFERROR(H63/G63,0))</f>
        <v/>
      </c>
      <c r="X63" s="15">
        <f>IF(COUNT(C63:O63)=0,"",IFERROR(C63/H63,0))</f>
        <v/>
      </c>
      <c r="Y63" s="18">
        <f>IF(COUNT(C63:O63)=0,"",IFERROR(X63/P63,0))</f>
        <v/>
      </c>
      <c r="Z63" s="19">
        <f>IF(COUNT(C63:O63)=0,"",IFERROR(H63/D63*1000,0))</f>
        <v/>
      </c>
      <c r="AA63" s="18">
        <f>IF(COUNT(C63:O63)=0,"",IFERROR(I63/H63,0))</f>
        <v/>
      </c>
      <c r="AB63" s="18">
        <f>IF(COUNT(C63:O63)=0,"",IFERROR(J63/I63,0))</f>
        <v/>
      </c>
      <c r="AC63" s="18">
        <f>IF(COUNT(C63:O63)=0,"",IFERROR(K63/J63,0))</f>
        <v/>
      </c>
      <c r="AD63" s="15">
        <f>IF(COUNT(C63:O63)=0,"",IFERROR(C63/K63,0))</f>
        <v/>
      </c>
      <c r="AE63" s="18">
        <f>IF(COUNT(C63:O63)=0,"",IFERROR(L63/K63,0))</f>
        <v/>
      </c>
      <c r="AF63" s="18">
        <f>IF(COUNT(C63:O63)=0,"",IFERROR(M63/L63,0))</f>
        <v/>
      </c>
      <c r="AG63" s="17">
        <f>IF(COUNT(C63:O63)=0,"",IFERROR(M63/H63,0))</f>
        <v/>
      </c>
      <c r="AH63" s="15">
        <f>IF(COUNT(C63:O63)=0,"",IFERROR(C63/M63,0))</f>
        <v/>
      </c>
      <c r="AI63" s="20">
        <f>IF(COUNT(C63:O63)=0,"",IFERROR(M63*Config!$C$7+N63*Config!$C$8,0))</f>
        <v/>
      </c>
      <c r="AJ63" s="20">
        <f>IF(COUNT(C63:O63)=0,"",IFERROR(IF(O63&gt;0,O63,AI63*Config!$C$9),0))</f>
        <v/>
      </c>
      <c r="AK63" s="20">
        <f>IF(COUNT(C63:O63)=0,"",IFERROR(AJ63*(1-Config!$C$10-Config!$C$11-Config!$C$12),0))</f>
        <v/>
      </c>
      <c r="AL63" s="20">
        <f>IF(COUNT(C63:O63)=0,"",IFERROR(AK63-C63-Config!$C$13,0))</f>
        <v/>
      </c>
      <c r="AM63" s="21">
        <f>IF(COUNT(C63:O63)=0,"",IFERROR(AK63/C63,0))</f>
        <v/>
      </c>
      <c r="AN63" s="21">
        <f>IF(COUNT(C63:O63)=0,"",IFERROR(AI63/C63,0))</f>
        <v/>
      </c>
      <c r="AO63" s="15">
        <f>IF(COUNT(C63:O63)=0,"",IFERROR(AL63/G63,0))</f>
        <v/>
      </c>
      <c r="AP63" s="21">
        <f>IF(COUNT(C63:O63)=0,"",IFERROR(AO63/U63,0))</f>
        <v/>
      </c>
      <c r="AQ63" s="15">
        <f>IF(COUNT(C63:O63)=0,"",IFERROR(AL63/H63,0))</f>
        <v/>
      </c>
    </row>
    <row r="64">
      <c r="A64" s="12">
        <f>Config!$C$6+58</f>
        <v/>
      </c>
      <c r="B64" s="13">
        <f>INT((A64-Config!$C$6)/7)+1</f>
        <v/>
      </c>
      <c r="C64" s="10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0" t="n"/>
      <c r="P64" s="15">
        <f>IF(COUNT(C64:O64)=0,"",IFERROR(C64/D64*1000,0))</f>
        <v/>
      </c>
      <c r="Q64" s="16">
        <f>IF(COUNT(C64:O64)=0,"",IFERROR(D64/E64,0))</f>
        <v/>
      </c>
      <c r="R64" s="17">
        <f>IF(COUNT(C64:O64)=0,"",IFERROR(F64/D64,0))</f>
        <v/>
      </c>
      <c r="S64" s="15">
        <f>IF(COUNT(C64:O64)=0,"",IFERROR(C64/F64,0))</f>
        <v/>
      </c>
      <c r="T64" s="18">
        <f>IF(COUNT(C64:O64)=0,"",IFERROR(G64/F64,0))</f>
        <v/>
      </c>
      <c r="U64" s="15">
        <f>IF(COUNT(C64:O64)=0,"",IFERROR(C64/G64,0))</f>
        <v/>
      </c>
      <c r="V64" s="19">
        <f>IF(COUNT(C64:O64)=0,"",IFERROR(G64/D64*1000,0))</f>
        <v/>
      </c>
      <c r="W64" s="18">
        <f>IF(COUNT(C64:O64)=0,"",IFERROR(H64/G64,0))</f>
        <v/>
      </c>
      <c r="X64" s="15">
        <f>IF(COUNT(C64:O64)=0,"",IFERROR(C64/H64,0))</f>
        <v/>
      </c>
      <c r="Y64" s="18">
        <f>IF(COUNT(C64:O64)=0,"",IFERROR(X64/P64,0))</f>
        <v/>
      </c>
      <c r="Z64" s="19">
        <f>IF(COUNT(C64:O64)=0,"",IFERROR(H64/D64*1000,0))</f>
        <v/>
      </c>
      <c r="AA64" s="18">
        <f>IF(COUNT(C64:O64)=0,"",IFERROR(I64/H64,0))</f>
        <v/>
      </c>
      <c r="AB64" s="18">
        <f>IF(COUNT(C64:O64)=0,"",IFERROR(J64/I64,0))</f>
        <v/>
      </c>
      <c r="AC64" s="18">
        <f>IF(COUNT(C64:O64)=0,"",IFERROR(K64/J64,0))</f>
        <v/>
      </c>
      <c r="AD64" s="15">
        <f>IF(COUNT(C64:O64)=0,"",IFERROR(C64/K64,0))</f>
        <v/>
      </c>
      <c r="AE64" s="18">
        <f>IF(COUNT(C64:O64)=0,"",IFERROR(L64/K64,0))</f>
        <v/>
      </c>
      <c r="AF64" s="18">
        <f>IF(COUNT(C64:O64)=0,"",IFERROR(M64/L64,0))</f>
        <v/>
      </c>
      <c r="AG64" s="17">
        <f>IF(COUNT(C64:O64)=0,"",IFERROR(M64/H64,0))</f>
        <v/>
      </c>
      <c r="AH64" s="15">
        <f>IF(COUNT(C64:O64)=0,"",IFERROR(C64/M64,0))</f>
        <v/>
      </c>
      <c r="AI64" s="20">
        <f>IF(COUNT(C64:O64)=0,"",IFERROR(M64*Config!$C$7+N64*Config!$C$8,0))</f>
        <v/>
      </c>
      <c r="AJ64" s="20">
        <f>IF(COUNT(C64:O64)=0,"",IFERROR(IF(O64&gt;0,O64,AI64*Config!$C$9),0))</f>
        <v/>
      </c>
      <c r="AK64" s="20">
        <f>IF(COUNT(C64:O64)=0,"",IFERROR(AJ64*(1-Config!$C$10-Config!$C$11-Config!$C$12),0))</f>
        <v/>
      </c>
      <c r="AL64" s="20">
        <f>IF(COUNT(C64:O64)=0,"",IFERROR(AK64-C64-Config!$C$13,0))</f>
        <v/>
      </c>
      <c r="AM64" s="21">
        <f>IF(COUNT(C64:O64)=0,"",IFERROR(AK64/C64,0))</f>
        <v/>
      </c>
      <c r="AN64" s="21">
        <f>IF(COUNT(C64:O64)=0,"",IFERROR(AI64/C64,0))</f>
        <v/>
      </c>
      <c r="AO64" s="15">
        <f>IF(COUNT(C64:O64)=0,"",IFERROR(AL64/G64,0))</f>
        <v/>
      </c>
      <c r="AP64" s="21">
        <f>IF(COUNT(C64:O64)=0,"",IFERROR(AO64/U64,0))</f>
        <v/>
      </c>
      <c r="AQ64" s="15">
        <f>IF(COUNT(C64:O64)=0,"",IFERROR(AL64/H64,0))</f>
        <v/>
      </c>
    </row>
    <row r="65">
      <c r="A65" s="12">
        <f>Config!$C$6+59</f>
        <v/>
      </c>
      <c r="B65" s="13">
        <f>INT((A65-Config!$C$6)/7)+1</f>
        <v/>
      </c>
      <c r="C65" s="10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0" t="n"/>
      <c r="P65" s="15">
        <f>IF(COUNT(C65:O65)=0,"",IFERROR(C65/D65*1000,0))</f>
        <v/>
      </c>
      <c r="Q65" s="16">
        <f>IF(COUNT(C65:O65)=0,"",IFERROR(D65/E65,0))</f>
        <v/>
      </c>
      <c r="R65" s="17">
        <f>IF(COUNT(C65:O65)=0,"",IFERROR(F65/D65,0))</f>
        <v/>
      </c>
      <c r="S65" s="15">
        <f>IF(COUNT(C65:O65)=0,"",IFERROR(C65/F65,0))</f>
        <v/>
      </c>
      <c r="T65" s="18">
        <f>IF(COUNT(C65:O65)=0,"",IFERROR(G65/F65,0))</f>
        <v/>
      </c>
      <c r="U65" s="15">
        <f>IF(COUNT(C65:O65)=0,"",IFERROR(C65/G65,0))</f>
        <v/>
      </c>
      <c r="V65" s="19">
        <f>IF(COUNT(C65:O65)=0,"",IFERROR(G65/D65*1000,0))</f>
        <v/>
      </c>
      <c r="W65" s="18">
        <f>IF(COUNT(C65:O65)=0,"",IFERROR(H65/G65,0))</f>
        <v/>
      </c>
      <c r="X65" s="15">
        <f>IF(COUNT(C65:O65)=0,"",IFERROR(C65/H65,0))</f>
        <v/>
      </c>
      <c r="Y65" s="18">
        <f>IF(COUNT(C65:O65)=0,"",IFERROR(X65/P65,0))</f>
        <v/>
      </c>
      <c r="Z65" s="19">
        <f>IF(COUNT(C65:O65)=0,"",IFERROR(H65/D65*1000,0))</f>
        <v/>
      </c>
      <c r="AA65" s="18">
        <f>IF(COUNT(C65:O65)=0,"",IFERROR(I65/H65,0))</f>
        <v/>
      </c>
      <c r="AB65" s="18">
        <f>IF(COUNT(C65:O65)=0,"",IFERROR(J65/I65,0))</f>
        <v/>
      </c>
      <c r="AC65" s="18">
        <f>IF(COUNT(C65:O65)=0,"",IFERROR(K65/J65,0))</f>
        <v/>
      </c>
      <c r="AD65" s="15">
        <f>IF(COUNT(C65:O65)=0,"",IFERROR(C65/K65,0))</f>
        <v/>
      </c>
      <c r="AE65" s="18">
        <f>IF(COUNT(C65:O65)=0,"",IFERROR(L65/K65,0))</f>
        <v/>
      </c>
      <c r="AF65" s="18">
        <f>IF(COUNT(C65:O65)=0,"",IFERROR(M65/L65,0))</f>
        <v/>
      </c>
      <c r="AG65" s="17">
        <f>IF(COUNT(C65:O65)=0,"",IFERROR(M65/H65,0))</f>
        <v/>
      </c>
      <c r="AH65" s="15">
        <f>IF(COUNT(C65:O65)=0,"",IFERROR(C65/M65,0))</f>
        <v/>
      </c>
      <c r="AI65" s="20">
        <f>IF(COUNT(C65:O65)=0,"",IFERROR(M65*Config!$C$7+N65*Config!$C$8,0))</f>
        <v/>
      </c>
      <c r="AJ65" s="20">
        <f>IF(COUNT(C65:O65)=0,"",IFERROR(IF(O65&gt;0,O65,AI65*Config!$C$9),0))</f>
        <v/>
      </c>
      <c r="AK65" s="20">
        <f>IF(COUNT(C65:O65)=0,"",IFERROR(AJ65*(1-Config!$C$10-Config!$C$11-Config!$C$12),0))</f>
        <v/>
      </c>
      <c r="AL65" s="20">
        <f>IF(COUNT(C65:O65)=0,"",IFERROR(AK65-C65-Config!$C$13,0))</f>
        <v/>
      </c>
      <c r="AM65" s="21">
        <f>IF(COUNT(C65:O65)=0,"",IFERROR(AK65/C65,0))</f>
        <v/>
      </c>
      <c r="AN65" s="21">
        <f>IF(COUNT(C65:O65)=0,"",IFERROR(AI65/C65,0))</f>
        <v/>
      </c>
      <c r="AO65" s="15">
        <f>IF(COUNT(C65:O65)=0,"",IFERROR(AL65/G65,0))</f>
        <v/>
      </c>
      <c r="AP65" s="21">
        <f>IF(COUNT(C65:O65)=0,"",IFERROR(AO65/U65,0))</f>
        <v/>
      </c>
      <c r="AQ65" s="15">
        <f>IF(COUNT(C65:O65)=0,"",IFERROR(AL65/H65,0))</f>
        <v/>
      </c>
    </row>
    <row r="66">
      <c r="A66" s="12">
        <f>Config!$C$6+60</f>
        <v/>
      </c>
      <c r="B66" s="13">
        <f>INT((A66-Config!$C$6)/7)+1</f>
        <v/>
      </c>
      <c r="C66" s="10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0" t="n"/>
      <c r="P66" s="15">
        <f>IF(COUNT(C66:O66)=0,"",IFERROR(C66/D66*1000,0))</f>
        <v/>
      </c>
      <c r="Q66" s="16">
        <f>IF(COUNT(C66:O66)=0,"",IFERROR(D66/E66,0))</f>
        <v/>
      </c>
      <c r="R66" s="17">
        <f>IF(COUNT(C66:O66)=0,"",IFERROR(F66/D66,0))</f>
        <v/>
      </c>
      <c r="S66" s="15">
        <f>IF(COUNT(C66:O66)=0,"",IFERROR(C66/F66,0))</f>
        <v/>
      </c>
      <c r="T66" s="18">
        <f>IF(COUNT(C66:O66)=0,"",IFERROR(G66/F66,0))</f>
        <v/>
      </c>
      <c r="U66" s="15">
        <f>IF(COUNT(C66:O66)=0,"",IFERROR(C66/G66,0))</f>
        <v/>
      </c>
      <c r="V66" s="19">
        <f>IF(COUNT(C66:O66)=0,"",IFERROR(G66/D66*1000,0))</f>
        <v/>
      </c>
      <c r="W66" s="18">
        <f>IF(COUNT(C66:O66)=0,"",IFERROR(H66/G66,0))</f>
        <v/>
      </c>
      <c r="X66" s="15">
        <f>IF(COUNT(C66:O66)=0,"",IFERROR(C66/H66,0))</f>
        <v/>
      </c>
      <c r="Y66" s="18">
        <f>IF(COUNT(C66:O66)=0,"",IFERROR(X66/P66,0))</f>
        <v/>
      </c>
      <c r="Z66" s="19">
        <f>IF(COUNT(C66:O66)=0,"",IFERROR(H66/D66*1000,0))</f>
        <v/>
      </c>
      <c r="AA66" s="18">
        <f>IF(COUNT(C66:O66)=0,"",IFERROR(I66/H66,0))</f>
        <v/>
      </c>
      <c r="AB66" s="18">
        <f>IF(COUNT(C66:O66)=0,"",IFERROR(J66/I66,0))</f>
        <v/>
      </c>
      <c r="AC66" s="18">
        <f>IF(COUNT(C66:O66)=0,"",IFERROR(K66/J66,0))</f>
        <v/>
      </c>
      <c r="AD66" s="15">
        <f>IF(COUNT(C66:O66)=0,"",IFERROR(C66/K66,0))</f>
        <v/>
      </c>
      <c r="AE66" s="18">
        <f>IF(COUNT(C66:O66)=0,"",IFERROR(L66/K66,0))</f>
        <v/>
      </c>
      <c r="AF66" s="18">
        <f>IF(COUNT(C66:O66)=0,"",IFERROR(M66/L66,0))</f>
        <v/>
      </c>
      <c r="AG66" s="17">
        <f>IF(COUNT(C66:O66)=0,"",IFERROR(M66/H66,0))</f>
        <v/>
      </c>
      <c r="AH66" s="15">
        <f>IF(COUNT(C66:O66)=0,"",IFERROR(C66/M66,0))</f>
        <v/>
      </c>
      <c r="AI66" s="20">
        <f>IF(COUNT(C66:O66)=0,"",IFERROR(M66*Config!$C$7+N66*Config!$C$8,0))</f>
        <v/>
      </c>
      <c r="AJ66" s="20">
        <f>IF(COUNT(C66:O66)=0,"",IFERROR(IF(O66&gt;0,O66,AI66*Config!$C$9),0))</f>
        <v/>
      </c>
      <c r="AK66" s="20">
        <f>IF(COUNT(C66:O66)=0,"",IFERROR(AJ66*(1-Config!$C$10-Config!$C$11-Config!$C$12),0))</f>
        <v/>
      </c>
      <c r="AL66" s="20">
        <f>IF(COUNT(C66:O66)=0,"",IFERROR(AK66-C66-Config!$C$13,0))</f>
        <v/>
      </c>
      <c r="AM66" s="21">
        <f>IF(COUNT(C66:O66)=0,"",IFERROR(AK66/C66,0))</f>
        <v/>
      </c>
      <c r="AN66" s="21">
        <f>IF(COUNT(C66:O66)=0,"",IFERROR(AI66/C66,0))</f>
        <v/>
      </c>
      <c r="AO66" s="15">
        <f>IF(COUNT(C66:O66)=0,"",IFERROR(AL66/G66,0))</f>
        <v/>
      </c>
      <c r="AP66" s="21">
        <f>IF(COUNT(C66:O66)=0,"",IFERROR(AO66/U66,0))</f>
        <v/>
      </c>
      <c r="AQ66" s="15">
        <f>IF(COUNT(C66:O66)=0,"",IFERROR(AL66/H66,0))</f>
        <v/>
      </c>
    </row>
    <row r="67">
      <c r="A67" s="12">
        <f>Config!$C$6+61</f>
        <v/>
      </c>
      <c r="B67" s="13">
        <f>INT((A67-Config!$C$6)/7)+1</f>
        <v/>
      </c>
      <c r="C67" s="10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0" t="n"/>
      <c r="P67" s="15">
        <f>IF(COUNT(C67:O67)=0,"",IFERROR(C67/D67*1000,0))</f>
        <v/>
      </c>
      <c r="Q67" s="16">
        <f>IF(COUNT(C67:O67)=0,"",IFERROR(D67/E67,0))</f>
        <v/>
      </c>
      <c r="R67" s="17">
        <f>IF(COUNT(C67:O67)=0,"",IFERROR(F67/D67,0))</f>
        <v/>
      </c>
      <c r="S67" s="15">
        <f>IF(COUNT(C67:O67)=0,"",IFERROR(C67/F67,0))</f>
        <v/>
      </c>
      <c r="T67" s="18">
        <f>IF(COUNT(C67:O67)=0,"",IFERROR(G67/F67,0))</f>
        <v/>
      </c>
      <c r="U67" s="15">
        <f>IF(COUNT(C67:O67)=0,"",IFERROR(C67/G67,0))</f>
        <v/>
      </c>
      <c r="V67" s="19">
        <f>IF(COUNT(C67:O67)=0,"",IFERROR(G67/D67*1000,0))</f>
        <v/>
      </c>
      <c r="W67" s="18">
        <f>IF(COUNT(C67:O67)=0,"",IFERROR(H67/G67,0))</f>
        <v/>
      </c>
      <c r="X67" s="15">
        <f>IF(COUNT(C67:O67)=0,"",IFERROR(C67/H67,0))</f>
        <v/>
      </c>
      <c r="Y67" s="18">
        <f>IF(COUNT(C67:O67)=0,"",IFERROR(X67/P67,0))</f>
        <v/>
      </c>
      <c r="Z67" s="19">
        <f>IF(COUNT(C67:O67)=0,"",IFERROR(H67/D67*1000,0))</f>
        <v/>
      </c>
      <c r="AA67" s="18">
        <f>IF(COUNT(C67:O67)=0,"",IFERROR(I67/H67,0))</f>
        <v/>
      </c>
      <c r="AB67" s="18">
        <f>IF(COUNT(C67:O67)=0,"",IFERROR(J67/I67,0))</f>
        <v/>
      </c>
      <c r="AC67" s="18">
        <f>IF(COUNT(C67:O67)=0,"",IFERROR(K67/J67,0))</f>
        <v/>
      </c>
      <c r="AD67" s="15">
        <f>IF(COUNT(C67:O67)=0,"",IFERROR(C67/K67,0))</f>
        <v/>
      </c>
      <c r="AE67" s="18">
        <f>IF(COUNT(C67:O67)=0,"",IFERROR(L67/K67,0))</f>
        <v/>
      </c>
      <c r="AF67" s="18">
        <f>IF(COUNT(C67:O67)=0,"",IFERROR(M67/L67,0))</f>
        <v/>
      </c>
      <c r="AG67" s="17">
        <f>IF(COUNT(C67:O67)=0,"",IFERROR(M67/H67,0))</f>
        <v/>
      </c>
      <c r="AH67" s="15">
        <f>IF(COUNT(C67:O67)=0,"",IFERROR(C67/M67,0))</f>
        <v/>
      </c>
      <c r="AI67" s="20">
        <f>IF(COUNT(C67:O67)=0,"",IFERROR(M67*Config!$C$7+N67*Config!$C$8,0))</f>
        <v/>
      </c>
      <c r="AJ67" s="20">
        <f>IF(COUNT(C67:O67)=0,"",IFERROR(IF(O67&gt;0,O67,AI67*Config!$C$9),0))</f>
        <v/>
      </c>
      <c r="AK67" s="20">
        <f>IF(COUNT(C67:O67)=0,"",IFERROR(AJ67*(1-Config!$C$10-Config!$C$11-Config!$C$12),0))</f>
        <v/>
      </c>
      <c r="AL67" s="20">
        <f>IF(COUNT(C67:O67)=0,"",IFERROR(AK67-C67-Config!$C$13,0))</f>
        <v/>
      </c>
      <c r="AM67" s="21">
        <f>IF(COUNT(C67:O67)=0,"",IFERROR(AK67/C67,0))</f>
        <v/>
      </c>
      <c r="AN67" s="21">
        <f>IF(COUNT(C67:O67)=0,"",IFERROR(AI67/C67,0))</f>
        <v/>
      </c>
      <c r="AO67" s="15">
        <f>IF(COUNT(C67:O67)=0,"",IFERROR(AL67/G67,0))</f>
        <v/>
      </c>
      <c r="AP67" s="21">
        <f>IF(COUNT(C67:O67)=0,"",IFERROR(AO67/U67,0))</f>
        <v/>
      </c>
      <c r="AQ67" s="15">
        <f>IF(COUNT(C67:O67)=0,"",IFERROR(AL67/H67,0))</f>
        <v/>
      </c>
    </row>
    <row r="68">
      <c r="A68" s="12">
        <f>Config!$C$6+62</f>
        <v/>
      </c>
      <c r="B68" s="13">
        <f>INT((A68-Config!$C$6)/7)+1</f>
        <v/>
      </c>
      <c r="C68" s="10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0" t="n"/>
      <c r="P68" s="15">
        <f>IF(COUNT(C68:O68)=0,"",IFERROR(C68/D68*1000,0))</f>
        <v/>
      </c>
      <c r="Q68" s="16">
        <f>IF(COUNT(C68:O68)=0,"",IFERROR(D68/E68,0))</f>
        <v/>
      </c>
      <c r="R68" s="17">
        <f>IF(COUNT(C68:O68)=0,"",IFERROR(F68/D68,0))</f>
        <v/>
      </c>
      <c r="S68" s="15">
        <f>IF(COUNT(C68:O68)=0,"",IFERROR(C68/F68,0))</f>
        <v/>
      </c>
      <c r="T68" s="18">
        <f>IF(COUNT(C68:O68)=0,"",IFERROR(G68/F68,0))</f>
        <v/>
      </c>
      <c r="U68" s="15">
        <f>IF(COUNT(C68:O68)=0,"",IFERROR(C68/G68,0))</f>
        <v/>
      </c>
      <c r="V68" s="19">
        <f>IF(COUNT(C68:O68)=0,"",IFERROR(G68/D68*1000,0))</f>
        <v/>
      </c>
      <c r="W68" s="18">
        <f>IF(COUNT(C68:O68)=0,"",IFERROR(H68/G68,0))</f>
        <v/>
      </c>
      <c r="X68" s="15">
        <f>IF(COUNT(C68:O68)=0,"",IFERROR(C68/H68,0))</f>
        <v/>
      </c>
      <c r="Y68" s="18">
        <f>IF(COUNT(C68:O68)=0,"",IFERROR(X68/P68,0))</f>
        <v/>
      </c>
      <c r="Z68" s="19">
        <f>IF(COUNT(C68:O68)=0,"",IFERROR(H68/D68*1000,0))</f>
        <v/>
      </c>
      <c r="AA68" s="18">
        <f>IF(COUNT(C68:O68)=0,"",IFERROR(I68/H68,0))</f>
        <v/>
      </c>
      <c r="AB68" s="18">
        <f>IF(COUNT(C68:O68)=0,"",IFERROR(J68/I68,0))</f>
        <v/>
      </c>
      <c r="AC68" s="18">
        <f>IF(COUNT(C68:O68)=0,"",IFERROR(K68/J68,0))</f>
        <v/>
      </c>
      <c r="AD68" s="15">
        <f>IF(COUNT(C68:O68)=0,"",IFERROR(C68/K68,0))</f>
        <v/>
      </c>
      <c r="AE68" s="18">
        <f>IF(COUNT(C68:O68)=0,"",IFERROR(L68/K68,0))</f>
        <v/>
      </c>
      <c r="AF68" s="18">
        <f>IF(COUNT(C68:O68)=0,"",IFERROR(M68/L68,0))</f>
        <v/>
      </c>
      <c r="AG68" s="17">
        <f>IF(COUNT(C68:O68)=0,"",IFERROR(M68/H68,0))</f>
        <v/>
      </c>
      <c r="AH68" s="15">
        <f>IF(COUNT(C68:O68)=0,"",IFERROR(C68/M68,0))</f>
        <v/>
      </c>
      <c r="AI68" s="20">
        <f>IF(COUNT(C68:O68)=0,"",IFERROR(M68*Config!$C$7+N68*Config!$C$8,0))</f>
        <v/>
      </c>
      <c r="AJ68" s="20">
        <f>IF(COUNT(C68:O68)=0,"",IFERROR(IF(O68&gt;0,O68,AI68*Config!$C$9),0))</f>
        <v/>
      </c>
      <c r="AK68" s="20">
        <f>IF(COUNT(C68:O68)=0,"",IFERROR(AJ68*(1-Config!$C$10-Config!$C$11-Config!$C$12),0))</f>
        <v/>
      </c>
      <c r="AL68" s="20">
        <f>IF(COUNT(C68:O68)=0,"",IFERROR(AK68-C68-Config!$C$13,0))</f>
        <v/>
      </c>
      <c r="AM68" s="21">
        <f>IF(COUNT(C68:O68)=0,"",IFERROR(AK68/C68,0))</f>
        <v/>
      </c>
      <c r="AN68" s="21">
        <f>IF(COUNT(C68:O68)=0,"",IFERROR(AI68/C68,0))</f>
        <v/>
      </c>
      <c r="AO68" s="15">
        <f>IF(COUNT(C68:O68)=0,"",IFERROR(AL68/G68,0))</f>
        <v/>
      </c>
      <c r="AP68" s="21">
        <f>IF(COUNT(C68:O68)=0,"",IFERROR(AO68/U68,0))</f>
        <v/>
      </c>
      <c r="AQ68" s="15">
        <f>IF(COUNT(C68:O68)=0,"",IFERROR(AL68/H68,0))</f>
        <v/>
      </c>
    </row>
    <row r="69">
      <c r="A69" s="12">
        <f>Config!$C$6+63</f>
        <v/>
      </c>
      <c r="B69" s="13">
        <f>INT((A69-Config!$C$6)/7)+1</f>
        <v/>
      </c>
      <c r="C69" s="10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0" t="n"/>
      <c r="P69" s="15">
        <f>IF(COUNT(C69:O69)=0,"",IFERROR(C69/D69*1000,0))</f>
        <v/>
      </c>
      <c r="Q69" s="16">
        <f>IF(COUNT(C69:O69)=0,"",IFERROR(D69/E69,0))</f>
        <v/>
      </c>
      <c r="R69" s="17">
        <f>IF(COUNT(C69:O69)=0,"",IFERROR(F69/D69,0))</f>
        <v/>
      </c>
      <c r="S69" s="15">
        <f>IF(COUNT(C69:O69)=0,"",IFERROR(C69/F69,0))</f>
        <v/>
      </c>
      <c r="T69" s="18">
        <f>IF(COUNT(C69:O69)=0,"",IFERROR(G69/F69,0))</f>
        <v/>
      </c>
      <c r="U69" s="15">
        <f>IF(COUNT(C69:O69)=0,"",IFERROR(C69/G69,0))</f>
        <v/>
      </c>
      <c r="V69" s="19">
        <f>IF(COUNT(C69:O69)=0,"",IFERROR(G69/D69*1000,0))</f>
        <v/>
      </c>
      <c r="W69" s="18">
        <f>IF(COUNT(C69:O69)=0,"",IFERROR(H69/G69,0))</f>
        <v/>
      </c>
      <c r="X69" s="15">
        <f>IF(COUNT(C69:O69)=0,"",IFERROR(C69/H69,0))</f>
        <v/>
      </c>
      <c r="Y69" s="18">
        <f>IF(COUNT(C69:O69)=0,"",IFERROR(X69/P69,0))</f>
        <v/>
      </c>
      <c r="Z69" s="19">
        <f>IF(COUNT(C69:O69)=0,"",IFERROR(H69/D69*1000,0))</f>
        <v/>
      </c>
      <c r="AA69" s="18">
        <f>IF(COUNT(C69:O69)=0,"",IFERROR(I69/H69,0))</f>
        <v/>
      </c>
      <c r="AB69" s="18">
        <f>IF(COUNT(C69:O69)=0,"",IFERROR(J69/I69,0))</f>
        <v/>
      </c>
      <c r="AC69" s="18">
        <f>IF(COUNT(C69:O69)=0,"",IFERROR(K69/J69,0))</f>
        <v/>
      </c>
      <c r="AD69" s="15">
        <f>IF(COUNT(C69:O69)=0,"",IFERROR(C69/K69,0))</f>
        <v/>
      </c>
      <c r="AE69" s="18">
        <f>IF(COUNT(C69:O69)=0,"",IFERROR(L69/K69,0))</f>
        <v/>
      </c>
      <c r="AF69" s="18">
        <f>IF(COUNT(C69:O69)=0,"",IFERROR(M69/L69,0))</f>
        <v/>
      </c>
      <c r="AG69" s="17">
        <f>IF(COUNT(C69:O69)=0,"",IFERROR(M69/H69,0))</f>
        <v/>
      </c>
      <c r="AH69" s="15">
        <f>IF(COUNT(C69:O69)=0,"",IFERROR(C69/M69,0))</f>
        <v/>
      </c>
      <c r="AI69" s="20">
        <f>IF(COUNT(C69:O69)=0,"",IFERROR(M69*Config!$C$7+N69*Config!$C$8,0))</f>
        <v/>
      </c>
      <c r="AJ69" s="20">
        <f>IF(COUNT(C69:O69)=0,"",IFERROR(IF(O69&gt;0,O69,AI69*Config!$C$9),0))</f>
        <v/>
      </c>
      <c r="AK69" s="20">
        <f>IF(COUNT(C69:O69)=0,"",IFERROR(AJ69*(1-Config!$C$10-Config!$C$11-Config!$C$12),0))</f>
        <v/>
      </c>
      <c r="AL69" s="20">
        <f>IF(COUNT(C69:O69)=0,"",IFERROR(AK69-C69-Config!$C$13,0))</f>
        <v/>
      </c>
      <c r="AM69" s="21">
        <f>IF(COUNT(C69:O69)=0,"",IFERROR(AK69/C69,0))</f>
        <v/>
      </c>
      <c r="AN69" s="21">
        <f>IF(COUNT(C69:O69)=0,"",IFERROR(AI69/C69,0))</f>
        <v/>
      </c>
      <c r="AO69" s="15">
        <f>IF(COUNT(C69:O69)=0,"",IFERROR(AL69/G69,0))</f>
        <v/>
      </c>
      <c r="AP69" s="21">
        <f>IF(COUNT(C69:O69)=0,"",IFERROR(AO69/U69,0))</f>
        <v/>
      </c>
      <c r="AQ69" s="15">
        <f>IF(COUNT(C69:O69)=0,"",IFERROR(AL69/H69,0))</f>
        <v/>
      </c>
    </row>
    <row r="70">
      <c r="A70" s="12">
        <f>Config!$C$6+64</f>
        <v/>
      </c>
      <c r="B70" s="13">
        <f>INT((A70-Config!$C$6)/7)+1</f>
        <v/>
      </c>
      <c r="C70" s="10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0" t="n"/>
      <c r="P70" s="15">
        <f>IF(COUNT(C70:O70)=0,"",IFERROR(C70/D70*1000,0))</f>
        <v/>
      </c>
      <c r="Q70" s="16">
        <f>IF(COUNT(C70:O70)=0,"",IFERROR(D70/E70,0))</f>
        <v/>
      </c>
      <c r="R70" s="17">
        <f>IF(COUNT(C70:O70)=0,"",IFERROR(F70/D70,0))</f>
        <v/>
      </c>
      <c r="S70" s="15">
        <f>IF(COUNT(C70:O70)=0,"",IFERROR(C70/F70,0))</f>
        <v/>
      </c>
      <c r="T70" s="18">
        <f>IF(COUNT(C70:O70)=0,"",IFERROR(G70/F70,0))</f>
        <v/>
      </c>
      <c r="U70" s="15">
        <f>IF(COUNT(C70:O70)=0,"",IFERROR(C70/G70,0))</f>
        <v/>
      </c>
      <c r="V70" s="19">
        <f>IF(COUNT(C70:O70)=0,"",IFERROR(G70/D70*1000,0))</f>
        <v/>
      </c>
      <c r="W70" s="18">
        <f>IF(COUNT(C70:O70)=0,"",IFERROR(H70/G70,0))</f>
        <v/>
      </c>
      <c r="X70" s="15">
        <f>IF(COUNT(C70:O70)=0,"",IFERROR(C70/H70,0))</f>
        <v/>
      </c>
      <c r="Y70" s="18">
        <f>IF(COUNT(C70:O70)=0,"",IFERROR(X70/P70,0))</f>
        <v/>
      </c>
      <c r="Z70" s="19">
        <f>IF(COUNT(C70:O70)=0,"",IFERROR(H70/D70*1000,0))</f>
        <v/>
      </c>
      <c r="AA70" s="18">
        <f>IF(COUNT(C70:O70)=0,"",IFERROR(I70/H70,0))</f>
        <v/>
      </c>
      <c r="AB70" s="18">
        <f>IF(COUNT(C70:O70)=0,"",IFERROR(J70/I70,0))</f>
        <v/>
      </c>
      <c r="AC70" s="18">
        <f>IF(COUNT(C70:O70)=0,"",IFERROR(K70/J70,0))</f>
        <v/>
      </c>
      <c r="AD70" s="15">
        <f>IF(COUNT(C70:O70)=0,"",IFERROR(C70/K70,0))</f>
        <v/>
      </c>
      <c r="AE70" s="18">
        <f>IF(COUNT(C70:O70)=0,"",IFERROR(L70/K70,0))</f>
        <v/>
      </c>
      <c r="AF70" s="18">
        <f>IF(COUNT(C70:O70)=0,"",IFERROR(M70/L70,0))</f>
        <v/>
      </c>
      <c r="AG70" s="17">
        <f>IF(COUNT(C70:O70)=0,"",IFERROR(M70/H70,0))</f>
        <v/>
      </c>
      <c r="AH70" s="15">
        <f>IF(COUNT(C70:O70)=0,"",IFERROR(C70/M70,0))</f>
        <v/>
      </c>
      <c r="AI70" s="20">
        <f>IF(COUNT(C70:O70)=0,"",IFERROR(M70*Config!$C$7+N70*Config!$C$8,0))</f>
        <v/>
      </c>
      <c r="AJ70" s="20">
        <f>IF(COUNT(C70:O70)=0,"",IFERROR(IF(O70&gt;0,O70,AI70*Config!$C$9),0))</f>
        <v/>
      </c>
      <c r="AK70" s="20">
        <f>IF(COUNT(C70:O70)=0,"",IFERROR(AJ70*(1-Config!$C$10-Config!$C$11-Config!$C$12),0))</f>
        <v/>
      </c>
      <c r="AL70" s="20">
        <f>IF(COUNT(C70:O70)=0,"",IFERROR(AK70-C70-Config!$C$13,0))</f>
        <v/>
      </c>
      <c r="AM70" s="21">
        <f>IF(COUNT(C70:O70)=0,"",IFERROR(AK70/C70,0))</f>
        <v/>
      </c>
      <c r="AN70" s="21">
        <f>IF(COUNT(C70:O70)=0,"",IFERROR(AI70/C70,0))</f>
        <v/>
      </c>
      <c r="AO70" s="15">
        <f>IF(COUNT(C70:O70)=0,"",IFERROR(AL70/G70,0))</f>
        <v/>
      </c>
      <c r="AP70" s="21">
        <f>IF(COUNT(C70:O70)=0,"",IFERROR(AO70/U70,0))</f>
        <v/>
      </c>
      <c r="AQ70" s="15">
        <f>IF(COUNT(C70:O70)=0,"",IFERROR(AL70/H70,0))</f>
        <v/>
      </c>
    </row>
    <row r="71">
      <c r="A71" s="12">
        <f>Config!$C$6+65</f>
        <v/>
      </c>
      <c r="B71" s="13">
        <f>INT((A71-Config!$C$6)/7)+1</f>
        <v/>
      </c>
      <c r="C71" s="10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0" t="n"/>
      <c r="P71" s="15">
        <f>IF(COUNT(C71:O71)=0,"",IFERROR(C71/D71*1000,0))</f>
        <v/>
      </c>
      <c r="Q71" s="16">
        <f>IF(COUNT(C71:O71)=0,"",IFERROR(D71/E71,0))</f>
        <v/>
      </c>
      <c r="R71" s="17">
        <f>IF(COUNT(C71:O71)=0,"",IFERROR(F71/D71,0))</f>
        <v/>
      </c>
      <c r="S71" s="15">
        <f>IF(COUNT(C71:O71)=0,"",IFERROR(C71/F71,0))</f>
        <v/>
      </c>
      <c r="T71" s="18">
        <f>IF(COUNT(C71:O71)=0,"",IFERROR(G71/F71,0))</f>
        <v/>
      </c>
      <c r="U71" s="15">
        <f>IF(COUNT(C71:O71)=0,"",IFERROR(C71/G71,0))</f>
        <v/>
      </c>
      <c r="V71" s="19">
        <f>IF(COUNT(C71:O71)=0,"",IFERROR(G71/D71*1000,0))</f>
        <v/>
      </c>
      <c r="W71" s="18">
        <f>IF(COUNT(C71:O71)=0,"",IFERROR(H71/G71,0))</f>
        <v/>
      </c>
      <c r="X71" s="15">
        <f>IF(COUNT(C71:O71)=0,"",IFERROR(C71/H71,0))</f>
        <v/>
      </c>
      <c r="Y71" s="18">
        <f>IF(COUNT(C71:O71)=0,"",IFERROR(X71/P71,0))</f>
        <v/>
      </c>
      <c r="Z71" s="19">
        <f>IF(COUNT(C71:O71)=0,"",IFERROR(H71/D71*1000,0))</f>
        <v/>
      </c>
      <c r="AA71" s="18">
        <f>IF(COUNT(C71:O71)=0,"",IFERROR(I71/H71,0))</f>
        <v/>
      </c>
      <c r="AB71" s="18">
        <f>IF(COUNT(C71:O71)=0,"",IFERROR(J71/I71,0))</f>
        <v/>
      </c>
      <c r="AC71" s="18">
        <f>IF(COUNT(C71:O71)=0,"",IFERROR(K71/J71,0))</f>
        <v/>
      </c>
      <c r="AD71" s="15">
        <f>IF(COUNT(C71:O71)=0,"",IFERROR(C71/K71,0))</f>
        <v/>
      </c>
      <c r="AE71" s="18">
        <f>IF(COUNT(C71:O71)=0,"",IFERROR(L71/K71,0))</f>
        <v/>
      </c>
      <c r="AF71" s="18">
        <f>IF(COUNT(C71:O71)=0,"",IFERROR(M71/L71,0))</f>
        <v/>
      </c>
      <c r="AG71" s="17">
        <f>IF(COUNT(C71:O71)=0,"",IFERROR(M71/H71,0))</f>
        <v/>
      </c>
      <c r="AH71" s="15">
        <f>IF(COUNT(C71:O71)=0,"",IFERROR(C71/M71,0))</f>
        <v/>
      </c>
      <c r="AI71" s="20">
        <f>IF(COUNT(C71:O71)=0,"",IFERROR(M71*Config!$C$7+N71*Config!$C$8,0))</f>
        <v/>
      </c>
      <c r="AJ71" s="20">
        <f>IF(COUNT(C71:O71)=0,"",IFERROR(IF(O71&gt;0,O71,AI71*Config!$C$9),0))</f>
        <v/>
      </c>
      <c r="AK71" s="20">
        <f>IF(COUNT(C71:O71)=0,"",IFERROR(AJ71*(1-Config!$C$10-Config!$C$11-Config!$C$12),0))</f>
        <v/>
      </c>
      <c r="AL71" s="20">
        <f>IF(COUNT(C71:O71)=0,"",IFERROR(AK71-C71-Config!$C$13,0))</f>
        <v/>
      </c>
      <c r="AM71" s="21">
        <f>IF(COUNT(C71:O71)=0,"",IFERROR(AK71/C71,0))</f>
        <v/>
      </c>
      <c r="AN71" s="21">
        <f>IF(COUNT(C71:O71)=0,"",IFERROR(AI71/C71,0))</f>
        <v/>
      </c>
      <c r="AO71" s="15">
        <f>IF(COUNT(C71:O71)=0,"",IFERROR(AL71/G71,0))</f>
        <v/>
      </c>
      <c r="AP71" s="21">
        <f>IF(COUNT(C71:O71)=0,"",IFERROR(AO71/U71,0))</f>
        <v/>
      </c>
      <c r="AQ71" s="15">
        <f>IF(COUNT(C71:O71)=0,"",IFERROR(AL71/H71,0))</f>
        <v/>
      </c>
    </row>
    <row r="72">
      <c r="A72" s="12">
        <f>Config!$C$6+66</f>
        <v/>
      </c>
      <c r="B72" s="13">
        <f>INT((A72-Config!$C$6)/7)+1</f>
        <v/>
      </c>
      <c r="C72" s="10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0" t="n"/>
      <c r="P72" s="15">
        <f>IF(COUNT(C72:O72)=0,"",IFERROR(C72/D72*1000,0))</f>
        <v/>
      </c>
      <c r="Q72" s="16">
        <f>IF(COUNT(C72:O72)=0,"",IFERROR(D72/E72,0))</f>
        <v/>
      </c>
      <c r="R72" s="17">
        <f>IF(COUNT(C72:O72)=0,"",IFERROR(F72/D72,0))</f>
        <v/>
      </c>
      <c r="S72" s="15">
        <f>IF(COUNT(C72:O72)=0,"",IFERROR(C72/F72,0))</f>
        <v/>
      </c>
      <c r="T72" s="18">
        <f>IF(COUNT(C72:O72)=0,"",IFERROR(G72/F72,0))</f>
        <v/>
      </c>
      <c r="U72" s="15">
        <f>IF(COUNT(C72:O72)=0,"",IFERROR(C72/G72,0))</f>
        <v/>
      </c>
      <c r="V72" s="19">
        <f>IF(COUNT(C72:O72)=0,"",IFERROR(G72/D72*1000,0))</f>
        <v/>
      </c>
      <c r="W72" s="18">
        <f>IF(COUNT(C72:O72)=0,"",IFERROR(H72/G72,0))</f>
        <v/>
      </c>
      <c r="X72" s="15">
        <f>IF(COUNT(C72:O72)=0,"",IFERROR(C72/H72,0))</f>
        <v/>
      </c>
      <c r="Y72" s="18">
        <f>IF(COUNT(C72:O72)=0,"",IFERROR(X72/P72,0))</f>
        <v/>
      </c>
      <c r="Z72" s="19">
        <f>IF(COUNT(C72:O72)=0,"",IFERROR(H72/D72*1000,0))</f>
        <v/>
      </c>
      <c r="AA72" s="18">
        <f>IF(COUNT(C72:O72)=0,"",IFERROR(I72/H72,0))</f>
        <v/>
      </c>
      <c r="AB72" s="18">
        <f>IF(COUNT(C72:O72)=0,"",IFERROR(J72/I72,0))</f>
        <v/>
      </c>
      <c r="AC72" s="18">
        <f>IF(COUNT(C72:O72)=0,"",IFERROR(K72/J72,0))</f>
        <v/>
      </c>
      <c r="AD72" s="15">
        <f>IF(COUNT(C72:O72)=0,"",IFERROR(C72/K72,0))</f>
        <v/>
      </c>
      <c r="AE72" s="18">
        <f>IF(COUNT(C72:O72)=0,"",IFERROR(L72/K72,0))</f>
        <v/>
      </c>
      <c r="AF72" s="18">
        <f>IF(COUNT(C72:O72)=0,"",IFERROR(M72/L72,0))</f>
        <v/>
      </c>
      <c r="AG72" s="17">
        <f>IF(COUNT(C72:O72)=0,"",IFERROR(M72/H72,0))</f>
        <v/>
      </c>
      <c r="AH72" s="15">
        <f>IF(COUNT(C72:O72)=0,"",IFERROR(C72/M72,0))</f>
        <v/>
      </c>
      <c r="AI72" s="20">
        <f>IF(COUNT(C72:O72)=0,"",IFERROR(M72*Config!$C$7+N72*Config!$C$8,0))</f>
        <v/>
      </c>
      <c r="AJ72" s="20">
        <f>IF(COUNT(C72:O72)=0,"",IFERROR(IF(O72&gt;0,O72,AI72*Config!$C$9),0))</f>
        <v/>
      </c>
      <c r="AK72" s="20">
        <f>IF(COUNT(C72:O72)=0,"",IFERROR(AJ72*(1-Config!$C$10-Config!$C$11-Config!$C$12),0))</f>
        <v/>
      </c>
      <c r="AL72" s="20">
        <f>IF(COUNT(C72:O72)=0,"",IFERROR(AK72-C72-Config!$C$13,0))</f>
        <v/>
      </c>
      <c r="AM72" s="21">
        <f>IF(COUNT(C72:O72)=0,"",IFERROR(AK72/C72,0))</f>
        <v/>
      </c>
      <c r="AN72" s="21">
        <f>IF(COUNT(C72:O72)=0,"",IFERROR(AI72/C72,0))</f>
        <v/>
      </c>
      <c r="AO72" s="15">
        <f>IF(COUNT(C72:O72)=0,"",IFERROR(AL72/G72,0))</f>
        <v/>
      </c>
      <c r="AP72" s="21">
        <f>IF(COUNT(C72:O72)=0,"",IFERROR(AO72/U72,0))</f>
        <v/>
      </c>
      <c r="AQ72" s="15">
        <f>IF(COUNT(C72:O72)=0,"",IFERROR(AL72/H72,0))</f>
        <v/>
      </c>
    </row>
    <row r="73">
      <c r="A73" s="12">
        <f>Config!$C$6+67</f>
        <v/>
      </c>
      <c r="B73" s="13">
        <f>INT((A73-Config!$C$6)/7)+1</f>
        <v/>
      </c>
      <c r="C73" s="10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0" t="n"/>
      <c r="P73" s="15">
        <f>IF(COUNT(C73:O73)=0,"",IFERROR(C73/D73*1000,0))</f>
        <v/>
      </c>
      <c r="Q73" s="16">
        <f>IF(COUNT(C73:O73)=0,"",IFERROR(D73/E73,0))</f>
        <v/>
      </c>
      <c r="R73" s="17">
        <f>IF(COUNT(C73:O73)=0,"",IFERROR(F73/D73,0))</f>
        <v/>
      </c>
      <c r="S73" s="15">
        <f>IF(COUNT(C73:O73)=0,"",IFERROR(C73/F73,0))</f>
        <v/>
      </c>
      <c r="T73" s="18">
        <f>IF(COUNT(C73:O73)=0,"",IFERROR(G73/F73,0))</f>
        <v/>
      </c>
      <c r="U73" s="15">
        <f>IF(COUNT(C73:O73)=0,"",IFERROR(C73/G73,0))</f>
        <v/>
      </c>
      <c r="V73" s="19">
        <f>IF(COUNT(C73:O73)=0,"",IFERROR(G73/D73*1000,0))</f>
        <v/>
      </c>
      <c r="W73" s="18">
        <f>IF(COUNT(C73:O73)=0,"",IFERROR(H73/G73,0))</f>
        <v/>
      </c>
      <c r="X73" s="15">
        <f>IF(COUNT(C73:O73)=0,"",IFERROR(C73/H73,0))</f>
        <v/>
      </c>
      <c r="Y73" s="18">
        <f>IF(COUNT(C73:O73)=0,"",IFERROR(X73/P73,0))</f>
        <v/>
      </c>
      <c r="Z73" s="19">
        <f>IF(COUNT(C73:O73)=0,"",IFERROR(H73/D73*1000,0))</f>
        <v/>
      </c>
      <c r="AA73" s="18">
        <f>IF(COUNT(C73:O73)=0,"",IFERROR(I73/H73,0))</f>
        <v/>
      </c>
      <c r="AB73" s="18">
        <f>IF(COUNT(C73:O73)=0,"",IFERROR(J73/I73,0))</f>
        <v/>
      </c>
      <c r="AC73" s="18">
        <f>IF(COUNT(C73:O73)=0,"",IFERROR(K73/J73,0))</f>
        <v/>
      </c>
      <c r="AD73" s="15">
        <f>IF(COUNT(C73:O73)=0,"",IFERROR(C73/K73,0))</f>
        <v/>
      </c>
      <c r="AE73" s="18">
        <f>IF(COUNT(C73:O73)=0,"",IFERROR(L73/K73,0))</f>
        <v/>
      </c>
      <c r="AF73" s="18">
        <f>IF(COUNT(C73:O73)=0,"",IFERROR(M73/L73,0))</f>
        <v/>
      </c>
      <c r="AG73" s="17">
        <f>IF(COUNT(C73:O73)=0,"",IFERROR(M73/H73,0))</f>
        <v/>
      </c>
      <c r="AH73" s="15">
        <f>IF(COUNT(C73:O73)=0,"",IFERROR(C73/M73,0))</f>
        <v/>
      </c>
      <c r="AI73" s="20">
        <f>IF(COUNT(C73:O73)=0,"",IFERROR(M73*Config!$C$7+N73*Config!$C$8,0))</f>
        <v/>
      </c>
      <c r="AJ73" s="20">
        <f>IF(COUNT(C73:O73)=0,"",IFERROR(IF(O73&gt;0,O73,AI73*Config!$C$9),0))</f>
        <v/>
      </c>
      <c r="AK73" s="20">
        <f>IF(COUNT(C73:O73)=0,"",IFERROR(AJ73*(1-Config!$C$10-Config!$C$11-Config!$C$12),0))</f>
        <v/>
      </c>
      <c r="AL73" s="20">
        <f>IF(COUNT(C73:O73)=0,"",IFERROR(AK73-C73-Config!$C$13,0))</f>
        <v/>
      </c>
      <c r="AM73" s="21">
        <f>IF(COUNT(C73:O73)=0,"",IFERROR(AK73/C73,0))</f>
        <v/>
      </c>
      <c r="AN73" s="21">
        <f>IF(COUNT(C73:O73)=0,"",IFERROR(AI73/C73,0))</f>
        <v/>
      </c>
      <c r="AO73" s="15">
        <f>IF(COUNT(C73:O73)=0,"",IFERROR(AL73/G73,0))</f>
        <v/>
      </c>
      <c r="AP73" s="21">
        <f>IF(COUNT(C73:O73)=0,"",IFERROR(AO73/U73,0))</f>
        <v/>
      </c>
      <c r="AQ73" s="15">
        <f>IF(COUNT(C73:O73)=0,"",IFERROR(AL73/H73,0))</f>
        <v/>
      </c>
    </row>
    <row r="74">
      <c r="A74" s="12">
        <f>Config!$C$6+68</f>
        <v/>
      </c>
      <c r="B74" s="13">
        <f>INT((A74-Config!$C$6)/7)+1</f>
        <v/>
      </c>
      <c r="C74" s="10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0" t="n"/>
      <c r="P74" s="15">
        <f>IF(COUNT(C74:O74)=0,"",IFERROR(C74/D74*1000,0))</f>
        <v/>
      </c>
      <c r="Q74" s="16">
        <f>IF(COUNT(C74:O74)=0,"",IFERROR(D74/E74,0))</f>
        <v/>
      </c>
      <c r="R74" s="17">
        <f>IF(COUNT(C74:O74)=0,"",IFERROR(F74/D74,0))</f>
        <v/>
      </c>
      <c r="S74" s="15">
        <f>IF(COUNT(C74:O74)=0,"",IFERROR(C74/F74,0))</f>
        <v/>
      </c>
      <c r="T74" s="18">
        <f>IF(COUNT(C74:O74)=0,"",IFERROR(G74/F74,0))</f>
        <v/>
      </c>
      <c r="U74" s="15">
        <f>IF(COUNT(C74:O74)=0,"",IFERROR(C74/G74,0))</f>
        <v/>
      </c>
      <c r="V74" s="19">
        <f>IF(COUNT(C74:O74)=0,"",IFERROR(G74/D74*1000,0))</f>
        <v/>
      </c>
      <c r="W74" s="18">
        <f>IF(COUNT(C74:O74)=0,"",IFERROR(H74/G74,0))</f>
        <v/>
      </c>
      <c r="X74" s="15">
        <f>IF(COUNT(C74:O74)=0,"",IFERROR(C74/H74,0))</f>
        <v/>
      </c>
      <c r="Y74" s="18">
        <f>IF(COUNT(C74:O74)=0,"",IFERROR(X74/P74,0))</f>
        <v/>
      </c>
      <c r="Z74" s="19">
        <f>IF(COUNT(C74:O74)=0,"",IFERROR(H74/D74*1000,0))</f>
        <v/>
      </c>
      <c r="AA74" s="18">
        <f>IF(COUNT(C74:O74)=0,"",IFERROR(I74/H74,0))</f>
        <v/>
      </c>
      <c r="AB74" s="18">
        <f>IF(COUNT(C74:O74)=0,"",IFERROR(J74/I74,0))</f>
        <v/>
      </c>
      <c r="AC74" s="18">
        <f>IF(COUNT(C74:O74)=0,"",IFERROR(K74/J74,0))</f>
        <v/>
      </c>
      <c r="AD74" s="15">
        <f>IF(COUNT(C74:O74)=0,"",IFERROR(C74/K74,0))</f>
        <v/>
      </c>
      <c r="AE74" s="18">
        <f>IF(COUNT(C74:O74)=0,"",IFERROR(L74/K74,0))</f>
        <v/>
      </c>
      <c r="AF74" s="18">
        <f>IF(COUNT(C74:O74)=0,"",IFERROR(M74/L74,0))</f>
        <v/>
      </c>
      <c r="AG74" s="17">
        <f>IF(COUNT(C74:O74)=0,"",IFERROR(M74/H74,0))</f>
        <v/>
      </c>
      <c r="AH74" s="15">
        <f>IF(COUNT(C74:O74)=0,"",IFERROR(C74/M74,0))</f>
        <v/>
      </c>
      <c r="AI74" s="20">
        <f>IF(COUNT(C74:O74)=0,"",IFERROR(M74*Config!$C$7+N74*Config!$C$8,0))</f>
        <v/>
      </c>
      <c r="AJ74" s="20">
        <f>IF(COUNT(C74:O74)=0,"",IFERROR(IF(O74&gt;0,O74,AI74*Config!$C$9),0))</f>
        <v/>
      </c>
      <c r="AK74" s="20">
        <f>IF(COUNT(C74:O74)=0,"",IFERROR(AJ74*(1-Config!$C$10-Config!$C$11-Config!$C$12),0))</f>
        <v/>
      </c>
      <c r="AL74" s="20">
        <f>IF(COUNT(C74:O74)=0,"",IFERROR(AK74-C74-Config!$C$13,0))</f>
        <v/>
      </c>
      <c r="AM74" s="21">
        <f>IF(COUNT(C74:O74)=0,"",IFERROR(AK74/C74,0))</f>
        <v/>
      </c>
      <c r="AN74" s="21">
        <f>IF(COUNT(C74:O74)=0,"",IFERROR(AI74/C74,0))</f>
        <v/>
      </c>
      <c r="AO74" s="15">
        <f>IF(COUNT(C74:O74)=0,"",IFERROR(AL74/G74,0))</f>
        <v/>
      </c>
      <c r="AP74" s="21">
        <f>IF(COUNT(C74:O74)=0,"",IFERROR(AO74/U74,0))</f>
        <v/>
      </c>
      <c r="AQ74" s="15">
        <f>IF(COUNT(C74:O74)=0,"",IFERROR(AL74/H74,0))</f>
        <v/>
      </c>
    </row>
    <row r="75">
      <c r="A75" s="12">
        <f>Config!$C$6+69</f>
        <v/>
      </c>
      <c r="B75" s="13">
        <f>INT((A75-Config!$C$6)/7)+1</f>
        <v/>
      </c>
      <c r="C75" s="10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0" t="n"/>
      <c r="P75" s="15">
        <f>IF(COUNT(C75:O75)=0,"",IFERROR(C75/D75*1000,0))</f>
        <v/>
      </c>
      <c r="Q75" s="16">
        <f>IF(COUNT(C75:O75)=0,"",IFERROR(D75/E75,0))</f>
        <v/>
      </c>
      <c r="R75" s="17">
        <f>IF(COUNT(C75:O75)=0,"",IFERROR(F75/D75,0))</f>
        <v/>
      </c>
      <c r="S75" s="15">
        <f>IF(COUNT(C75:O75)=0,"",IFERROR(C75/F75,0))</f>
        <v/>
      </c>
      <c r="T75" s="18">
        <f>IF(COUNT(C75:O75)=0,"",IFERROR(G75/F75,0))</f>
        <v/>
      </c>
      <c r="U75" s="15">
        <f>IF(COUNT(C75:O75)=0,"",IFERROR(C75/G75,0))</f>
        <v/>
      </c>
      <c r="V75" s="19">
        <f>IF(COUNT(C75:O75)=0,"",IFERROR(G75/D75*1000,0))</f>
        <v/>
      </c>
      <c r="W75" s="18">
        <f>IF(COUNT(C75:O75)=0,"",IFERROR(H75/G75,0))</f>
        <v/>
      </c>
      <c r="X75" s="15">
        <f>IF(COUNT(C75:O75)=0,"",IFERROR(C75/H75,0))</f>
        <v/>
      </c>
      <c r="Y75" s="18">
        <f>IF(COUNT(C75:O75)=0,"",IFERROR(X75/P75,0))</f>
        <v/>
      </c>
      <c r="Z75" s="19">
        <f>IF(COUNT(C75:O75)=0,"",IFERROR(H75/D75*1000,0))</f>
        <v/>
      </c>
      <c r="AA75" s="18">
        <f>IF(COUNT(C75:O75)=0,"",IFERROR(I75/H75,0))</f>
        <v/>
      </c>
      <c r="AB75" s="18">
        <f>IF(COUNT(C75:O75)=0,"",IFERROR(J75/I75,0))</f>
        <v/>
      </c>
      <c r="AC75" s="18">
        <f>IF(COUNT(C75:O75)=0,"",IFERROR(K75/J75,0))</f>
        <v/>
      </c>
      <c r="AD75" s="15">
        <f>IF(COUNT(C75:O75)=0,"",IFERROR(C75/K75,0))</f>
        <v/>
      </c>
      <c r="AE75" s="18">
        <f>IF(COUNT(C75:O75)=0,"",IFERROR(L75/K75,0))</f>
        <v/>
      </c>
      <c r="AF75" s="18">
        <f>IF(COUNT(C75:O75)=0,"",IFERROR(M75/L75,0))</f>
        <v/>
      </c>
      <c r="AG75" s="17">
        <f>IF(COUNT(C75:O75)=0,"",IFERROR(M75/H75,0))</f>
        <v/>
      </c>
      <c r="AH75" s="15">
        <f>IF(COUNT(C75:O75)=0,"",IFERROR(C75/M75,0))</f>
        <v/>
      </c>
      <c r="AI75" s="20">
        <f>IF(COUNT(C75:O75)=0,"",IFERROR(M75*Config!$C$7+N75*Config!$C$8,0))</f>
        <v/>
      </c>
      <c r="AJ75" s="20">
        <f>IF(COUNT(C75:O75)=0,"",IFERROR(IF(O75&gt;0,O75,AI75*Config!$C$9),0))</f>
        <v/>
      </c>
      <c r="AK75" s="20">
        <f>IF(COUNT(C75:O75)=0,"",IFERROR(AJ75*(1-Config!$C$10-Config!$C$11-Config!$C$12),0))</f>
        <v/>
      </c>
      <c r="AL75" s="20">
        <f>IF(COUNT(C75:O75)=0,"",IFERROR(AK75-C75-Config!$C$13,0))</f>
        <v/>
      </c>
      <c r="AM75" s="21">
        <f>IF(COUNT(C75:O75)=0,"",IFERROR(AK75/C75,0))</f>
        <v/>
      </c>
      <c r="AN75" s="21">
        <f>IF(COUNT(C75:O75)=0,"",IFERROR(AI75/C75,0))</f>
        <v/>
      </c>
      <c r="AO75" s="15">
        <f>IF(COUNT(C75:O75)=0,"",IFERROR(AL75/G75,0))</f>
        <v/>
      </c>
      <c r="AP75" s="21">
        <f>IF(COUNT(C75:O75)=0,"",IFERROR(AO75/U75,0))</f>
        <v/>
      </c>
      <c r="AQ75" s="15">
        <f>IF(COUNT(C75:O75)=0,"",IFERROR(AL75/H75,0))</f>
        <v/>
      </c>
    </row>
    <row r="76">
      <c r="A76" s="12">
        <f>Config!$C$6+70</f>
        <v/>
      </c>
      <c r="B76" s="13">
        <f>INT((A76-Config!$C$6)/7)+1</f>
        <v/>
      </c>
      <c r="C76" s="10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0" t="n"/>
      <c r="P76" s="15">
        <f>IF(COUNT(C76:O76)=0,"",IFERROR(C76/D76*1000,0))</f>
        <v/>
      </c>
      <c r="Q76" s="16">
        <f>IF(COUNT(C76:O76)=0,"",IFERROR(D76/E76,0))</f>
        <v/>
      </c>
      <c r="R76" s="17">
        <f>IF(COUNT(C76:O76)=0,"",IFERROR(F76/D76,0))</f>
        <v/>
      </c>
      <c r="S76" s="15">
        <f>IF(COUNT(C76:O76)=0,"",IFERROR(C76/F76,0))</f>
        <v/>
      </c>
      <c r="T76" s="18">
        <f>IF(COUNT(C76:O76)=0,"",IFERROR(G76/F76,0))</f>
        <v/>
      </c>
      <c r="U76" s="15">
        <f>IF(COUNT(C76:O76)=0,"",IFERROR(C76/G76,0))</f>
        <v/>
      </c>
      <c r="V76" s="19">
        <f>IF(COUNT(C76:O76)=0,"",IFERROR(G76/D76*1000,0))</f>
        <v/>
      </c>
      <c r="W76" s="18">
        <f>IF(COUNT(C76:O76)=0,"",IFERROR(H76/G76,0))</f>
        <v/>
      </c>
      <c r="X76" s="15">
        <f>IF(COUNT(C76:O76)=0,"",IFERROR(C76/H76,0))</f>
        <v/>
      </c>
      <c r="Y76" s="18">
        <f>IF(COUNT(C76:O76)=0,"",IFERROR(X76/P76,0))</f>
        <v/>
      </c>
      <c r="Z76" s="19">
        <f>IF(COUNT(C76:O76)=0,"",IFERROR(H76/D76*1000,0))</f>
        <v/>
      </c>
      <c r="AA76" s="18">
        <f>IF(COUNT(C76:O76)=0,"",IFERROR(I76/H76,0))</f>
        <v/>
      </c>
      <c r="AB76" s="18">
        <f>IF(COUNT(C76:O76)=0,"",IFERROR(J76/I76,0))</f>
        <v/>
      </c>
      <c r="AC76" s="18">
        <f>IF(COUNT(C76:O76)=0,"",IFERROR(K76/J76,0))</f>
        <v/>
      </c>
      <c r="AD76" s="15">
        <f>IF(COUNT(C76:O76)=0,"",IFERROR(C76/K76,0))</f>
        <v/>
      </c>
      <c r="AE76" s="18">
        <f>IF(COUNT(C76:O76)=0,"",IFERROR(L76/K76,0))</f>
        <v/>
      </c>
      <c r="AF76" s="18">
        <f>IF(COUNT(C76:O76)=0,"",IFERROR(M76/L76,0))</f>
        <v/>
      </c>
      <c r="AG76" s="17">
        <f>IF(COUNT(C76:O76)=0,"",IFERROR(M76/H76,0))</f>
        <v/>
      </c>
      <c r="AH76" s="15">
        <f>IF(COUNT(C76:O76)=0,"",IFERROR(C76/M76,0))</f>
        <v/>
      </c>
      <c r="AI76" s="20">
        <f>IF(COUNT(C76:O76)=0,"",IFERROR(M76*Config!$C$7+N76*Config!$C$8,0))</f>
        <v/>
      </c>
      <c r="AJ76" s="20">
        <f>IF(COUNT(C76:O76)=0,"",IFERROR(IF(O76&gt;0,O76,AI76*Config!$C$9),0))</f>
        <v/>
      </c>
      <c r="AK76" s="20">
        <f>IF(COUNT(C76:O76)=0,"",IFERROR(AJ76*(1-Config!$C$10-Config!$C$11-Config!$C$12),0))</f>
        <v/>
      </c>
      <c r="AL76" s="20">
        <f>IF(COUNT(C76:O76)=0,"",IFERROR(AK76-C76-Config!$C$13,0))</f>
        <v/>
      </c>
      <c r="AM76" s="21">
        <f>IF(COUNT(C76:O76)=0,"",IFERROR(AK76/C76,0))</f>
        <v/>
      </c>
      <c r="AN76" s="21">
        <f>IF(COUNT(C76:O76)=0,"",IFERROR(AI76/C76,0))</f>
        <v/>
      </c>
      <c r="AO76" s="15">
        <f>IF(COUNT(C76:O76)=0,"",IFERROR(AL76/G76,0))</f>
        <v/>
      </c>
      <c r="AP76" s="21">
        <f>IF(COUNT(C76:O76)=0,"",IFERROR(AO76/U76,0))</f>
        <v/>
      </c>
      <c r="AQ76" s="15">
        <f>IF(COUNT(C76:O76)=0,"",IFERROR(AL76/H76,0))</f>
        <v/>
      </c>
    </row>
    <row r="77">
      <c r="A77" s="12">
        <f>Config!$C$6+71</f>
        <v/>
      </c>
      <c r="B77" s="13">
        <f>INT((A77-Config!$C$6)/7)+1</f>
        <v/>
      </c>
      <c r="C77" s="10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0" t="n"/>
      <c r="P77" s="15">
        <f>IF(COUNT(C77:O77)=0,"",IFERROR(C77/D77*1000,0))</f>
        <v/>
      </c>
      <c r="Q77" s="16">
        <f>IF(COUNT(C77:O77)=0,"",IFERROR(D77/E77,0))</f>
        <v/>
      </c>
      <c r="R77" s="17">
        <f>IF(COUNT(C77:O77)=0,"",IFERROR(F77/D77,0))</f>
        <v/>
      </c>
      <c r="S77" s="15">
        <f>IF(COUNT(C77:O77)=0,"",IFERROR(C77/F77,0))</f>
        <v/>
      </c>
      <c r="T77" s="18">
        <f>IF(COUNT(C77:O77)=0,"",IFERROR(G77/F77,0))</f>
        <v/>
      </c>
      <c r="U77" s="15">
        <f>IF(COUNT(C77:O77)=0,"",IFERROR(C77/G77,0))</f>
        <v/>
      </c>
      <c r="V77" s="19">
        <f>IF(COUNT(C77:O77)=0,"",IFERROR(G77/D77*1000,0))</f>
        <v/>
      </c>
      <c r="W77" s="18">
        <f>IF(COUNT(C77:O77)=0,"",IFERROR(H77/G77,0))</f>
        <v/>
      </c>
      <c r="X77" s="15">
        <f>IF(COUNT(C77:O77)=0,"",IFERROR(C77/H77,0))</f>
        <v/>
      </c>
      <c r="Y77" s="18">
        <f>IF(COUNT(C77:O77)=0,"",IFERROR(X77/P77,0))</f>
        <v/>
      </c>
      <c r="Z77" s="19">
        <f>IF(COUNT(C77:O77)=0,"",IFERROR(H77/D77*1000,0))</f>
        <v/>
      </c>
      <c r="AA77" s="18">
        <f>IF(COUNT(C77:O77)=0,"",IFERROR(I77/H77,0))</f>
        <v/>
      </c>
      <c r="AB77" s="18">
        <f>IF(COUNT(C77:O77)=0,"",IFERROR(J77/I77,0))</f>
        <v/>
      </c>
      <c r="AC77" s="18">
        <f>IF(COUNT(C77:O77)=0,"",IFERROR(K77/J77,0))</f>
        <v/>
      </c>
      <c r="AD77" s="15">
        <f>IF(COUNT(C77:O77)=0,"",IFERROR(C77/K77,0))</f>
        <v/>
      </c>
      <c r="AE77" s="18">
        <f>IF(COUNT(C77:O77)=0,"",IFERROR(L77/K77,0))</f>
        <v/>
      </c>
      <c r="AF77" s="18">
        <f>IF(COUNT(C77:O77)=0,"",IFERROR(M77/L77,0))</f>
        <v/>
      </c>
      <c r="AG77" s="17">
        <f>IF(COUNT(C77:O77)=0,"",IFERROR(M77/H77,0))</f>
        <v/>
      </c>
      <c r="AH77" s="15">
        <f>IF(COUNT(C77:O77)=0,"",IFERROR(C77/M77,0))</f>
        <v/>
      </c>
      <c r="AI77" s="20">
        <f>IF(COUNT(C77:O77)=0,"",IFERROR(M77*Config!$C$7+N77*Config!$C$8,0))</f>
        <v/>
      </c>
      <c r="AJ77" s="20">
        <f>IF(COUNT(C77:O77)=0,"",IFERROR(IF(O77&gt;0,O77,AI77*Config!$C$9),0))</f>
        <v/>
      </c>
      <c r="AK77" s="20">
        <f>IF(COUNT(C77:O77)=0,"",IFERROR(AJ77*(1-Config!$C$10-Config!$C$11-Config!$C$12),0))</f>
        <v/>
      </c>
      <c r="AL77" s="20">
        <f>IF(COUNT(C77:O77)=0,"",IFERROR(AK77-C77-Config!$C$13,0))</f>
        <v/>
      </c>
      <c r="AM77" s="21">
        <f>IF(COUNT(C77:O77)=0,"",IFERROR(AK77/C77,0))</f>
        <v/>
      </c>
      <c r="AN77" s="21">
        <f>IF(COUNT(C77:O77)=0,"",IFERROR(AI77/C77,0))</f>
        <v/>
      </c>
      <c r="AO77" s="15">
        <f>IF(COUNT(C77:O77)=0,"",IFERROR(AL77/G77,0))</f>
        <v/>
      </c>
      <c r="AP77" s="21">
        <f>IF(COUNT(C77:O77)=0,"",IFERROR(AO77/U77,0))</f>
        <v/>
      </c>
      <c r="AQ77" s="15">
        <f>IF(COUNT(C77:O77)=0,"",IFERROR(AL77/H77,0))</f>
        <v/>
      </c>
    </row>
    <row r="78">
      <c r="A78" s="12">
        <f>Config!$C$6+72</f>
        <v/>
      </c>
      <c r="B78" s="13">
        <f>INT((A78-Config!$C$6)/7)+1</f>
        <v/>
      </c>
      <c r="C78" s="10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0" t="n"/>
      <c r="P78" s="15">
        <f>IF(COUNT(C78:O78)=0,"",IFERROR(C78/D78*1000,0))</f>
        <v/>
      </c>
      <c r="Q78" s="16">
        <f>IF(COUNT(C78:O78)=0,"",IFERROR(D78/E78,0))</f>
        <v/>
      </c>
      <c r="R78" s="17">
        <f>IF(COUNT(C78:O78)=0,"",IFERROR(F78/D78,0))</f>
        <v/>
      </c>
      <c r="S78" s="15">
        <f>IF(COUNT(C78:O78)=0,"",IFERROR(C78/F78,0))</f>
        <v/>
      </c>
      <c r="T78" s="18">
        <f>IF(COUNT(C78:O78)=0,"",IFERROR(G78/F78,0))</f>
        <v/>
      </c>
      <c r="U78" s="15">
        <f>IF(COUNT(C78:O78)=0,"",IFERROR(C78/G78,0))</f>
        <v/>
      </c>
      <c r="V78" s="19">
        <f>IF(COUNT(C78:O78)=0,"",IFERROR(G78/D78*1000,0))</f>
        <v/>
      </c>
      <c r="W78" s="18">
        <f>IF(COUNT(C78:O78)=0,"",IFERROR(H78/G78,0))</f>
        <v/>
      </c>
      <c r="X78" s="15">
        <f>IF(COUNT(C78:O78)=0,"",IFERROR(C78/H78,0))</f>
        <v/>
      </c>
      <c r="Y78" s="18">
        <f>IF(COUNT(C78:O78)=0,"",IFERROR(X78/P78,0))</f>
        <v/>
      </c>
      <c r="Z78" s="19">
        <f>IF(COUNT(C78:O78)=0,"",IFERROR(H78/D78*1000,0))</f>
        <v/>
      </c>
      <c r="AA78" s="18">
        <f>IF(COUNT(C78:O78)=0,"",IFERROR(I78/H78,0))</f>
        <v/>
      </c>
      <c r="AB78" s="18">
        <f>IF(COUNT(C78:O78)=0,"",IFERROR(J78/I78,0))</f>
        <v/>
      </c>
      <c r="AC78" s="18">
        <f>IF(COUNT(C78:O78)=0,"",IFERROR(K78/J78,0))</f>
        <v/>
      </c>
      <c r="AD78" s="15">
        <f>IF(COUNT(C78:O78)=0,"",IFERROR(C78/K78,0))</f>
        <v/>
      </c>
      <c r="AE78" s="18">
        <f>IF(COUNT(C78:O78)=0,"",IFERROR(L78/K78,0))</f>
        <v/>
      </c>
      <c r="AF78" s="18">
        <f>IF(COUNT(C78:O78)=0,"",IFERROR(M78/L78,0))</f>
        <v/>
      </c>
      <c r="AG78" s="17">
        <f>IF(COUNT(C78:O78)=0,"",IFERROR(M78/H78,0))</f>
        <v/>
      </c>
      <c r="AH78" s="15">
        <f>IF(COUNT(C78:O78)=0,"",IFERROR(C78/M78,0))</f>
        <v/>
      </c>
      <c r="AI78" s="20">
        <f>IF(COUNT(C78:O78)=0,"",IFERROR(M78*Config!$C$7+N78*Config!$C$8,0))</f>
        <v/>
      </c>
      <c r="AJ78" s="20">
        <f>IF(COUNT(C78:O78)=0,"",IFERROR(IF(O78&gt;0,O78,AI78*Config!$C$9),0))</f>
        <v/>
      </c>
      <c r="AK78" s="20">
        <f>IF(COUNT(C78:O78)=0,"",IFERROR(AJ78*(1-Config!$C$10-Config!$C$11-Config!$C$12),0))</f>
        <v/>
      </c>
      <c r="AL78" s="20">
        <f>IF(COUNT(C78:O78)=0,"",IFERROR(AK78-C78-Config!$C$13,0))</f>
        <v/>
      </c>
      <c r="AM78" s="21">
        <f>IF(COUNT(C78:O78)=0,"",IFERROR(AK78/C78,0))</f>
        <v/>
      </c>
      <c r="AN78" s="21">
        <f>IF(COUNT(C78:O78)=0,"",IFERROR(AI78/C78,0))</f>
        <v/>
      </c>
      <c r="AO78" s="15">
        <f>IF(COUNT(C78:O78)=0,"",IFERROR(AL78/G78,0))</f>
        <v/>
      </c>
      <c r="AP78" s="21">
        <f>IF(COUNT(C78:O78)=0,"",IFERROR(AO78/U78,0))</f>
        <v/>
      </c>
      <c r="AQ78" s="15">
        <f>IF(COUNT(C78:O78)=0,"",IFERROR(AL78/H78,0))</f>
        <v/>
      </c>
    </row>
    <row r="79">
      <c r="A79" s="12">
        <f>Config!$C$6+73</f>
        <v/>
      </c>
      <c r="B79" s="13">
        <f>INT((A79-Config!$C$6)/7)+1</f>
        <v/>
      </c>
      <c r="C79" s="10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0" t="n"/>
      <c r="P79" s="15">
        <f>IF(COUNT(C79:O79)=0,"",IFERROR(C79/D79*1000,0))</f>
        <v/>
      </c>
      <c r="Q79" s="16">
        <f>IF(COUNT(C79:O79)=0,"",IFERROR(D79/E79,0))</f>
        <v/>
      </c>
      <c r="R79" s="17">
        <f>IF(COUNT(C79:O79)=0,"",IFERROR(F79/D79,0))</f>
        <v/>
      </c>
      <c r="S79" s="15">
        <f>IF(COUNT(C79:O79)=0,"",IFERROR(C79/F79,0))</f>
        <v/>
      </c>
      <c r="T79" s="18">
        <f>IF(COUNT(C79:O79)=0,"",IFERROR(G79/F79,0))</f>
        <v/>
      </c>
      <c r="U79" s="15">
        <f>IF(COUNT(C79:O79)=0,"",IFERROR(C79/G79,0))</f>
        <v/>
      </c>
      <c r="V79" s="19">
        <f>IF(COUNT(C79:O79)=0,"",IFERROR(G79/D79*1000,0))</f>
        <v/>
      </c>
      <c r="W79" s="18">
        <f>IF(COUNT(C79:O79)=0,"",IFERROR(H79/G79,0))</f>
        <v/>
      </c>
      <c r="X79" s="15">
        <f>IF(COUNT(C79:O79)=0,"",IFERROR(C79/H79,0))</f>
        <v/>
      </c>
      <c r="Y79" s="18">
        <f>IF(COUNT(C79:O79)=0,"",IFERROR(X79/P79,0))</f>
        <v/>
      </c>
      <c r="Z79" s="19">
        <f>IF(COUNT(C79:O79)=0,"",IFERROR(H79/D79*1000,0))</f>
        <v/>
      </c>
      <c r="AA79" s="18">
        <f>IF(COUNT(C79:O79)=0,"",IFERROR(I79/H79,0))</f>
        <v/>
      </c>
      <c r="AB79" s="18">
        <f>IF(COUNT(C79:O79)=0,"",IFERROR(J79/I79,0))</f>
        <v/>
      </c>
      <c r="AC79" s="18">
        <f>IF(COUNT(C79:O79)=0,"",IFERROR(K79/J79,0))</f>
        <v/>
      </c>
      <c r="AD79" s="15">
        <f>IF(COUNT(C79:O79)=0,"",IFERROR(C79/K79,0))</f>
        <v/>
      </c>
      <c r="AE79" s="18">
        <f>IF(COUNT(C79:O79)=0,"",IFERROR(L79/K79,0))</f>
        <v/>
      </c>
      <c r="AF79" s="18">
        <f>IF(COUNT(C79:O79)=0,"",IFERROR(M79/L79,0))</f>
        <v/>
      </c>
      <c r="AG79" s="17">
        <f>IF(COUNT(C79:O79)=0,"",IFERROR(M79/H79,0))</f>
        <v/>
      </c>
      <c r="AH79" s="15">
        <f>IF(COUNT(C79:O79)=0,"",IFERROR(C79/M79,0))</f>
        <v/>
      </c>
      <c r="AI79" s="20">
        <f>IF(COUNT(C79:O79)=0,"",IFERROR(M79*Config!$C$7+N79*Config!$C$8,0))</f>
        <v/>
      </c>
      <c r="AJ79" s="20">
        <f>IF(COUNT(C79:O79)=0,"",IFERROR(IF(O79&gt;0,O79,AI79*Config!$C$9),0))</f>
        <v/>
      </c>
      <c r="AK79" s="20">
        <f>IF(COUNT(C79:O79)=0,"",IFERROR(AJ79*(1-Config!$C$10-Config!$C$11-Config!$C$12),0))</f>
        <v/>
      </c>
      <c r="AL79" s="20">
        <f>IF(COUNT(C79:O79)=0,"",IFERROR(AK79-C79-Config!$C$13,0))</f>
        <v/>
      </c>
      <c r="AM79" s="21">
        <f>IF(COUNT(C79:O79)=0,"",IFERROR(AK79/C79,0))</f>
        <v/>
      </c>
      <c r="AN79" s="21">
        <f>IF(COUNT(C79:O79)=0,"",IFERROR(AI79/C79,0))</f>
        <v/>
      </c>
      <c r="AO79" s="15">
        <f>IF(COUNT(C79:O79)=0,"",IFERROR(AL79/G79,0))</f>
        <v/>
      </c>
      <c r="AP79" s="21">
        <f>IF(COUNT(C79:O79)=0,"",IFERROR(AO79/U79,0))</f>
        <v/>
      </c>
      <c r="AQ79" s="15">
        <f>IF(COUNT(C79:O79)=0,"",IFERROR(AL79/H79,0))</f>
        <v/>
      </c>
    </row>
    <row r="80">
      <c r="A80" s="12">
        <f>Config!$C$6+74</f>
        <v/>
      </c>
      <c r="B80" s="13">
        <f>INT((A80-Config!$C$6)/7)+1</f>
        <v/>
      </c>
      <c r="C80" s="10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0" t="n"/>
      <c r="P80" s="15">
        <f>IF(COUNT(C80:O80)=0,"",IFERROR(C80/D80*1000,0))</f>
        <v/>
      </c>
      <c r="Q80" s="16">
        <f>IF(COUNT(C80:O80)=0,"",IFERROR(D80/E80,0))</f>
        <v/>
      </c>
      <c r="R80" s="17">
        <f>IF(COUNT(C80:O80)=0,"",IFERROR(F80/D80,0))</f>
        <v/>
      </c>
      <c r="S80" s="15">
        <f>IF(COUNT(C80:O80)=0,"",IFERROR(C80/F80,0))</f>
        <v/>
      </c>
      <c r="T80" s="18">
        <f>IF(COUNT(C80:O80)=0,"",IFERROR(G80/F80,0))</f>
        <v/>
      </c>
      <c r="U80" s="15">
        <f>IF(COUNT(C80:O80)=0,"",IFERROR(C80/G80,0))</f>
        <v/>
      </c>
      <c r="V80" s="19">
        <f>IF(COUNT(C80:O80)=0,"",IFERROR(G80/D80*1000,0))</f>
        <v/>
      </c>
      <c r="W80" s="18">
        <f>IF(COUNT(C80:O80)=0,"",IFERROR(H80/G80,0))</f>
        <v/>
      </c>
      <c r="X80" s="15">
        <f>IF(COUNT(C80:O80)=0,"",IFERROR(C80/H80,0))</f>
        <v/>
      </c>
      <c r="Y80" s="18">
        <f>IF(COUNT(C80:O80)=0,"",IFERROR(X80/P80,0))</f>
        <v/>
      </c>
      <c r="Z80" s="19">
        <f>IF(COUNT(C80:O80)=0,"",IFERROR(H80/D80*1000,0))</f>
        <v/>
      </c>
      <c r="AA80" s="18">
        <f>IF(COUNT(C80:O80)=0,"",IFERROR(I80/H80,0))</f>
        <v/>
      </c>
      <c r="AB80" s="18">
        <f>IF(COUNT(C80:O80)=0,"",IFERROR(J80/I80,0))</f>
        <v/>
      </c>
      <c r="AC80" s="18">
        <f>IF(COUNT(C80:O80)=0,"",IFERROR(K80/J80,0))</f>
        <v/>
      </c>
      <c r="AD80" s="15">
        <f>IF(COUNT(C80:O80)=0,"",IFERROR(C80/K80,0))</f>
        <v/>
      </c>
      <c r="AE80" s="18">
        <f>IF(COUNT(C80:O80)=0,"",IFERROR(L80/K80,0))</f>
        <v/>
      </c>
      <c r="AF80" s="18">
        <f>IF(COUNT(C80:O80)=0,"",IFERROR(M80/L80,0))</f>
        <v/>
      </c>
      <c r="AG80" s="17">
        <f>IF(COUNT(C80:O80)=0,"",IFERROR(M80/H80,0))</f>
        <v/>
      </c>
      <c r="AH80" s="15">
        <f>IF(COUNT(C80:O80)=0,"",IFERROR(C80/M80,0))</f>
        <v/>
      </c>
      <c r="AI80" s="20">
        <f>IF(COUNT(C80:O80)=0,"",IFERROR(M80*Config!$C$7+N80*Config!$C$8,0))</f>
        <v/>
      </c>
      <c r="AJ80" s="20">
        <f>IF(COUNT(C80:O80)=0,"",IFERROR(IF(O80&gt;0,O80,AI80*Config!$C$9),0))</f>
        <v/>
      </c>
      <c r="AK80" s="20">
        <f>IF(COUNT(C80:O80)=0,"",IFERROR(AJ80*(1-Config!$C$10-Config!$C$11-Config!$C$12),0))</f>
        <v/>
      </c>
      <c r="AL80" s="20">
        <f>IF(COUNT(C80:O80)=0,"",IFERROR(AK80-C80-Config!$C$13,0))</f>
        <v/>
      </c>
      <c r="AM80" s="21">
        <f>IF(COUNT(C80:O80)=0,"",IFERROR(AK80/C80,0))</f>
        <v/>
      </c>
      <c r="AN80" s="21">
        <f>IF(COUNT(C80:O80)=0,"",IFERROR(AI80/C80,0))</f>
        <v/>
      </c>
      <c r="AO80" s="15">
        <f>IF(COUNT(C80:O80)=0,"",IFERROR(AL80/G80,0))</f>
        <v/>
      </c>
      <c r="AP80" s="21">
        <f>IF(COUNT(C80:O80)=0,"",IFERROR(AO80/U80,0))</f>
        <v/>
      </c>
      <c r="AQ80" s="15">
        <f>IF(COUNT(C80:O80)=0,"",IFERROR(AL80/H80,0))</f>
        <v/>
      </c>
    </row>
    <row r="81">
      <c r="A81" s="12">
        <f>Config!$C$6+75</f>
        <v/>
      </c>
      <c r="B81" s="13">
        <f>INT((A81-Config!$C$6)/7)+1</f>
        <v/>
      </c>
      <c r="C81" s="10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0" t="n"/>
      <c r="P81" s="15">
        <f>IF(COUNT(C81:O81)=0,"",IFERROR(C81/D81*1000,0))</f>
        <v/>
      </c>
      <c r="Q81" s="16">
        <f>IF(COUNT(C81:O81)=0,"",IFERROR(D81/E81,0))</f>
        <v/>
      </c>
      <c r="R81" s="17">
        <f>IF(COUNT(C81:O81)=0,"",IFERROR(F81/D81,0))</f>
        <v/>
      </c>
      <c r="S81" s="15">
        <f>IF(COUNT(C81:O81)=0,"",IFERROR(C81/F81,0))</f>
        <v/>
      </c>
      <c r="T81" s="18">
        <f>IF(COUNT(C81:O81)=0,"",IFERROR(G81/F81,0))</f>
        <v/>
      </c>
      <c r="U81" s="15">
        <f>IF(COUNT(C81:O81)=0,"",IFERROR(C81/G81,0))</f>
        <v/>
      </c>
      <c r="V81" s="19">
        <f>IF(COUNT(C81:O81)=0,"",IFERROR(G81/D81*1000,0))</f>
        <v/>
      </c>
      <c r="W81" s="18">
        <f>IF(COUNT(C81:O81)=0,"",IFERROR(H81/G81,0))</f>
        <v/>
      </c>
      <c r="X81" s="15">
        <f>IF(COUNT(C81:O81)=0,"",IFERROR(C81/H81,0))</f>
        <v/>
      </c>
      <c r="Y81" s="18">
        <f>IF(COUNT(C81:O81)=0,"",IFERROR(X81/P81,0))</f>
        <v/>
      </c>
      <c r="Z81" s="19">
        <f>IF(COUNT(C81:O81)=0,"",IFERROR(H81/D81*1000,0))</f>
        <v/>
      </c>
      <c r="AA81" s="18">
        <f>IF(COUNT(C81:O81)=0,"",IFERROR(I81/H81,0))</f>
        <v/>
      </c>
      <c r="AB81" s="18">
        <f>IF(COUNT(C81:O81)=0,"",IFERROR(J81/I81,0))</f>
        <v/>
      </c>
      <c r="AC81" s="18">
        <f>IF(COUNT(C81:O81)=0,"",IFERROR(K81/J81,0))</f>
        <v/>
      </c>
      <c r="AD81" s="15">
        <f>IF(COUNT(C81:O81)=0,"",IFERROR(C81/K81,0))</f>
        <v/>
      </c>
      <c r="AE81" s="18">
        <f>IF(COUNT(C81:O81)=0,"",IFERROR(L81/K81,0))</f>
        <v/>
      </c>
      <c r="AF81" s="18">
        <f>IF(COUNT(C81:O81)=0,"",IFERROR(M81/L81,0))</f>
        <v/>
      </c>
      <c r="AG81" s="17">
        <f>IF(COUNT(C81:O81)=0,"",IFERROR(M81/H81,0))</f>
        <v/>
      </c>
      <c r="AH81" s="15">
        <f>IF(COUNT(C81:O81)=0,"",IFERROR(C81/M81,0))</f>
        <v/>
      </c>
      <c r="AI81" s="20">
        <f>IF(COUNT(C81:O81)=0,"",IFERROR(M81*Config!$C$7+N81*Config!$C$8,0))</f>
        <v/>
      </c>
      <c r="AJ81" s="20">
        <f>IF(COUNT(C81:O81)=0,"",IFERROR(IF(O81&gt;0,O81,AI81*Config!$C$9),0))</f>
        <v/>
      </c>
      <c r="AK81" s="20">
        <f>IF(COUNT(C81:O81)=0,"",IFERROR(AJ81*(1-Config!$C$10-Config!$C$11-Config!$C$12),0))</f>
        <v/>
      </c>
      <c r="AL81" s="20">
        <f>IF(COUNT(C81:O81)=0,"",IFERROR(AK81-C81-Config!$C$13,0))</f>
        <v/>
      </c>
      <c r="AM81" s="21">
        <f>IF(COUNT(C81:O81)=0,"",IFERROR(AK81/C81,0))</f>
        <v/>
      </c>
      <c r="AN81" s="21">
        <f>IF(COUNT(C81:O81)=0,"",IFERROR(AI81/C81,0))</f>
        <v/>
      </c>
      <c r="AO81" s="15">
        <f>IF(COUNT(C81:O81)=0,"",IFERROR(AL81/G81,0))</f>
        <v/>
      </c>
      <c r="AP81" s="21">
        <f>IF(COUNT(C81:O81)=0,"",IFERROR(AO81/U81,0))</f>
        <v/>
      </c>
      <c r="AQ81" s="15">
        <f>IF(COUNT(C81:O81)=0,"",IFERROR(AL81/H81,0))</f>
        <v/>
      </c>
    </row>
    <row r="82">
      <c r="A82" s="12">
        <f>Config!$C$6+76</f>
        <v/>
      </c>
      <c r="B82" s="13">
        <f>INT((A82-Config!$C$6)/7)+1</f>
        <v/>
      </c>
      <c r="C82" s="10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0" t="n"/>
      <c r="P82" s="15">
        <f>IF(COUNT(C82:O82)=0,"",IFERROR(C82/D82*1000,0))</f>
        <v/>
      </c>
      <c r="Q82" s="16">
        <f>IF(COUNT(C82:O82)=0,"",IFERROR(D82/E82,0))</f>
        <v/>
      </c>
      <c r="R82" s="17">
        <f>IF(COUNT(C82:O82)=0,"",IFERROR(F82/D82,0))</f>
        <v/>
      </c>
      <c r="S82" s="15">
        <f>IF(COUNT(C82:O82)=0,"",IFERROR(C82/F82,0))</f>
        <v/>
      </c>
      <c r="T82" s="18">
        <f>IF(COUNT(C82:O82)=0,"",IFERROR(G82/F82,0))</f>
        <v/>
      </c>
      <c r="U82" s="15">
        <f>IF(COUNT(C82:O82)=0,"",IFERROR(C82/G82,0))</f>
        <v/>
      </c>
      <c r="V82" s="19">
        <f>IF(COUNT(C82:O82)=0,"",IFERROR(G82/D82*1000,0))</f>
        <v/>
      </c>
      <c r="W82" s="18">
        <f>IF(COUNT(C82:O82)=0,"",IFERROR(H82/G82,0))</f>
        <v/>
      </c>
      <c r="X82" s="15">
        <f>IF(COUNT(C82:O82)=0,"",IFERROR(C82/H82,0))</f>
        <v/>
      </c>
      <c r="Y82" s="18">
        <f>IF(COUNT(C82:O82)=0,"",IFERROR(X82/P82,0))</f>
        <v/>
      </c>
      <c r="Z82" s="19">
        <f>IF(COUNT(C82:O82)=0,"",IFERROR(H82/D82*1000,0))</f>
        <v/>
      </c>
      <c r="AA82" s="18">
        <f>IF(COUNT(C82:O82)=0,"",IFERROR(I82/H82,0))</f>
        <v/>
      </c>
      <c r="AB82" s="18">
        <f>IF(COUNT(C82:O82)=0,"",IFERROR(J82/I82,0))</f>
        <v/>
      </c>
      <c r="AC82" s="18">
        <f>IF(COUNT(C82:O82)=0,"",IFERROR(K82/J82,0))</f>
        <v/>
      </c>
      <c r="AD82" s="15">
        <f>IF(COUNT(C82:O82)=0,"",IFERROR(C82/K82,0))</f>
        <v/>
      </c>
      <c r="AE82" s="18">
        <f>IF(COUNT(C82:O82)=0,"",IFERROR(L82/K82,0))</f>
        <v/>
      </c>
      <c r="AF82" s="18">
        <f>IF(COUNT(C82:O82)=0,"",IFERROR(M82/L82,0))</f>
        <v/>
      </c>
      <c r="AG82" s="17">
        <f>IF(COUNT(C82:O82)=0,"",IFERROR(M82/H82,0))</f>
        <v/>
      </c>
      <c r="AH82" s="15">
        <f>IF(COUNT(C82:O82)=0,"",IFERROR(C82/M82,0))</f>
        <v/>
      </c>
      <c r="AI82" s="20">
        <f>IF(COUNT(C82:O82)=0,"",IFERROR(M82*Config!$C$7+N82*Config!$C$8,0))</f>
        <v/>
      </c>
      <c r="AJ82" s="20">
        <f>IF(COUNT(C82:O82)=0,"",IFERROR(IF(O82&gt;0,O82,AI82*Config!$C$9),0))</f>
        <v/>
      </c>
      <c r="AK82" s="20">
        <f>IF(COUNT(C82:O82)=0,"",IFERROR(AJ82*(1-Config!$C$10-Config!$C$11-Config!$C$12),0))</f>
        <v/>
      </c>
      <c r="AL82" s="20">
        <f>IF(COUNT(C82:O82)=0,"",IFERROR(AK82-C82-Config!$C$13,0))</f>
        <v/>
      </c>
      <c r="AM82" s="21">
        <f>IF(COUNT(C82:O82)=0,"",IFERROR(AK82/C82,0))</f>
        <v/>
      </c>
      <c r="AN82" s="21">
        <f>IF(COUNT(C82:O82)=0,"",IFERROR(AI82/C82,0))</f>
        <v/>
      </c>
      <c r="AO82" s="15">
        <f>IF(COUNT(C82:O82)=0,"",IFERROR(AL82/G82,0))</f>
        <v/>
      </c>
      <c r="AP82" s="21">
        <f>IF(COUNT(C82:O82)=0,"",IFERROR(AO82/U82,0))</f>
        <v/>
      </c>
      <c r="AQ82" s="15">
        <f>IF(COUNT(C82:O82)=0,"",IFERROR(AL82/H82,0))</f>
        <v/>
      </c>
    </row>
    <row r="83">
      <c r="A83" s="12">
        <f>Config!$C$6+77</f>
        <v/>
      </c>
      <c r="B83" s="13">
        <f>INT((A83-Config!$C$6)/7)+1</f>
        <v/>
      </c>
      <c r="C83" s="10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0" t="n"/>
      <c r="P83" s="15">
        <f>IF(COUNT(C83:O83)=0,"",IFERROR(C83/D83*1000,0))</f>
        <v/>
      </c>
      <c r="Q83" s="16">
        <f>IF(COUNT(C83:O83)=0,"",IFERROR(D83/E83,0))</f>
        <v/>
      </c>
      <c r="R83" s="17">
        <f>IF(COUNT(C83:O83)=0,"",IFERROR(F83/D83,0))</f>
        <v/>
      </c>
      <c r="S83" s="15">
        <f>IF(COUNT(C83:O83)=0,"",IFERROR(C83/F83,0))</f>
        <v/>
      </c>
      <c r="T83" s="18">
        <f>IF(COUNT(C83:O83)=0,"",IFERROR(G83/F83,0))</f>
        <v/>
      </c>
      <c r="U83" s="15">
        <f>IF(COUNT(C83:O83)=0,"",IFERROR(C83/G83,0))</f>
        <v/>
      </c>
      <c r="V83" s="19">
        <f>IF(COUNT(C83:O83)=0,"",IFERROR(G83/D83*1000,0))</f>
        <v/>
      </c>
      <c r="W83" s="18">
        <f>IF(COUNT(C83:O83)=0,"",IFERROR(H83/G83,0))</f>
        <v/>
      </c>
      <c r="X83" s="15">
        <f>IF(COUNT(C83:O83)=0,"",IFERROR(C83/H83,0))</f>
        <v/>
      </c>
      <c r="Y83" s="18">
        <f>IF(COUNT(C83:O83)=0,"",IFERROR(X83/P83,0))</f>
        <v/>
      </c>
      <c r="Z83" s="19">
        <f>IF(COUNT(C83:O83)=0,"",IFERROR(H83/D83*1000,0))</f>
        <v/>
      </c>
      <c r="AA83" s="18">
        <f>IF(COUNT(C83:O83)=0,"",IFERROR(I83/H83,0))</f>
        <v/>
      </c>
      <c r="AB83" s="18">
        <f>IF(COUNT(C83:O83)=0,"",IFERROR(J83/I83,0))</f>
        <v/>
      </c>
      <c r="AC83" s="18">
        <f>IF(COUNT(C83:O83)=0,"",IFERROR(K83/J83,0))</f>
        <v/>
      </c>
      <c r="AD83" s="15">
        <f>IF(COUNT(C83:O83)=0,"",IFERROR(C83/K83,0))</f>
        <v/>
      </c>
      <c r="AE83" s="18">
        <f>IF(COUNT(C83:O83)=0,"",IFERROR(L83/K83,0))</f>
        <v/>
      </c>
      <c r="AF83" s="18">
        <f>IF(COUNT(C83:O83)=0,"",IFERROR(M83/L83,0))</f>
        <v/>
      </c>
      <c r="AG83" s="17">
        <f>IF(COUNT(C83:O83)=0,"",IFERROR(M83/H83,0))</f>
        <v/>
      </c>
      <c r="AH83" s="15">
        <f>IF(COUNT(C83:O83)=0,"",IFERROR(C83/M83,0))</f>
        <v/>
      </c>
      <c r="AI83" s="20">
        <f>IF(COUNT(C83:O83)=0,"",IFERROR(M83*Config!$C$7+N83*Config!$C$8,0))</f>
        <v/>
      </c>
      <c r="AJ83" s="20">
        <f>IF(COUNT(C83:O83)=0,"",IFERROR(IF(O83&gt;0,O83,AI83*Config!$C$9),0))</f>
        <v/>
      </c>
      <c r="AK83" s="20">
        <f>IF(COUNT(C83:O83)=0,"",IFERROR(AJ83*(1-Config!$C$10-Config!$C$11-Config!$C$12),0))</f>
        <v/>
      </c>
      <c r="AL83" s="20">
        <f>IF(COUNT(C83:O83)=0,"",IFERROR(AK83-C83-Config!$C$13,0))</f>
        <v/>
      </c>
      <c r="AM83" s="21">
        <f>IF(COUNT(C83:O83)=0,"",IFERROR(AK83/C83,0))</f>
        <v/>
      </c>
      <c r="AN83" s="21">
        <f>IF(COUNT(C83:O83)=0,"",IFERROR(AI83/C83,0))</f>
        <v/>
      </c>
      <c r="AO83" s="15">
        <f>IF(COUNT(C83:O83)=0,"",IFERROR(AL83/G83,0))</f>
        <v/>
      </c>
      <c r="AP83" s="21">
        <f>IF(COUNT(C83:O83)=0,"",IFERROR(AO83/U83,0))</f>
        <v/>
      </c>
      <c r="AQ83" s="15">
        <f>IF(COUNT(C83:O83)=0,"",IFERROR(AL83/H83,0))</f>
        <v/>
      </c>
    </row>
    <row r="84">
      <c r="A84" s="12">
        <f>Config!$C$6+78</f>
        <v/>
      </c>
      <c r="B84" s="13">
        <f>INT((A84-Config!$C$6)/7)+1</f>
        <v/>
      </c>
      <c r="C84" s="10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0" t="n"/>
      <c r="P84" s="15">
        <f>IF(COUNT(C84:O84)=0,"",IFERROR(C84/D84*1000,0))</f>
        <v/>
      </c>
      <c r="Q84" s="16">
        <f>IF(COUNT(C84:O84)=0,"",IFERROR(D84/E84,0))</f>
        <v/>
      </c>
      <c r="R84" s="17">
        <f>IF(COUNT(C84:O84)=0,"",IFERROR(F84/D84,0))</f>
        <v/>
      </c>
      <c r="S84" s="15">
        <f>IF(COUNT(C84:O84)=0,"",IFERROR(C84/F84,0))</f>
        <v/>
      </c>
      <c r="T84" s="18">
        <f>IF(COUNT(C84:O84)=0,"",IFERROR(G84/F84,0))</f>
        <v/>
      </c>
      <c r="U84" s="15">
        <f>IF(COUNT(C84:O84)=0,"",IFERROR(C84/G84,0))</f>
        <v/>
      </c>
      <c r="V84" s="19">
        <f>IF(COUNT(C84:O84)=0,"",IFERROR(G84/D84*1000,0))</f>
        <v/>
      </c>
      <c r="W84" s="18">
        <f>IF(COUNT(C84:O84)=0,"",IFERROR(H84/G84,0))</f>
        <v/>
      </c>
      <c r="X84" s="15">
        <f>IF(COUNT(C84:O84)=0,"",IFERROR(C84/H84,0))</f>
        <v/>
      </c>
      <c r="Y84" s="18">
        <f>IF(COUNT(C84:O84)=0,"",IFERROR(X84/P84,0))</f>
        <v/>
      </c>
      <c r="Z84" s="19">
        <f>IF(COUNT(C84:O84)=0,"",IFERROR(H84/D84*1000,0))</f>
        <v/>
      </c>
      <c r="AA84" s="18">
        <f>IF(COUNT(C84:O84)=0,"",IFERROR(I84/H84,0))</f>
        <v/>
      </c>
      <c r="AB84" s="18">
        <f>IF(COUNT(C84:O84)=0,"",IFERROR(J84/I84,0))</f>
        <v/>
      </c>
      <c r="AC84" s="18">
        <f>IF(COUNT(C84:O84)=0,"",IFERROR(K84/J84,0))</f>
        <v/>
      </c>
      <c r="AD84" s="15">
        <f>IF(COUNT(C84:O84)=0,"",IFERROR(C84/K84,0))</f>
        <v/>
      </c>
      <c r="AE84" s="18">
        <f>IF(COUNT(C84:O84)=0,"",IFERROR(L84/K84,0))</f>
        <v/>
      </c>
      <c r="AF84" s="18">
        <f>IF(COUNT(C84:O84)=0,"",IFERROR(M84/L84,0))</f>
        <v/>
      </c>
      <c r="AG84" s="17">
        <f>IF(COUNT(C84:O84)=0,"",IFERROR(M84/H84,0))</f>
        <v/>
      </c>
      <c r="AH84" s="15">
        <f>IF(COUNT(C84:O84)=0,"",IFERROR(C84/M84,0))</f>
        <v/>
      </c>
      <c r="AI84" s="20">
        <f>IF(COUNT(C84:O84)=0,"",IFERROR(M84*Config!$C$7+N84*Config!$C$8,0))</f>
        <v/>
      </c>
      <c r="AJ84" s="20">
        <f>IF(COUNT(C84:O84)=0,"",IFERROR(IF(O84&gt;0,O84,AI84*Config!$C$9),0))</f>
        <v/>
      </c>
      <c r="AK84" s="20">
        <f>IF(COUNT(C84:O84)=0,"",IFERROR(AJ84*(1-Config!$C$10-Config!$C$11-Config!$C$12),0))</f>
        <v/>
      </c>
      <c r="AL84" s="20">
        <f>IF(COUNT(C84:O84)=0,"",IFERROR(AK84-C84-Config!$C$13,0))</f>
        <v/>
      </c>
      <c r="AM84" s="21">
        <f>IF(COUNT(C84:O84)=0,"",IFERROR(AK84/C84,0))</f>
        <v/>
      </c>
      <c r="AN84" s="21">
        <f>IF(COUNT(C84:O84)=0,"",IFERROR(AI84/C84,0))</f>
        <v/>
      </c>
      <c r="AO84" s="15">
        <f>IF(COUNT(C84:O84)=0,"",IFERROR(AL84/G84,0))</f>
        <v/>
      </c>
      <c r="AP84" s="21">
        <f>IF(COUNT(C84:O84)=0,"",IFERROR(AO84/U84,0))</f>
        <v/>
      </c>
      <c r="AQ84" s="15">
        <f>IF(COUNT(C84:O84)=0,"",IFERROR(AL84/H84,0))</f>
        <v/>
      </c>
    </row>
    <row r="85">
      <c r="A85" s="12">
        <f>Config!$C$6+79</f>
        <v/>
      </c>
      <c r="B85" s="13">
        <f>INT((A85-Config!$C$6)/7)+1</f>
        <v/>
      </c>
      <c r="C85" s="10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0" t="n"/>
      <c r="P85" s="15">
        <f>IF(COUNT(C85:O85)=0,"",IFERROR(C85/D85*1000,0))</f>
        <v/>
      </c>
      <c r="Q85" s="16">
        <f>IF(COUNT(C85:O85)=0,"",IFERROR(D85/E85,0))</f>
        <v/>
      </c>
      <c r="R85" s="17">
        <f>IF(COUNT(C85:O85)=0,"",IFERROR(F85/D85,0))</f>
        <v/>
      </c>
      <c r="S85" s="15">
        <f>IF(COUNT(C85:O85)=0,"",IFERROR(C85/F85,0))</f>
        <v/>
      </c>
      <c r="T85" s="18">
        <f>IF(COUNT(C85:O85)=0,"",IFERROR(G85/F85,0))</f>
        <v/>
      </c>
      <c r="U85" s="15">
        <f>IF(COUNT(C85:O85)=0,"",IFERROR(C85/G85,0))</f>
        <v/>
      </c>
      <c r="V85" s="19">
        <f>IF(COUNT(C85:O85)=0,"",IFERROR(G85/D85*1000,0))</f>
        <v/>
      </c>
      <c r="W85" s="18">
        <f>IF(COUNT(C85:O85)=0,"",IFERROR(H85/G85,0))</f>
        <v/>
      </c>
      <c r="X85" s="15">
        <f>IF(COUNT(C85:O85)=0,"",IFERROR(C85/H85,0))</f>
        <v/>
      </c>
      <c r="Y85" s="18">
        <f>IF(COUNT(C85:O85)=0,"",IFERROR(X85/P85,0))</f>
        <v/>
      </c>
      <c r="Z85" s="19">
        <f>IF(COUNT(C85:O85)=0,"",IFERROR(H85/D85*1000,0))</f>
        <v/>
      </c>
      <c r="AA85" s="18">
        <f>IF(COUNT(C85:O85)=0,"",IFERROR(I85/H85,0))</f>
        <v/>
      </c>
      <c r="AB85" s="18">
        <f>IF(COUNT(C85:O85)=0,"",IFERROR(J85/I85,0))</f>
        <v/>
      </c>
      <c r="AC85" s="18">
        <f>IF(COUNT(C85:O85)=0,"",IFERROR(K85/J85,0))</f>
        <v/>
      </c>
      <c r="AD85" s="15">
        <f>IF(COUNT(C85:O85)=0,"",IFERROR(C85/K85,0))</f>
        <v/>
      </c>
      <c r="AE85" s="18">
        <f>IF(COUNT(C85:O85)=0,"",IFERROR(L85/K85,0))</f>
        <v/>
      </c>
      <c r="AF85" s="18">
        <f>IF(COUNT(C85:O85)=0,"",IFERROR(M85/L85,0))</f>
        <v/>
      </c>
      <c r="AG85" s="17">
        <f>IF(COUNT(C85:O85)=0,"",IFERROR(M85/H85,0))</f>
        <v/>
      </c>
      <c r="AH85" s="15">
        <f>IF(COUNT(C85:O85)=0,"",IFERROR(C85/M85,0))</f>
        <v/>
      </c>
      <c r="AI85" s="20">
        <f>IF(COUNT(C85:O85)=0,"",IFERROR(M85*Config!$C$7+N85*Config!$C$8,0))</f>
        <v/>
      </c>
      <c r="AJ85" s="20">
        <f>IF(COUNT(C85:O85)=0,"",IFERROR(IF(O85&gt;0,O85,AI85*Config!$C$9),0))</f>
        <v/>
      </c>
      <c r="AK85" s="20">
        <f>IF(COUNT(C85:O85)=0,"",IFERROR(AJ85*(1-Config!$C$10-Config!$C$11-Config!$C$12),0))</f>
        <v/>
      </c>
      <c r="AL85" s="20">
        <f>IF(COUNT(C85:O85)=0,"",IFERROR(AK85-C85-Config!$C$13,0))</f>
        <v/>
      </c>
      <c r="AM85" s="21">
        <f>IF(COUNT(C85:O85)=0,"",IFERROR(AK85/C85,0))</f>
        <v/>
      </c>
      <c r="AN85" s="21">
        <f>IF(COUNT(C85:O85)=0,"",IFERROR(AI85/C85,0))</f>
        <v/>
      </c>
      <c r="AO85" s="15">
        <f>IF(COUNT(C85:O85)=0,"",IFERROR(AL85/G85,0))</f>
        <v/>
      </c>
      <c r="AP85" s="21">
        <f>IF(COUNT(C85:O85)=0,"",IFERROR(AO85/U85,0))</f>
        <v/>
      </c>
      <c r="AQ85" s="15">
        <f>IF(COUNT(C85:O85)=0,"",IFERROR(AL85/H85,0))</f>
        <v/>
      </c>
    </row>
    <row r="86">
      <c r="A86" s="12">
        <f>Config!$C$6+80</f>
        <v/>
      </c>
      <c r="B86" s="13">
        <f>INT((A86-Config!$C$6)/7)+1</f>
        <v/>
      </c>
      <c r="C86" s="10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0" t="n"/>
      <c r="P86" s="15">
        <f>IF(COUNT(C86:O86)=0,"",IFERROR(C86/D86*1000,0))</f>
        <v/>
      </c>
      <c r="Q86" s="16">
        <f>IF(COUNT(C86:O86)=0,"",IFERROR(D86/E86,0))</f>
        <v/>
      </c>
      <c r="R86" s="17">
        <f>IF(COUNT(C86:O86)=0,"",IFERROR(F86/D86,0))</f>
        <v/>
      </c>
      <c r="S86" s="15">
        <f>IF(COUNT(C86:O86)=0,"",IFERROR(C86/F86,0))</f>
        <v/>
      </c>
      <c r="T86" s="18">
        <f>IF(COUNT(C86:O86)=0,"",IFERROR(G86/F86,0))</f>
        <v/>
      </c>
      <c r="U86" s="15">
        <f>IF(COUNT(C86:O86)=0,"",IFERROR(C86/G86,0))</f>
        <v/>
      </c>
      <c r="V86" s="19">
        <f>IF(COUNT(C86:O86)=0,"",IFERROR(G86/D86*1000,0))</f>
        <v/>
      </c>
      <c r="W86" s="18">
        <f>IF(COUNT(C86:O86)=0,"",IFERROR(H86/G86,0))</f>
        <v/>
      </c>
      <c r="X86" s="15">
        <f>IF(COUNT(C86:O86)=0,"",IFERROR(C86/H86,0))</f>
        <v/>
      </c>
      <c r="Y86" s="18">
        <f>IF(COUNT(C86:O86)=0,"",IFERROR(X86/P86,0))</f>
        <v/>
      </c>
      <c r="Z86" s="19">
        <f>IF(COUNT(C86:O86)=0,"",IFERROR(H86/D86*1000,0))</f>
        <v/>
      </c>
      <c r="AA86" s="18">
        <f>IF(COUNT(C86:O86)=0,"",IFERROR(I86/H86,0))</f>
        <v/>
      </c>
      <c r="AB86" s="18">
        <f>IF(COUNT(C86:O86)=0,"",IFERROR(J86/I86,0))</f>
        <v/>
      </c>
      <c r="AC86" s="18">
        <f>IF(COUNT(C86:O86)=0,"",IFERROR(K86/J86,0))</f>
        <v/>
      </c>
      <c r="AD86" s="15">
        <f>IF(COUNT(C86:O86)=0,"",IFERROR(C86/K86,0))</f>
        <v/>
      </c>
      <c r="AE86" s="18">
        <f>IF(COUNT(C86:O86)=0,"",IFERROR(L86/K86,0))</f>
        <v/>
      </c>
      <c r="AF86" s="18">
        <f>IF(COUNT(C86:O86)=0,"",IFERROR(M86/L86,0))</f>
        <v/>
      </c>
      <c r="AG86" s="17">
        <f>IF(COUNT(C86:O86)=0,"",IFERROR(M86/H86,0))</f>
        <v/>
      </c>
      <c r="AH86" s="15">
        <f>IF(COUNT(C86:O86)=0,"",IFERROR(C86/M86,0))</f>
        <v/>
      </c>
      <c r="AI86" s="20">
        <f>IF(COUNT(C86:O86)=0,"",IFERROR(M86*Config!$C$7+N86*Config!$C$8,0))</f>
        <v/>
      </c>
      <c r="AJ86" s="20">
        <f>IF(COUNT(C86:O86)=0,"",IFERROR(IF(O86&gt;0,O86,AI86*Config!$C$9),0))</f>
        <v/>
      </c>
      <c r="AK86" s="20">
        <f>IF(COUNT(C86:O86)=0,"",IFERROR(AJ86*(1-Config!$C$10-Config!$C$11-Config!$C$12),0))</f>
        <v/>
      </c>
      <c r="AL86" s="20">
        <f>IF(COUNT(C86:O86)=0,"",IFERROR(AK86-C86-Config!$C$13,0))</f>
        <v/>
      </c>
      <c r="AM86" s="21">
        <f>IF(COUNT(C86:O86)=0,"",IFERROR(AK86/C86,0))</f>
        <v/>
      </c>
      <c r="AN86" s="21">
        <f>IF(COUNT(C86:O86)=0,"",IFERROR(AI86/C86,0))</f>
        <v/>
      </c>
      <c r="AO86" s="15">
        <f>IF(COUNT(C86:O86)=0,"",IFERROR(AL86/G86,0))</f>
        <v/>
      </c>
      <c r="AP86" s="21">
        <f>IF(COUNT(C86:O86)=0,"",IFERROR(AO86/U86,0))</f>
        <v/>
      </c>
      <c r="AQ86" s="15">
        <f>IF(COUNT(C86:O86)=0,"",IFERROR(AL86/H86,0))</f>
        <v/>
      </c>
    </row>
    <row r="87">
      <c r="A87" s="12">
        <f>Config!$C$6+81</f>
        <v/>
      </c>
      <c r="B87" s="13">
        <f>INT((A87-Config!$C$6)/7)+1</f>
        <v/>
      </c>
      <c r="C87" s="10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0" t="n"/>
      <c r="P87" s="15">
        <f>IF(COUNT(C87:O87)=0,"",IFERROR(C87/D87*1000,0))</f>
        <v/>
      </c>
      <c r="Q87" s="16">
        <f>IF(COUNT(C87:O87)=0,"",IFERROR(D87/E87,0))</f>
        <v/>
      </c>
      <c r="R87" s="17">
        <f>IF(COUNT(C87:O87)=0,"",IFERROR(F87/D87,0))</f>
        <v/>
      </c>
      <c r="S87" s="15">
        <f>IF(COUNT(C87:O87)=0,"",IFERROR(C87/F87,0))</f>
        <v/>
      </c>
      <c r="T87" s="18">
        <f>IF(COUNT(C87:O87)=0,"",IFERROR(G87/F87,0))</f>
        <v/>
      </c>
      <c r="U87" s="15">
        <f>IF(COUNT(C87:O87)=0,"",IFERROR(C87/G87,0))</f>
        <v/>
      </c>
      <c r="V87" s="19">
        <f>IF(COUNT(C87:O87)=0,"",IFERROR(G87/D87*1000,0))</f>
        <v/>
      </c>
      <c r="W87" s="18">
        <f>IF(COUNT(C87:O87)=0,"",IFERROR(H87/G87,0))</f>
        <v/>
      </c>
      <c r="X87" s="15">
        <f>IF(COUNT(C87:O87)=0,"",IFERROR(C87/H87,0))</f>
        <v/>
      </c>
      <c r="Y87" s="18">
        <f>IF(COUNT(C87:O87)=0,"",IFERROR(X87/P87,0))</f>
        <v/>
      </c>
      <c r="Z87" s="19">
        <f>IF(COUNT(C87:O87)=0,"",IFERROR(H87/D87*1000,0))</f>
        <v/>
      </c>
      <c r="AA87" s="18">
        <f>IF(COUNT(C87:O87)=0,"",IFERROR(I87/H87,0))</f>
        <v/>
      </c>
      <c r="AB87" s="18">
        <f>IF(COUNT(C87:O87)=0,"",IFERROR(J87/I87,0))</f>
        <v/>
      </c>
      <c r="AC87" s="18">
        <f>IF(COUNT(C87:O87)=0,"",IFERROR(K87/J87,0))</f>
        <v/>
      </c>
      <c r="AD87" s="15">
        <f>IF(COUNT(C87:O87)=0,"",IFERROR(C87/K87,0))</f>
        <v/>
      </c>
      <c r="AE87" s="18">
        <f>IF(COUNT(C87:O87)=0,"",IFERROR(L87/K87,0))</f>
        <v/>
      </c>
      <c r="AF87" s="18">
        <f>IF(COUNT(C87:O87)=0,"",IFERROR(M87/L87,0))</f>
        <v/>
      </c>
      <c r="AG87" s="17">
        <f>IF(COUNT(C87:O87)=0,"",IFERROR(M87/H87,0))</f>
        <v/>
      </c>
      <c r="AH87" s="15">
        <f>IF(COUNT(C87:O87)=0,"",IFERROR(C87/M87,0))</f>
        <v/>
      </c>
      <c r="AI87" s="20">
        <f>IF(COUNT(C87:O87)=0,"",IFERROR(M87*Config!$C$7+N87*Config!$C$8,0))</f>
        <v/>
      </c>
      <c r="AJ87" s="20">
        <f>IF(COUNT(C87:O87)=0,"",IFERROR(IF(O87&gt;0,O87,AI87*Config!$C$9),0))</f>
        <v/>
      </c>
      <c r="AK87" s="20">
        <f>IF(COUNT(C87:O87)=0,"",IFERROR(AJ87*(1-Config!$C$10-Config!$C$11-Config!$C$12),0))</f>
        <v/>
      </c>
      <c r="AL87" s="20">
        <f>IF(COUNT(C87:O87)=0,"",IFERROR(AK87-C87-Config!$C$13,0))</f>
        <v/>
      </c>
      <c r="AM87" s="21">
        <f>IF(COUNT(C87:O87)=0,"",IFERROR(AK87/C87,0))</f>
        <v/>
      </c>
      <c r="AN87" s="21">
        <f>IF(COUNT(C87:O87)=0,"",IFERROR(AI87/C87,0))</f>
        <v/>
      </c>
      <c r="AO87" s="15">
        <f>IF(COUNT(C87:O87)=0,"",IFERROR(AL87/G87,0))</f>
        <v/>
      </c>
      <c r="AP87" s="21">
        <f>IF(COUNT(C87:O87)=0,"",IFERROR(AO87/U87,0))</f>
        <v/>
      </c>
      <c r="AQ87" s="15">
        <f>IF(COUNT(C87:O87)=0,"",IFERROR(AL87/H87,0))</f>
        <v/>
      </c>
    </row>
    <row r="88">
      <c r="A88" s="12">
        <f>Config!$C$6+82</f>
        <v/>
      </c>
      <c r="B88" s="13">
        <f>INT((A88-Config!$C$6)/7)+1</f>
        <v/>
      </c>
      <c r="C88" s="10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0" t="n"/>
      <c r="P88" s="15">
        <f>IF(COUNT(C88:O88)=0,"",IFERROR(C88/D88*1000,0))</f>
        <v/>
      </c>
      <c r="Q88" s="16">
        <f>IF(COUNT(C88:O88)=0,"",IFERROR(D88/E88,0))</f>
        <v/>
      </c>
      <c r="R88" s="17">
        <f>IF(COUNT(C88:O88)=0,"",IFERROR(F88/D88,0))</f>
        <v/>
      </c>
      <c r="S88" s="15">
        <f>IF(COUNT(C88:O88)=0,"",IFERROR(C88/F88,0))</f>
        <v/>
      </c>
      <c r="T88" s="18">
        <f>IF(COUNT(C88:O88)=0,"",IFERROR(G88/F88,0))</f>
        <v/>
      </c>
      <c r="U88" s="15">
        <f>IF(COUNT(C88:O88)=0,"",IFERROR(C88/G88,0))</f>
        <v/>
      </c>
      <c r="V88" s="19">
        <f>IF(COUNT(C88:O88)=0,"",IFERROR(G88/D88*1000,0))</f>
        <v/>
      </c>
      <c r="W88" s="18">
        <f>IF(COUNT(C88:O88)=0,"",IFERROR(H88/G88,0))</f>
        <v/>
      </c>
      <c r="X88" s="15">
        <f>IF(COUNT(C88:O88)=0,"",IFERROR(C88/H88,0))</f>
        <v/>
      </c>
      <c r="Y88" s="18">
        <f>IF(COUNT(C88:O88)=0,"",IFERROR(X88/P88,0))</f>
        <v/>
      </c>
      <c r="Z88" s="19">
        <f>IF(COUNT(C88:O88)=0,"",IFERROR(H88/D88*1000,0))</f>
        <v/>
      </c>
      <c r="AA88" s="18">
        <f>IF(COUNT(C88:O88)=0,"",IFERROR(I88/H88,0))</f>
        <v/>
      </c>
      <c r="AB88" s="18">
        <f>IF(COUNT(C88:O88)=0,"",IFERROR(J88/I88,0))</f>
        <v/>
      </c>
      <c r="AC88" s="18">
        <f>IF(COUNT(C88:O88)=0,"",IFERROR(K88/J88,0))</f>
        <v/>
      </c>
      <c r="AD88" s="15">
        <f>IF(COUNT(C88:O88)=0,"",IFERROR(C88/K88,0))</f>
        <v/>
      </c>
      <c r="AE88" s="18">
        <f>IF(COUNT(C88:O88)=0,"",IFERROR(L88/K88,0))</f>
        <v/>
      </c>
      <c r="AF88" s="18">
        <f>IF(COUNT(C88:O88)=0,"",IFERROR(M88/L88,0))</f>
        <v/>
      </c>
      <c r="AG88" s="17">
        <f>IF(COUNT(C88:O88)=0,"",IFERROR(M88/H88,0))</f>
        <v/>
      </c>
      <c r="AH88" s="15">
        <f>IF(COUNT(C88:O88)=0,"",IFERROR(C88/M88,0))</f>
        <v/>
      </c>
      <c r="AI88" s="20">
        <f>IF(COUNT(C88:O88)=0,"",IFERROR(M88*Config!$C$7+N88*Config!$C$8,0))</f>
        <v/>
      </c>
      <c r="AJ88" s="20">
        <f>IF(COUNT(C88:O88)=0,"",IFERROR(IF(O88&gt;0,O88,AI88*Config!$C$9),0))</f>
        <v/>
      </c>
      <c r="AK88" s="20">
        <f>IF(COUNT(C88:O88)=0,"",IFERROR(AJ88*(1-Config!$C$10-Config!$C$11-Config!$C$12),0))</f>
        <v/>
      </c>
      <c r="AL88" s="20">
        <f>IF(COUNT(C88:O88)=0,"",IFERROR(AK88-C88-Config!$C$13,0))</f>
        <v/>
      </c>
      <c r="AM88" s="21">
        <f>IF(COUNT(C88:O88)=0,"",IFERROR(AK88/C88,0))</f>
        <v/>
      </c>
      <c r="AN88" s="21">
        <f>IF(COUNT(C88:O88)=0,"",IFERROR(AI88/C88,0))</f>
        <v/>
      </c>
      <c r="AO88" s="15">
        <f>IF(COUNT(C88:O88)=0,"",IFERROR(AL88/G88,0))</f>
        <v/>
      </c>
      <c r="AP88" s="21">
        <f>IF(COUNT(C88:O88)=0,"",IFERROR(AO88/U88,0))</f>
        <v/>
      </c>
      <c r="AQ88" s="15">
        <f>IF(COUNT(C88:O88)=0,"",IFERROR(AL88/H88,0))</f>
        <v/>
      </c>
    </row>
    <row r="89">
      <c r="A89" s="12">
        <f>Config!$C$6+83</f>
        <v/>
      </c>
      <c r="B89" s="13">
        <f>INT((A89-Config!$C$6)/7)+1</f>
        <v/>
      </c>
      <c r="C89" s="10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0" t="n"/>
      <c r="P89" s="15">
        <f>IF(COUNT(C89:O89)=0,"",IFERROR(C89/D89*1000,0))</f>
        <v/>
      </c>
      <c r="Q89" s="16">
        <f>IF(COUNT(C89:O89)=0,"",IFERROR(D89/E89,0))</f>
        <v/>
      </c>
      <c r="R89" s="17">
        <f>IF(COUNT(C89:O89)=0,"",IFERROR(F89/D89,0))</f>
        <v/>
      </c>
      <c r="S89" s="15">
        <f>IF(COUNT(C89:O89)=0,"",IFERROR(C89/F89,0))</f>
        <v/>
      </c>
      <c r="T89" s="18">
        <f>IF(COUNT(C89:O89)=0,"",IFERROR(G89/F89,0))</f>
        <v/>
      </c>
      <c r="U89" s="15">
        <f>IF(COUNT(C89:O89)=0,"",IFERROR(C89/G89,0))</f>
        <v/>
      </c>
      <c r="V89" s="19">
        <f>IF(COUNT(C89:O89)=0,"",IFERROR(G89/D89*1000,0))</f>
        <v/>
      </c>
      <c r="W89" s="18">
        <f>IF(COUNT(C89:O89)=0,"",IFERROR(H89/G89,0))</f>
        <v/>
      </c>
      <c r="X89" s="15">
        <f>IF(COUNT(C89:O89)=0,"",IFERROR(C89/H89,0))</f>
        <v/>
      </c>
      <c r="Y89" s="18">
        <f>IF(COUNT(C89:O89)=0,"",IFERROR(X89/P89,0))</f>
        <v/>
      </c>
      <c r="Z89" s="19">
        <f>IF(COUNT(C89:O89)=0,"",IFERROR(H89/D89*1000,0))</f>
        <v/>
      </c>
      <c r="AA89" s="18">
        <f>IF(COUNT(C89:O89)=0,"",IFERROR(I89/H89,0))</f>
        <v/>
      </c>
      <c r="AB89" s="18">
        <f>IF(COUNT(C89:O89)=0,"",IFERROR(J89/I89,0))</f>
        <v/>
      </c>
      <c r="AC89" s="18">
        <f>IF(COUNT(C89:O89)=0,"",IFERROR(K89/J89,0))</f>
        <v/>
      </c>
      <c r="AD89" s="15">
        <f>IF(COUNT(C89:O89)=0,"",IFERROR(C89/K89,0))</f>
        <v/>
      </c>
      <c r="AE89" s="18">
        <f>IF(COUNT(C89:O89)=0,"",IFERROR(L89/K89,0))</f>
        <v/>
      </c>
      <c r="AF89" s="18">
        <f>IF(COUNT(C89:O89)=0,"",IFERROR(M89/L89,0))</f>
        <v/>
      </c>
      <c r="AG89" s="17">
        <f>IF(COUNT(C89:O89)=0,"",IFERROR(M89/H89,0))</f>
        <v/>
      </c>
      <c r="AH89" s="15">
        <f>IF(COUNT(C89:O89)=0,"",IFERROR(C89/M89,0))</f>
        <v/>
      </c>
      <c r="AI89" s="20">
        <f>IF(COUNT(C89:O89)=0,"",IFERROR(M89*Config!$C$7+N89*Config!$C$8,0))</f>
        <v/>
      </c>
      <c r="AJ89" s="20">
        <f>IF(COUNT(C89:O89)=0,"",IFERROR(IF(O89&gt;0,O89,AI89*Config!$C$9),0))</f>
        <v/>
      </c>
      <c r="AK89" s="20">
        <f>IF(COUNT(C89:O89)=0,"",IFERROR(AJ89*(1-Config!$C$10-Config!$C$11-Config!$C$12),0))</f>
        <v/>
      </c>
      <c r="AL89" s="20">
        <f>IF(COUNT(C89:O89)=0,"",IFERROR(AK89-C89-Config!$C$13,0))</f>
        <v/>
      </c>
      <c r="AM89" s="21">
        <f>IF(COUNT(C89:O89)=0,"",IFERROR(AK89/C89,0))</f>
        <v/>
      </c>
      <c r="AN89" s="21">
        <f>IF(COUNT(C89:O89)=0,"",IFERROR(AI89/C89,0))</f>
        <v/>
      </c>
      <c r="AO89" s="15">
        <f>IF(COUNT(C89:O89)=0,"",IFERROR(AL89/G89,0))</f>
        <v/>
      </c>
      <c r="AP89" s="21">
        <f>IF(COUNT(C89:O89)=0,"",IFERROR(AO89/U89,0))</f>
        <v/>
      </c>
      <c r="AQ89" s="15">
        <f>IF(COUNT(C89:O89)=0,"",IFERROR(AL89/H89,0))</f>
        <v/>
      </c>
    </row>
    <row r="90">
      <c r="A90" s="12">
        <f>Config!$C$6+84</f>
        <v/>
      </c>
      <c r="B90" s="13">
        <f>INT((A90-Config!$C$6)/7)+1</f>
        <v/>
      </c>
      <c r="C90" s="10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0" t="n"/>
      <c r="P90" s="15">
        <f>IF(COUNT(C90:O90)=0,"",IFERROR(C90/D90*1000,0))</f>
        <v/>
      </c>
      <c r="Q90" s="16">
        <f>IF(COUNT(C90:O90)=0,"",IFERROR(D90/E90,0))</f>
        <v/>
      </c>
      <c r="R90" s="17">
        <f>IF(COUNT(C90:O90)=0,"",IFERROR(F90/D90,0))</f>
        <v/>
      </c>
      <c r="S90" s="15">
        <f>IF(COUNT(C90:O90)=0,"",IFERROR(C90/F90,0))</f>
        <v/>
      </c>
      <c r="T90" s="18">
        <f>IF(COUNT(C90:O90)=0,"",IFERROR(G90/F90,0))</f>
        <v/>
      </c>
      <c r="U90" s="15">
        <f>IF(COUNT(C90:O90)=0,"",IFERROR(C90/G90,0))</f>
        <v/>
      </c>
      <c r="V90" s="19">
        <f>IF(COUNT(C90:O90)=0,"",IFERROR(G90/D90*1000,0))</f>
        <v/>
      </c>
      <c r="W90" s="18">
        <f>IF(COUNT(C90:O90)=0,"",IFERROR(H90/G90,0))</f>
        <v/>
      </c>
      <c r="X90" s="15">
        <f>IF(COUNT(C90:O90)=0,"",IFERROR(C90/H90,0))</f>
        <v/>
      </c>
      <c r="Y90" s="18">
        <f>IF(COUNT(C90:O90)=0,"",IFERROR(X90/P90,0))</f>
        <v/>
      </c>
      <c r="Z90" s="19">
        <f>IF(COUNT(C90:O90)=0,"",IFERROR(H90/D90*1000,0))</f>
        <v/>
      </c>
      <c r="AA90" s="18">
        <f>IF(COUNT(C90:O90)=0,"",IFERROR(I90/H90,0))</f>
        <v/>
      </c>
      <c r="AB90" s="18">
        <f>IF(COUNT(C90:O90)=0,"",IFERROR(J90/I90,0))</f>
        <v/>
      </c>
      <c r="AC90" s="18">
        <f>IF(COUNT(C90:O90)=0,"",IFERROR(K90/J90,0))</f>
        <v/>
      </c>
      <c r="AD90" s="15">
        <f>IF(COUNT(C90:O90)=0,"",IFERROR(C90/K90,0))</f>
        <v/>
      </c>
      <c r="AE90" s="18">
        <f>IF(COUNT(C90:O90)=0,"",IFERROR(L90/K90,0))</f>
        <v/>
      </c>
      <c r="AF90" s="18">
        <f>IF(COUNT(C90:O90)=0,"",IFERROR(M90/L90,0))</f>
        <v/>
      </c>
      <c r="AG90" s="17">
        <f>IF(COUNT(C90:O90)=0,"",IFERROR(M90/H90,0))</f>
        <v/>
      </c>
      <c r="AH90" s="15">
        <f>IF(COUNT(C90:O90)=0,"",IFERROR(C90/M90,0))</f>
        <v/>
      </c>
      <c r="AI90" s="20">
        <f>IF(COUNT(C90:O90)=0,"",IFERROR(M90*Config!$C$7+N90*Config!$C$8,0))</f>
        <v/>
      </c>
      <c r="AJ90" s="20">
        <f>IF(COUNT(C90:O90)=0,"",IFERROR(IF(O90&gt;0,O90,AI90*Config!$C$9),0))</f>
        <v/>
      </c>
      <c r="AK90" s="20">
        <f>IF(COUNT(C90:O90)=0,"",IFERROR(AJ90*(1-Config!$C$10-Config!$C$11-Config!$C$12),0))</f>
        <v/>
      </c>
      <c r="AL90" s="20">
        <f>IF(COUNT(C90:O90)=0,"",IFERROR(AK90-C90-Config!$C$13,0))</f>
        <v/>
      </c>
      <c r="AM90" s="21">
        <f>IF(COUNT(C90:O90)=0,"",IFERROR(AK90/C90,0))</f>
        <v/>
      </c>
      <c r="AN90" s="21">
        <f>IF(COUNT(C90:O90)=0,"",IFERROR(AI90/C90,0))</f>
        <v/>
      </c>
      <c r="AO90" s="15">
        <f>IF(COUNT(C90:O90)=0,"",IFERROR(AL90/G90,0))</f>
        <v/>
      </c>
      <c r="AP90" s="21">
        <f>IF(COUNT(C90:O90)=0,"",IFERROR(AO90/U90,0))</f>
        <v/>
      </c>
      <c r="AQ90" s="15">
        <f>IF(COUNT(C90:O90)=0,"",IFERROR(AL90/H90,0))</f>
        <v/>
      </c>
    </row>
    <row r="91">
      <c r="A91" s="12">
        <f>Config!$C$6+85</f>
        <v/>
      </c>
      <c r="B91" s="13">
        <f>INT((A91-Config!$C$6)/7)+1</f>
        <v/>
      </c>
      <c r="C91" s="10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0" t="n"/>
      <c r="P91" s="15">
        <f>IF(COUNT(C91:O91)=0,"",IFERROR(C91/D91*1000,0))</f>
        <v/>
      </c>
      <c r="Q91" s="16">
        <f>IF(COUNT(C91:O91)=0,"",IFERROR(D91/E91,0))</f>
        <v/>
      </c>
      <c r="R91" s="17">
        <f>IF(COUNT(C91:O91)=0,"",IFERROR(F91/D91,0))</f>
        <v/>
      </c>
      <c r="S91" s="15">
        <f>IF(COUNT(C91:O91)=0,"",IFERROR(C91/F91,0))</f>
        <v/>
      </c>
      <c r="T91" s="18">
        <f>IF(COUNT(C91:O91)=0,"",IFERROR(G91/F91,0))</f>
        <v/>
      </c>
      <c r="U91" s="15">
        <f>IF(COUNT(C91:O91)=0,"",IFERROR(C91/G91,0))</f>
        <v/>
      </c>
      <c r="V91" s="19">
        <f>IF(COUNT(C91:O91)=0,"",IFERROR(G91/D91*1000,0))</f>
        <v/>
      </c>
      <c r="W91" s="18">
        <f>IF(COUNT(C91:O91)=0,"",IFERROR(H91/G91,0))</f>
        <v/>
      </c>
      <c r="X91" s="15">
        <f>IF(COUNT(C91:O91)=0,"",IFERROR(C91/H91,0))</f>
        <v/>
      </c>
      <c r="Y91" s="18">
        <f>IF(COUNT(C91:O91)=0,"",IFERROR(X91/P91,0))</f>
        <v/>
      </c>
      <c r="Z91" s="19">
        <f>IF(COUNT(C91:O91)=0,"",IFERROR(H91/D91*1000,0))</f>
        <v/>
      </c>
      <c r="AA91" s="18">
        <f>IF(COUNT(C91:O91)=0,"",IFERROR(I91/H91,0))</f>
        <v/>
      </c>
      <c r="AB91" s="18">
        <f>IF(COUNT(C91:O91)=0,"",IFERROR(J91/I91,0))</f>
        <v/>
      </c>
      <c r="AC91" s="18">
        <f>IF(COUNT(C91:O91)=0,"",IFERROR(K91/J91,0))</f>
        <v/>
      </c>
      <c r="AD91" s="15">
        <f>IF(COUNT(C91:O91)=0,"",IFERROR(C91/K91,0))</f>
        <v/>
      </c>
      <c r="AE91" s="18">
        <f>IF(COUNT(C91:O91)=0,"",IFERROR(L91/K91,0))</f>
        <v/>
      </c>
      <c r="AF91" s="18">
        <f>IF(COUNT(C91:O91)=0,"",IFERROR(M91/L91,0))</f>
        <v/>
      </c>
      <c r="AG91" s="17">
        <f>IF(COUNT(C91:O91)=0,"",IFERROR(M91/H91,0))</f>
        <v/>
      </c>
      <c r="AH91" s="15">
        <f>IF(COUNT(C91:O91)=0,"",IFERROR(C91/M91,0))</f>
        <v/>
      </c>
      <c r="AI91" s="20">
        <f>IF(COUNT(C91:O91)=0,"",IFERROR(M91*Config!$C$7+N91*Config!$C$8,0))</f>
        <v/>
      </c>
      <c r="AJ91" s="20">
        <f>IF(COUNT(C91:O91)=0,"",IFERROR(IF(O91&gt;0,O91,AI91*Config!$C$9),0))</f>
        <v/>
      </c>
      <c r="AK91" s="20">
        <f>IF(COUNT(C91:O91)=0,"",IFERROR(AJ91*(1-Config!$C$10-Config!$C$11-Config!$C$12),0))</f>
        <v/>
      </c>
      <c r="AL91" s="20">
        <f>IF(COUNT(C91:O91)=0,"",IFERROR(AK91-C91-Config!$C$13,0))</f>
        <v/>
      </c>
      <c r="AM91" s="21">
        <f>IF(COUNT(C91:O91)=0,"",IFERROR(AK91/C91,0))</f>
        <v/>
      </c>
      <c r="AN91" s="21">
        <f>IF(COUNT(C91:O91)=0,"",IFERROR(AI91/C91,0))</f>
        <v/>
      </c>
      <c r="AO91" s="15">
        <f>IF(COUNT(C91:O91)=0,"",IFERROR(AL91/G91,0))</f>
        <v/>
      </c>
      <c r="AP91" s="21">
        <f>IF(COUNT(C91:O91)=0,"",IFERROR(AO91/U91,0))</f>
        <v/>
      </c>
      <c r="AQ91" s="15">
        <f>IF(COUNT(C91:O91)=0,"",IFERROR(AL91/H91,0))</f>
        <v/>
      </c>
    </row>
    <row r="92">
      <c r="A92" s="12">
        <f>Config!$C$6+86</f>
        <v/>
      </c>
      <c r="B92" s="13">
        <f>INT((A92-Config!$C$6)/7)+1</f>
        <v/>
      </c>
      <c r="C92" s="10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0" t="n"/>
      <c r="P92" s="15">
        <f>IF(COUNT(C92:O92)=0,"",IFERROR(C92/D92*1000,0))</f>
        <v/>
      </c>
      <c r="Q92" s="16">
        <f>IF(COUNT(C92:O92)=0,"",IFERROR(D92/E92,0))</f>
        <v/>
      </c>
      <c r="R92" s="17">
        <f>IF(COUNT(C92:O92)=0,"",IFERROR(F92/D92,0))</f>
        <v/>
      </c>
      <c r="S92" s="15">
        <f>IF(COUNT(C92:O92)=0,"",IFERROR(C92/F92,0))</f>
        <v/>
      </c>
      <c r="T92" s="18">
        <f>IF(COUNT(C92:O92)=0,"",IFERROR(G92/F92,0))</f>
        <v/>
      </c>
      <c r="U92" s="15">
        <f>IF(COUNT(C92:O92)=0,"",IFERROR(C92/G92,0))</f>
        <v/>
      </c>
      <c r="V92" s="19">
        <f>IF(COUNT(C92:O92)=0,"",IFERROR(G92/D92*1000,0))</f>
        <v/>
      </c>
      <c r="W92" s="18">
        <f>IF(COUNT(C92:O92)=0,"",IFERROR(H92/G92,0))</f>
        <v/>
      </c>
      <c r="X92" s="15">
        <f>IF(COUNT(C92:O92)=0,"",IFERROR(C92/H92,0))</f>
        <v/>
      </c>
      <c r="Y92" s="18">
        <f>IF(COUNT(C92:O92)=0,"",IFERROR(X92/P92,0))</f>
        <v/>
      </c>
      <c r="Z92" s="19">
        <f>IF(COUNT(C92:O92)=0,"",IFERROR(H92/D92*1000,0))</f>
        <v/>
      </c>
      <c r="AA92" s="18">
        <f>IF(COUNT(C92:O92)=0,"",IFERROR(I92/H92,0))</f>
        <v/>
      </c>
      <c r="AB92" s="18">
        <f>IF(COUNT(C92:O92)=0,"",IFERROR(J92/I92,0))</f>
        <v/>
      </c>
      <c r="AC92" s="18">
        <f>IF(COUNT(C92:O92)=0,"",IFERROR(K92/J92,0))</f>
        <v/>
      </c>
      <c r="AD92" s="15">
        <f>IF(COUNT(C92:O92)=0,"",IFERROR(C92/K92,0))</f>
        <v/>
      </c>
      <c r="AE92" s="18">
        <f>IF(COUNT(C92:O92)=0,"",IFERROR(L92/K92,0))</f>
        <v/>
      </c>
      <c r="AF92" s="18">
        <f>IF(COUNT(C92:O92)=0,"",IFERROR(M92/L92,0))</f>
        <v/>
      </c>
      <c r="AG92" s="17">
        <f>IF(COUNT(C92:O92)=0,"",IFERROR(M92/H92,0))</f>
        <v/>
      </c>
      <c r="AH92" s="15">
        <f>IF(COUNT(C92:O92)=0,"",IFERROR(C92/M92,0))</f>
        <v/>
      </c>
      <c r="AI92" s="20">
        <f>IF(COUNT(C92:O92)=0,"",IFERROR(M92*Config!$C$7+N92*Config!$C$8,0))</f>
        <v/>
      </c>
      <c r="AJ92" s="20">
        <f>IF(COUNT(C92:O92)=0,"",IFERROR(IF(O92&gt;0,O92,AI92*Config!$C$9),0))</f>
        <v/>
      </c>
      <c r="AK92" s="20">
        <f>IF(COUNT(C92:O92)=0,"",IFERROR(AJ92*(1-Config!$C$10-Config!$C$11-Config!$C$12),0))</f>
        <v/>
      </c>
      <c r="AL92" s="20">
        <f>IF(COUNT(C92:O92)=0,"",IFERROR(AK92-C92-Config!$C$13,0))</f>
        <v/>
      </c>
      <c r="AM92" s="21">
        <f>IF(COUNT(C92:O92)=0,"",IFERROR(AK92/C92,0))</f>
        <v/>
      </c>
      <c r="AN92" s="21">
        <f>IF(COUNT(C92:O92)=0,"",IFERROR(AI92/C92,0))</f>
        <v/>
      </c>
      <c r="AO92" s="15">
        <f>IF(COUNT(C92:O92)=0,"",IFERROR(AL92/G92,0))</f>
        <v/>
      </c>
      <c r="AP92" s="21">
        <f>IF(COUNT(C92:O92)=0,"",IFERROR(AO92/U92,0))</f>
        <v/>
      </c>
      <c r="AQ92" s="15">
        <f>IF(COUNT(C92:O92)=0,"",IFERROR(AL92/H92,0))</f>
        <v/>
      </c>
    </row>
    <row r="93">
      <c r="A93" s="12">
        <f>Config!$C$6+87</f>
        <v/>
      </c>
      <c r="B93" s="13">
        <f>INT((A93-Config!$C$6)/7)+1</f>
        <v/>
      </c>
      <c r="C93" s="10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0" t="n"/>
      <c r="P93" s="15">
        <f>IF(COUNT(C93:O93)=0,"",IFERROR(C93/D93*1000,0))</f>
        <v/>
      </c>
      <c r="Q93" s="16">
        <f>IF(COUNT(C93:O93)=0,"",IFERROR(D93/E93,0))</f>
        <v/>
      </c>
      <c r="R93" s="17">
        <f>IF(COUNT(C93:O93)=0,"",IFERROR(F93/D93,0))</f>
        <v/>
      </c>
      <c r="S93" s="15">
        <f>IF(COUNT(C93:O93)=0,"",IFERROR(C93/F93,0))</f>
        <v/>
      </c>
      <c r="T93" s="18">
        <f>IF(COUNT(C93:O93)=0,"",IFERROR(G93/F93,0))</f>
        <v/>
      </c>
      <c r="U93" s="15">
        <f>IF(COUNT(C93:O93)=0,"",IFERROR(C93/G93,0))</f>
        <v/>
      </c>
      <c r="V93" s="19">
        <f>IF(COUNT(C93:O93)=0,"",IFERROR(G93/D93*1000,0))</f>
        <v/>
      </c>
      <c r="W93" s="18">
        <f>IF(COUNT(C93:O93)=0,"",IFERROR(H93/G93,0))</f>
        <v/>
      </c>
      <c r="X93" s="15">
        <f>IF(COUNT(C93:O93)=0,"",IFERROR(C93/H93,0))</f>
        <v/>
      </c>
      <c r="Y93" s="18">
        <f>IF(COUNT(C93:O93)=0,"",IFERROR(X93/P93,0))</f>
        <v/>
      </c>
      <c r="Z93" s="19">
        <f>IF(COUNT(C93:O93)=0,"",IFERROR(H93/D93*1000,0))</f>
        <v/>
      </c>
      <c r="AA93" s="18">
        <f>IF(COUNT(C93:O93)=0,"",IFERROR(I93/H93,0))</f>
        <v/>
      </c>
      <c r="AB93" s="18">
        <f>IF(COUNT(C93:O93)=0,"",IFERROR(J93/I93,0))</f>
        <v/>
      </c>
      <c r="AC93" s="18">
        <f>IF(COUNT(C93:O93)=0,"",IFERROR(K93/J93,0))</f>
        <v/>
      </c>
      <c r="AD93" s="15">
        <f>IF(COUNT(C93:O93)=0,"",IFERROR(C93/K93,0))</f>
        <v/>
      </c>
      <c r="AE93" s="18">
        <f>IF(COUNT(C93:O93)=0,"",IFERROR(L93/K93,0))</f>
        <v/>
      </c>
      <c r="AF93" s="18">
        <f>IF(COUNT(C93:O93)=0,"",IFERROR(M93/L93,0))</f>
        <v/>
      </c>
      <c r="AG93" s="17">
        <f>IF(COUNT(C93:O93)=0,"",IFERROR(M93/H93,0))</f>
        <v/>
      </c>
      <c r="AH93" s="15">
        <f>IF(COUNT(C93:O93)=0,"",IFERROR(C93/M93,0))</f>
        <v/>
      </c>
      <c r="AI93" s="20">
        <f>IF(COUNT(C93:O93)=0,"",IFERROR(M93*Config!$C$7+N93*Config!$C$8,0))</f>
        <v/>
      </c>
      <c r="AJ93" s="20">
        <f>IF(COUNT(C93:O93)=0,"",IFERROR(IF(O93&gt;0,O93,AI93*Config!$C$9),0))</f>
        <v/>
      </c>
      <c r="AK93" s="20">
        <f>IF(COUNT(C93:O93)=0,"",IFERROR(AJ93*(1-Config!$C$10-Config!$C$11-Config!$C$12),0))</f>
        <v/>
      </c>
      <c r="AL93" s="20">
        <f>IF(COUNT(C93:O93)=0,"",IFERROR(AK93-C93-Config!$C$13,0))</f>
        <v/>
      </c>
      <c r="AM93" s="21">
        <f>IF(COUNT(C93:O93)=0,"",IFERROR(AK93/C93,0))</f>
        <v/>
      </c>
      <c r="AN93" s="21">
        <f>IF(COUNT(C93:O93)=0,"",IFERROR(AI93/C93,0))</f>
        <v/>
      </c>
      <c r="AO93" s="15">
        <f>IF(COUNT(C93:O93)=0,"",IFERROR(AL93/G93,0))</f>
        <v/>
      </c>
      <c r="AP93" s="21">
        <f>IF(COUNT(C93:O93)=0,"",IFERROR(AO93/U93,0))</f>
        <v/>
      </c>
      <c r="AQ93" s="15">
        <f>IF(COUNT(C93:O93)=0,"",IFERROR(AL93/H93,0))</f>
        <v/>
      </c>
    </row>
    <row r="94">
      <c r="A94" s="12">
        <f>Config!$C$6+88</f>
        <v/>
      </c>
      <c r="B94" s="13">
        <f>INT((A94-Config!$C$6)/7)+1</f>
        <v/>
      </c>
      <c r="C94" s="10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0" t="n"/>
      <c r="P94" s="15">
        <f>IF(COUNT(C94:O94)=0,"",IFERROR(C94/D94*1000,0))</f>
        <v/>
      </c>
      <c r="Q94" s="16">
        <f>IF(COUNT(C94:O94)=0,"",IFERROR(D94/E94,0))</f>
        <v/>
      </c>
      <c r="R94" s="17">
        <f>IF(COUNT(C94:O94)=0,"",IFERROR(F94/D94,0))</f>
        <v/>
      </c>
      <c r="S94" s="15">
        <f>IF(COUNT(C94:O94)=0,"",IFERROR(C94/F94,0))</f>
        <v/>
      </c>
      <c r="T94" s="18">
        <f>IF(COUNT(C94:O94)=0,"",IFERROR(G94/F94,0))</f>
        <v/>
      </c>
      <c r="U94" s="15">
        <f>IF(COUNT(C94:O94)=0,"",IFERROR(C94/G94,0))</f>
        <v/>
      </c>
      <c r="V94" s="19">
        <f>IF(COUNT(C94:O94)=0,"",IFERROR(G94/D94*1000,0))</f>
        <v/>
      </c>
      <c r="W94" s="18">
        <f>IF(COUNT(C94:O94)=0,"",IFERROR(H94/G94,0))</f>
        <v/>
      </c>
      <c r="X94" s="15">
        <f>IF(COUNT(C94:O94)=0,"",IFERROR(C94/H94,0))</f>
        <v/>
      </c>
      <c r="Y94" s="18">
        <f>IF(COUNT(C94:O94)=0,"",IFERROR(X94/P94,0))</f>
        <v/>
      </c>
      <c r="Z94" s="19">
        <f>IF(COUNT(C94:O94)=0,"",IFERROR(H94/D94*1000,0))</f>
        <v/>
      </c>
      <c r="AA94" s="18">
        <f>IF(COUNT(C94:O94)=0,"",IFERROR(I94/H94,0))</f>
        <v/>
      </c>
      <c r="AB94" s="18">
        <f>IF(COUNT(C94:O94)=0,"",IFERROR(J94/I94,0))</f>
        <v/>
      </c>
      <c r="AC94" s="18">
        <f>IF(COUNT(C94:O94)=0,"",IFERROR(K94/J94,0))</f>
        <v/>
      </c>
      <c r="AD94" s="15">
        <f>IF(COUNT(C94:O94)=0,"",IFERROR(C94/K94,0))</f>
        <v/>
      </c>
      <c r="AE94" s="18">
        <f>IF(COUNT(C94:O94)=0,"",IFERROR(L94/K94,0))</f>
        <v/>
      </c>
      <c r="AF94" s="18">
        <f>IF(COUNT(C94:O94)=0,"",IFERROR(M94/L94,0))</f>
        <v/>
      </c>
      <c r="AG94" s="17">
        <f>IF(COUNT(C94:O94)=0,"",IFERROR(M94/H94,0))</f>
        <v/>
      </c>
      <c r="AH94" s="15">
        <f>IF(COUNT(C94:O94)=0,"",IFERROR(C94/M94,0))</f>
        <v/>
      </c>
      <c r="AI94" s="20">
        <f>IF(COUNT(C94:O94)=0,"",IFERROR(M94*Config!$C$7+N94*Config!$C$8,0))</f>
        <v/>
      </c>
      <c r="AJ94" s="20">
        <f>IF(COUNT(C94:O94)=0,"",IFERROR(IF(O94&gt;0,O94,AI94*Config!$C$9),0))</f>
        <v/>
      </c>
      <c r="AK94" s="20">
        <f>IF(COUNT(C94:O94)=0,"",IFERROR(AJ94*(1-Config!$C$10-Config!$C$11-Config!$C$12),0))</f>
        <v/>
      </c>
      <c r="AL94" s="20">
        <f>IF(COUNT(C94:O94)=0,"",IFERROR(AK94-C94-Config!$C$13,0))</f>
        <v/>
      </c>
      <c r="AM94" s="21">
        <f>IF(COUNT(C94:O94)=0,"",IFERROR(AK94/C94,0))</f>
        <v/>
      </c>
      <c r="AN94" s="21">
        <f>IF(COUNT(C94:O94)=0,"",IFERROR(AI94/C94,0))</f>
        <v/>
      </c>
      <c r="AO94" s="15">
        <f>IF(COUNT(C94:O94)=0,"",IFERROR(AL94/G94,0))</f>
        <v/>
      </c>
      <c r="AP94" s="21">
        <f>IF(COUNT(C94:O94)=0,"",IFERROR(AO94/U94,0))</f>
        <v/>
      </c>
      <c r="AQ94" s="15">
        <f>IF(COUNT(C94:O94)=0,"",IFERROR(AL94/H94,0))</f>
        <v/>
      </c>
    </row>
    <row r="95">
      <c r="A95" s="12">
        <f>Config!$C$6+89</f>
        <v/>
      </c>
      <c r="B95" s="13">
        <f>INT((A95-Config!$C$6)/7)+1</f>
        <v/>
      </c>
      <c r="C95" s="10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0" t="n"/>
      <c r="P95" s="15">
        <f>IF(COUNT(C95:O95)=0,"",IFERROR(C95/D95*1000,0))</f>
        <v/>
      </c>
      <c r="Q95" s="16">
        <f>IF(COUNT(C95:O95)=0,"",IFERROR(D95/E95,0))</f>
        <v/>
      </c>
      <c r="R95" s="17">
        <f>IF(COUNT(C95:O95)=0,"",IFERROR(F95/D95,0))</f>
        <v/>
      </c>
      <c r="S95" s="15">
        <f>IF(COUNT(C95:O95)=0,"",IFERROR(C95/F95,0))</f>
        <v/>
      </c>
      <c r="T95" s="18">
        <f>IF(COUNT(C95:O95)=0,"",IFERROR(G95/F95,0))</f>
        <v/>
      </c>
      <c r="U95" s="15">
        <f>IF(COUNT(C95:O95)=0,"",IFERROR(C95/G95,0))</f>
        <v/>
      </c>
      <c r="V95" s="19">
        <f>IF(COUNT(C95:O95)=0,"",IFERROR(G95/D95*1000,0))</f>
        <v/>
      </c>
      <c r="W95" s="18">
        <f>IF(COUNT(C95:O95)=0,"",IFERROR(H95/G95,0))</f>
        <v/>
      </c>
      <c r="X95" s="15">
        <f>IF(COUNT(C95:O95)=0,"",IFERROR(C95/H95,0))</f>
        <v/>
      </c>
      <c r="Y95" s="18">
        <f>IF(COUNT(C95:O95)=0,"",IFERROR(X95/P95,0))</f>
        <v/>
      </c>
      <c r="Z95" s="19">
        <f>IF(COUNT(C95:O95)=0,"",IFERROR(H95/D95*1000,0))</f>
        <v/>
      </c>
      <c r="AA95" s="18">
        <f>IF(COUNT(C95:O95)=0,"",IFERROR(I95/H95,0))</f>
        <v/>
      </c>
      <c r="AB95" s="18">
        <f>IF(COUNT(C95:O95)=0,"",IFERROR(J95/I95,0))</f>
        <v/>
      </c>
      <c r="AC95" s="18">
        <f>IF(COUNT(C95:O95)=0,"",IFERROR(K95/J95,0))</f>
        <v/>
      </c>
      <c r="AD95" s="15">
        <f>IF(COUNT(C95:O95)=0,"",IFERROR(C95/K95,0))</f>
        <v/>
      </c>
      <c r="AE95" s="18">
        <f>IF(COUNT(C95:O95)=0,"",IFERROR(L95/K95,0))</f>
        <v/>
      </c>
      <c r="AF95" s="18">
        <f>IF(COUNT(C95:O95)=0,"",IFERROR(M95/L95,0))</f>
        <v/>
      </c>
      <c r="AG95" s="17">
        <f>IF(COUNT(C95:O95)=0,"",IFERROR(M95/H95,0))</f>
        <v/>
      </c>
      <c r="AH95" s="15">
        <f>IF(COUNT(C95:O95)=0,"",IFERROR(C95/M95,0))</f>
        <v/>
      </c>
      <c r="AI95" s="20">
        <f>IF(COUNT(C95:O95)=0,"",IFERROR(M95*Config!$C$7+N95*Config!$C$8,0))</f>
        <v/>
      </c>
      <c r="AJ95" s="20">
        <f>IF(COUNT(C95:O95)=0,"",IFERROR(IF(O95&gt;0,O95,AI95*Config!$C$9),0))</f>
        <v/>
      </c>
      <c r="AK95" s="20">
        <f>IF(COUNT(C95:O95)=0,"",IFERROR(AJ95*(1-Config!$C$10-Config!$C$11-Config!$C$12),0))</f>
        <v/>
      </c>
      <c r="AL95" s="20">
        <f>IF(COUNT(C95:O95)=0,"",IFERROR(AK95-C95-Config!$C$13,0))</f>
        <v/>
      </c>
      <c r="AM95" s="21">
        <f>IF(COUNT(C95:O95)=0,"",IFERROR(AK95/C95,0))</f>
        <v/>
      </c>
      <c r="AN95" s="21">
        <f>IF(COUNT(C95:O95)=0,"",IFERROR(AI95/C95,0))</f>
        <v/>
      </c>
      <c r="AO95" s="15">
        <f>IF(COUNT(C95:O95)=0,"",IFERROR(AL95/G95,0))</f>
        <v/>
      </c>
      <c r="AP95" s="21">
        <f>IF(COUNT(C95:O95)=0,"",IFERROR(AO95/U95,0))</f>
        <v/>
      </c>
      <c r="AQ95" s="15">
        <f>IF(COUNT(C95:O95)=0,"",IFERROR(AL95/H95,0))</f>
        <v/>
      </c>
    </row>
    <row r="96">
      <c r="A96" s="12">
        <f>Config!$C$6+90</f>
        <v/>
      </c>
      <c r="B96" s="13">
        <f>INT((A96-Config!$C$6)/7)+1</f>
        <v/>
      </c>
      <c r="C96" s="10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0" t="n"/>
      <c r="P96" s="15">
        <f>IF(COUNT(C96:O96)=0,"",IFERROR(C96/D96*1000,0))</f>
        <v/>
      </c>
      <c r="Q96" s="16">
        <f>IF(COUNT(C96:O96)=0,"",IFERROR(D96/E96,0))</f>
        <v/>
      </c>
      <c r="R96" s="17">
        <f>IF(COUNT(C96:O96)=0,"",IFERROR(F96/D96,0))</f>
        <v/>
      </c>
      <c r="S96" s="15">
        <f>IF(COUNT(C96:O96)=0,"",IFERROR(C96/F96,0))</f>
        <v/>
      </c>
      <c r="T96" s="18">
        <f>IF(COUNT(C96:O96)=0,"",IFERROR(G96/F96,0))</f>
        <v/>
      </c>
      <c r="U96" s="15">
        <f>IF(COUNT(C96:O96)=0,"",IFERROR(C96/G96,0))</f>
        <v/>
      </c>
      <c r="V96" s="19">
        <f>IF(COUNT(C96:O96)=0,"",IFERROR(G96/D96*1000,0))</f>
        <v/>
      </c>
      <c r="W96" s="18">
        <f>IF(COUNT(C96:O96)=0,"",IFERROR(H96/G96,0))</f>
        <v/>
      </c>
      <c r="X96" s="15">
        <f>IF(COUNT(C96:O96)=0,"",IFERROR(C96/H96,0))</f>
        <v/>
      </c>
      <c r="Y96" s="18">
        <f>IF(COUNT(C96:O96)=0,"",IFERROR(X96/P96,0))</f>
        <v/>
      </c>
      <c r="Z96" s="19">
        <f>IF(COUNT(C96:O96)=0,"",IFERROR(H96/D96*1000,0))</f>
        <v/>
      </c>
      <c r="AA96" s="18">
        <f>IF(COUNT(C96:O96)=0,"",IFERROR(I96/H96,0))</f>
        <v/>
      </c>
      <c r="AB96" s="18">
        <f>IF(COUNT(C96:O96)=0,"",IFERROR(J96/I96,0))</f>
        <v/>
      </c>
      <c r="AC96" s="18">
        <f>IF(COUNT(C96:O96)=0,"",IFERROR(K96/J96,0))</f>
        <v/>
      </c>
      <c r="AD96" s="15">
        <f>IF(COUNT(C96:O96)=0,"",IFERROR(C96/K96,0))</f>
        <v/>
      </c>
      <c r="AE96" s="18">
        <f>IF(COUNT(C96:O96)=0,"",IFERROR(L96/K96,0))</f>
        <v/>
      </c>
      <c r="AF96" s="18">
        <f>IF(COUNT(C96:O96)=0,"",IFERROR(M96/L96,0))</f>
        <v/>
      </c>
      <c r="AG96" s="17">
        <f>IF(COUNT(C96:O96)=0,"",IFERROR(M96/H96,0))</f>
        <v/>
      </c>
      <c r="AH96" s="15">
        <f>IF(COUNT(C96:O96)=0,"",IFERROR(C96/M96,0))</f>
        <v/>
      </c>
      <c r="AI96" s="20">
        <f>IF(COUNT(C96:O96)=0,"",IFERROR(M96*Config!$C$7+N96*Config!$C$8,0))</f>
        <v/>
      </c>
      <c r="AJ96" s="20">
        <f>IF(COUNT(C96:O96)=0,"",IFERROR(IF(O96&gt;0,O96,AI96*Config!$C$9),0))</f>
        <v/>
      </c>
      <c r="AK96" s="20">
        <f>IF(COUNT(C96:O96)=0,"",IFERROR(AJ96*(1-Config!$C$10-Config!$C$11-Config!$C$12),0))</f>
        <v/>
      </c>
      <c r="AL96" s="20">
        <f>IF(COUNT(C96:O96)=0,"",IFERROR(AK96-C96-Config!$C$13,0))</f>
        <v/>
      </c>
      <c r="AM96" s="21">
        <f>IF(COUNT(C96:O96)=0,"",IFERROR(AK96/C96,0))</f>
        <v/>
      </c>
      <c r="AN96" s="21">
        <f>IF(COUNT(C96:O96)=0,"",IFERROR(AI96/C96,0))</f>
        <v/>
      </c>
      <c r="AO96" s="15">
        <f>IF(COUNT(C96:O96)=0,"",IFERROR(AL96/G96,0))</f>
        <v/>
      </c>
      <c r="AP96" s="21">
        <f>IF(COUNT(C96:O96)=0,"",IFERROR(AO96/U96,0))</f>
        <v/>
      </c>
      <c r="AQ96" s="15">
        <f>IF(COUNT(C96:O96)=0,"",IFERROR(AL96/H96,0))</f>
        <v/>
      </c>
    </row>
    <row r="97">
      <c r="A97" s="12">
        <f>Config!$C$6+91</f>
        <v/>
      </c>
      <c r="B97" s="13">
        <f>INT((A97-Config!$C$6)/7)+1</f>
        <v/>
      </c>
      <c r="C97" s="10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0" t="n"/>
      <c r="P97" s="15">
        <f>IF(COUNT(C97:O97)=0,"",IFERROR(C97/D97*1000,0))</f>
        <v/>
      </c>
      <c r="Q97" s="16">
        <f>IF(COUNT(C97:O97)=0,"",IFERROR(D97/E97,0))</f>
        <v/>
      </c>
      <c r="R97" s="17">
        <f>IF(COUNT(C97:O97)=0,"",IFERROR(F97/D97,0))</f>
        <v/>
      </c>
      <c r="S97" s="15">
        <f>IF(COUNT(C97:O97)=0,"",IFERROR(C97/F97,0))</f>
        <v/>
      </c>
      <c r="T97" s="18">
        <f>IF(COUNT(C97:O97)=0,"",IFERROR(G97/F97,0))</f>
        <v/>
      </c>
      <c r="U97" s="15">
        <f>IF(COUNT(C97:O97)=0,"",IFERROR(C97/G97,0))</f>
        <v/>
      </c>
      <c r="V97" s="19">
        <f>IF(COUNT(C97:O97)=0,"",IFERROR(G97/D97*1000,0))</f>
        <v/>
      </c>
      <c r="W97" s="18">
        <f>IF(COUNT(C97:O97)=0,"",IFERROR(H97/G97,0))</f>
        <v/>
      </c>
      <c r="X97" s="15">
        <f>IF(COUNT(C97:O97)=0,"",IFERROR(C97/H97,0))</f>
        <v/>
      </c>
      <c r="Y97" s="18">
        <f>IF(COUNT(C97:O97)=0,"",IFERROR(X97/P97,0))</f>
        <v/>
      </c>
      <c r="Z97" s="19">
        <f>IF(COUNT(C97:O97)=0,"",IFERROR(H97/D97*1000,0))</f>
        <v/>
      </c>
      <c r="AA97" s="18">
        <f>IF(COUNT(C97:O97)=0,"",IFERROR(I97/H97,0))</f>
        <v/>
      </c>
      <c r="AB97" s="18">
        <f>IF(COUNT(C97:O97)=0,"",IFERROR(J97/I97,0))</f>
        <v/>
      </c>
      <c r="AC97" s="18">
        <f>IF(COUNT(C97:O97)=0,"",IFERROR(K97/J97,0))</f>
        <v/>
      </c>
      <c r="AD97" s="15">
        <f>IF(COUNT(C97:O97)=0,"",IFERROR(C97/K97,0))</f>
        <v/>
      </c>
      <c r="AE97" s="18">
        <f>IF(COUNT(C97:O97)=0,"",IFERROR(L97/K97,0))</f>
        <v/>
      </c>
      <c r="AF97" s="18">
        <f>IF(COUNT(C97:O97)=0,"",IFERROR(M97/L97,0))</f>
        <v/>
      </c>
      <c r="AG97" s="17">
        <f>IF(COUNT(C97:O97)=0,"",IFERROR(M97/H97,0))</f>
        <v/>
      </c>
      <c r="AH97" s="15">
        <f>IF(COUNT(C97:O97)=0,"",IFERROR(C97/M97,0))</f>
        <v/>
      </c>
      <c r="AI97" s="20">
        <f>IF(COUNT(C97:O97)=0,"",IFERROR(M97*Config!$C$7+N97*Config!$C$8,0))</f>
        <v/>
      </c>
      <c r="AJ97" s="20">
        <f>IF(COUNT(C97:O97)=0,"",IFERROR(IF(O97&gt;0,O97,AI97*Config!$C$9),0))</f>
        <v/>
      </c>
      <c r="AK97" s="20">
        <f>IF(COUNT(C97:O97)=0,"",IFERROR(AJ97*(1-Config!$C$10-Config!$C$11-Config!$C$12),0))</f>
        <v/>
      </c>
      <c r="AL97" s="20">
        <f>IF(COUNT(C97:O97)=0,"",IFERROR(AK97-C97-Config!$C$13,0))</f>
        <v/>
      </c>
      <c r="AM97" s="21">
        <f>IF(COUNT(C97:O97)=0,"",IFERROR(AK97/C97,0))</f>
        <v/>
      </c>
      <c r="AN97" s="21">
        <f>IF(COUNT(C97:O97)=0,"",IFERROR(AI97/C97,0))</f>
        <v/>
      </c>
      <c r="AO97" s="15">
        <f>IF(COUNT(C97:O97)=0,"",IFERROR(AL97/G97,0))</f>
        <v/>
      </c>
      <c r="AP97" s="21">
        <f>IF(COUNT(C97:O97)=0,"",IFERROR(AO97/U97,0))</f>
        <v/>
      </c>
      <c r="AQ97" s="15">
        <f>IF(COUNT(C97:O97)=0,"",IFERROR(AL97/H97,0))</f>
        <v/>
      </c>
    </row>
    <row r="98">
      <c r="A98" s="12">
        <f>Config!$C$6+92</f>
        <v/>
      </c>
      <c r="B98" s="13">
        <f>INT((A98-Config!$C$6)/7)+1</f>
        <v/>
      </c>
      <c r="C98" s="10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0" t="n"/>
      <c r="P98" s="15">
        <f>IF(COUNT(C98:O98)=0,"",IFERROR(C98/D98*1000,0))</f>
        <v/>
      </c>
      <c r="Q98" s="16">
        <f>IF(COUNT(C98:O98)=0,"",IFERROR(D98/E98,0))</f>
        <v/>
      </c>
      <c r="R98" s="17">
        <f>IF(COUNT(C98:O98)=0,"",IFERROR(F98/D98,0))</f>
        <v/>
      </c>
      <c r="S98" s="15">
        <f>IF(COUNT(C98:O98)=0,"",IFERROR(C98/F98,0))</f>
        <v/>
      </c>
      <c r="T98" s="18">
        <f>IF(COUNT(C98:O98)=0,"",IFERROR(G98/F98,0))</f>
        <v/>
      </c>
      <c r="U98" s="15">
        <f>IF(COUNT(C98:O98)=0,"",IFERROR(C98/G98,0))</f>
        <v/>
      </c>
      <c r="V98" s="19">
        <f>IF(COUNT(C98:O98)=0,"",IFERROR(G98/D98*1000,0))</f>
        <v/>
      </c>
      <c r="W98" s="18">
        <f>IF(COUNT(C98:O98)=0,"",IFERROR(H98/G98,0))</f>
        <v/>
      </c>
      <c r="X98" s="15">
        <f>IF(COUNT(C98:O98)=0,"",IFERROR(C98/H98,0))</f>
        <v/>
      </c>
      <c r="Y98" s="18">
        <f>IF(COUNT(C98:O98)=0,"",IFERROR(X98/P98,0))</f>
        <v/>
      </c>
      <c r="Z98" s="19">
        <f>IF(COUNT(C98:O98)=0,"",IFERROR(H98/D98*1000,0))</f>
        <v/>
      </c>
      <c r="AA98" s="18">
        <f>IF(COUNT(C98:O98)=0,"",IFERROR(I98/H98,0))</f>
        <v/>
      </c>
      <c r="AB98" s="18">
        <f>IF(COUNT(C98:O98)=0,"",IFERROR(J98/I98,0))</f>
        <v/>
      </c>
      <c r="AC98" s="18">
        <f>IF(COUNT(C98:O98)=0,"",IFERROR(K98/J98,0))</f>
        <v/>
      </c>
      <c r="AD98" s="15">
        <f>IF(COUNT(C98:O98)=0,"",IFERROR(C98/K98,0))</f>
        <v/>
      </c>
      <c r="AE98" s="18">
        <f>IF(COUNT(C98:O98)=0,"",IFERROR(L98/K98,0))</f>
        <v/>
      </c>
      <c r="AF98" s="18">
        <f>IF(COUNT(C98:O98)=0,"",IFERROR(M98/L98,0))</f>
        <v/>
      </c>
      <c r="AG98" s="17">
        <f>IF(COUNT(C98:O98)=0,"",IFERROR(M98/H98,0))</f>
        <v/>
      </c>
      <c r="AH98" s="15">
        <f>IF(COUNT(C98:O98)=0,"",IFERROR(C98/M98,0))</f>
        <v/>
      </c>
      <c r="AI98" s="20">
        <f>IF(COUNT(C98:O98)=0,"",IFERROR(M98*Config!$C$7+N98*Config!$C$8,0))</f>
        <v/>
      </c>
      <c r="AJ98" s="20">
        <f>IF(COUNT(C98:O98)=0,"",IFERROR(IF(O98&gt;0,O98,AI98*Config!$C$9),0))</f>
        <v/>
      </c>
      <c r="AK98" s="20">
        <f>IF(COUNT(C98:O98)=0,"",IFERROR(AJ98*(1-Config!$C$10-Config!$C$11-Config!$C$12),0))</f>
        <v/>
      </c>
      <c r="AL98" s="20">
        <f>IF(COUNT(C98:O98)=0,"",IFERROR(AK98-C98-Config!$C$13,0))</f>
        <v/>
      </c>
      <c r="AM98" s="21">
        <f>IF(COUNT(C98:O98)=0,"",IFERROR(AK98/C98,0))</f>
        <v/>
      </c>
      <c r="AN98" s="21">
        <f>IF(COUNT(C98:O98)=0,"",IFERROR(AI98/C98,0))</f>
        <v/>
      </c>
      <c r="AO98" s="15">
        <f>IF(COUNT(C98:O98)=0,"",IFERROR(AL98/G98,0))</f>
        <v/>
      </c>
      <c r="AP98" s="21">
        <f>IF(COUNT(C98:O98)=0,"",IFERROR(AO98/U98,0))</f>
        <v/>
      </c>
      <c r="AQ98" s="15">
        <f>IF(COUNT(C98:O98)=0,"",IFERROR(AL98/H98,0))</f>
        <v/>
      </c>
    </row>
    <row r="99">
      <c r="A99" s="12">
        <f>Config!$C$6+93</f>
        <v/>
      </c>
      <c r="B99" s="13">
        <f>INT((A99-Config!$C$6)/7)+1</f>
        <v/>
      </c>
      <c r="C99" s="10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0" t="n"/>
      <c r="P99" s="15">
        <f>IF(COUNT(C99:O99)=0,"",IFERROR(C99/D99*1000,0))</f>
        <v/>
      </c>
      <c r="Q99" s="16">
        <f>IF(COUNT(C99:O99)=0,"",IFERROR(D99/E99,0))</f>
        <v/>
      </c>
      <c r="R99" s="17">
        <f>IF(COUNT(C99:O99)=0,"",IFERROR(F99/D99,0))</f>
        <v/>
      </c>
      <c r="S99" s="15">
        <f>IF(COUNT(C99:O99)=0,"",IFERROR(C99/F99,0))</f>
        <v/>
      </c>
      <c r="T99" s="18">
        <f>IF(COUNT(C99:O99)=0,"",IFERROR(G99/F99,0))</f>
        <v/>
      </c>
      <c r="U99" s="15">
        <f>IF(COUNT(C99:O99)=0,"",IFERROR(C99/G99,0))</f>
        <v/>
      </c>
      <c r="V99" s="19">
        <f>IF(COUNT(C99:O99)=0,"",IFERROR(G99/D99*1000,0))</f>
        <v/>
      </c>
      <c r="W99" s="18">
        <f>IF(COUNT(C99:O99)=0,"",IFERROR(H99/G99,0))</f>
        <v/>
      </c>
      <c r="X99" s="15">
        <f>IF(COUNT(C99:O99)=0,"",IFERROR(C99/H99,0))</f>
        <v/>
      </c>
      <c r="Y99" s="18">
        <f>IF(COUNT(C99:O99)=0,"",IFERROR(X99/P99,0))</f>
        <v/>
      </c>
      <c r="Z99" s="19">
        <f>IF(COUNT(C99:O99)=0,"",IFERROR(H99/D99*1000,0))</f>
        <v/>
      </c>
      <c r="AA99" s="18">
        <f>IF(COUNT(C99:O99)=0,"",IFERROR(I99/H99,0))</f>
        <v/>
      </c>
      <c r="AB99" s="18">
        <f>IF(COUNT(C99:O99)=0,"",IFERROR(J99/I99,0))</f>
        <v/>
      </c>
      <c r="AC99" s="18">
        <f>IF(COUNT(C99:O99)=0,"",IFERROR(K99/J99,0))</f>
        <v/>
      </c>
      <c r="AD99" s="15">
        <f>IF(COUNT(C99:O99)=0,"",IFERROR(C99/K99,0))</f>
        <v/>
      </c>
      <c r="AE99" s="18">
        <f>IF(COUNT(C99:O99)=0,"",IFERROR(L99/K99,0))</f>
        <v/>
      </c>
      <c r="AF99" s="18">
        <f>IF(COUNT(C99:O99)=0,"",IFERROR(M99/L99,0))</f>
        <v/>
      </c>
      <c r="AG99" s="17">
        <f>IF(COUNT(C99:O99)=0,"",IFERROR(M99/H99,0))</f>
        <v/>
      </c>
      <c r="AH99" s="15">
        <f>IF(COUNT(C99:O99)=0,"",IFERROR(C99/M99,0))</f>
        <v/>
      </c>
      <c r="AI99" s="20">
        <f>IF(COUNT(C99:O99)=0,"",IFERROR(M99*Config!$C$7+N99*Config!$C$8,0))</f>
        <v/>
      </c>
      <c r="AJ99" s="20">
        <f>IF(COUNT(C99:O99)=0,"",IFERROR(IF(O99&gt;0,O99,AI99*Config!$C$9),0))</f>
        <v/>
      </c>
      <c r="AK99" s="20">
        <f>IF(COUNT(C99:O99)=0,"",IFERROR(AJ99*(1-Config!$C$10-Config!$C$11-Config!$C$12),0))</f>
        <v/>
      </c>
      <c r="AL99" s="20">
        <f>IF(COUNT(C99:O99)=0,"",IFERROR(AK99-C99-Config!$C$13,0))</f>
        <v/>
      </c>
      <c r="AM99" s="21">
        <f>IF(COUNT(C99:O99)=0,"",IFERROR(AK99/C99,0))</f>
        <v/>
      </c>
      <c r="AN99" s="21">
        <f>IF(COUNT(C99:O99)=0,"",IFERROR(AI99/C99,0))</f>
        <v/>
      </c>
      <c r="AO99" s="15">
        <f>IF(COUNT(C99:O99)=0,"",IFERROR(AL99/G99,0))</f>
        <v/>
      </c>
      <c r="AP99" s="21">
        <f>IF(COUNT(C99:O99)=0,"",IFERROR(AO99/U99,0))</f>
        <v/>
      </c>
      <c r="AQ99" s="15">
        <f>IF(COUNT(C99:O99)=0,"",IFERROR(AL99/H99,0))</f>
        <v/>
      </c>
    </row>
    <row r="100">
      <c r="A100" s="12">
        <f>Config!$C$6+94</f>
        <v/>
      </c>
      <c r="B100" s="13">
        <f>INT((A100-Config!$C$6)/7)+1</f>
        <v/>
      </c>
      <c r="C100" s="10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0" t="n"/>
      <c r="P100" s="15">
        <f>IF(COUNT(C100:O100)=0,"",IFERROR(C100/D100*1000,0))</f>
        <v/>
      </c>
      <c r="Q100" s="16">
        <f>IF(COUNT(C100:O100)=0,"",IFERROR(D100/E100,0))</f>
        <v/>
      </c>
      <c r="R100" s="17">
        <f>IF(COUNT(C100:O100)=0,"",IFERROR(F100/D100,0))</f>
        <v/>
      </c>
      <c r="S100" s="15">
        <f>IF(COUNT(C100:O100)=0,"",IFERROR(C100/F100,0))</f>
        <v/>
      </c>
      <c r="T100" s="18">
        <f>IF(COUNT(C100:O100)=0,"",IFERROR(G100/F100,0))</f>
        <v/>
      </c>
      <c r="U100" s="15">
        <f>IF(COUNT(C100:O100)=0,"",IFERROR(C100/G100,0))</f>
        <v/>
      </c>
      <c r="V100" s="19">
        <f>IF(COUNT(C100:O100)=0,"",IFERROR(G100/D100*1000,0))</f>
        <v/>
      </c>
      <c r="W100" s="18">
        <f>IF(COUNT(C100:O100)=0,"",IFERROR(H100/G100,0))</f>
        <v/>
      </c>
      <c r="X100" s="15">
        <f>IF(COUNT(C100:O100)=0,"",IFERROR(C100/H100,0))</f>
        <v/>
      </c>
      <c r="Y100" s="18">
        <f>IF(COUNT(C100:O100)=0,"",IFERROR(X100/P100,0))</f>
        <v/>
      </c>
      <c r="Z100" s="19">
        <f>IF(COUNT(C100:O100)=0,"",IFERROR(H100/D100*1000,0))</f>
        <v/>
      </c>
      <c r="AA100" s="18">
        <f>IF(COUNT(C100:O100)=0,"",IFERROR(I100/H100,0))</f>
        <v/>
      </c>
      <c r="AB100" s="18">
        <f>IF(COUNT(C100:O100)=0,"",IFERROR(J100/I100,0))</f>
        <v/>
      </c>
      <c r="AC100" s="18">
        <f>IF(COUNT(C100:O100)=0,"",IFERROR(K100/J100,0))</f>
        <v/>
      </c>
      <c r="AD100" s="15">
        <f>IF(COUNT(C100:O100)=0,"",IFERROR(C100/K100,0))</f>
        <v/>
      </c>
      <c r="AE100" s="18">
        <f>IF(COUNT(C100:O100)=0,"",IFERROR(L100/K100,0))</f>
        <v/>
      </c>
      <c r="AF100" s="18">
        <f>IF(COUNT(C100:O100)=0,"",IFERROR(M100/L100,0))</f>
        <v/>
      </c>
      <c r="AG100" s="17">
        <f>IF(COUNT(C100:O100)=0,"",IFERROR(M100/H100,0))</f>
        <v/>
      </c>
      <c r="AH100" s="15">
        <f>IF(COUNT(C100:O100)=0,"",IFERROR(C100/M100,0))</f>
        <v/>
      </c>
      <c r="AI100" s="20">
        <f>IF(COUNT(C100:O100)=0,"",IFERROR(M100*Config!$C$7+N100*Config!$C$8,0))</f>
        <v/>
      </c>
      <c r="AJ100" s="20">
        <f>IF(COUNT(C100:O100)=0,"",IFERROR(IF(O100&gt;0,O100,AI100*Config!$C$9),0))</f>
        <v/>
      </c>
      <c r="AK100" s="20">
        <f>IF(COUNT(C100:O100)=0,"",IFERROR(AJ100*(1-Config!$C$10-Config!$C$11-Config!$C$12),0))</f>
        <v/>
      </c>
      <c r="AL100" s="20">
        <f>IF(COUNT(C100:O100)=0,"",IFERROR(AK100-C100-Config!$C$13,0))</f>
        <v/>
      </c>
      <c r="AM100" s="21">
        <f>IF(COUNT(C100:O100)=0,"",IFERROR(AK100/C100,0))</f>
        <v/>
      </c>
      <c r="AN100" s="21">
        <f>IF(COUNT(C100:O100)=0,"",IFERROR(AI100/C100,0))</f>
        <v/>
      </c>
      <c r="AO100" s="15">
        <f>IF(COUNT(C100:O100)=0,"",IFERROR(AL100/G100,0))</f>
        <v/>
      </c>
      <c r="AP100" s="21">
        <f>IF(COUNT(C100:O100)=0,"",IFERROR(AO100/U100,0))</f>
        <v/>
      </c>
      <c r="AQ100" s="15">
        <f>IF(COUNT(C100:O100)=0,"",IFERROR(AL100/H100,0))</f>
        <v/>
      </c>
    </row>
    <row r="101">
      <c r="A101" s="12">
        <f>Config!$C$6+95</f>
        <v/>
      </c>
      <c r="B101" s="13">
        <f>INT((A101-Config!$C$6)/7)+1</f>
        <v/>
      </c>
      <c r="C101" s="10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0" t="n"/>
      <c r="P101" s="15">
        <f>IF(COUNT(C101:O101)=0,"",IFERROR(C101/D101*1000,0))</f>
        <v/>
      </c>
      <c r="Q101" s="16">
        <f>IF(COUNT(C101:O101)=0,"",IFERROR(D101/E101,0))</f>
        <v/>
      </c>
      <c r="R101" s="17">
        <f>IF(COUNT(C101:O101)=0,"",IFERROR(F101/D101,0))</f>
        <v/>
      </c>
      <c r="S101" s="15">
        <f>IF(COUNT(C101:O101)=0,"",IFERROR(C101/F101,0))</f>
        <v/>
      </c>
      <c r="T101" s="18">
        <f>IF(COUNT(C101:O101)=0,"",IFERROR(G101/F101,0))</f>
        <v/>
      </c>
      <c r="U101" s="15">
        <f>IF(COUNT(C101:O101)=0,"",IFERROR(C101/G101,0))</f>
        <v/>
      </c>
      <c r="V101" s="19">
        <f>IF(COUNT(C101:O101)=0,"",IFERROR(G101/D101*1000,0))</f>
        <v/>
      </c>
      <c r="W101" s="18">
        <f>IF(COUNT(C101:O101)=0,"",IFERROR(H101/G101,0))</f>
        <v/>
      </c>
      <c r="X101" s="15">
        <f>IF(COUNT(C101:O101)=0,"",IFERROR(C101/H101,0))</f>
        <v/>
      </c>
      <c r="Y101" s="18">
        <f>IF(COUNT(C101:O101)=0,"",IFERROR(X101/P101,0))</f>
        <v/>
      </c>
      <c r="Z101" s="19">
        <f>IF(COUNT(C101:O101)=0,"",IFERROR(H101/D101*1000,0))</f>
        <v/>
      </c>
      <c r="AA101" s="18">
        <f>IF(COUNT(C101:O101)=0,"",IFERROR(I101/H101,0))</f>
        <v/>
      </c>
      <c r="AB101" s="18">
        <f>IF(COUNT(C101:O101)=0,"",IFERROR(J101/I101,0))</f>
        <v/>
      </c>
      <c r="AC101" s="18">
        <f>IF(COUNT(C101:O101)=0,"",IFERROR(K101/J101,0))</f>
        <v/>
      </c>
      <c r="AD101" s="15">
        <f>IF(COUNT(C101:O101)=0,"",IFERROR(C101/K101,0))</f>
        <v/>
      </c>
      <c r="AE101" s="18">
        <f>IF(COUNT(C101:O101)=0,"",IFERROR(L101/K101,0))</f>
        <v/>
      </c>
      <c r="AF101" s="18">
        <f>IF(COUNT(C101:O101)=0,"",IFERROR(M101/L101,0))</f>
        <v/>
      </c>
      <c r="AG101" s="17">
        <f>IF(COUNT(C101:O101)=0,"",IFERROR(M101/H101,0))</f>
        <v/>
      </c>
      <c r="AH101" s="15">
        <f>IF(COUNT(C101:O101)=0,"",IFERROR(C101/M101,0))</f>
        <v/>
      </c>
      <c r="AI101" s="20">
        <f>IF(COUNT(C101:O101)=0,"",IFERROR(M101*Config!$C$7+N101*Config!$C$8,0))</f>
        <v/>
      </c>
      <c r="AJ101" s="20">
        <f>IF(COUNT(C101:O101)=0,"",IFERROR(IF(O101&gt;0,O101,AI101*Config!$C$9),0))</f>
        <v/>
      </c>
      <c r="AK101" s="20">
        <f>IF(COUNT(C101:O101)=0,"",IFERROR(AJ101*(1-Config!$C$10-Config!$C$11-Config!$C$12),0))</f>
        <v/>
      </c>
      <c r="AL101" s="20">
        <f>IF(COUNT(C101:O101)=0,"",IFERROR(AK101-C101-Config!$C$13,0))</f>
        <v/>
      </c>
      <c r="AM101" s="21">
        <f>IF(COUNT(C101:O101)=0,"",IFERROR(AK101/C101,0))</f>
        <v/>
      </c>
      <c r="AN101" s="21">
        <f>IF(COUNT(C101:O101)=0,"",IFERROR(AI101/C101,0))</f>
        <v/>
      </c>
      <c r="AO101" s="15">
        <f>IF(COUNT(C101:O101)=0,"",IFERROR(AL101/G101,0))</f>
        <v/>
      </c>
      <c r="AP101" s="21">
        <f>IF(COUNT(C101:O101)=0,"",IFERROR(AO101/U101,0))</f>
        <v/>
      </c>
      <c r="AQ101" s="15">
        <f>IF(COUNT(C101:O101)=0,"",IFERROR(AL101/H101,0))</f>
        <v/>
      </c>
    </row>
    <row r="102">
      <c r="A102" s="12">
        <f>Config!$C$6+96</f>
        <v/>
      </c>
      <c r="B102" s="13">
        <f>INT((A102-Config!$C$6)/7)+1</f>
        <v/>
      </c>
      <c r="C102" s="10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0" t="n"/>
      <c r="P102" s="15">
        <f>IF(COUNT(C102:O102)=0,"",IFERROR(C102/D102*1000,0))</f>
        <v/>
      </c>
      <c r="Q102" s="16">
        <f>IF(COUNT(C102:O102)=0,"",IFERROR(D102/E102,0))</f>
        <v/>
      </c>
      <c r="R102" s="17">
        <f>IF(COUNT(C102:O102)=0,"",IFERROR(F102/D102,0))</f>
        <v/>
      </c>
      <c r="S102" s="15">
        <f>IF(COUNT(C102:O102)=0,"",IFERROR(C102/F102,0))</f>
        <v/>
      </c>
      <c r="T102" s="18">
        <f>IF(COUNT(C102:O102)=0,"",IFERROR(G102/F102,0))</f>
        <v/>
      </c>
      <c r="U102" s="15">
        <f>IF(COUNT(C102:O102)=0,"",IFERROR(C102/G102,0))</f>
        <v/>
      </c>
      <c r="V102" s="19">
        <f>IF(COUNT(C102:O102)=0,"",IFERROR(G102/D102*1000,0))</f>
        <v/>
      </c>
      <c r="W102" s="18">
        <f>IF(COUNT(C102:O102)=0,"",IFERROR(H102/G102,0))</f>
        <v/>
      </c>
      <c r="X102" s="15">
        <f>IF(COUNT(C102:O102)=0,"",IFERROR(C102/H102,0))</f>
        <v/>
      </c>
      <c r="Y102" s="18">
        <f>IF(COUNT(C102:O102)=0,"",IFERROR(X102/P102,0))</f>
        <v/>
      </c>
      <c r="Z102" s="19">
        <f>IF(COUNT(C102:O102)=0,"",IFERROR(H102/D102*1000,0))</f>
        <v/>
      </c>
      <c r="AA102" s="18">
        <f>IF(COUNT(C102:O102)=0,"",IFERROR(I102/H102,0))</f>
        <v/>
      </c>
      <c r="AB102" s="18">
        <f>IF(COUNT(C102:O102)=0,"",IFERROR(J102/I102,0))</f>
        <v/>
      </c>
      <c r="AC102" s="18">
        <f>IF(COUNT(C102:O102)=0,"",IFERROR(K102/J102,0))</f>
        <v/>
      </c>
      <c r="AD102" s="15">
        <f>IF(COUNT(C102:O102)=0,"",IFERROR(C102/K102,0))</f>
        <v/>
      </c>
      <c r="AE102" s="18">
        <f>IF(COUNT(C102:O102)=0,"",IFERROR(L102/K102,0))</f>
        <v/>
      </c>
      <c r="AF102" s="18">
        <f>IF(COUNT(C102:O102)=0,"",IFERROR(M102/L102,0))</f>
        <v/>
      </c>
      <c r="AG102" s="17">
        <f>IF(COUNT(C102:O102)=0,"",IFERROR(M102/H102,0))</f>
        <v/>
      </c>
      <c r="AH102" s="15">
        <f>IF(COUNT(C102:O102)=0,"",IFERROR(C102/M102,0))</f>
        <v/>
      </c>
      <c r="AI102" s="20">
        <f>IF(COUNT(C102:O102)=0,"",IFERROR(M102*Config!$C$7+N102*Config!$C$8,0))</f>
        <v/>
      </c>
      <c r="AJ102" s="20">
        <f>IF(COUNT(C102:O102)=0,"",IFERROR(IF(O102&gt;0,O102,AI102*Config!$C$9),0))</f>
        <v/>
      </c>
      <c r="AK102" s="20">
        <f>IF(COUNT(C102:O102)=0,"",IFERROR(AJ102*(1-Config!$C$10-Config!$C$11-Config!$C$12),0))</f>
        <v/>
      </c>
      <c r="AL102" s="20">
        <f>IF(COUNT(C102:O102)=0,"",IFERROR(AK102-C102-Config!$C$13,0))</f>
        <v/>
      </c>
      <c r="AM102" s="21">
        <f>IF(COUNT(C102:O102)=0,"",IFERROR(AK102/C102,0))</f>
        <v/>
      </c>
      <c r="AN102" s="21">
        <f>IF(COUNT(C102:O102)=0,"",IFERROR(AI102/C102,0))</f>
        <v/>
      </c>
      <c r="AO102" s="15">
        <f>IF(COUNT(C102:O102)=0,"",IFERROR(AL102/G102,0))</f>
        <v/>
      </c>
      <c r="AP102" s="21">
        <f>IF(COUNT(C102:O102)=0,"",IFERROR(AO102/U102,0))</f>
        <v/>
      </c>
      <c r="AQ102" s="15">
        <f>IF(COUNT(C102:O102)=0,"",IFERROR(AL102/H102,0))</f>
        <v/>
      </c>
    </row>
    <row r="103">
      <c r="A103" s="12">
        <f>Config!$C$6+97</f>
        <v/>
      </c>
      <c r="B103" s="13">
        <f>INT((A103-Config!$C$6)/7)+1</f>
        <v/>
      </c>
      <c r="C103" s="10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0" t="n"/>
      <c r="P103" s="15">
        <f>IF(COUNT(C103:O103)=0,"",IFERROR(C103/D103*1000,0))</f>
        <v/>
      </c>
      <c r="Q103" s="16">
        <f>IF(COUNT(C103:O103)=0,"",IFERROR(D103/E103,0))</f>
        <v/>
      </c>
      <c r="R103" s="17">
        <f>IF(COUNT(C103:O103)=0,"",IFERROR(F103/D103,0))</f>
        <v/>
      </c>
      <c r="S103" s="15">
        <f>IF(COUNT(C103:O103)=0,"",IFERROR(C103/F103,0))</f>
        <v/>
      </c>
      <c r="T103" s="18">
        <f>IF(COUNT(C103:O103)=0,"",IFERROR(G103/F103,0))</f>
        <v/>
      </c>
      <c r="U103" s="15">
        <f>IF(COUNT(C103:O103)=0,"",IFERROR(C103/G103,0))</f>
        <v/>
      </c>
      <c r="V103" s="19">
        <f>IF(COUNT(C103:O103)=0,"",IFERROR(G103/D103*1000,0))</f>
        <v/>
      </c>
      <c r="W103" s="18">
        <f>IF(COUNT(C103:O103)=0,"",IFERROR(H103/G103,0))</f>
        <v/>
      </c>
      <c r="X103" s="15">
        <f>IF(COUNT(C103:O103)=0,"",IFERROR(C103/H103,0))</f>
        <v/>
      </c>
      <c r="Y103" s="18">
        <f>IF(COUNT(C103:O103)=0,"",IFERROR(X103/P103,0))</f>
        <v/>
      </c>
      <c r="Z103" s="19">
        <f>IF(COUNT(C103:O103)=0,"",IFERROR(H103/D103*1000,0))</f>
        <v/>
      </c>
      <c r="AA103" s="18">
        <f>IF(COUNT(C103:O103)=0,"",IFERROR(I103/H103,0))</f>
        <v/>
      </c>
      <c r="AB103" s="18">
        <f>IF(COUNT(C103:O103)=0,"",IFERROR(J103/I103,0))</f>
        <v/>
      </c>
      <c r="AC103" s="18">
        <f>IF(COUNT(C103:O103)=0,"",IFERROR(K103/J103,0))</f>
        <v/>
      </c>
      <c r="AD103" s="15">
        <f>IF(COUNT(C103:O103)=0,"",IFERROR(C103/K103,0))</f>
        <v/>
      </c>
      <c r="AE103" s="18">
        <f>IF(COUNT(C103:O103)=0,"",IFERROR(L103/K103,0))</f>
        <v/>
      </c>
      <c r="AF103" s="18">
        <f>IF(COUNT(C103:O103)=0,"",IFERROR(M103/L103,0))</f>
        <v/>
      </c>
      <c r="AG103" s="17">
        <f>IF(COUNT(C103:O103)=0,"",IFERROR(M103/H103,0))</f>
        <v/>
      </c>
      <c r="AH103" s="15">
        <f>IF(COUNT(C103:O103)=0,"",IFERROR(C103/M103,0))</f>
        <v/>
      </c>
      <c r="AI103" s="20">
        <f>IF(COUNT(C103:O103)=0,"",IFERROR(M103*Config!$C$7+N103*Config!$C$8,0))</f>
        <v/>
      </c>
      <c r="AJ103" s="20">
        <f>IF(COUNT(C103:O103)=0,"",IFERROR(IF(O103&gt;0,O103,AI103*Config!$C$9),0))</f>
        <v/>
      </c>
      <c r="AK103" s="20">
        <f>IF(COUNT(C103:O103)=0,"",IFERROR(AJ103*(1-Config!$C$10-Config!$C$11-Config!$C$12),0))</f>
        <v/>
      </c>
      <c r="AL103" s="20">
        <f>IF(COUNT(C103:O103)=0,"",IFERROR(AK103-C103-Config!$C$13,0))</f>
        <v/>
      </c>
      <c r="AM103" s="21">
        <f>IF(COUNT(C103:O103)=0,"",IFERROR(AK103/C103,0))</f>
        <v/>
      </c>
      <c r="AN103" s="21">
        <f>IF(COUNT(C103:O103)=0,"",IFERROR(AI103/C103,0))</f>
        <v/>
      </c>
      <c r="AO103" s="15">
        <f>IF(COUNT(C103:O103)=0,"",IFERROR(AL103/G103,0))</f>
        <v/>
      </c>
      <c r="AP103" s="21">
        <f>IF(COUNT(C103:O103)=0,"",IFERROR(AO103/U103,0))</f>
        <v/>
      </c>
      <c r="AQ103" s="15">
        <f>IF(COUNT(C103:O103)=0,"",IFERROR(AL103/H103,0))</f>
        <v/>
      </c>
    </row>
    <row r="104">
      <c r="A104" s="12">
        <f>Config!$C$6+98</f>
        <v/>
      </c>
      <c r="B104" s="13">
        <f>INT((A104-Config!$C$6)/7)+1</f>
        <v/>
      </c>
      <c r="C104" s="10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0" t="n"/>
      <c r="P104" s="15">
        <f>IF(COUNT(C104:O104)=0,"",IFERROR(C104/D104*1000,0))</f>
        <v/>
      </c>
      <c r="Q104" s="16">
        <f>IF(COUNT(C104:O104)=0,"",IFERROR(D104/E104,0))</f>
        <v/>
      </c>
      <c r="R104" s="17">
        <f>IF(COUNT(C104:O104)=0,"",IFERROR(F104/D104,0))</f>
        <v/>
      </c>
      <c r="S104" s="15">
        <f>IF(COUNT(C104:O104)=0,"",IFERROR(C104/F104,0))</f>
        <v/>
      </c>
      <c r="T104" s="18">
        <f>IF(COUNT(C104:O104)=0,"",IFERROR(G104/F104,0))</f>
        <v/>
      </c>
      <c r="U104" s="15">
        <f>IF(COUNT(C104:O104)=0,"",IFERROR(C104/G104,0))</f>
        <v/>
      </c>
      <c r="V104" s="19">
        <f>IF(COUNT(C104:O104)=0,"",IFERROR(G104/D104*1000,0))</f>
        <v/>
      </c>
      <c r="W104" s="18">
        <f>IF(COUNT(C104:O104)=0,"",IFERROR(H104/G104,0))</f>
        <v/>
      </c>
      <c r="X104" s="15">
        <f>IF(COUNT(C104:O104)=0,"",IFERROR(C104/H104,0))</f>
        <v/>
      </c>
      <c r="Y104" s="18">
        <f>IF(COUNT(C104:O104)=0,"",IFERROR(X104/P104,0))</f>
        <v/>
      </c>
      <c r="Z104" s="19">
        <f>IF(COUNT(C104:O104)=0,"",IFERROR(H104/D104*1000,0))</f>
        <v/>
      </c>
      <c r="AA104" s="18">
        <f>IF(COUNT(C104:O104)=0,"",IFERROR(I104/H104,0))</f>
        <v/>
      </c>
      <c r="AB104" s="18">
        <f>IF(COUNT(C104:O104)=0,"",IFERROR(J104/I104,0))</f>
        <v/>
      </c>
      <c r="AC104" s="18">
        <f>IF(COUNT(C104:O104)=0,"",IFERROR(K104/J104,0))</f>
        <v/>
      </c>
      <c r="AD104" s="15">
        <f>IF(COUNT(C104:O104)=0,"",IFERROR(C104/K104,0))</f>
        <v/>
      </c>
      <c r="AE104" s="18">
        <f>IF(COUNT(C104:O104)=0,"",IFERROR(L104/K104,0))</f>
        <v/>
      </c>
      <c r="AF104" s="18">
        <f>IF(COUNT(C104:O104)=0,"",IFERROR(M104/L104,0))</f>
        <v/>
      </c>
      <c r="AG104" s="17">
        <f>IF(COUNT(C104:O104)=0,"",IFERROR(M104/H104,0))</f>
        <v/>
      </c>
      <c r="AH104" s="15">
        <f>IF(COUNT(C104:O104)=0,"",IFERROR(C104/M104,0))</f>
        <v/>
      </c>
      <c r="AI104" s="20">
        <f>IF(COUNT(C104:O104)=0,"",IFERROR(M104*Config!$C$7+N104*Config!$C$8,0))</f>
        <v/>
      </c>
      <c r="AJ104" s="20">
        <f>IF(COUNT(C104:O104)=0,"",IFERROR(IF(O104&gt;0,O104,AI104*Config!$C$9),0))</f>
        <v/>
      </c>
      <c r="AK104" s="20">
        <f>IF(COUNT(C104:O104)=0,"",IFERROR(AJ104*(1-Config!$C$10-Config!$C$11-Config!$C$12),0))</f>
        <v/>
      </c>
      <c r="AL104" s="20">
        <f>IF(COUNT(C104:O104)=0,"",IFERROR(AK104-C104-Config!$C$13,0))</f>
        <v/>
      </c>
      <c r="AM104" s="21">
        <f>IF(COUNT(C104:O104)=0,"",IFERROR(AK104/C104,0))</f>
        <v/>
      </c>
      <c r="AN104" s="21">
        <f>IF(COUNT(C104:O104)=0,"",IFERROR(AI104/C104,0))</f>
        <v/>
      </c>
      <c r="AO104" s="15">
        <f>IF(COUNT(C104:O104)=0,"",IFERROR(AL104/G104,0))</f>
        <v/>
      </c>
      <c r="AP104" s="21">
        <f>IF(COUNT(C104:O104)=0,"",IFERROR(AO104/U104,0))</f>
        <v/>
      </c>
      <c r="AQ104" s="15">
        <f>IF(COUNT(C104:O104)=0,"",IFERROR(AL104/H104,0))</f>
        <v/>
      </c>
    </row>
    <row r="105">
      <c r="A105" s="12">
        <f>Config!$C$6+99</f>
        <v/>
      </c>
      <c r="B105" s="13">
        <f>INT((A105-Config!$C$6)/7)+1</f>
        <v/>
      </c>
      <c r="C105" s="10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0" t="n"/>
      <c r="P105" s="15">
        <f>IF(COUNT(C105:O105)=0,"",IFERROR(C105/D105*1000,0))</f>
        <v/>
      </c>
      <c r="Q105" s="16">
        <f>IF(COUNT(C105:O105)=0,"",IFERROR(D105/E105,0))</f>
        <v/>
      </c>
      <c r="R105" s="17">
        <f>IF(COUNT(C105:O105)=0,"",IFERROR(F105/D105,0))</f>
        <v/>
      </c>
      <c r="S105" s="15">
        <f>IF(COUNT(C105:O105)=0,"",IFERROR(C105/F105,0))</f>
        <v/>
      </c>
      <c r="T105" s="18">
        <f>IF(COUNT(C105:O105)=0,"",IFERROR(G105/F105,0))</f>
        <v/>
      </c>
      <c r="U105" s="15">
        <f>IF(COUNT(C105:O105)=0,"",IFERROR(C105/G105,0))</f>
        <v/>
      </c>
      <c r="V105" s="19">
        <f>IF(COUNT(C105:O105)=0,"",IFERROR(G105/D105*1000,0))</f>
        <v/>
      </c>
      <c r="W105" s="18">
        <f>IF(COUNT(C105:O105)=0,"",IFERROR(H105/G105,0))</f>
        <v/>
      </c>
      <c r="X105" s="15">
        <f>IF(COUNT(C105:O105)=0,"",IFERROR(C105/H105,0))</f>
        <v/>
      </c>
      <c r="Y105" s="18">
        <f>IF(COUNT(C105:O105)=0,"",IFERROR(X105/P105,0))</f>
        <v/>
      </c>
      <c r="Z105" s="19">
        <f>IF(COUNT(C105:O105)=0,"",IFERROR(H105/D105*1000,0))</f>
        <v/>
      </c>
      <c r="AA105" s="18">
        <f>IF(COUNT(C105:O105)=0,"",IFERROR(I105/H105,0))</f>
        <v/>
      </c>
      <c r="AB105" s="18">
        <f>IF(COUNT(C105:O105)=0,"",IFERROR(J105/I105,0))</f>
        <v/>
      </c>
      <c r="AC105" s="18">
        <f>IF(COUNT(C105:O105)=0,"",IFERROR(K105/J105,0))</f>
        <v/>
      </c>
      <c r="AD105" s="15">
        <f>IF(COUNT(C105:O105)=0,"",IFERROR(C105/K105,0))</f>
        <v/>
      </c>
      <c r="AE105" s="18">
        <f>IF(COUNT(C105:O105)=0,"",IFERROR(L105/K105,0))</f>
        <v/>
      </c>
      <c r="AF105" s="18">
        <f>IF(COUNT(C105:O105)=0,"",IFERROR(M105/L105,0))</f>
        <v/>
      </c>
      <c r="AG105" s="17">
        <f>IF(COUNT(C105:O105)=0,"",IFERROR(M105/H105,0))</f>
        <v/>
      </c>
      <c r="AH105" s="15">
        <f>IF(COUNT(C105:O105)=0,"",IFERROR(C105/M105,0))</f>
        <v/>
      </c>
      <c r="AI105" s="20">
        <f>IF(COUNT(C105:O105)=0,"",IFERROR(M105*Config!$C$7+N105*Config!$C$8,0))</f>
        <v/>
      </c>
      <c r="AJ105" s="20">
        <f>IF(COUNT(C105:O105)=0,"",IFERROR(IF(O105&gt;0,O105,AI105*Config!$C$9),0))</f>
        <v/>
      </c>
      <c r="AK105" s="20">
        <f>IF(COUNT(C105:O105)=0,"",IFERROR(AJ105*(1-Config!$C$10-Config!$C$11-Config!$C$12),0))</f>
        <v/>
      </c>
      <c r="AL105" s="20">
        <f>IF(COUNT(C105:O105)=0,"",IFERROR(AK105-C105-Config!$C$13,0))</f>
        <v/>
      </c>
      <c r="AM105" s="21">
        <f>IF(COUNT(C105:O105)=0,"",IFERROR(AK105/C105,0))</f>
        <v/>
      </c>
      <c r="AN105" s="21">
        <f>IF(COUNT(C105:O105)=0,"",IFERROR(AI105/C105,0))</f>
        <v/>
      </c>
      <c r="AO105" s="15">
        <f>IF(COUNT(C105:O105)=0,"",IFERROR(AL105/G105,0))</f>
        <v/>
      </c>
      <c r="AP105" s="21">
        <f>IF(COUNT(C105:O105)=0,"",IFERROR(AO105/U105,0))</f>
        <v/>
      </c>
      <c r="AQ105" s="15">
        <f>IF(COUNT(C105:O105)=0,"",IFERROR(AL105/H105,0))</f>
        <v/>
      </c>
    </row>
    <row r="106">
      <c r="A106" s="12">
        <f>Config!$C$6+100</f>
        <v/>
      </c>
      <c r="B106" s="13">
        <f>INT((A106-Config!$C$6)/7)+1</f>
        <v/>
      </c>
      <c r="C106" s="10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0" t="n"/>
      <c r="P106" s="15">
        <f>IF(COUNT(C106:O106)=0,"",IFERROR(C106/D106*1000,0))</f>
        <v/>
      </c>
      <c r="Q106" s="16">
        <f>IF(COUNT(C106:O106)=0,"",IFERROR(D106/E106,0))</f>
        <v/>
      </c>
      <c r="R106" s="17">
        <f>IF(COUNT(C106:O106)=0,"",IFERROR(F106/D106,0))</f>
        <v/>
      </c>
      <c r="S106" s="15">
        <f>IF(COUNT(C106:O106)=0,"",IFERROR(C106/F106,0))</f>
        <v/>
      </c>
      <c r="T106" s="18">
        <f>IF(COUNT(C106:O106)=0,"",IFERROR(G106/F106,0))</f>
        <v/>
      </c>
      <c r="U106" s="15">
        <f>IF(COUNT(C106:O106)=0,"",IFERROR(C106/G106,0))</f>
        <v/>
      </c>
      <c r="V106" s="19">
        <f>IF(COUNT(C106:O106)=0,"",IFERROR(G106/D106*1000,0))</f>
        <v/>
      </c>
      <c r="W106" s="18">
        <f>IF(COUNT(C106:O106)=0,"",IFERROR(H106/G106,0))</f>
        <v/>
      </c>
      <c r="X106" s="15">
        <f>IF(COUNT(C106:O106)=0,"",IFERROR(C106/H106,0))</f>
        <v/>
      </c>
      <c r="Y106" s="18">
        <f>IF(COUNT(C106:O106)=0,"",IFERROR(X106/P106,0))</f>
        <v/>
      </c>
      <c r="Z106" s="19">
        <f>IF(COUNT(C106:O106)=0,"",IFERROR(H106/D106*1000,0))</f>
        <v/>
      </c>
      <c r="AA106" s="18">
        <f>IF(COUNT(C106:O106)=0,"",IFERROR(I106/H106,0))</f>
        <v/>
      </c>
      <c r="AB106" s="18">
        <f>IF(COUNT(C106:O106)=0,"",IFERROR(J106/I106,0))</f>
        <v/>
      </c>
      <c r="AC106" s="18">
        <f>IF(COUNT(C106:O106)=0,"",IFERROR(K106/J106,0))</f>
        <v/>
      </c>
      <c r="AD106" s="15">
        <f>IF(COUNT(C106:O106)=0,"",IFERROR(C106/K106,0))</f>
        <v/>
      </c>
      <c r="AE106" s="18">
        <f>IF(COUNT(C106:O106)=0,"",IFERROR(L106/K106,0))</f>
        <v/>
      </c>
      <c r="AF106" s="18">
        <f>IF(COUNT(C106:O106)=0,"",IFERROR(M106/L106,0))</f>
        <v/>
      </c>
      <c r="AG106" s="17">
        <f>IF(COUNT(C106:O106)=0,"",IFERROR(M106/H106,0))</f>
        <v/>
      </c>
      <c r="AH106" s="15">
        <f>IF(COUNT(C106:O106)=0,"",IFERROR(C106/M106,0))</f>
        <v/>
      </c>
      <c r="AI106" s="20">
        <f>IF(COUNT(C106:O106)=0,"",IFERROR(M106*Config!$C$7+N106*Config!$C$8,0))</f>
        <v/>
      </c>
      <c r="AJ106" s="20">
        <f>IF(COUNT(C106:O106)=0,"",IFERROR(IF(O106&gt;0,O106,AI106*Config!$C$9),0))</f>
        <v/>
      </c>
      <c r="AK106" s="20">
        <f>IF(COUNT(C106:O106)=0,"",IFERROR(AJ106*(1-Config!$C$10-Config!$C$11-Config!$C$12),0))</f>
        <v/>
      </c>
      <c r="AL106" s="20">
        <f>IF(COUNT(C106:O106)=0,"",IFERROR(AK106-C106-Config!$C$13,0))</f>
        <v/>
      </c>
      <c r="AM106" s="21">
        <f>IF(COUNT(C106:O106)=0,"",IFERROR(AK106/C106,0))</f>
        <v/>
      </c>
      <c r="AN106" s="21">
        <f>IF(COUNT(C106:O106)=0,"",IFERROR(AI106/C106,0))</f>
        <v/>
      </c>
      <c r="AO106" s="15">
        <f>IF(COUNT(C106:O106)=0,"",IFERROR(AL106/G106,0))</f>
        <v/>
      </c>
      <c r="AP106" s="21">
        <f>IF(COUNT(C106:O106)=0,"",IFERROR(AO106/U106,0))</f>
        <v/>
      </c>
      <c r="AQ106" s="15">
        <f>IF(COUNT(C106:O106)=0,"",IFERROR(AL106/H106,0))</f>
        <v/>
      </c>
    </row>
    <row r="107">
      <c r="A107" s="12">
        <f>Config!$C$6+101</f>
        <v/>
      </c>
      <c r="B107" s="13">
        <f>INT((A107-Config!$C$6)/7)+1</f>
        <v/>
      </c>
      <c r="C107" s="10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0" t="n"/>
      <c r="P107" s="15">
        <f>IF(COUNT(C107:O107)=0,"",IFERROR(C107/D107*1000,0))</f>
        <v/>
      </c>
      <c r="Q107" s="16">
        <f>IF(COUNT(C107:O107)=0,"",IFERROR(D107/E107,0))</f>
        <v/>
      </c>
      <c r="R107" s="17">
        <f>IF(COUNT(C107:O107)=0,"",IFERROR(F107/D107,0))</f>
        <v/>
      </c>
      <c r="S107" s="15">
        <f>IF(COUNT(C107:O107)=0,"",IFERROR(C107/F107,0))</f>
        <v/>
      </c>
      <c r="T107" s="18">
        <f>IF(COUNT(C107:O107)=0,"",IFERROR(G107/F107,0))</f>
        <v/>
      </c>
      <c r="U107" s="15">
        <f>IF(COUNT(C107:O107)=0,"",IFERROR(C107/G107,0))</f>
        <v/>
      </c>
      <c r="V107" s="19">
        <f>IF(COUNT(C107:O107)=0,"",IFERROR(G107/D107*1000,0))</f>
        <v/>
      </c>
      <c r="W107" s="18">
        <f>IF(COUNT(C107:O107)=0,"",IFERROR(H107/G107,0))</f>
        <v/>
      </c>
      <c r="X107" s="15">
        <f>IF(COUNT(C107:O107)=0,"",IFERROR(C107/H107,0))</f>
        <v/>
      </c>
      <c r="Y107" s="18">
        <f>IF(COUNT(C107:O107)=0,"",IFERROR(X107/P107,0))</f>
        <v/>
      </c>
      <c r="Z107" s="19">
        <f>IF(COUNT(C107:O107)=0,"",IFERROR(H107/D107*1000,0))</f>
        <v/>
      </c>
      <c r="AA107" s="18">
        <f>IF(COUNT(C107:O107)=0,"",IFERROR(I107/H107,0))</f>
        <v/>
      </c>
      <c r="AB107" s="18">
        <f>IF(COUNT(C107:O107)=0,"",IFERROR(J107/I107,0))</f>
        <v/>
      </c>
      <c r="AC107" s="18">
        <f>IF(COUNT(C107:O107)=0,"",IFERROR(K107/J107,0))</f>
        <v/>
      </c>
      <c r="AD107" s="15">
        <f>IF(COUNT(C107:O107)=0,"",IFERROR(C107/K107,0))</f>
        <v/>
      </c>
      <c r="AE107" s="18">
        <f>IF(COUNT(C107:O107)=0,"",IFERROR(L107/K107,0))</f>
        <v/>
      </c>
      <c r="AF107" s="18">
        <f>IF(COUNT(C107:O107)=0,"",IFERROR(M107/L107,0))</f>
        <v/>
      </c>
      <c r="AG107" s="17">
        <f>IF(COUNT(C107:O107)=0,"",IFERROR(M107/H107,0))</f>
        <v/>
      </c>
      <c r="AH107" s="15">
        <f>IF(COUNT(C107:O107)=0,"",IFERROR(C107/M107,0))</f>
        <v/>
      </c>
      <c r="AI107" s="20">
        <f>IF(COUNT(C107:O107)=0,"",IFERROR(M107*Config!$C$7+N107*Config!$C$8,0))</f>
        <v/>
      </c>
      <c r="AJ107" s="20">
        <f>IF(COUNT(C107:O107)=0,"",IFERROR(IF(O107&gt;0,O107,AI107*Config!$C$9),0))</f>
        <v/>
      </c>
      <c r="AK107" s="20">
        <f>IF(COUNT(C107:O107)=0,"",IFERROR(AJ107*(1-Config!$C$10-Config!$C$11-Config!$C$12),0))</f>
        <v/>
      </c>
      <c r="AL107" s="20">
        <f>IF(COUNT(C107:O107)=0,"",IFERROR(AK107-C107-Config!$C$13,0))</f>
        <v/>
      </c>
      <c r="AM107" s="21">
        <f>IF(COUNT(C107:O107)=0,"",IFERROR(AK107/C107,0))</f>
        <v/>
      </c>
      <c r="AN107" s="21">
        <f>IF(COUNT(C107:O107)=0,"",IFERROR(AI107/C107,0))</f>
        <v/>
      </c>
      <c r="AO107" s="15">
        <f>IF(COUNT(C107:O107)=0,"",IFERROR(AL107/G107,0))</f>
        <v/>
      </c>
      <c r="AP107" s="21">
        <f>IF(COUNT(C107:O107)=0,"",IFERROR(AO107/U107,0))</f>
        <v/>
      </c>
      <c r="AQ107" s="15">
        <f>IF(COUNT(C107:O107)=0,"",IFERROR(AL107/H107,0))</f>
        <v/>
      </c>
    </row>
    <row r="108">
      <c r="A108" s="12">
        <f>Config!$C$6+102</f>
        <v/>
      </c>
      <c r="B108" s="13">
        <f>INT((A108-Config!$C$6)/7)+1</f>
        <v/>
      </c>
      <c r="C108" s="10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0" t="n"/>
      <c r="P108" s="15">
        <f>IF(COUNT(C108:O108)=0,"",IFERROR(C108/D108*1000,0))</f>
        <v/>
      </c>
      <c r="Q108" s="16">
        <f>IF(COUNT(C108:O108)=0,"",IFERROR(D108/E108,0))</f>
        <v/>
      </c>
      <c r="R108" s="17">
        <f>IF(COUNT(C108:O108)=0,"",IFERROR(F108/D108,0))</f>
        <v/>
      </c>
      <c r="S108" s="15">
        <f>IF(COUNT(C108:O108)=0,"",IFERROR(C108/F108,0))</f>
        <v/>
      </c>
      <c r="T108" s="18">
        <f>IF(COUNT(C108:O108)=0,"",IFERROR(G108/F108,0))</f>
        <v/>
      </c>
      <c r="U108" s="15">
        <f>IF(COUNT(C108:O108)=0,"",IFERROR(C108/G108,0))</f>
        <v/>
      </c>
      <c r="V108" s="19">
        <f>IF(COUNT(C108:O108)=0,"",IFERROR(G108/D108*1000,0))</f>
        <v/>
      </c>
      <c r="W108" s="18">
        <f>IF(COUNT(C108:O108)=0,"",IFERROR(H108/G108,0))</f>
        <v/>
      </c>
      <c r="X108" s="15">
        <f>IF(COUNT(C108:O108)=0,"",IFERROR(C108/H108,0))</f>
        <v/>
      </c>
      <c r="Y108" s="18">
        <f>IF(COUNT(C108:O108)=0,"",IFERROR(X108/P108,0))</f>
        <v/>
      </c>
      <c r="Z108" s="19">
        <f>IF(COUNT(C108:O108)=0,"",IFERROR(H108/D108*1000,0))</f>
        <v/>
      </c>
      <c r="AA108" s="18">
        <f>IF(COUNT(C108:O108)=0,"",IFERROR(I108/H108,0))</f>
        <v/>
      </c>
      <c r="AB108" s="18">
        <f>IF(COUNT(C108:O108)=0,"",IFERROR(J108/I108,0))</f>
        <v/>
      </c>
      <c r="AC108" s="18">
        <f>IF(COUNT(C108:O108)=0,"",IFERROR(K108/J108,0))</f>
        <v/>
      </c>
      <c r="AD108" s="15">
        <f>IF(COUNT(C108:O108)=0,"",IFERROR(C108/K108,0))</f>
        <v/>
      </c>
      <c r="AE108" s="18">
        <f>IF(COUNT(C108:O108)=0,"",IFERROR(L108/K108,0))</f>
        <v/>
      </c>
      <c r="AF108" s="18">
        <f>IF(COUNT(C108:O108)=0,"",IFERROR(M108/L108,0))</f>
        <v/>
      </c>
      <c r="AG108" s="17">
        <f>IF(COUNT(C108:O108)=0,"",IFERROR(M108/H108,0))</f>
        <v/>
      </c>
      <c r="AH108" s="15">
        <f>IF(COUNT(C108:O108)=0,"",IFERROR(C108/M108,0))</f>
        <v/>
      </c>
      <c r="AI108" s="20">
        <f>IF(COUNT(C108:O108)=0,"",IFERROR(M108*Config!$C$7+N108*Config!$C$8,0))</f>
        <v/>
      </c>
      <c r="AJ108" s="20">
        <f>IF(COUNT(C108:O108)=0,"",IFERROR(IF(O108&gt;0,O108,AI108*Config!$C$9),0))</f>
        <v/>
      </c>
      <c r="AK108" s="20">
        <f>IF(COUNT(C108:O108)=0,"",IFERROR(AJ108*(1-Config!$C$10-Config!$C$11-Config!$C$12),0))</f>
        <v/>
      </c>
      <c r="AL108" s="20">
        <f>IF(COUNT(C108:O108)=0,"",IFERROR(AK108-C108-Config!$C$13,0))</f>
        <v/>
      </c>
      <c r="AM108" s="21">
        <f>IF(COUNT(C108:O108)=0,"",IFERROR(AK108/C108,0))</f>
        <v/>
      </c>
      <c r="AN108" s="21">
        <f>IF(COUNT(C108:O108)=0,"",IFERROR(AI108/C108,0))</f>
        <v/>
      </c>
      <c r="AO108" s="15">
        <f>IF(COUNT(C108:O108)=0,"",IFERROR(AL108/G108,0))</f>
        <v/>
      </c>
      <c r="AP108" s="21">
        <f>IF(COUNT(C108:O108)=0,"",IFERROR(AO108/U108,0))</f>
        <v/>
      </c>
      <c r="AQ108" s="15">
        <f>IF(COUNT(C108:O108)=0,"",IFERROR(AL108/H108,0))</f>
        <v/>
      </c>
    </row>
    <row r="109">
      <c r="A109" s="12">
        <f>Config!$C$6+103</f>
        <v/>
      </c>
      <c r="B109" s="13">
        <f>INT((A109-Config!$C$6)/7)+1</f>
        <v/>
      </c>
      <c r="C109" s="10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0" t="n"/>
      <c r="P109" s="15">
        <f>IF(COUNT(C109:O109)=0,"",IFERROR(C109/D109*1000,0))</f>
        <v/>
      </c>
      <c r="Q109" s="16">
        <f>IF(COUNT(C109:O109)=0,"",IFERROR(D109/E109,0))</f>
        <v/>
      </c>
      <c r="R109" s="17">
        <f>IF(COUNT(C109:O109)=0,"",IFERROR(F109/D109,0))</f>
        <v/>
      </c>
      <c r="S109" s="15">
        <f>IF(COUNT(C109:O109)=0,"",IFERROR(C109/F109,0))</f>
        <v/>
      </c>
      <c r="T109" s="18">
        <f>IF(COUNT(C109:O109)=0,"",IFERROR(G109/F109,0))</f>
        <v/>
      </c>
      <c r="U109" s="15">
        <f>IF(COUNT(C109:O109)=0,"",IFERROR(C109/G109,0))</f>
        <v/>
      </c>
      <c r="V109" s="19">
        <f>IF(COUNT(C109:O109)=0,"",IFERROR(G109/D109*1000,0))</f>
        <v/>
      </c>
      <c r="W109" s="18">
        <f>IF(COUNT(C109:O109)=0,"",IFERROR(H109/G109,0))</f>
        <v/>
      </c>
      <c r="X109" s="15">
        <f>IF(COUNT(C109:O109)=0,"",IFERROR(C109/H109,0))</f>
        <v/>
      </c>
      <c r="Y109" s="18">
        <f>IF(COUNT(C109:O109)=0,"",IFERROR(X109/P109,0))</f>
        <v/>
      </c>
      <c r="Z109" s="19">
        <f>IF(COUNT(C109:O109)=0,"",IFERROR(H109/D109*1000,0))</f>
        <v/>
      </c>
      <c r="AA109" s="18">
        <f>IF(COUNT(C109:O109)=0,"",IFERROR(I109/H109,0))</f>
        <v/>
      </c>
      <c r="AB109" s="18">
        <f>IF(COUNT(C109:O109)=0,"",IFERROR(J109/I109,0))</f>
        <v/>
      </c>
      <c r="AC109" s="18">
        <f>IF(COUNT(C109:O109)=0,"",IFERROR(K109/J109,0))</f>
        <v/>
      </c>
      <c r="AD109" s="15">
        <f>IF(COUNT(C109:O109)=0,"",IFERROR(C109/K109,0))</f>
        <v/>
      </c>
      <c r="AE109" s="18">
        <f>IF(COUNT(C109:O109)=0,"",IFERROR(L109/K109,0))</f>
        <v/>
      </c>
      <c r="AF109" s="18">
        <f>IF(COUNT(C109:O109)=0,"",IFERROR(M109/L109,0))</f>
        <v/>
      </c>
      <c r="AG109" s="17">
        <f>IF(COUNT(C109:O109)=0,"",IFERROR(M109/H109,0))</f>
        <v/>
      </c>
      <c r="AH109" s="15">
        <f>IF(COUNT(C109:O109)=0,"",IFERROR(C109/M109,0))</f>
        <v/>
      </c>
      <c r="AI109" s="20">
        <f>IF(COUNT(C109:O109)=0,"",IFERROR(M109*Config!$C$7+N109*Config!$C$8,0))</f>
        <v/>
      </c>
      <c r="AJ109" s="20">
        <f>IF(COUNT(C109:O109)=0,"",IFERROR(IF(O109&gt;0,O109,AI109*Config!$C$9),0))</f>
        <v/>
      </c>
      <c r="AK109" s="20">
        <f>IF(COUNT(C109:O109)=0,"",IFERROR(AJ109*(1-Config!$C$10-Config!$C$11-Config!$C$12),0))</f>
        <v/>
      </c>
      <c r="AL109" s="20">
        <f>IF(COUNT(C109:O109)=0,"",IFERROR(AK109-C109-Config!$C$13,0))</f>
        <v/>
      </c>
      <c r="AM109" s="21">
        <f>IF(COUNT(C109:O109)=0,"",IFERROR(AK109/C109,0))</f>
        <v/>
      </c>
      <c r="AN109" s="21">
        <f>IF(COUNT(C109:O109)=0,"",IFERROR(AI109/C109,0))</f>
        <v/>
      </c>
      <c r="AO109" s="15">
        <f>IF(COUNT(C109:O109)=0,"",IFERROR(AL109/G109,0))</f>
        <v/>
      </c>
      <c r="AP109" s="21">
        <f>IF(COUNT(C109:O109)=0,"",IFERROR(AO109/U109,0))</f>
        <v/>
      </c>
      <c r="AQ109" s="15">
        <f>IF(COUNT(C109:O109)=0,"",IFERROR(AL109/H109,0))</f>
        <v/>
      </c>
    </row>
    <row r="110">
      <c r="A110" s="12">
        <f>Config!$C$6+104</f>
        <v/>
      </c>
      <c r="B110" s="13">
        <f>INT((A110-Config!$C$6)/7)+1</f>
        <v/>
      </c>
      <c r="C110" s="10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0" t="n"/>
      <c r="P110" s="15">
        <f>IF(COUNT(C110:O110)=0,"",IFERROR(C110/D110*1000,0))</f>
        <v/>
      </c>
      <c r="Q110" s="16">
        <f>IF(COUNT(C110:O110)=0,"",IFERROR(D110/E110,0))</f>
        <v/>
      </c>
      <c r="R110" s="17">
        <f>IF(COUNT(C110:O110)=0,"",IFERROR(F110/D110,0))</f>
        <v/>
      </c>
      <c r="S110" s="15">
        <f>IF(COUNT(C110:O110)=0,"",IFERROR(C110/F110,0))</f>
        <v/>
      </c>
      <c r="T110" s="18">
        <f>IF(COUNT(C110:O110)=0,"",IFERROR(G110/F110,0))</f>
        <v/>
      </c>
      <c r="U110" s="15">
        <f>IF(COUNT(C110:O110)=0,"",IFERROR(C110/G110,0))</f>
        <v/>
      </c>
      <c r="V110" s="19">
        <f>IF(COUNT(C110:O110)=0,"",IFERROR(G110/D110*1000,0))</f>
        <v/>
      </c>
      <c r="W110" s="18">
        <f>IF(COUNT(C110:O110)=0,"",IFERROR(H110/G110,0))</f>
        <v/>
      </c>
      <c r="X110" s="15">
        <f>IF(COUNT(C110:O110)=0,"",IFERROR(C110/H110,0))</f>
        <v/>
      </c>
      <c r="Y110" s="18">
        <f>IF(COUNT(C110:O110)=0,"",IFERROR(X110/P110,0))</f>
        <v/>
      </c>
      <c r="Z110" s="19">
        <f>IF(COUNT(C110:O110)=0,"",IFERROR(H110/D110*1000,0))</f>
        <v/>
      </c>
      <c r="AA110" s="18">
        <f>IF(COUNT(C110:O110)=0,"",IFERROR(I110/H110,0))</f>
        <v/>
      </c>
      <c r="AB110" s="18">
        <f>IF(COUNT(C110:O110)=0,"",IFERROR(J110/I110,0))</f>
        <v/>
      </c>
      <c r="AC110" s="18">
        <f>IF(COUNT(C110:O110)=0,"",IFERROR(K110/J110,0))</f>
        <v/>
      </c>
      <c r="AD110" s="15">
        <f>IF(COUNT(C110:O110)=0,"",IFERROR(C110/K110,0))</f>
        <v/>
      </c>
      <c r="AE110" s="18">
        <f>IF(COUNT(C110:O110)=0,"",IFERROR(L110/K110,0))</f>
        <v/>
      </c>
      <c r="AF110" s="18">
        <f>IF(COUNT(C110:O110)=0,"",IFERROR(M110/L110,0))</f>
        <v/>
      </c>
      <c r="AG110" s="17">
        <f>IF(COUNT(C110:O110)=0,"",IFERROR(M110/H110,0))</f>
        <v/>
      </c>
      <c r="AH110" s="15">
        <f>IF(COUNT(C110:O110)=0,"",IFERROR(C110/M110,0))</f>
        <v/>
      </c>
      <c r="AI110" s="20">
        <f>IF(COUNT(C110:O110)=0,"",IFERROR(M110*Config!$C$7+N110*Config!$C$8,0))</f>
        <v/>
      </c>
      <c r="AJ110" s="20">
        <f>IF(COUNT(C110:O110)=0,"",IFERROR(IF(O110&gt;0,O110,AI110*Config!$C$9),0))</f>
        <v/>
      </c>
      <c r="AK110" s="20">
        <f>IF(COUNT(C110:O110)=0,"",IFERROR(AJ110*(1-Config!$C$10-Config!$C$11-Config!$C$12),0))</f>
        <v/>
      </c>
      <c r="AL110" s="20">
        <f>IF(COUNT(C110:O110)=0,"",IFERROR(AK110-C110-Config!$C$13,0))</f>
        <v/>
      </c>
      <c r="AM110" s="21">
        <f>IF(COUNT(C110:O110)=0,"",IFERROR(AK110/C110,0))</f>
        <v/>
      </c>
      <c r="AN110" s="21">
        <f>IF(COUNT(C110:O110)=0,"",IFERROR(AI110/C110,0))</f>
        <v/>
      </c>
      <c r="AO110" s="15">
        <f>IF(COUNT(C110:O110)=0,"",IFERROR(AL110/G110,0))</f>
        <v/>
      </c>
      <c r="AP110" s="21">
        <f>IF(COUNT(C110:O110)=0,"",IFERROR(AO110/U110,0))</f>
        <v/>
      </c>
      <c r="AQ110" s="15">
        <f>IF(COUNT(C110:O110)=0,"",IFERROR(AL110/H110,0))</f>
        <v/>
      </c>
    </row>
    <row r="111">
      <c r="A111" s="12">
        <f>Config!$C$6+105</f>
        <v/>
      </c>
      <c r="B111" s="13">
        <f>INT((A111-Config!$C$6)/7)+1</f>
        <v/>
      </c>
      <c r="C111" s="10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0" t="n"/>
      <c r="P111" s="15">
        <f>IF(COUNT(C111:O111)=0,"",IFERROR(C111/D111*1000,0))</f>
        <v/>
      </c>
      <c r="Q111" s="16">
        <f>IF(COUNT(C111:O111)=0,"",IFERROR(D111/E111,0))</f>
        <v/>
      </c>
      <c r="R111" s="17">
        <f>IF(COUNT(C111:O111)=0,"",IFERROR(F111/D111,0))</f>
        <v/>
      </c>
      <c r="S111" s="15">
        <f>IF(COUNT(C111:O111)=0,"",IFERROR(C111/F111,0))</f>
        <v/>
      </c>
      <c r="T111" s="18">
        <f>IF(COUNT(C111:O111)=0,"",IFERROR(G111/F111,0))</f>
        <v/>
      </c>
      <c r="U111" s="15">
        <f>IF(COUNT(C111:O111)=0,"",IFERROR(C111/G111,0))</f>
        <v/>
      </c>
      <c r="V111" s="19">
        <f>IF(COUNT(C111:O111)=0,"",IFERROR(G111/D111*1000,0))</f>
        <v/>
      </c>
      <c r="W111" s="18">
        <f>IF(COUNT(C111:O111)=0,"",IFERROR(H111/G111,0))</f>
        <v/>
      </c>
      <c r="X111" s="15">
        <f>IF(COUNT(C111:O111)=0,"",IFERROR(C111/H111,0))</f>
        <v/>
      </c>
      <c r="Y111" s="18">
        <f>IF(COUNT(C111:O111)=0,"",IFERROR(X111/P111,0))</f>
        <v/>
      </c>
      <c r="Z111" s="19">
        <f>IF(COUNT(C111:O111)=0,"",IFERROR(H111/D111*1000,0))</f>
        <v/>
      </c>
      <c r="AA111" s="18">
        <f>IF(COUNT(C111:O111)=0,"",IFERROR(I111/H111,0))</f>
        <v/>
      </c>
      <c r="AB111" s="18">
        <f>IF(COUNT(C111:O111)=0,"",IFERROR(J111/I111,0))</f>
        <v/>
      </c>
      <c r="AC111" s="18">
        <f>IF(COUNT(C111:O111)=0,"",IFERROR(K111/J111,0))</f>
        <v/>
      </c>
      <c r="AD111" s="15">
        <f>IF(COUNT(C111:O111)=0,"",IFERROR(C111/K111,0))</f>
        <v/>
      </c>
      <c r="AE111" s="18">
        <f>IF(COUNT(C111:O111)=0,"",IFERROR(L111/K111,0))</f>
        <v/>
      </c>
      <c r="AF111" s="18">
        <f>IF(COUNT(C111:O111)=0,"",IFERROR(M111/L111,0))</f>
        <v/>
      </c>
      <c r="AG111" s="17">
        <f>IF(COUNT(C111:O111)=0,"",IFERROR(M111/H111,0))</f>
        <v/>
      </c>
      <c r="AH111" s="15">
        <f>IF(COUNT(C111:O111)=0,"",IFERROR(C111/M111,0))</f>
        <v/>
      </c>
      <c r="AI111" s="20">
        <f>IF(COUNT(C111:O111)=0,"",IFERROR(M111*Config!$C$7+N111*Config!$C$8,0))</f>
        <v/>
      </c>
      <c r="AJ111" s="20">
        <f>IF(COUNT(C111:O111)=0,"",IFERROR(IF(O111&gt;0,O111,AI111*Config!$C$9),0))</f>
        <v/>
      </c>
      <c r="AK111" s="20">
        <f>IF(COUNT(C111:O111)=0,"",IFERROR(AJ111*(1-Config!$C$10-Config!$C$11-Config!$C$12),0))</f>
        <v/>
      </c>
      <c r="AL111" s="20">
        <f>IF(COUNT(C111:O111)=0,"",IFERROR(AK111-C111-Config!$C$13,0))</f>
        <v/>
      </c>
      <c r="AM111" s="21">
        <f>IF(COUNT(C111:O111)=0,"",IFERROR(AK111/C111,0))</f>
        <v/>
      </c>
      <c r="AN111" s="21">
        <f>IF(COUNT(C111:O111)=0,"",IFERROR(AI111/C111,0))</f>
        <v/>
      </c>
      <c r="AO111" s="15">
        <f>IF(COUNT(C111:O111)=0,"",IFERROR(AL111/G111,0))</f>
        <v/>
      </c>
      <c r="AP111" s="21">
        <f>IF(COUNT(C111:O111)=0,"",IFERROR(AO111/U111,0))</f>
        <v/>
      </c>
      <c r="AQ111" s="15">
        <f>IF(COUNT(C111:O111)=0,"",IFERROR(AL111/H111,0))</f>
        <v/>
      </c>
    </row>
    <row r="112">
      <c r="A112" s="12">
        <f>Config!$C$6+106</f>
        <v/>
      </c>
      <c r="B112" s="13">
        <f>INT((A112-Config!$C$6)/7)+1</f>
        <v/>
      </c>
      <c r="C112" s="10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0" t="n"/>
      <c r="P112" s="15">
        <f>IF(COUNT(C112:O112)=0,"",IFERROR(C112/D112*1000,0))</f>
        <v/>
      </c>
      <c r="Q112" s="16">
        <f>IF(COUNT(C112:O112)=0,"",IFERROR(D112/E112,0))</f>
        <v/>
      </c>
      <c r="R112" s="17">
        <f>IF(COUNT(C112:O112)=0,"",IFERROR(F112/D112,0))</f>
        <v/>
      </c>
      <c r="S112" s="15">
        <f>IF(COUNT(C112:O112)=0,"",IFERROR(C112/F112,0))</f>
        <v/>
      </c>
      <c r="T112" s="18">
        <f>IF(COUNT(C112:O112)=0,"",IFERROR(G112/F112,0))</f>
        <v/>
      </c>
      <c r="U112" s="15">
        <f>IF(COUNT(C112:O112)=0,"",IFERROR(C112/G112,0))</f>
        <v/>
      </c>
      <c r="V112" s="19">
        <f>IF(COUNT(C112:O112)=0,"",IFERROR(G112/D112*1000,0))</f>
        <v/>
      </c>
      <c r="W112" s="18">
        <f>IF(COUNT(C112:O112)=0,"",IFERROR(H112/G112,0))</f>
        <v/>
      </c>
      <c r="X112" s="15">
        <f>IF(COUNT(C112:O112)=0,"",IFERROR(C112/H112,0))</f>
        <v/>
      </c>
      <c r="Y112" s="18">
        <f>IF(COUNT(C112:O112)=0,"",IFERROR(X112/P112,0))</f>
        <v/>
      </c>
      <c r="Z112" s="19">
        <f>IF(COUNT(C112:O112)=0,"",IFERROR(H112/D112*1000,0))</f>
        <v/>
      </c>
      <c r="AA112" s="18">
        <f>IF(COUNT(C112:O112)=0,"",IFERROR(I112/H112,0))</f>
        <v/>
      </c>
      <c r="AB112" s="18">
        <f>IF(COUNT(C112:O112)=0,"",IFERROR(J112/I112,0))</f>
        <v/>
      </c>
      <c r="AC112" s="18">
        <f>IF(COUNT(C112:O112)=0,"",IFERROR(K112/J112,0))</f>
        <v/>
      </c>
      <c r="AD112" s="15">
        <f>IF(COUNT(C112:O112)=0,"",IFERROR(C112/K112,0))</f>
        <v/>
      </c>
      <c r="AE112" s="18">
        <f>IF(COUNT(C112:O112)=0,"",IFERROR(L112/K112,0))</f>
        <v/>
      </c>
      <c r="AF112" s="18">
        <f>IF(COUNT(C112:O112)=0,"",IFERROR(M112/L112,0))</f>
        <v/>
      </c>
      <c r="AG112" s="17">
        <f>IF(COUNT(C112:O112)=0,"",IFERROR(M112/H112,0))</f>
        <v/>
      </c>
      <c r="AH112" s="15">
        <f>IF(COUNT(C112:O112)=0,"",IFERROR(C112/M112,0))</f>
        <v/>
      </c>
      <c r="AI112" s="20">
        <f>IF(COUNT(C112:O112)=0,"",IFERROR(M112*Config!$C$7+N112*Config!$C$8,0))</f>
        <v/>
      </c>
      <c r="AJ112" s="20">
        <f>IF(COUNT(C112:O112)=0,"",IFERROR(IF(O112&gt;0,O112,AI112*Config!$C$9),0))</f>
        <v/>
      </c>
      <c r="AK112" s="20">
        <f>IF(COUNT(C112:O112)=0,"",IFERROR(AJ112*(1-Config!$C$10-Config!$C$11-Config!$C$12),0))</f>
        <v/>
      </c>
      <c r="AL112" s="20">
        <f>IF(COUNT(C112:O112)=0,"",IFERROR(AK112-C112-Config!$C$13,0))</f>
        <v/>
      </c>
      <c r="AM112" s="21">
        <f>IF(COUNT(C112:O112)=0,"",IFERROR(AK112/C112,0))</f>
        <v/>
      </c>
      <c r="AN112" s="21">
        <f>IF(COUNT(C112:O112)=0,"",IFERROR(AI112/C112,0))</f>
        <v/>
      </c>
      <c r="AO112" s="15">
        <f>IF(COUNT(C112:O112)=0,"",IFERROR(AL112/G112,0))</f>
        <v/>
      </c>
      <c r="AP112" s="21">
        <f>IF(COUNT(C112:O112)=0,"",IFERROR(AO112/U112,0))</f>
        <v/>
      </c>
      <c r="AQ112" s="15">
        <f>IF(COUNT(C112:O112)=0,"",IFERROR(AL112/H112,0))</f>
        <v/>
      </c>
    </row>
    <row r="113">
      <c r="A113" s="12">
        <f>Config!$C$6+107</f>
        <v/>
      </c>
      <c r="B113" s="13">
        <f>INT((A113-Config!$C$6)/7)+1</f>
        <v/>
      </c>
      <c r="C113" s="10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0" t="n"/>
      <c r="P113" s="15">
        <f>IF(COUNT(C113:O113)=0,"",IFERROR(C113/D113*1000,0))</f>
        <v/>
      </c>
      <c r="Q113" s="16">
        <f>IF(COUNT(C113:O113)=0,"",IFERROR(D113/E113,0))</f>
        <v/>
      </c>
      <c r="R113" s="17">
        <f>IF(COUNT(C113:O113)=0,"",IFERROR(F113/D113,0))</f>
        <v/>
      </c>
      <c r="S113" s="15">
        <f>IF(COUNT(C113:O113)=0,"",IFERROR(C113/F113,0))</f>
        <v/>
      </c>
      <c r="T113" s="18">
        <f>IF(COUNT(C113:O113)=0,"",IFERROR(G113/F113,0))</f>
        <v/>
      </c>
      <c r="U113" s="15">
        <f>IF(COUNT(C113:O113)=0,"",IFERROR(C113/G113,0))</f>
        <v/>
      </c>
      <c r="V113" s="19">
        <f>IF(COUNT(C113:O113)=0,"",IFERROR(G113/D113*1000,0))</f>
        <v/>
      </c>
      <c r="W113" s="18">
        <f>IF(COUNT(C113:O113)=0,"",IFERROR(H113/G113,0))</f>
        <v/>
      </c>
      <c r="X113" s="15">
        <f>IF(COUNT(C113:O113)=0,"",IFERROR(C113/H113,0))</f>
        <v/>
      </c>
      <c r="Y113" s="18">
        <f>IF(COUNT(C113:O113)=0,"",IFERROR(X113/P113,0))</f>
        <v/>
      </c>
      <c r="Z113" s="19">
        <f>IF(COUNT(C113:O113)=0,"",IFERROR(H113/D113*1000,0))</f>
        <v/>
      </c>
      <c r="AA113" s="18">
        <f>IF(COUNT(C113:O113)=0,"",IFERROR(I113/H113,0))</f>
        <v/>
      </c>
      <c r="AB113" s="18">
        <f>IF(COUNT(C113:O113)=0,"",IFERROR(J113/I113,0))</f>
        <v/>
      </c>
      <c r="AC113" s="18">
        <f>IF(COUNT(C113:O113)=0,"",IFERROR(K113/J113,0))</f>
        <v/>
      </c>
      <c r="AD113" s="15">
        <f>IF(COUNT(C113:O113)=0,"",IFERROR(C113/K113,0))</f>
        <v/>
      </c>
      <c r="AE113" s="18">
        <f>IF(COUNT(C113:O113)=0,"",IFERROR(L113/K113,0))</f>
        <v/>
      </c>
      <c r="AF113" s="18">
        <f>IF(COUNT(C113:O113)=0,"",IFERROR(M113/L113,0))</f>
        <v/>
      </c>
      <c r="AG113" s="17">
        <f>IF(COUNT(C113:O113)=0,"",IFERROR(M113/H113,0))</f>
        <v/>
      </c>
      <c r="AH113" s="15">
        <f>IF(COUNT(C113:O113)=0,"",IFERROR(C113/M113,0))</f>
        <v/>
      </c>
      <c r="AI113" s="20">
        <f>IF(COUNT(C113:O113)=0,"",IFERROR(M113*Config!$C$7+N113*Config!$C$8,0))</f>
        <v/>
      </c>
      <c r="AJ113" s="20">
        <f>IF(COUNT(C113:O113)=0,"",IFERROR(IF(O113&gt;0,O113,AI113*Config!$C$9),0))</f>
        <v/>
      </c>
      <c r="AK113" s="20">
        <f>IF(COUNT(C113:O113)=0,"",IFERROR(AJ113*(1-Config!$C$10-Config!$C$11-Config!$C$12),0))</f>
        <v/>
      </c>
      <c r="AL113" s="20">
        <f>IF(COUNT(C113:O113)=0,"",IFERROR(AK113-C113-Config!$C$13,0))</f>
        <v/>
      </c>
      <c r="AM113" s="21">
        <f>IF(COUNT(C113:O113)=0,"",IFERROR(AK113/C113,0))</f>
        <v/>
      </c>
      <c r="AN113" s="21">
        <f>IF(COUNT(C113:O113)=0,"",IFERROR(AI113/C113,0))</f>
        <v/>
      </c>
      <c r="AO113" s="15">
        <f>IF(COUNT(C113:O113)=0,"",IFERROR(AL113/G113,0))</f>
        <v/>
      </c>
      <c r="AP113" s="21">
        <f>IF(COUNT(C113:O113)=0,"",IFERROR(AO113/U113,0))</f>
        <v/>
      </c>
      <c r="AQ113" s="15">
        <f>IF(COUNT(C113:O113)=0,"",IFERROR(AL113/H113,0))</f>
        <v/>
      </c>
    </row>
    <row r="114">
      <c r="A114" s="12">
        <f>Config!$C$6+108</f>
        <v/>
      </c>
      <c r="B114" s="13">
        <f>INT((A114-Config!$C$6)/7)+1</f>
        <v/>
      </c>
      <c r="C114" s="10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0" t="n"/>
      <c r="P114" s="15">
        <f>IF(COUNT(C114:O114)=0,"",IFERROR(C114/D114*1000,0))</f>
        <v/>
      </c>
      <c r="Q114" s="16">
        <f>IF(COUNT(C114:O114)=0,"",IFERROR(D114/E114,0))</f>
        <v/>
      </c>
      <c r="R114" s="17">
        <f>IF(COUNT(C114:O114)=0,"",IFERROR(F114/D114,0))</f>
        <v/>
      </c>
      <c r="S114" s="15">
        <f>IF(COUNT(C114:O114)=0,"",IFERROR(C114/F114,0))</f>
        <v/>
      </c>
      <c r="T114" s="18">
        <f>IF(COUNT(C114:O114)=0,"",IFERROR(G114/F114,0))</f>
        <v/>
      </c>
      <c r="U114" s="15">
        <f>IF(COUNT(C114:O114)=0,"",IFERROR(C114/G114,0))</f>
        <v/>
      </c>
      <c r="V114" s="19">
        <f>IF(COUNT(C114:O114)=0,"",IFERROR(G114/D114*1000,0))</f>
        <v/>
      </c>
      <c r="W114" s="18">
        <f>IF(COUNT(C114:O114)=0,"",IFERROR(H114/G114,0))</f>
        <v/>
      </c>
      <c r="X114" s="15">
        <f>IF(COUNT(C114:O114)=0,"",IFERROR(C114/H114,0))</f>
        <v/>
      </c>
      <c r="Y114" s="18">
        <f>IF(COUNT(C114:O114)=0,"",IFERROR(X114/P114,0))</f>
        <v/>
      </c>
      <c r="Z114" s="19">
        <f>IF(COUNT(C114:O114)=0,"",IFERROR(H114/D114*1000,0))</f>
        <v/>
      </c>
      <c r="AA114" s="18">
        <f>IF(COUNT(C114:O114)=0,"",IFERROR(I114/H114,0))</f>
        <v/>
      </c>
      <c r="AB114" s="18">
        <f>IF(COUNT(C114:O114)=0,"",IFERROR(J114/I114,0))</f>
        <v/>
      </c>
      <c r="AC114" s="18">
        <f>IF(COUNT(C114:O114)=0,"",IFERROR(K114/J114,0))</f>
        <v/>
      </c>
      <c r="AD114" s="15">
        <f>IF(COUNT(C114:O114)=0,"",IFERROR(C114/K114,0))</f>
        <v/>
      </c>
      <c r="AE114" s="18">
        <f>IF(COUNT(C114:O114)=0,"",IFERROR(L114/K114,0))</f>
        <v/>
      </c>
      <c r="AF114" s="18">
        <f>IF(COUNT(C114:O114)=0,"",IFERROR(M114/L114,0))</f>
        <v/>
      </c>
      <c r="AG114" s="17">
        <f>IF(COUNT(C114:O114)=0,"",IFERROR(M114/H114,0))</f>
        <v/>
      </c>
      <c r="AH114" s="15">
        <f>IF(COUNT(C114:O114)=0,"",IFERROR(C114/M114,0))</f>
        <v/>
      </c>
      <c r="AI114" s="20">
        <f>IF(COUNT(C114:O114)=0,"",IFERROR(M114*Config!$C$7+N114*Config!$C$8,0))</f>
        <v/>
      </c>
      <c r="AJ114" s="20">
        <f>IF(COUNT(C114:O114)=0,"",IFERROR(IF(O114&gt;0,O114,AI114*Config!$C$9),0))</f>
        <v/>
      </c>
      <c r="AK114" s="20">
        <f>IF(COUNT(C114:O114)=0,"",IFERROR(AJ114*(1-Config!$C$10-Config!$C$11-Config!$C$12),0))</f>
        <v/>
      </c>
      <c r="AL114" s="20">
        <f>IF(COUNT(C114:O114)=0,"",IFERROR(AK114-C114-Config!$C$13,0))</f>
        <v/>
      </c>
      <c r="AM114" s="21">
        <f>IF(COUNT(C114:O114)=0,"",IFERROR(AK114/C114,0))</f>
        <v/>
      </c>
      <c r="AN114" s="21">
        <f>IF(COUNT(C114:O114)=0,"",IFERROR(AI114/C114,0))</f>
        <v/>
      </c>
      <c r="AO114" s="15">
        <f>IF(COUNT(C114:O114)=0,"",IFERROR(AL114/G114,0))</f>
        <v/>
      </c>
      <c r="AP114" s="21">
        <f>IF(COUNT(C114:O114)=0,"",IFERROR(AO114/U114,0))</f>
        <v/>
      </c>
      <c r="AQ114" s="15">
        <f>IF(COUNT(C114:O114)=0,"",IFERROR(AL114/H114,0))</f>
        <v/>
      </c>
    </row>
    <row r="115">
      <c r="A115" s="12">
        <f>Config!$C$6+109</f>
        <v/>
      </c>
      <c r="B115" s="13">
        <f>INT((A115-Config!$C$6)/7)+1</f>
        <v/>
      </c>
      <c r="C115" s="10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0" t="n"/>
      <c r="P115" s="15">
        <f>IF(COUNT(C115:O115)=0,"",IFERROR(C115/D115*1000,0))</f>
        <v/>
      </c>
      <c r="Q115" s="16">
        <f>IF(COUNT(C115:O115)=0,"",IFERROR(D115/E115,0))</f>
        <v/>
      </c>
      <c r="R115" s="17">
        <f>IF(COUNT(C115:O115)=0,"",IFERROR(F115/D115,0))</f>
        <v/>
      </c>
      <c r="S115" s="15">
        <f>IF(COUNT(C115:O115)=0,"",IFERROR(C115/F115,0))</f>
        <v/>
      </c>
      <c r="T115" s="18">
        <f>IF(COUNT(C115:O115)=0,"",IFERROR(G115/F115,0))</f>
        <v/>
      </c>
      <c r="U115" s="15">
        <f>IF(COUNT(C115:O115)=0,"",IFERROR(C115/G115,0))</f>
        <v/>
      </c>
      <c r="V115" s="19">
        <f>IF(COUNT(C115:O115)=0,"",IFERROR(G115/D115*1000,0))</f>
        <v/>
      </c>
      <c r="W115" s="18">
        <f>IF(COUNT(C115:O115)=0,"",IFERROR(H115/G115,0))</f>
        <v/>
      </c>
      <c r="X115" s="15">
        <f>IF(COUNT(C115:O115)=0,"",IFERROR(C115/H115,0))</f>
        <v/>
      </c>
      <c r="Y115" s="18">
        <f>IF(COUNT(C115:O115)=0,"",IFERROR(X115/P115,0))</f>
        <v/>
      </c>
      <c r="Z115" s="19">
        <f>IF(COUNT(C115:O115)=0,"",IFERROR(H115/D115*1000,0))</f>
        <v/>
      </c>
      <c r="AA115" s="18">
        <f>IF(COUNT(C115:O115)=0,"",IFERROR(I115/H115,0))</f>
        <v/>
      </c>
      <c r="AB115" s="18">
        <f>IF(COUNT(C115:O115)=0,"",IFERROR(J115/I115,0))</f>
        <v/>
      </c>
      <c r="AC115" s="18">
        <f>IF(COUNT(C115:O115)=0,"",IFERROR(K115/J115,0))</f>
        <v/>
      </c>
      <c r="AD115" s="15">
        <f>IF(COUNT(C115:O115)=0,"",IFERROR(C115/K115,0))</f>
        <v/>
      </c>
      <c r="AE115" s="18">
        <f>IF(COUNT(C115:O115)=0,"",IFERROR(L115/K115,0))</f>
        <v/>
      </c>
      <c r="AF115" s="18">
        <f>IF(COUNT(C115:O115)=0,"",IFERROR(M115/L115,0))</f>
        <v/>
      </c>
      <c r="AG115" s="17">
        <f>IF(COUNT(C115:O115)=0,"",IFERROR(M115/H115,0))</f>
        <v/>
      </c>
      <c r="AH115" s="15">
        <f>IF(COUNT(C115:O115)=0,"",IFERROR(C115/M115,0))</f>
        <v/>
      </c>
      <c r="AI115" s="20">
        <f>IF(COUNT(C115:O115)=0,"",IFERROR(M115*Config!$C$7+N115*Config!$C$8,0))</f>
        <v/>
      </c>
      <c r="AJ115" s="20">
        <f>IF(COUNT(C115:O115)=0,"",IFERROR(IF(O115&gt;0,O115,AI115*Config!$C$9),0))</f>
        <v/>
      </c>
      <c r="AK115" s="20">
        <f>IF(COUNT(C115:O115)=0,"",IFERROR(AJ115*(1-Config!$C$10-Config!$C$11-Config!$C$12),0))</f>
        <v/>
      </c>
      <c r="AL115" s="20">
        <f>IF(COUNT(C115:O115)=0,"",IFERROR(AK115-C115-Config!$C$13,0))</f>
        <v/>
      </c>
      <c r="AM115" s="21">
        <f>IF(COUNT(C115:O115)=0,"",IFERROR(AK115/C115,0))</f>
        <v/>
      </c>
      <c r="AN115" s="21">
        <f>IF(COUNT(C115:O115)=0,"",IFERROR(AI115/C115,0))</f>
        <v/>
      </c>
      <c r="AO115" s="15">
        <f>IF(COUNT(C115:O115)=0,"",IFERROR(AL115/G115,0))</f>
        <v/>
      </c>
      <c r="AP115" s="21">
        <f>IF(COUNT(C115:O115)=0,"",IFERROR(AO115/U115,0))</f>
        <v/>
      </c>
      <c r="AQ115" s="15">
        <f>IF(COUNT(C115:O115)=0,"",IFERROR(AL115/H115,0))</f>
        <v/>
      </c>
    </row>
    <row r="116">
      <c r="A116" s="12">
        <f>Config!$C$6+110</f>
        <v/>
      </c>
      <c r="B116" s="13">
        <f>INT((A116-Config!$C$6)/7)+1</f>
        <v/>
      </c>
      <c r="C116" s="10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0" t="n"/>
      <c r="P116" s="15">
        <f>IF(COUNT(C116:O116)=0,"",IFERROR(C116/D116*1000,0))</f>
        <v/>
      </c>
      <c r="Q116" s="16">
        <f>IF(COUNT(C116:O116)=0,"",IFERROR(D116/E116,0))</f>
        <v/>
      </c>
      <c r="R116" s="17">
        <f>IF(COUNT(C116:O116)=0,"",IFERROR(F116/D116,0))</f>
        <v/>
      </c>
      <c r="S116" s="15">
        <f>IF(COUNT(C116:O116)=0,"",IFERROR(C116/F116,0))</f>
        <v/>
      </c>
      <c r="T116" s="18">
        <f>IF(COUNT(C116:O116)=0,"",IFERROR(G116/F116,0))</f>
        <v/>
      </c>
      <c r="U116" s="15">
        <f>IF(COUNT(C116:O116)=0,"",IFERROR(C116/G116,0))</f>
        <v/>
      </c>
      <c r="V116" s="19">
        <f>IF(COUNT(C116:O116)=0,"",IFERROR(G116/D116*1000,0))</f>
        <v/>
      </c>
      <c r="W116" s="18">
        <f>IF(COUNT(C116:O116)=0,"",IFERROR(H116/G116,0))</f>
        <v/>
      </c>
      <c r="X116" s="15">
        <f>IF(COUNT(C116:O116)=0,"",IFERROR(C116/H116,0))</f>
        <v/>
      </c>
      <c r="Y116" s="18">
        <f>IF(COUNT(C116:O116)=0,"",IFERROR(X116/P116,0))</f>
        <v/>
      </c>
      <c r="Z116" s="19">
        <f>IF(COUNT(C116:O116)=0,"",IFERROR(H116/D116*1000,0))</f>
        <v/>
      </c>
      <c r="AA116" s="18">
        <f>IF(COUNT(C116:O116)=0,"",IFERROR(I116/H116,0))</f>
        <v/>
      </c>
      <c r="AB116" s="18">
        <f>IF(COUNT(C116:O116)=0,"",IFERROR(J116/I116,0))</f>
        <v/>
      </c>
      <c r="AC116" s="18">
        <f>IF(COUNT(C116:O116)=0,"",IFERROR(K116/J116,0))</f>
        <v/>
      </c>
      <c r="AD116" s="15">
        <f>IF(COUNT(C116:O116)=0,"",IFERROR(C116/K116,0))</f>
        <v/>
      </c>
      <c r="AE116" s="18">
        <f>IF(COUNT(C116:O116)=0,"",IFERROR(L116/K116,0))</f>
        <v/>
      </c>
      <c r="AF116" s="18">
        <f>IF(COUNT(C116:O116)=0,"",IFERROR(M116/L116,0))</f>
        <v/>
      </c>
      <c r="AG116" s="17">
        <f>IF(COUNT(C116:O116)=0,"",IFERROR(M116/H116,0))</f>
        <v/>
      </c>
      <c r="AH116" s="15">
        <f>IF(COUNT(C116:O116)=0,"",IFERROR(C116/M116,0))</f>
        <v/>
      </c>
      <c r="AI116" s="20">
        <f>IF(COUNT(C116:O116)=0,"",IFERROR(M116*Config!$C$7+N116*Config!$C$8,0))</f>
        <v/>
      </c>
      <c r="AJ116" s="20">
        <f>IF(COUNT(C116:O116)=0,"",IFERROR(IF(O116&gt;0,O116,AI116*Config!$C$9),0))</f>
        <v/>
      </c>
      <c r="AK116" s="20">
        <f>IF(COUNT(C116:O116)=0,"",IFERROR(AJ116*(1-Config!$C$10-Config!$C$11-Config!$C$12),0))</f>
        <v/>
      </c>
      <c r="AL116" s="20">
        <f>IF(COUNT(C116:O116)=0,"",IFERROR(AK116-C116-Config!$C$13,0))</f>
        <v/>
      </c>
      <c r="AM116" s="21">
        <f>IF(COUNT(C116:O116)=0,"",IFERROR(AK116/C116,0))</f>
        <v/>
      </c>
      <c r="AN116" s="21">
        <f>IF(COUNT(C116:O116)=0,"",IFERROR(AI116/C116,0))</f>
        <v/>
      </c>
      <c r="AO116" s="15">
        <f>IF(COUNT(C116:O116)=0,"",IFERROR(AL116/G116,0))</f>
        <v/>
      </c>
      <c r="AP116" s="21">
        <f>IF(COUNT(C116:O116)=0,"",IFERROR(AO116/U116,0))</f>
        <v/>
      </c>
      <c r="AQ116" s="15">
        <f>IF(COUNT(C116:O116)=0,"",IFERROR(AL116/H116,0))</f>
        <v/>
      </c>
    </row>
    <row r="117">
      <c r="A117" s="12">
        <f>Config!$C$6+111</f>
        <v/>
      </c>
      <c r="B117" s="13">
        <f>INT((A117-Config!$C$6)/7)+1</f>
        <v/>
      </c>
      <c r="C117" s="10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0" t="n"/>
      <c r="P117" s="15">
        <f>IF(COUNT(C117:O117)=0,"",IFERROR(C117/D117*1000,0))</f>
        <v/>
      </c>
      <c r="Q117" s="16">
        <f>IF(COUNT(C117:O117)=0,"",IFERROR(D117/E117,0))</f>
        <v/>
      </c>
      <c r="R117" s="17">
        <f>IF(COUNT(C117:O117)=0,"",IFERROR(F117/D117,0))</f>
        <v/>
      </c>
      <c r="S117" s="15">
        <f>IF(COUNT(C117:O117)=0,"",IFERROR(C117/F117,0))</f>
        <v/>
      </c>
      <c r="T117" s="18">
        <f>IF(COUNT(C117:O117)=0,"",IFERROR(G117/F117,0))</f>
        <v/>
      </c>
      <c r="U117" s="15">
        <f>IF(COUNT(C117:O117)=0,"",IFERROR(C117/G117,0))</f>
        <v/>
      </c>
      <c r="V117" s="19">
        <f>IF(COUNT(C117:O117)=0,"",IFERROR(G117/D117*1000,0))</f>
        <v/>
      </c>
      <c r="W117" s="18">
        <f>IF(COUNT(C117:O117)=0,"",IFERROR(H117/G117,0))</f>
        <v/>
      </c>
      <c r="X117" s="15">
        <f>IF(COUNT(C117:O117)=0,"",IFERROR(C117/H117,0))</f>
        <v/>
      </c>
      <c r="Y117" s="18">
        <f>IF(COUNT(C117:O117)=0,"",IFERROR(X117/P117,0))</f>
        <v/>
      </c>
      <c r="Z117" s="19">
        <f>IF(COUNT(C117:O117)=0,"",IFERROR(H117/D117*1000,0))</f>
        <v/>
      </c>
      <c r="AA117" s="18">
        <f>IF(COUNT(C117:O117)=0,"",IFERROR(I117/H117,0))</f>
        <v/>
      </c>
      <c r="AB117" s="18">
        <f>IF(COUNT(C117:O117)=0,"",IFERROR(J117/I117,0))</f>
        <v/>
      </c>
      <c r="AC117" s="18">
        <f>IF(COUNT(C117:O117)=0,"",IFERROR(K117/J117,0))</f>
        <v/>
      </c>
      <c r="AD117" s="15">
        <f>IF(COUNT(C117:O117)=0,"",IFERROR(C117/K117,0))</f>
        <v/>
      </c>
      <c r="AE117" s="18">
        <f>IF(COUNT(C117:O117)=0,"",IFERROR(L117/K117,0))</f>
        <v/>
      </c>
      <c r="AF117" s="18">
        <f>IF(COUNT(C117:O117)=0,"",IFERROR(M117/L117,0))</f>
        <v/>
      </c>
      <c r="AG117" s="17">
        <f>IF(COUNT(C117:O117)=0,"",IFERROR(M117/H117,0))</f>
        <v/>
      </c>
      <c r="AH117" s="15">
        <f>IF(COUNT(C117:O117)=0,"",IFERROR(C117/M117,0))</f>
        <v/>
      </c>
      <c r="AI117" s="20">
        <f>IF(COUNT(C117:O117)=0,"",IFERROR(M117*Config!$C$7+N117*Config!$C$8,0))</f>
        <v/>
      </c>
      <c r="AJ117" s="20">
        <f>IF(COUNT(C117:O117)=0,"",IFERROR(IF(O117&gt;0,O117,AI117*Config!$C$9),0))</f>
        <v/>
      </c>
      <c r="AK117" s="20">
        <f>IF(COUNT(C117:O117)=0,"",IFERROR(AJ117*(1-Config!$C$10-Config!$C$11-Config!$C$12),0))</f>
        <v/>
      </c>
      <c r="AL117" s="20">
        <f>IF(COUNT(C117:O117)=0,"",IFERROR(AK117-C117-Config!$C$13,0))</f>
        <v/>
      </c>
      <c r="AM117" s="21">
        <f>IF(COUNT(C117:O117)=0,"",IFERROR(AK117/C117,0))</f>
        <v/>
      </c>
      <c r="AN117" s="21">
        <f>IF(COUNT(C117:O117)=0,"",IFERROR(AI117/C117,0))</f>
        <v/>
      </c>
      <c r="AO117" s="15">
        <f>IF(COUNT(C117:O117)=0,"",IFERROR(AL117/G117,0))</f>
        <v/>
      </c>
      <c r="AP117" s="21">
        <f>IF(COUNT(C117:O117)=0,"",IFERROR(AO117/U117,0))</f>
        <v/>
      </c>
      <c r="AQ117" s="15">
        <f>IF(COUNT(C117:O117)=0,"",IFERROR(AL117/H117,0))</f>
        <v/>
      </c>
    </row>
    <row r="118">
      <c r="A118" s="12">
        <f>Config!$C$6+112</f>
        <v/>
      </c>
      <c r="B118" s="13">
        <f>INT((A118-Config!$C$6)/7)+1</f>
        <v/>
      </c>
      <c r="C118" s="10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0" t="n"/>
      <c r="P118" s="15">
        <f>IF(COUNT(C118:O118)=0,"",IFERROR(C118/D118*1000,0))</f>
        <v/>
      </c>
      <c r="Q118" s="16">
        <f>IF(COUNT(C118:O118)=0,"",IFERROR(D118/E118,0))</f>
        <v/>
      </c>
      <c r="R118" s="17">
        <f>IF(COUNT(C118:O118)=0,"",IFERROR(F118/D118,0))</f>
        <v/>
      </c>
      <c r="S118" s="15">
        <f>IF(COUNT(C118:O118)=0,"",IFERROR(C118/F118,0))</f>
        <v/>
      </c>
      <c r="T118" s="18">
        <f>IF(COUNT(C118:O118)=0,"",IFERROR(G118/F118,0))</f>
        <v/>
      </c>
      <c r="U118" s="15">
        <f>IF(COUNT(C118:O118)=0,"",IFERROR(C118/G118,0))</f>
        <v/>
      </c>
      <c r="V118" s="19">
        <f>IF(COUNT(C118:O118)=0,"",IFERROR(G118/D118*1000,0))</f>
        <v/>
      </c>
      <c r="W118" s="18">
        <f>IF(COUNT(C118:O118)=0,"",IFERROR(H118/G118,0))</f>
        <v/>
      </c>
      <c r="X118" s="15">
        <f>IF(COUNT(C118:O118)=0,"",IFERROR(C118/H118,0))</f>
        <v/>
      </c>
      <c r="Y118" s="18">
        <f>IF(COUNT(C118:O118)=0,"",IFERROR(X118/P118,0))</f>
        <v/>
      </c>
      <c r="Z118" s="19">
        <f>IF(COUNT(C118:O118)=0,"",IFERROR(H118/D118*1000,0))</f>
        <v/>
      </c>
      <c r="AA118" s="18">
        <f>IF(COUNT(C118:O118)=0,"",IFERROR(I118/H118,0))</f>
        <v/>
      </c>
      <c r="AB118" s="18">
        <f>IF(COUNT(C118:O118)=0,"",IFERROR(J118/I118,0))</f>
        <v/>
      </c>
      <c r="AC118" s="18">
        <f>IF(COUNT(C118:O118)=0,"",IFERROR(K118/J118,0))</f>
        <v/>
      </c>
      <c r="AD118" s="15">
        <f>IF(COUNT(C118:O118)=0,"",IFERROR(C118/K118,0))</f>
        <v/>
      </c>
      <c r="AE118" s="18">
        <f>IF(COUNT(C118:O118)=0,"",IFERROR(L118/K118,0))</f>
        <v/>
      </c>
      <c r="AF118" s="18">
        <f>IF(COUNT(C118:O118)=0,"",IFERROR(M118/L118,0))</f>
        <v/>
      </c>
      <c r="AG118" s="17">
        <f>IF(COUNT(C118:O118)=0,"",IFERROR(M118/H118,0))</f>
        <v/>
      </c>
      <c r="AH118" s="15">
        <f>IF(COUNT(C118:O118)=0,"",IFERROR(C118/M118,0))</f>
        <v/>
      </c>
      <c r="AI118" s="20">
        <f>IF(COUNT(C118:O118)=0,"",IFERROR(M118*Config!$C$7+N118*Config!$C$8,0))</f>
        <v/>
      </c>
      <c r="AJ118" s="20">
        <f>IF(COUNT(C118:O118)=0,"",IFERROR(IF(O118&gt;0,O118,AI118*Config!$C$9),0))</f>
        <v/>
      </c>
      <c r="AK118" s="20">
        <f>IF(COUNT(C118:O118)=0,"",IFERROR(AJ118*(1-Config!$C$10-Config!$C$11-Config!$C$12),0))</f>
        <v/>
      </c>
      <c r="AL118" s="20">
        <f>IF(COUNT(C118:O118)=0,"",IFERROR(AK118-C118-Config!$C$13,0))</f>
        <v/>
      </c>
      <c r="AM118" s="21">
        <f>IF(COUNT(C118:O118)=0,"",IFERROR(AK118/C118,0))</f>
        <v/>
      </c>
      <c r="AN118" s="21">
        <f>IF(COUNT(C118:O118)=0,"",IFERROR(AI118/C118,0))</f>
        <v/>
      </c>
      <c r="AO118" s="15">
        <f>IF(COUNT(C118:O118)=0,"",IFERROR(AL118/G118,0))</f>
        <v/>
      </c>
      <c r="AP118" s="21">
        <f>IF(COUNT(C118:O118)=0,"",IFERROR(AO118/U118,0))</f>
        <v/>
      </c>
      <c r="AQ118" s="15">
        <f>IF(COUNT(C118:O118)=0,"",IFERROR(AL118/H118,0))</f>
        <v/>
      </c>
    </row>
    <row r="119">
      <c r="A119" s="12">
        <f>Config!$C$6+113</f>
        <v/>
      </c>
      <c r="B119" s="13">
        <f>INT((A119-Config!$C$6)/7)+1</f>
        <v/>
      </c>
      <c r="C119" s="10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0" t="n"/>
      <c r="P119" s="15">
        <f>IF(COUNT(C119:O119)=0,"",IFERROR(C119/D119*1000,0))</f>
        <v/>
      </c>
      <c r="Q119" s="16">
        <f>IF(COUNT(C119:O119)=0,"",IFERROR(D119/E119,0))</f>
        <v/>
      </c>
      <c r="R119" s="17">
        <f>IF(COUNT(C119:O119)=0,"",IFERROR(F119/D119,0))</f>
        <v/>
      </c>
      <c r="S119" s="15">
        <f>IF(COUNT(C119:O119)=0,"",IFERROR(C119/F119,0))</f>
        <v/>
      </c>
      <c r="T119" s="18">
        <f>IF(COUNT(C119:O119)=0,"",IFERROR(G119/F119,0))</f>
        <v/>
      </c>
      <c r="U119" s="15">
        <f>IF(COUNT(C119:O119)=0,"",IFERROR(C119/G119,0))</f>
        <v/>
      </c>
      <c r="V119" s="19">
        <f>IF(COUNT(C119:O119)=0,"",IFERROR(G119/D119*1000,0))</f>
        <v/>
      </c>
      <c r="W119" s="18">
        <f>IF(COUNT(C119:O119)=0,"",IFERROR(H119/G119,0))</f>
        <v/>
      </c>
      <c r="X119" s="15">
        <f>IF(COUNT(C119:O119)=0,"",IFERROR(C119/H119,0))</f>
        <v/>
      </c>
      <c r="Y119" s="18">
        <f>IF(COUNT(C119:O119)=0,"",IFERROR(X119/P119,0))</f>
        <v/>
      </c>
      <c r="Z119" s="19">
        <f>IF(COUNT(C119:O119)=0,"",IFERROR(H119/D119*1000,0))</f>
        <v/>
      </c>
      <c r="AA119" s="18">
        <f>IF(COUNT(C119:O119)=0,"",IFERROR(I119/H119,0))</f>
        <v/>
      </c>
      <c r="AB119" s="18">
        <f>IF(COUNT(C119:O119)=0,"",IFERROR(J119/I119,0))</f>
        <v/>
      </c>
      <c r="AC119" s="18">
        <f>IF(COUNT(C119:O119)=0,"",IFERROR(K119/J119,0))</f>
        <v/>
      </c>
      <c r="AD119" s="15">
        <f>IF(COUNT(C119:O119)=0,"",IFERROR(C119/K119,0))</f>
        <v/>
      </c>
      <c r="AE119" s="18">
        <f>IF(COUNT(C119:O119)=0,"",IFERROR(L119/K119,0))</f>
        <v/>
      </c>
      <c r="AF119" s="18">
        <f>IF(COUNT(C119:O119)=0,"",IFERROR(M119/L119,0))</f>
        <v/>
      </c>
      <c r="AG119" s="17">
        <f>IF(COUNT(C119:O119)=0,"",IFERROR(M119/H119,0))</f>
        <v/>
      </c>
      <c r="AH119" s="15">
        <f>IF(COUNT(C119:O119)=0,"",IFERROR(C119/M119,0))</f>
        <v/>
      </c>
      <c r="AI119" s="20">
        <f>IF(COUNT(C119:O119)=0,"",IFERROR(M119*Config!$C$7+N119*Config!$C$8,0))</f>
        <v/>
      </c>
      <c r="AJ119" s="20">
        <f>IF(COUNT(C119:O119)=0,"",IFERROR(IF(O119&gt;0,O119,AI119*Config!$C$9),0))</f>
        <v/>
      </c>
      <c r="AK119" s="20">
        <f>IF(COUNT(C119:O119)=0,"",IFERROR(AJ119*(1-Config!$C$10-Config!$C$11-Config!$C$12),0))</f>
        <v/>
      </c>
      <c r="AL119" s="20">
        <f>IF(COUNT(C119:O119)=0,"",IFERROR(AK119-C119-Config!$C$13,0))</f>
        <v/>
      </c>
      <c r="AM119" s="21">
        <f>IF(COUNT(C119:O119)=0,"",IFERROR(AK119/C119,0))</f>
        <v/>
      </c>
      <c r="AN119" s="21">
        <f>IF(COUNT(C119:O119)=0,"",IFERROR(AI119/C119,0))</f>
        <v/>
      </c>
      <c r="AO119" s="15">
        <f>IF(COUNT(C119:O119)=0,"",IFERROR(AL119/G119,0))</f>
        <v/>
      </c>
      <c r="AP119" s="21">
        <f>IF(COUNT(C119:O119)=0,"",IFERROR(AO119/U119,0))</f>
        <v/>
      </c>
      <c r="AQ119" s="15">
        <f>IF(COUNT(C119:O119)=0,"",IFERROR(AL119/H119,0))</f>
        <v/>
      </c>
    </row>
    <row r="120">
      <c r="A120" s="12">
        <f>Config!$C$6+114</f>
        <v/>
      </c>
      <c r="B120" s="13">
        <f>INT((A120-Config!$C$6)/7)+1</f>
        <v/>
      </c>
      <c r="C120" s="10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0" t="n"/>
      <c r="P120" s="15">
        <f>IF(COUNT(C120:O120)=0,"",IFERROR(C120/D120*1000,0))</f>
        <v/>
      </c>
      <c r="Q120" s="16">
        <f>IF(COUNT(C120:O120)=0,"",IFERROR(D120/E120,0))</f>
        <v/>
      </c>
      <c r="R120" s="17">
        <f>IF(COUNT(C120:O120)=0,"",IFERROR(F120/D120,0))</f>
        <v/>
      </c>
      <c r="S120" s="15">
        <f>IF(COUNT(C120:O120)=0,"",IFERROR(C120/F120,0))</f>
        <v/>
      </c>
      <c r="T120" s="18">
        <f>IF(COUNT(C120:O120)=0,"",IFERROR(G120/F120,0))</f>
        <v/>
      </c>
      <c r="U120" s="15">
        <f>IF(COUNT(C120:O120)=0,"",IFERROR(C120/G120,0))</f>
        <v/>
      </c>
      <c r="V120" s="19">
        <f>IF(COUNT(C120:O120)=0,"",IFERROR(G120/D120*1000,0))</f>
        <v/>
      </c>
      <c r="W120" s="18">
        <f>IF(COUNT(C120:O120)=0,"",IFERROR(H120/G120,0))</f>
        <v/>
      </c>
      <c r="X120" s="15">
        <f>IF(COUNT(C120:O120)=0,"",IFERROR(C120/H120,0))</f>
        <v/>
      </c>
      <c r="Y120" s="18">
        <f>IF(COUNT(C120:O120)=0,"",IFERROR(X120/P120,0))</f>
        <v/>
      </c>
      <c r="Z120" s="19">
        <f>IF(COUNT(C120:O120)=0,"",IFERROR(H120/D120*1000,0))</f>
        <v/>
      </c>
      <c r="AA120" s="18">
        <f>IF(COUNT(C120:O120)=0,"",IFERROR(I120/H120,0))</f>
        <v/>
      </c>
      <c r="AB120" s="18">
        <f>IF(COUNT(C120:O120)=0,"",IFERROR(J120/I120,0))</f>
        <v/>
      </c>
      <c r="AC120" s="18">
        <f>IF(COUNT(C120:O120)=0,"",IFERROR(K120/J120,0))</f>
        <v/>
      </c>
      <c r="AD120" s="15">
        <f>IF(COUNT(C120:O120)=0,"",IFERROR(C120/K120,0))</f>
        <v/>
      </c>
      <c r="AE120" s="18">
        <f>IF(COUNT(C120:O120)=0,"",IFERROR(L120/K120,0))</f>
        <v/>
      </c>
      <c r="AF120" s="18">
        <f>IF(COUNT(C120:O120)=0,"",IFERROR(M120/L120,0))</f>
        <v/>
      </c>
      <c r="AG120" s="17">
        <f>IF(COUNT(C120:O120)=0,"",IFERROR(M120/H120,0))</f>
        <v/>
      </c>
      <c r="AH120" s="15">
        <f>IF(COUNT(C120:O120)=0,"",IFERROR(C120/M120,0))</f>
        <v/>
      </c>
      <c r="AI120" s="20">
        <f>IF(COUNT(C120:O120)=0,"",IFERROR(M120*Config!$C$7+N120*Config!$C$8,0))</f>
        <v/>
      </c>
      <c r="AJ120" s="20">
        <f>IF(COUNT(C120:O120)=0,"",IFERROR(IF(O120&gt;0,O120,AI120*Config!$C$9),0))</f>
        <v/>
      </c>
      <c r="AK120" s="20">
        <f>IF(COUNT(C120:O120)=0,"",IFERROR(AJ120*(1-Config!$C$10-Config!$C$11-Config!$C$12),0))</f>
        <v/>
      </c>
      <c r="AL120" s="20">
        <f>IF(COUNT(C120:O120)=0,"",IFERROR(AK120-C120-Config!$C$13,0))</f>
        <v/>
      </c>
      <c r="AM120" s="21">
        <f>IF(COUNT(C120:O120)=0,"",IFERROR(AK120/C120,0))</f>
        <v/>
      </c>
      <c r="AN120" s="21">
        <f>IF(COUNT(C120:O120)=0,"",IFERROR(AI120/C120,0))</f>
        <v/>
      </c>
      <c r="AO120" s="15">
        <f>IF(COUNT(C120:O120)=0,"",IFERROR(AL120/G120,0))</f>
        <v/>
      </c>
      <c r="AP120" s="21">
        <f>IF(COUNT(C120:O120)=0,"",IFERROR(AO120/U120,0))</f>
        <v/>
      </c>
      <c r="AQ120" s="15">
        <f>IF(COUNT(C120:O120)=0,"",IFERROR(AL120/H120,0))</f>
        <v/>
      </c>
    </row>
    <row r="121">
      <c r="A121" s="12">
        <f>Config!$C$6+115</f>
        <v/>
      </c>
      <c r="B121" s="13">
        <f>INT((A121-Config!$C$6)/7)+1</f>
        <v/>
      </c>
      <c r="C121" s="10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0" t="n"/>
      <c r="P121" s="15">
        <f>IF(COUNT(C121:O121)=0,"",IFERROR(C121/D121*1000,0))</f>
        <v/>
      </c>
      <c r="Q121" s="16">
        <f>IF(COUNT(C121:O121)=0,"",IFERROR(D121/E121,0))</f>
        <v/>
      </c>
      <c r="R121" s="17">
        <f>IF(COUNT(C121:O121)=0,"",IFERROR(F121/D121,0))</f>
        <v/>
      </c>
      <c r="S121" s="15">
        <f>IF(COUNT(C121:O121)=0,"",IFERROR(C121/F121,0))</f>
        <v/>
      </c>
      <c r="T121" s="18">
        <f>IF(COUNT(C121:O121)=0,"",IFERROR(G121/F121,0))</f>
        <v/>
      </c>
      <c r="U121" s="15">
        <f>IF(COUNT(C121:O121)=0,"",IFERROR(C121/G121,0))</f>
        <v/>
      </c>
      <c r="V121" s="19">
        <f>IF(COUNT(C121:O121)=0,"",IFERROR(G121/D121*1000,0))</f>
        <v/>
      </c>
      <c r="W121" s="18">
        <f>IF(COUNT(C121:O121)=0,"",IFERROR(H121/G121,0))</f>
        <v/>
      </c>
      <c r="X121" s="15">
        <f>IF(COUNT(C121:O121)=0,"",IFERROR(C121/H121,0))</f>
        <v/>
      </c>
      <c r="Y121" s="18">
        <f>IF(COUNT(C121:O121)=0,"",IFERROR(X121/P121,0))</f>
        <v/>
      </c>
      <c r="Z121" s="19">
        <f>IF(COUNT(C121:O121)=0,"",IFERROR(H121/D121*1000,0))</f>
        <v/>
      </c>
      <c r="AA121" s="18">
        <f>IF(COUNT(C121:O121)=0,"",IFERROR(I121/H121,0))</f>
        <v/>
      </c>
      <c r="AB121" s="18">
        <f>IF(COUNT(C121:O121)=0,"",IFERROR(J121/I121,0))</f>
        <v/>
      </c>
      <c r="AC121" s="18">
        <f>IF(COUNT(C121:O121)=0,"",IFERROR(K121/J121,0))</f>
        <v/>
      </c>
      <c r="AD121" s="15">
        <f>IF(COUNT(C121:O121)=0,"",IFERROR(C121/K121,0))</f>
        <v/>
      </c>
      <c r="AE121" s="18">
        <f>IF(COUNT(C121:O121)=0,"",IFERROR(L121/K121,0))</f>
        <v/>
      </c>
      <c r="AF121" s="18">
        <f>IF(COUNT(C121:O121)=0,"",IFERROR(M121/L121,0))</f>
        <v/>
      </c>
      <c r="AG121" s="17">
        <f>IF(COUNT(C121:O121)=0,"",IFERROR(M121/H121,0))</f>
        <v/>
      </c>
      <c r="AH121" s="15">
        <f>IF(COUNT(C121:O121)=0,"",IFERROR(C121/M121,0))</f>
        <v/>
      </c>
      <c r="AI121" s="20">
        <f>IF(COUNT(C121:O121)=0,"",IFERROR(M121*Config!$C$7+N121*Config!$C$8,0))</f>
        <v/>
      </c>
      <c r="AJ121" s="20">
        <f>IF(COUNT(C121:O121)=0,"",IFERROR(IF(O121&gt;0,O121,AI121*Config!$C$9),0))</f>
        <v/>
      </c>
      <c r="AK121" s="20">
        <f>IF(COUNT(C121:O121)=0,"",IFERROR(AJ121*(1-Config!$C$10-Config!$C$11-Config!$C$12),0))</f>
        <v/>
      </c>
      <c r="AL121" s="20">
        <f>IF(COUNT(C121:O121)=0,"",IFERROR(AK121-C121-Config!$C$13,0))</f>
        <v/>
      </c>
      <c r="AM121" s="21">
        <f>IF(COUNT(C121:O121)=0,"",IFERROR(AK121/C121,0))</f>
        <v/>
      </c>
      <c r="AN121" s="21">
        <f>IF(COUNT(C121:O121)=0,"",IFERROR(AI121/C121,0))</f>
        <v/>
      </c>
      <c r="AO121" s="15">
        <f>IF(COUNT(C121:O121)=0,"",IFERROR(AL121/G121,0))</f>
        <v/>
      </c>
      <c r="AP121" s="21">
        <f>IF(COUNT(C121:O121)=0,"",IFERROR(AO121/U121,0))</f>
        <v/>
      </c>
      <c r="AQ121" s="15">
        <f>IF(COUNT(C121:O121)=0,"",IFERROR(AL121/H121,0))</f>
        <v/>
      </c>
    </row>
    <row r="122">
      <c r="A122" s="12">
        <f>Config!$C$6+116</f>
        <v/>
      </c>
      <c r="B122" s="13">
        <f>INT((A122-Config!$C$6)/7)+1</f>
        <v/>
      </c>
      <c r="C122" s="10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0" t="n"/>
      <c r="P122" s="15">
        <f>IF(COUNT(C122:O122)=0,"",IFERROR(C122/D122*1000,0))</f>
        <v/>
      </c>
      <c r="Q122" s="16">
        <f>IF(COUNT(C122:O122)=0,"",IFERROR(D122/E122,0))</f>
        <v/>
      </c>
      <c r="R122" s="17">
        <f>IF(COUNT(C122:O122)=0,"",IFERROR(F122/D122,0))</f>
        <v/>
      </c>
      <c r="S122" s="15">
        <f>IF(COUNT(C122:O122)=0,"",IFERROR(C122/F122,0))</f>
        <v/>
      </c>
      <c r="T122" s="18">
        <f>IF(COUNT(C122:O122)=0,"",IFERROR(G122/F122,0))</f>
        <v/>
      </c>
      <c r="U122" s="15">
        <f>IF(COUNT(C122:O122)=0,"",IFERROR(C122/G122,0))</f>
        <v/>
      </c>
      <c r="V122" s="19">
        <f>IF(COUNT(C122:O122)=0,"",IFERROR(G122/D122*1000,0))</f>
        <v/>
      </c>
      <c r="W122" s="18">
        <f>IF(COUNT(C122:O122)=0,"",IFERROR(H122/G122,0))</f>
        <v/>
      </c>
      <c r="X122" s="15">
        <f>IF(COUNT(C122:O122)=0,"",IFERROR(C122/H122,0))</f>
        <v/>
      </c>
      <c r="Y122" s="18">
        <f>IF(COUNT(C122:O122)=0,"",IFERROR(X122/P122,0))</f>
        <v/>
      </c>
      <c r="Z122" s="19">
        <f>IF(COUNT(C122:O122)=0,"",IFERROR(H122/D122*1000,0))</f>
        <v/>
      </c>
      <c r="AA122" s="18">
        <f>IF(COUNT(C122:O122)=0,"",IFERROR(I122/H122,0))</f>
        <v/>
      </c>
      <c r="AB122" s="18">
        <f>IF(COUNT(C122:O122)=0,"",IFERROR(J122/I122,0))</f>
        <v/>
      </c>
      <c r="AC122" s="18">
        <f>IF(COUNT(C122:O122)=0,"",IFERROR(K122/J122,0))</f>
        <v/>
      </c>
      <c r="AD122" s="15">
        <f>IF(COUNT(C122:O122)=0,"",IFERROR(C122/K122,0))</f>
        <v/>
      </c>
      <c r="AE122" s="18">
        <f>IF(COUNT(C122:O122)=0,"",IFERROR(L122/K122,0))</f>
        <v/>
      </c>
      <c r="AF122" s="18">
        <f>IF(COUNT(C122:O122)=0,"",IFERROR(M122/L122,0))</f>
        <v/>
      </c>
      <c r="AG122" s="17">
        <f>IF(COUNT(C122:O122)=0,"",IFERROR(M122/H122,0))</f>
        <v/>
      </c>
      <c r="AH122" s="15">
        <f>IF(COUNT(C122:O122)=0,"",IFERROR(C122/M122,0))</f>
        <v/>
      </c>
      <c r="AI122" s="20">
        <f>IF(COUNT(C122:O122)=0,"",IFERROR(M122*Config!$C$7+N122*Config!$C$8,0))</f>
        <v/>
      </c>
      <c r="AJ122" s="20">
        <f>IF(COUNT(C122:O122)=0,"",IFERROR(IF(O122&gt;0,O122,AI122*Config!$C$9),0))</f>
        <v/>
      </c>
      <c r="AK122" s="20">
        <f>IF(COUNT(C122:O122)=0,"",IFERROR(AJ122*(1-Config!$C$10-Config!$C$11-Config!$C$12),0))</f>
        <v/>
      </c>
      <c r="AL122" s="20">
        <f>IF(COUNT(C122:O122)=0,"",IFERROR(AK122-C122-Config!$C$13,0))</f>
        <v/>
      </c>
      <c r="AM122" s="21">
        <f>IF(COUNT(C122:O122)=0,"",IFERROR(AK122/C122,0))</f>
        <v/>
      </c>
      <c r="AN122" s="21">
        <f>IF(COUNT(C122:O122)=0,"",IFERROR(AI122/C122,0))</f>
        <v/>
      </c>
      <c r="AO122" s="15">
        <f>IF(COUNT(C122:O122)=0,"",IFERROR(AL122/G122,0))</f>
        <v/>
      </c>
      <c r="AP122" s="21">
        <f>IF(COUNT(C122:O122)=0,"",IFERROR(AO122/U122,0))</f>
        <v/>
      </c>
      <c r="AQ122" s="15">
        <f>IF(COUNT(C122:O122)=0,"",IFERROR(AL122/H122,0))</f>
        <v/>
      </c>
    </row>
    <row r="123">
      <c r="A123" s="12">
        <f>Config!$C$6+117</f>
        <v/>
      </c>
      <c r="B123" s="13">
        <f>INT((A123-Config!$C$6)/7)+1</f>
        <v/>
      </c>
      <c r="C123" s="10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0" t="n"/>
      <c r="P123" s="15">
        <f>IF(COUNT(C123:O123)=0,"",IFERROR(C123/D123*1000,0))</f>
        <v/>
      </c>
      <c r="Q123" s="16">
        <f>IF(COUNT(C123:O123)=0,"",IFERROR(D123/E123,0))</f>
        <v/>
      </c>
      <c r="R123" s="17">
        <f>IF(COUNT(C123:O123)=0,"",IFERROR(F123/D123,0))</f>
        <v/>
      </c>
      <c r="S123" s="15">
        <f>IF(COUNT(C123:O123)=0,"",IFERROR(C123/F123,0))</f>
        <v/>
      </c>
      <c r="T123" s="18">
        <f>IF(COUNT(C123:O123)=0,"",IFERROR(G123/F123,0))</f>
        <v/>
      </c>
      <c r="U123" s="15">
        <f>IF(COUNT(C123:O123)=0,"",IFERROR(C123/G123,0))</f>
        <v/>
      </c>
      <c r="V123" s="19">
        <f>IF(COUNT(C123:O123)=0,"",IFERROR(G123/D123*1000,0))</f>
        <v/>
      </c>
      <c r="W123" s="18">
        <f>IF(COUNT(C123:O123)=0,"",IFERROR(H123/G123,0))</f>
        <v/>
      </c>
      <c r="X123" s="15">
        <f>IF(COUNT(C123:O123)=0,"",IFERROR(C123/H123,0))</f>
        <v/>
      </c>
      <c r="Y123" s="18">
        <f>IF(COUNT(C123:O123)=0,"",IFERROR(X123/P123,0))</f>
        <v/>
      </c>
      <c r="Z123" s="19">
        <f>IF(COUNT(C123:O123)=0,"",IFERROR(H123/D123*1000,0))</f>
        <v/>
      </c>
      <c r="AA123" s="18">
        <f>IF(COUNT(C123:O123)=0,"",IFERROR(I123/H123,0))</f>
        <v/>
      </c>
      <c r="AB123" s="18">
        <f>IF(COUNT(C123:O123)=0,"",IFERROR(J123/I123,0))</f>
        <v/>
      </c>
      <c r="AC123" s="18">
        <f>IF(COUNT(C123:O123)=0,"",IFERROR(K123/J123,0))</f>
        <v/>
      </c>
      <c r="AD123" s="15">
        <f>IF(COUNT(C123:O123)=0,"",IFERROR(C123/K123,0))</f>
        <v/>
      </c>
      <c r="AE123" s="18">
        <f>IF(COUNT(C123:O123)=0,"",IFERROR(L123/K123,0))</f>
        <v/>
      </c>
      <c r="AF123" s="18">
        <f>IF(COUNT(C123:O123)=0,"",IFERROR(M123/L123,0))</f>
        <v/>
      </c>
      <c r="AG123" s="17">
        <f>IF(COUNT(C123:O123)=0,"",IFERROR(M123/H123,0))</f>
        <v/>
      </c>
      <c r="AH123" s="15">
        <f>IF(COUNT(C123:O123)=0,"",IFERROR(C123/M123,0))</f>
        <v/>
      </c>
      <c r="AI123" s="20">
        <f>IF(COUNT(C123:O123)=0,"",IFERROR(M123*Config!$C$7+N123*Config!$C$8,0))</f>
        <v/>
      </c>
      <c r="AJ123" s="20">
        <f>IF(COUNT(C123:O123)=0,"",IFERROR(IF(O123&gt;0,O123,AI123*Config!$C$9),0))</f>
        <v/>
      </c>
      <c r="AK123" s="20">
        <f>IF(COUNT(C123:O123)=0,"",IFERROR(AJ123*(1-Config!$C$10-Config!$C$11-Config!$C$12),0))</f>
        <v/>
      </c>
      <c r="AL123" s="20">
        <f>IF(COUNT(C123:O123)=0,"",IFERROR(AK123-C123-Config!$C$13,0))</f>
        <v/>
      </c>
      <c r="AM123" s="21">
        <f>IF(COUNT(C123:O123)=0,"",IFERROR(AK123/C123,0))</f>
        <v/>
      </c>
      <c r="AN123" s="21">
        <f>IF(COUNT(C123:O123)=0,"",IFERROR(AI123/C123,0))</f>
        <v/>
      </c>
      <c r="AO123" s="15">
        <f>IF(COUNT(C123:O123)=0,"",IFERROR(AL123/G123,0))</f>
        <v/>
      </c>
      <c r="AP123" s="21">
        <f>IF(COUNT(C123:O123)=0,"",IFERROR(AO123/U123,0))</f>
        <v/>
      </c>
      <c r="AQ123" s="15">
        <f>IF(COUNT(C123:O123)=0,"",IFERROR(AL123/H123,0))</f>
        <v/>
      </c>
    </row>
    <row r="124">
      <c r="A124" s="12">
        <f>Config!$C$6+118</f>
        <v/>
      </c>
      <c r="B124" s="13">
        <f>INT((A124-Config!$C$6)/7)+1</f>
        <v/>
      </c>
      <c r="C124" s="10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0" t="n"/>
      <c r="P124" s="15">
        <f>IF(COUNT(C124:O124)=0,"",IFERROR(C124/D124*1000,0))</f>
        <v/>
      </c>
      <c r="Q124" s="16">
        <f>IF(COUNT(C124:O124)=0,"",IFERROR(D124/E124,0))</f>
        <v/>
      </c>
      <c r="R124" s="17">
        <f>IF(COUNT(C124:O124)=0,"",IFERROR(F124/D124,0))</f>
        <v/>
      </c>
      <c r="S124" s="15">
        <f>IF(COUNT(C124:O124)=0,"",IFERROR(C124/F124,0))</f>
        <v/>
      </c>
      <c r="T124" s="18">
        <f>IF(COUNT(C124:O124)=0,"",IFERROR(G124/F124,0))</f>
        <v/>
      </c>
      <c r="U124" s="15">
        <f>IF(COUNT(C124:O124)=0,"",IFERROR(C124/G124,0))</f>
        <v/>
      </c>
      <c r="V124" s="19">
        <f>IF(COUNT(C124:O124)=0,"",IFERROR(G124/D124*1000,0))</f>
        <v/>
      </c>
      <c r="W124" s="18">
        <f>IF(COUNT(C124:O124)=0,"",IFERROR(H124/G124,0))</f>
        <v/>
      </c>
      <c r="X124" s="15">
        <f>IF(COUNT(C124:O124)=0,"",IFERROR(C124/H124,0))</f>
        <v/>
      </c>
      <c r="Y124" s="18">
        <f>IF(COUNT(C124:O124)=0,"",IFERROR(X124/P124,0))</f>
        <v/>
      </c>
      <c r="Z124" s="19">
        <f>IF(COUNT(C124:O124)=0,"",IFERROR(H124/D124*1000,0))</f>
        <v/>
      </c>
      <c r="AA124" s="18">
        <f>IF(COUNT(C124:O124)=0,"",IFERROR(I124/H124,0))</f>
        <v/>
      </c>
      <c r="AB124" s="18">
        <f>IF(COUNT(C124:O124)=0,"",IFERROR(J124/I124,0))</f>
        <v/>
      </c>
      <c r="AC124" s="18">
        <f>IF(COUNT(C124:O124)=0,"",IFERROR(K124/J124,0))</f>
        <v/>
      </c>
      <c r="AD124" s="15">
        <f>IF(COUNT(C124:O124)=0,"",IFERROR(C124/K124,0))</f>
        <v/>
      </c>
      <c r="AE124" s="18">
        <f>IF(COUNT(C124:O124)=0,"",IFERROR(L124/K124,0))</f>
        <v/>
      </c>
      <c r="AF124" s="18">
        <f>IF(COUNT(C124:O124)=0,"",IFERROR(M124/L124,0))</f>
        <v/>
      </c>
      <c r="AG124" s="17">
        <f>IF(COUNT(C124:O124)=0,"",IFERROR(M124/H124,0))</f>
        <v/>
      </c>
      <c r="AH124" s="15">
        <f>IF(COUNT(C124:O124)=0,"",IFERROR(C124/M124,0))</f>
        <v/>
      </c>
      <c r="AI124" s="20">
        <f>IF(COUNT(C124:O124)=0,"",IFERROR(M124*Config!$C$7+N124*Config!$C$8,0))</f>
        <v/>
      </c>
      <c r="AJ124" s="20">
        <f>IF(COUNT(C124:O124)=0,"",IFERROR(IF(O124&gt;0,O124,AI124*Config!$C$9),0))</f>
        <v/>
      </c>
      <c r="AK124" s="20">
        <f>IF(COUNT(C124:O124)=0,"",IFERROR(AJ124*(1-Config!$C$10-Config!$C$11-Config!$C$12),0))</f>
        <v/>
      </c>
      <c r="AL124" s="20">
        <f>IF(COUNT(C124:O124)=0,"",IFERROR(AK124-C124-Config!$C$13,0))</f>
        <v/>
      </c>
      <c r="AM124" s="21">
        <f>IF(COUNT(C124:O124)=0,"",IFERROR(AK124/C124,0))</f>
        <v/>
      </c>
      <c r="AN124" s="21">
        <f>IF(COUNT(C124:O124)=0,"",IFERROR(AI124/C124,0))</f>
        <v/>
      </c>
      <c r="AO124" s="15">
        <f>IF(COUNT(C124:O124)=0,"",IFERROR(AL124/G124,0))</f>
        <v/>
      </c>
      <c r="AP124" s="21">
        <f>IF(COUNT(C124:O124)=0,"",IFERROR(AO124/U124,0))</f>
        <v/>
      </c>
      <c r="AQ124" s="15">
        <f>IF(COUNT(C124:O124)=0,"",IFERROR(AL124/H124,0))</f>
        <v/>
      </c>
    </row>
    <row r="125">
      <c r="A125" s="12">
        <f>Config!$C$6+119</f>
        <v/>
      </c>
      <c r="B125" s="13">
        <f>INT((A125-Config!$C$6)/7)+1</f>
        <v/>
      </c>
      <c r="C125" s="10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0" t="n"/>
      <c r="P125" s="15">
        <f>IF(COUNT(C125:O125)=0,"",IFERROR(C125/D125*1000,0))</f>
        <v/>
      </c>
      <c r="Q125" s="16">
        <f>IF(COUNT(C125:O125)=0,"",IFERROR(D125/E125,0))</f>
        <v/>
      </c>
      <c r="R125" s="17">
        <f>IF(COUNT(C125:O125)=0,"",IFERROR(F125/D125,0))</f>
        <v/>
      </c>
      <c r="S125" s="15">
        <f>IF(COUNT(C125:O125)=0,"",IFERROR(C125/F125,0))</f>
        <v/>
      </c>
      <c r="T125" s="18">
        <f>IF(COUNT(C125:O125)=0,"",IFERROR(G125/F125,0))</f>
        <v/>
      </c>
      <c r="U125" s="15">
        <f>IF(COUNT(C125:O125)=0,"",IFERROR(C125/G125,0))</f>
        <v/>
      </c>
      <c r="V125" s="19">
        <f>IF(COUNT(C125:O125)=0,"",IFERROR(G125/D125*1000,0))</f>
        <v/>
      </c>
      <c r="W125" s="18">
        <f>IF(COUNT(C125:O125)=0,"",IFERROR(H125/G125,0))</f>
        <v/>
      </c>
      <c r="X125" s="15">
        <f>IF(COUNT(C125:O125)=0,"",IFERROR(C125/H125,0))</f>
        <v/>
      </c>
      <c r="Y125" s="18">
        <f>IF(COUNT(C125:O125)=0,"",IFERROR(X125/P125,0))</f>
        <v/>
      </c>
      <c r="Z125" s="19">
        <f>IF(COUNT(C125:O125)=0,"",IFERROR(H125/D125*1000,0))</f>
        <v/>
      </c>
      <c r="AA125" s="18">
        <f>IF(COUNT(C125:O125)=0,"",IFERROR(I125/H125,0))</f>
        <v/>
      </c>
      <c r="AB125" s="18">
        <f>IF(COUNT(C125:O125)=0,"",IFERROR(J125/I125,0))</f>
        <v/>
      </c>
      <c r="AC125" s="18">
        <f>IF(COUNT(C125:O125)=0,"",IFERROR(K125/J125,0))</f>
        <v/>
      </c>
      <c r="AD125" s="15">
        <f>IF(COUNT(C125:O125)=0,"",IFERROR(C125/K125,0))</f>
        <v/>
      </c>
      <c r="AE125" s="18">
        <f>IF(COUNT(C125:O125)=0,"",IFERROR(L125/K125,0))</f>
        <v/>
      </c>
      <c r="AF125" s="18">
        <f>IF(COUNT(C125:O125)=0,"",IFERROR(M125/L125,0))</f>
        <v/>
      </c>
      <c r="AG125" s="17">
        <f>IF(COUNT(C125:O125)=0,"",IFERROR(M125/H125,0))</f>
        <v/>
      </c>
      <c r="AH125" s="15">
        <f>IF(COUNT(C125:O125)=0,"",IFERROR(C125/M125,0))</f>
        <v/>
      </c>
      <c r="AI125" s="20">
        <f>IF(COUNT(C125:O125)=0,"",IFERROR(M125*Config!$C$7+N125*Config!$C$8,0))</f>
        <v/>
      </c>
      <c r="AJ125" s="20">
        <f>IF(COUNT(C125:O125)=0,"",IFERROR(IF(O125&gt;0,O125,AI125*Config!$C$9),0))</f>
        <v/>
      </c>
      <c r="AK125" s="20">
        <f>IF(COUNT(C125:O125)=0,"",IFERROR(AJ125*(1-Config!$C$10-Config!$C$11-Config!$C$12),0))</f>
        <v/>
      </c>
      <c r="AL125" s="20">
        <f>IF(COUNT(C125:O125)=0,"",IFERROR(AK125-C125-Config!$C$13,0))</f>
        <v/>
      </c>
      <c r="AM125" s="21">
        <f>IF(COUNT(C125:O125)=0,"",IFERROR(AK125/C125,0))</f>
        <v/>
      </c>
      <c r="AN125" s="21">
        <f>IF(COUNT(C125:O125)=0,"",IFERROR(AI125/C125,0))</f>
        <v/>
      </c>
      <c r="AO125" s="15">
        <f>IF(COUNT(C125:O125)=0,"",IFERROR(AL125/G125,0))</f>
        <v/>
      </c>
      <c r="AP125" s="21">
        <f>IF(COUNT(C125:O125)=0,"",IFERROR(AO125/U125,0))</f>
        <v/>
      </c>
      <c r="AQ125" s="15">
        <f>IF(COUNT(C125:O125)=0,"",IFERROR(AL125/H125,0))</f>
        <v/>
      </c>
    </row>
    <row r="126">
      <c r="A126" s="12">
        <f>Config!$C$6+120</f>
        <v/>
      </c>
      <c r="B126" s="13">
        <f>INT((A126-Config!$C$6)/7)+1</f>
        <v/>
      </c>
      <c r="C126" s="10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0" t="n"/>
      <c r="P126" s="15">
        <f>IF(COUNT(C126:O126)=0,"",IFERROR(C126/D126*1000,0))</f>
        <v/>
      </c>
      <c r="Q126" s="16">
        <f>IF(COUNT(C126:O126)=0,"",IFERROR(D126/E126,0))</f>
        <v/>
      </c>
      <c r="R126" s="17">
        <f>IF(COUNT(C126:O126)=0,"",IFERROR(F126/D126,0))</f>
        <v/>
      </c>
      <c r="S126" s="15">
        <f>IF(COUNT(C126:O126)=0,"",IFERROR(C126/F126,0))</f>
        <v/>
      </c>
      <c r="T126" s="18">
        <f>IF(COUNT(C126:O126)=0,"",IFERROR(G126/F126,0))</f>
        <v/>
      </c>
      <c r="U126" s="15">
        <f>IF(COUNT(C126:O126)=0,"",IFERROR(C126/G126,0))</f>
        <v/>
      </c>
      <c r="V126" s="19">
        <f>IF(COUNT(C126:O126)=0,"",IFERROR(G126/D126*1000,0))</f>
        <v/>
      </c>
      <c r="W126" s="18">
        <f>IF(COUNT(C126:O126)=0,"",IFERROR(H126/G126,0))</f>
        <v/>
      </c>
      <c r="X126" s="15">
        <f>IF(COUNT(C126:O126)=0,"",IFERROR(C126/H126,0))</f>
        <v/>
      </c>
      <c r="Y126" s="18">
        <f>IF(COUNT(C126:O126)=0,"",IFERROR(X126/P126,0))</f>
        <v/>
      </c>
      <c r="Z126" s="19">
        <f>IF(COUNT(C126:O126)=0,"",IFERROR(H126/D126*1000,0))</f>
        <v/>
      </c>
      <c r="AA126" s="18">
        <f>IF(COUNT(C126:O126)=0,"",IFERROR(I126/H126,0))</f>
        <v/>
      </c>
      <c r="AB126" s="18">
        <f>IF(COUNT(C126:O126)=0,"",IFERROR(J126/I126,0))</f>
        <v/>
      </c>
      <c r="AC126" s="18">
        <f>IF(COUNT(C126:O126)=0,"",IFERROR(K126/J126,0))</f>
        <v/>
      </c>
      <c r="AD126" s="15">
        <f>IF(COUNT(C126:O126)=0,"",IFERROR(C126/K126,0))</f>
        <v/>
      </c>
      <c r="AE126" s="18">
        <f>IF(COUNT(C126:O126)=0,"",IFERROR(L126/K126,0))</f>
        <v/>
      </c>
      <c r="AF126" s="18">
        <f>IF(COUNT(C126:O126)=0,"",IFERROR(M126/L126,0))</f>
        <v/>
      </c>
      <c r="AG126" s="17">
        <f>IF(COUNT(C126:O126)=0,"",IFERROR(M126/H126,0))</f>
        <v/>
      </c>
      <c r="AH126" s="15">
        <f>IF(COUNT(C126:O126)=0,"",IFERROR(C126/M126,0))</f>
        <v/>
      </c>
      <c r="AI126" s="20">
        <f>IF(COUNT(C126:O126)=0,"",IFERROR(M126*Config!$C$7+N126*Config!$C$8,0))</f>
        <v/>
      </c>
      <c r="AJ126" s="20">
        <f>IF(COUNT(C126:O126)=0,"",IFERROR(IF(O126&gt;0,O126,AI126*Config!$C$9),0))</f>
        <v/>
      </c>
      <c r="AK126" s="20">
        <f>IF(COUNT(C126:O126)=0,"",IFERROR(AJ126*(1-Config!$C$10-Config!$C$11-Config!$C$12),0))</f>
        <v/>
      </c>
      <c r="AL126" s="20">
        <f>IF(COUNT(C126:O126)=0,"",IFERROR(AK126-C126-Config!$C$13,0))</f>
        <v/>
      </c>
      <c r="AM126" s="21">
        <f>IF(COUNT(C126:O126)=0,"",IFERROR(AK126/C126,0))</f>
        <v/>
      </c>
      <c r="AN126" s="21">
        <f>IF(COUNT(C126:O126)=0,"",IFERROR(AI126/C126,0))</f>
        <v/>
      </c>
      <c r="AO126" s="15">
        <f>IF(COUNT(C126:O126)=0,"",IFERROR(AL126/G126,0))</f>
        <v/>
      </c>
      <c r="AP126" s="21">
        <f>IF(COUNT(C126:O126)=0,"",IFERROR(AO126/U126,0))</f>
        <v/>
      </c>
      <c r="AQ126" s="15">
        <f>IF(COUNT(C126:O126)=0,"",IFERROR(AL126/H126,0))</f>
        <v/>
      </c>
    </row>
    <row r="127">
      <c r="A127" s="12">
        <f>Config!$C$6+121</f>
        <v/>
      </c>
      <c r="B127" s="13">
        <f>INT((A127-Config!$C$6)/7)+1</f>
        <v/>
      </c>
      <c r="C127" s="10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0" t="n"/>
      <c r="P127" s="15">
        <f>IF(COUNT(C127:O127)=0,"",IFERROR(C127/D127*1000,0))</f>
        <v/>
      </c>
      <c r="Q127" s="16">
        <f>IF(COUNT(C127:O127)=0,"",IFERROR(D127/E127,0))</f>
        <v/>
      </c>
      <c r="R127" s="17">
        <f>IF(COUNT(C127:O127)=0,"",IFERROR(F127/D127,0))</f>
        <v/>
      </c>
      <c r="S127" s="15">
        <f>IF(COUNT(C127:O127)=0,"",IFERROR(C127/F127,0))</f>
        <v/>
      </c>
      <c r="T127" s="18">
        <f>IF(COUNT(C127:O127)=0,"",IFERROR(G127/F127,0))</f>
        <v/>
      </c>
      <c r="U127" s="15">
        <f>IF(COUNT(C127:O127)=0,"",IFERROR(C127/G127,0))</f>
        <v/>
      </c>
      <c r="V127" s="19">
        <f>IF(COUNT(C127:O127)=0,"",IFERROR(G127/D127*1000,0))</f>
        <v/>
      </c>
      <c r="W127" s="18">
        <f>IF(COUNT(C127:O127)=0,"",IFERROR(H127/G127,0))</f>
        <v/>
      </c>
      <c r="X127" s="15">
        <f>IF(COUNT(C127:O127)=0,"",IFERROR(C127/H127,0))</f>
        <v/>
      </c>
      <c r="Y127" s="18">
        <f>IF(COUNT(C127:O127)=0,"",IFERROR(X127/P127,0))</f>
        <v/>
      </c>
      <c r="Z127" s="19">
        <f>IF(COUNT(C127:O127)=0,"",IFERROR(H127/D127*1000,0))</f>
        <v/>
      </c>
      <c r="AA127" s="18">
        <f>IF(COUNT(C127:O127)=0,"",IFERROR(I127/H127,0))</f>
        <v/>
      </c>
      <c r="AB127" s="18">
        <f>IF(COUNT(C127:O127)=0,"",IFERROR(J127/I127,0))</f>
        <v/>
      </c>
      <c r="AC127" s="18">
        <f>IF(COUNT(C127:O127)=0,"",IFERROR(K127/J127,0))</f>
        <v/>
      </c>
      <c r="AD127" s="15">
        <f>IF(COUNT(C127:O127)=0,"",IFERROR(C127/K127,0))</f>
        <v/>
      </c>
      <c r="AE127" s="18">
        <f>IF(COUNT(C127:O127)=0,"",IFERROR(L127/K127,0))</f>
        <v/>
      </c>
      <c r="AF127" s="18">
        <f>IF(COUNT(C127:O127)=0,"",IFERROR(M127/L127,0))</f>
        <v/>
      </c>
      <c r="AG127" s="17">
        <f>IF(COUNT(C127:O127)=0,"",IFERROR(M127/H127,0))</f>
        <v/>
      </c>
      <c r="AH127" s="15">
        <f>IF(COUNT(C127:O127)=0,"",IFERROR(C127/M127,0))</f>
        <v/>
      </c>
      <c r="AI127" s="20">
        <f>IF(COUNT(C127:O127)=0,"",IFERROR(M127*Config!$C$7+N127*Config!$C$8,0))</f>
        <v/>
      </c>
      <c r="AJ127" s="20">
        <f>IF(COUNT(C127:O127)=0,"",IFERROR(IF(O127&gt;0,O127,AI127*Config!$C$9),0))</f>
        <v/>
      </c>
      <c r="AK127" s="20">
        <f>IF(COUNT(C127:O127)=0,"",IFERROR(AJ127*(1-Config!$C$10-Config!$C$11-Config!$C$12),0))</f>
        <v/>
      </c>
      <c r="AL127" s="20">
        <f>IF(COUNT(C127:O127)=0,"",IFERROR(AK127-C127-Config!$C$13,0))</f>
        <v/>
      </c>
      <c r="AM127" s="21">
        <f>IF(COUNT(C127:O127)=0,"",IFERROR(AK127/C127,0))</f>
        <v/>
      </c>
      <c r="AN127" s="21">
        <f>IF(COUNT(C127:O127)=0,"",IFERROR(AI127/C127,0))</f>
        <v/>
      </c>
      <c r="AO127" s="15">
        <f>IF(COUNT(C127:O127)=0,"",IFERROR(AL127/G127,0))</f>
        <v/>
      </c>
      <c r="AP127" s="21">
        <f>IF(COUNT(C127:O127)=0,"",IFERROR(AO127/U127,0))</f>
        <v/>
      </c>
      <c r="AQ127" s="15">
        <f>IF(COUNT(C127:O127)=0,"",IFERROR(AL127/H127,0))</f>
        <v/>
      </c>
    </row>
    <row r="128">
      <c r="A128" s="12">
        <f>Config!$C$6+122</f>
        <v/>
      </c>
      <c r="B128" s="13">
        <f>INT((A128-Config!$C$6)/7)+1</f>
        <v/>
      </c>
      <c r="C128" s="10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0" t="n"/>
      <c r="P128" s="15">
        <f>IF(COUNT(C128:O128)=0,"",IFERROR(C128/D128*1000,0))</f>
        <v/>
      </c>
      <c r="Q128" s="16">
        <f>IF(COUNT(C128:O128)=0,"",IFERROR(D128/E128,0))</f>
        <v/>
      </c>
      <c r="R128" s="17">
        <f>IF(COUNT(C128:O128)=0,"",IFERROR(F128/D128,0))</f>
        <v/>
      </c>
      <c r="S128" s="15">
        <f>IF(COUNT(C128:O128)=0,"",IFERROR(C128/F128,0))</f>
        <v/>
      </c>
      <c r="T128" s="18">
        <f>IF(COUNT(C128:O128)=0,"",IFERROR(G128/F128,0))</f>
        <v/>
      </c>
      <c r="U128" s="15">
        <f>IF(COUNT(C128:O128)=0,"",IFERROR(C128/G128,0))</f>
        <v/>
      </c>
      <c r="V128" s="19">
        <f>IF(COUNT(C128:O128)=0,"",IFERROR(G128/D128*1000,0))</f>
        <v/>
      </c>
      <c r="W128" s="18">
        <f>IF(COUNT(C128:O128)=0,"",IFERROR(H128/G128,0))</f>
        <v/>
      </c>
      <c r="X128" s="15">
        <f>IF(COUNT(C128:O128)=0,"",IFERROR(C128/H128,0))</f>
        <v/>
      </c>
      <c r="Y128" s="18">
        <f>IF(COUNT(C128:O128)=0,"",IFERROR(X128/P128,0))</f>
        <v/>
      </c>
      <c r="Z128" s="19">
        <f>IF(COUNT(C128:O128)=0,"",IFERROR(H128/D128*1000,0))</f>
        <v/>
      </c>
      <c r="AA128" s="18">
        <f>IF(COUNT(C128:O128)=0,"",IFERROR(I128/H128,0))</f>
        <v/>
      </c>
      <c r="AB128" s="18">
        <f>IF(COUNT(C128:O128)=0,"",IFERROR(J128/I128,0))</f>
        <v/>
      </c>
      <c r="AC128" s="18">
        <f>IF(COUNT(C128:O128)=0,"",IFERROR(K128/J128,0))</f>
        <v/>
      </c>
      <c r="AD128" s="15">
        <f>IF(COUNT(C128:O128)=0,"",IFERROR(C128/K128,0))</f>
        <v/>
      </c>
      <c r="AE128" s="18">
        <f>IF(COUNT(C128:O128)=0,"",IFERROR(L128/K128,0))</f>
        <v/>
      </c>
      <c r="AF128" s="18">
        <f>IF(COUNT(C128:O128)=0,"",IFERROR(M128/L128,0))</f>
        <v/>
      </c>
      <c r="AG128" s="17">
        <f>IF(COUNT(C128:O128)=0,"",IFERROR(M128/H128,0))</f>
        <v/>
      </c>
      <c r="AH128" s="15">
        <f>IF(COUNT(C128:O128)=0,"",IFERROR(C128/M128,0))</f>
        <v/>
      </c>
      <c r="AI128" s="20">
        <f>IF(COUNT(C128:O128)=0,"",IFERROR(M128*Config!$C$7+N128*Config!$C$8,0))</f>
        <v/>
      </c>
      <c r="AJ128" s="20">
        <f>IF(COUNT(C128:O128)=0,"",IFERROR(IF(O128&gt;0,O128,AI128*Config!$C$9),0))</f>
        <v/>
      </c>
      <c r="AK128" s="20">
        <f>IF(COUNT(C128:O128)=0,"",IFERROR(AJ128*(1-Config!$C$10-Config!$C$11-Config!$C$12),0))</f>
        <v/>
      </c>
      <c r="AL128" s="20">
        <f>IF(COUNT(C128:O128)=0,"",IFERROR(AK128-C128-Config!$C$13,0))</f>
        <v/>
      </c>
      <c r="AM128" s="21">
        <f>IF(COUNT(C128:O128)=0,"",IFERROR(AK128/C128,0))</f>
        <v/>
      </c>
      <c r="AN128" s="21">
        <f>IF(COUNT(C128:O128)=0,"",IFERROR(AI128/C128,0))</f>
        <v/>
      </c>
      <c r="AO128" s="15">
        <f>IF(COUNT(C128:O128)=0,"",IFERROR(AL128/G128,0))</f>
        <v/>
      </c>
      <c r="AP128" s="21">
        <f>IF(COUNT(C128:O128)=0,"",IFERROR(AO128/U128,0))</f>
        <v/>
      </c>
      <c r="AQ128" s="15">
        <f>IF(COUNT(C128:O128)=0,"",IFERROR(AL128/H128,0))</f>
        <v/>
      </c>
    </row>
    <row r="129">
      <c r="A129" s="12">
        <f>Config!$C$6+123</f>
        <v/>
      </c>
      <c r="B129" s="13">
        <f>INT((A129-Config!$C$6)/7)+1</f>
        <v/>
      </c>
      <c r="C129" s="10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0" t="n"/>
      <c r="P129" s="15">
        <f>IF(COUNT(C129:O129)=0,"",IFERROR(C129/D129*1000,0))</f>
        <v/>
      </c>
      <c r="Q129" s="16">
        <f>IF(COUNT(C129:O129)=0,"",IFERROR(D129/E129,0))</f>
        <v/>
      </c>
      <c r="R129" s="17">
        <f>IF(COUNT(C129:O129)=0,"",IFERROR(F129/D129,0))</f>
        <v/>
      </c>
      <c r="S129" s="15">
        <f>IF(COUNT(C129:O129)=0,"",IFERROR(C129/F129,0))</f>
        <v/>
      </c>
      <c r="T129" s="18">
        <f>IF(COUNT(C129:O129)=0,"",IFERROR(G129/F129,0))</f>
        <v/>
      </c>
      <c r="U129" s="15">
        <f>IF(COUNT(C129:O129)=0,"",IFERROR(C129/G129,0))</f>
        <v/>
      </c>
      <c r="V129" s="19">
        <f>IF(COUNT(C129:O129)=0,"",IFERROR(G129/D129*1000,0))</f>
        <v/>
      </c>
      <c r="W129" s="18">
        <f>IF(COUNT(C129:O129)=0,"",IFERROR(H129/G129,0))</f>
        <v/>
      </c>
      <c r="X129" s="15">
        <f>IF(COUNT(C129:O129)=0,"",IFERROR(C129/H129,0))</f>
        <v/>
      </c>
      <c r="Y129" s="18">
        <f>IF(COUNT(C129:O129)=0,"",IFERROR(X129/P129,0))</f>
        <v/>
      </c>
      <c r="Z129" s="19">
        <f>IF(COUNT(C129:O129)=0,"",IFERROR(H129/D129*1000,0))</f>
        <v/>
      </c>
      <c r="AA129" s="18">
        <f>IF(COUNT(C129:O129)=0,"",IFERROR(I129/H129,0))</f>
        <v/>
      </c>
      <c r="AB129" s="18">
        <f>IF(COUNT(C129:O129)=0,"",IFERROR(J129/I129,0))</f>
        <v/>
      </c>
      <c r="AC129" s="18">
        <f>IF(COUNT(C129:O129)=0,"",IFERROR(K129/J129,0))</f>
        <v/>
      </c>
      <c r="AD129" s="15">
        <f>IF(COUNT(C129:O129)=0,"",IFERROR(C129/K129,0))</f>
        <v/>
      </c>
      <c r="AE129" s="18">
        <f>IF(COUNT(C129:O129)=0,"",IFERROR(L129/K129,0))</f>
        <v/>
      </c>
      <c r="AF129" s="18">
        <f>IF(COUNT(C129:O129)=0,"",IFERROR(M129/L129,0))</f>
        <v/>
      </c>
      <c r="AG129" s="17">
        <f>IF(COUNT(C129:O129)=0,"",IFERROR(M129/H129,0))</f>
        <v/>
      </c>
      <c r="AH129" s="15">
        <f>IF(COUNT(C129:O129)=0,"",IFERROR(C129/M129,0))</f>
        <v/>
      </c>
      <c r="AI129" s="20">
        <f>IF(COUNT(C129:O129)=0,"",IFERROR(M129*Config!$C$7+N129*Config!$C$8,0))</f>
        <v/>
      </c>
      <c r="AJ129" s="20">
        <f>IF(COUNT(C129:O129)=0,"",IFERROR(IF(O129&gt;0,O129,AI129*Config!$C$9),0))</f>
        <v/>
      </c>
      <c r="AK129" s="20">
        <f>IF(COUNT(C129:O129)=0,"",IFERROR(AJ129*(1-Config!$C$10-Config!$C$11-Config!$C$12),0))</f>
        <v/>
      </c>
      <c r="AL129" s="20">
        <f>IF(COUNT(C129:O129)=0,"",IFERROR(AK129-C129-Config!$C$13,0))</f>
        <v/>
      </c>
      <c r="AM129" s="21">
        <f>IF(COUNT(C129:O129)=0,"",IFERROR(AK129/C129,0))</f>
        <v/>
      </c>
      <c r="AN129" s="21">
        <f>IF(COUNT(C129:O129)=0,"",IFERROR(AI129/C129,0))</f>
        <v/>
      </c>
      <c r="AO129" s="15">
        <f>IF(COUNT(C129:O129)=0,"",IFERROR(AL129/G129,0))</f>
        <v/>
      </c>
      <c r="AP129" s="21">
        <f>IF(COUNT(C129:O129)=0,"",IFERROR(AO129/U129,0))</f>
        <v/>
      </c>
      <c r="AQ129" s="15">
        <f>IF(COUNT(C129:O129)=0,"",IFERROR(AL129/H129,0))</f>
        <v/>
      </c>
    </row>
    <row r="130">
      <c r="A130" s="12">
        <f>Config!$C$6+124</f>
        <v/>
      </c>
      <c r="B130" s="13">
        <f>INT((A130-Config!$C$6)/7)+1</f>
        <v/>
      </c>
      <c r="C130" s="10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0" t="n"/>
      <c r="P130" s="15">
        <f>IF(COUNT(C130:O130)=0,"",IFERROR(C130/D130*1000,0))</f>
        <v/>
      </c>
      <c r="Q130" s="16">
        <f>IF(COUNT(C130:O130)=0,"",IFERROR(D130/E130,0))</f>
        <v/>
      </c>
      <c r="R130" s="17">
        <f>IF(COUNT(C130:O130)=0,"",IFERROR(F130/D130,0))</f>
        <v/>
      </c>
      <c r="S130" s="15">
        <f>IF(COUNT(C130:O130)=0,"",IFERROR(C130/F130,0))</f>
        <v/>
      </c>
      <c r="T130" s="18">
        <f>IF(COUNT(C130:O130)=0,"",IFERROR(G130/F130,0))</f>
        <v/>
      </c>
      <c r="U130" s="15">
        <f>IF(COUNT(C130:O130)=0,"",IFERROR(C130/G130,0))</f>
        <v/>
      </c>
      <c r="V130" s="19">
        <f>IF(COUNT(C130:O130)=0,"",IFERROR(G130/D130*1000,0))</f>
        <v/>
      </c>
      <c r="W130" s="18">
        <f>IF(COUNT(C130:O130)=0,"",IFERROR(H130/G130,0))</f>
        <v/>
      </c>
      <c r="X130" s="15">
        <f>IF(COUNT(C130:O130)=0,"",IFERROR(C130/H130,0))</f>
        <v/>
      </c>
      <c r="Y130" s="18">
        <f>IF(COUNT(C130:O130)=0,"",IFERROR(X130/P130,0))</f>
        <v/>
      </c>
      <c r="Z130" s="19">
        <f>IF(COUNT(C130:O130)=0,"",IFERROR(H130/D130*1000,0))</f>
        <v/>
      </c>
      <c r="AA130" s="18">
        <f>IF(COUNT(C130:O130)=0,"",IFERROR(I130/H130,0))</f>
        <v/>
      </c>
      <c r="AB130" s="18">
        <f>IF(COUNT(C130:O130)=0,"",IFERROR(J130/I130,0))</f>
        <v/>
      </c>
      <c r="AC130" s="18">
        <f>IF(COUNT(C130:O130)=0,"",IFERROR(K130/J130,0))</f>
        <v/>
      </c>
      <c r="AD130" s="15">
        <f>IF(COUNT(C130:O130)=0,"",IFERROR(C130/K130,0))</f>
        <v/>
      </c>
      <c r="AE130" s="18">
        <f>IF(COUNT(C130:O130)=0,"",IFERROR(L130/K130,0))</f>
        <v/>
      </c>
      <c r="AF130" s="18">
        <f>IF(COUNT(C130:O130)=0,"",IFERROR(M130/L130,0))</f>
        <v/>
      </c>
      <c r="AG130" s="17">
        <f>IF(COUNT(C130:O130)=0,"",IFERROR(M130/H130,0))</f>
        <v/>
      </c>
      <c r="AH130" s="15">
        <f>IF(COUNT(C130:O130)=0,"",IFERROR(C130/M130,0))</f>
        <v/>
      </c>
      <c r="AI130" s="20">
        <f>IF(COUNT(C130:O130)=0,"",IFERROR(M130*Config!$C$7+N130*Config!$C$8,0))</f>
        <v/>
      </c>
      <c r="AJ130" s="20">
        <f>IF(COUNT(C130:O130)=0,"",IFERROR(IF(O130&gt;0,O130,AI130*Config!$C$9),0))</f>
        <v/>
      </c>
      <c r="AK130" s="20">
        <f>IF(COUNT(C130:O130)=0,"",IFERROR(AJ130*(1-Config!$C$10-Config!$C$11-Config!$C$12),0))</f>
        <v/>
      </c>
      <c r="AL130" s="20">
        <f>IF(COUNT(C130:O130)=0,"",IFERROR(AK130-C130-Config!$C$13,0))</f>
        <v/>
      </c>
      <c r="AM130" s="21">
        <f>IF(COUNT(C130:O130)=0,"",IFERROR(AK130/C130,0))</f>
        <v/>
      </c>
      <c r="AN130" s="21">
        <f>IF(COUNT(C130:O130)=0,"",IFERROR(AI130/C130,0))</f>
        <v/>
      </c>
      <c r="AO130" s="15">
        <f>IF(COUNT(C130:O130)=0,"",IFERROR(AL130/G130,0))</f>
        <v/>
      </c>
      <c r="AP130" s="21">
        <f>IF(COUNT(C130:O130)=0,"",IFERROR(AO130/U130,0))</f>
        <v/>
      </c>
      <c r="AQ130" s="15">
        <f>IF(COUNT(C130:O130)=0,"",IFERROR(AL130/H130,0))</f>
        <v/>
      </c>
    </row>
    <row r="131">
      <c r="A131" s="12">
        <f>Config!$C$6+125</f>
        <v/>
      </c>
      <c r="B131" s="13">
        <f>INT((A131-Config!$C$6)/7)+1</f>
        <v/>
      </c>
      <c r="C131" s="10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0" t="n"/>
      <c r="P131" s="15">
        <f>IF(COUNT(C131:O131)=0,"",IFERROR(C131/D131*1000,0))</f>
        <v/>
      </c>
      <c r="Q131" s="16">
        <f>IF(COUNT(C131:O131)=0,"",IFERROR(D131/E131,0))</f>
        <v/>
      </c>
      <c r="R131" s="17">
        <f>IF(COUNT(C131:O131)=0,"",IFERROR(F131/D131,0))</f>
        <v/>
      </c>
      <c r="S131" s="15">
        <f>IF(COUNT(C131:O131)=0,"",IFERROR(C131/F131,0))</f>
        <v/>
      </c>
      <c r="T131" s="18">
        <f>IF(COUNT(C131:O131)=0,"",IFERROR(G131/F131,0))</f>
        <v/>
      </c>
      <c r="U131" s="15">
        <f>IF(COUNT(C131:O131)=0,"",IFERROR(C131/G131,0))</f>
        <v/>
      </c>
      <c r="V131" s="19">
        <f>IF(COUNT(C131:O131)=0,"",IFERROR(G131/D131*1000,0))</f>
        <v/>
      </c>
      <c r="W131" s="18">
        <f>IF(COUNT(C131:O131)=0,"",IFERROR(H131/G131,0))</f>
        <v/>
      </c>
      <c r="X131" s="15">
        <f>IF(COUNT(C131:O131)=0,"",IFERROR(C131/H131,0))</f>
        <v/>
      </c>
      <c r="Y131" s="18">
        <f>IF(COUNT(C131:O131)=0,"",IFERROR(X131/P131,0))</f>
        <v/>
      </c>
      <c r="Z131" s="19">
        <f>IF(COUNT(C131:O131)=0,"",IFERROR(H131/D131*1000,0))</f>
        <v/>
      </c>
      <c r="AA131" s="18">
        <f>IF(COUNT(C131:O131)=0,"",IFERROR(I131/H131,0))</f>
        <v/>
      </c>
      <c r="AB131" s="18">
        <f>IF(COUNT(C131:O131)=0,"",IFERROR(J131/I131,0))</f>
        <v/>
      </c>
      <c r="AC131" s="18">
        <f>IF(COUNT(C131:O131)=0,"",IFERROR(K131/J131,0))</f>
        <v/>
      </c>
      <c r="AD131" s="15">
        <f>IF(COUNT(C131:O131)=0,"",IFERROR(C131/K131,0))</f>
        <v/>
      </c>
      <c r="AE131" s="18">
        <f>IF(COUNT(C131:O131)=0,"",IFERROR(L131/K131,0))</f>
        <v/>
      </c>
      <c r="AF131" s="18">
        <f>IF(COUNT(C131:O131)=0,"",IFERROR(M131/L131,0))</f>
        <v/>
      </c>
      <c r="AG131" s="17">
        <f>IF(COUNT(C131:O131)=0,"",IFERROR(M131/H131,0))</f>
        <v/>
      </c>
      <c r="AH131" s="15">
        <f>IF(COUNT(C131:O131)=0,"",IFERROR(C131/M131,0))</f>
        <v/>
      </c>
      <c r="AI131" s="20">
        <f>IF(COUNT(C131:O131)=0,"",IFERROR(M131*Config!$C$7+N131*Config!$C$8,0))</f>
        <v/>
      </c>
      <c r="AJ131" s="20">
        <f>IF(COUNT(C131:O131)=0,"",IFERROR(IF(O131&gt;0,O131,AI131*Config!$C$9),0))</f>
        <v/>
      </c>
      <c r="AK131" s="20">
        <f>IF(COUNT(C131:O131)=0,"",IFERROR(AJ131*(1-Config!$C$10-Config!$C$11-Config!$C$12),0))</f>
        <v/>
      </c>
      <c r="AL131" s="20">
        <f>IF(COUNT(C131:O131)=0,"",IFERROR(AK131-C131-Config!$C$13,0))</f>
        <v/>
      </c>
      <c r="AM131" s="21">
        <f>IF(COUNT(C131:O131)=0,"",IFERROR(AK131/C131,0))</f>
        <v/>
      </c>
      <c r="AN131" s="21">
        <f>IF(COUNT(C131:O131)=0,"",IFERROR(AI131/C131,0))</f>
        <v/>
      </c>
      <c r="AO131" s="15">
        <f>IF(COUNT(C131:O131)=0,"",IFERROR(AL131/G131,0))</f>
        <v/>
      </c>
      <c r="AP131" s="21">
        <f>IF(COUNT(C131:O131)=0,"",IFERROR(AO131/U131,0))</f>
        <v/>
      </c>
      <c r="AQ131" s="15">
        <f>IF(COUNT(C131:O131)=0,"",IFERROR(AL131/H131,0))</f>
        <v/>
      </c>
    </row>
    <row r="132">
      <c r="A132" s="12">
        <f>Config!$C$6+126</f>
        <v/>
      </c>
      <c r="B132" s="13">
        <f>INT((A132-Config!$C$6)/7)+1</f>
        <v/>
      </c>
      <c r="C132" s="10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0" t="n"/>
      <c r="P132" s="15">
        <f>IF(COUNT(C132:O132)=0,"",IFERROR(C132/D132*1000,0))</f>
        <v/>
      </c>
      <c r="Q132" s="16">
        <f>IF(COUNT(C132:O132)=0,"",IFERROR(D132/E132,0))</f>
        <v/>
      </c>
      <c r="R132" s="17">
        <f>IF(COUNT(C132:O132)=0,"",IFERROR(F132/D132,0))</f>
        <v/>
      </c>
      <c r="S132" s="15">
        <f>IF(COUNT(C132:O132)=0,"",IFERROR(C132/F132,0))</f>
        <v/>
      </c>
      <c r="T132" s="18">
        <f>IF(COUNT(C132:O132)=0,"",IFERROR(G132/F132,0))</f>
        <v/>
      </c>
      <c r="U132" s="15">
        <f>IF(COUNT(C132:O132)=0,"",IFERROR(C132/G132,0))</f>
        <v/>
      </c>
      <c r="V132" s="19">
        <f>IF(COUNT(C132:O132)=0,"",IFERROR(G132/D132*1000,0))</f>
        <v/>
      </c>
      <c r="W132" s="18">
        <f>IF(COUNT(C132:O132)=0,"",IFERROR(H132/G132,0))</f>
        <v/>
      </c>
      <c r="X132" s="15">
        <f>IF(COUNT(C132:O132)=0,"",IFERROR(C132/H132,0))</f>
        <v/>
      </c>
      <c r="Y132" s="18">
        <f>IF(COUNT(C132:O132)=0,"",IFERROR(X132/P132,0))</f>
        <v/>
      </c>
      <c r="Z132" s="19">
        <f>IF(COUNT(C132:O132)=0,"",IFERROR(H132/D132*1000,0))</f>
        <v/>
      </c>
      <c r="AA132" s="18">
        <f>IF(COUNT(C132:O132)=0,"",IFERROR(I132/H132,0))</f>
        <v/>
      </c>
      <c r="AB132" s="18">
        <f>IF(COUNT(C132:O132)=0,"",IFERROR(J132/I132,0))</f>
        <v/>
      </c>
      <c r="AC132" s="18">
        <f>IF(COUNT(C132:O132)=0,"",IFERROR(K132/J132,0))</f>
        <v/>
      </c>
      <c r="AD132" s="15">
        <f>IF(COUNT(C132:O132)=0,"",IFERROR(C132/K132,0))</f>
        <v/>
      </c>
      <c r="AE132" s="18">
        <f>IF(COUNT(C132:O132)=0,"",IFERROR(L132/K132,0))</f>
        <v/>
      </c>
      <c r="AF132" s="18">
        <f>IF(COUNT(C132:O132)=0,"",IFERROR(M132/L132,0))</f>
        <v/>
      </c>
      <c r="AG132" s="17">
        <f>IF(COUNT(C132:O132)=0,"",IFERROR(M132/H132,0))</f>
        <v/>
      </c>
      <c r="AH132" s="15">
        <f>IF(COUNT(C132:O132)=0,"",IFERROR(C132/M132,0))</f>
        <v/>
      </c>
      <c r="AI132" s="20">
        <f>IF(COUNT(C132:O132)=0,"",IFERROR(M132*Config!$C$7+N132*Config!$C$8,0))</f>
        <v/>
      </c>
      <c r="AJ132" s="20">
        <f>IF(COUNT(C132:O132)=0,"",IFERROR(IF(O132&gt;0,O132,AI132*Config!$C$9),0))</f>
        <v/>
      </c>
      <c r="AK132" s="20">
        <f>IF(COUNT(C132:O132)=0,"",IFERROR(AJ132*(1-Config!$C$10-Config!$C$11-Config!$C$12),0))</f>
        <v/>
      </c>
      <c r="AL132" s="20">
        <f>IF(COUNT(C132:O132)=0,"",IFERROR(AK132-C132-Config!$C$13,0))</f>
        <v/>
      </c>
      <c r="AM132" s="21">
        <f>IF(COUNT(C132:O132)=0,"",IFERROR(AK132/C132,0))</f>
        <v/>
      </c>
      <c r="AN132" s="21">
        <f>IF(COUNT(C132:O132)=0,"",IFERROR(AI132/C132,0))</f>
        <v/>
      </c>
      <c r="AO132" s="15">
        <f>IF(COUNT(C132:O132)=0,"",IFERROR(AL132/G132,0))</f>
        <v/>
      </c>
      <c r="AP132" s="21">
        <f>IF(COUNT(C132:O132)=0,"",IFERROR(AO132/U132,0))</f>
        <v/>
      </c>
      <c r="AQ132" s="15">
        <f>IF(COUNT(C132:O132)=0,"",IFERROR(AL132/H132,0))</f>
        <v/>
      </c>
    </row>
    <row r="133">
      <c r="A133" s="12">
        <f>Config!$C$6+127</f>
        <v/>
      </c>
      <c r="B133" s="13">
        <f>INT((A133-Config!$C$6)/7)+1</f>
        <v/>
      </c>
      <c r="C133" s="10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0" t="n"/>
      <c r="P133" s="15">
        <f>IF(COUNT(C133:O133)=0,"",IFERROR(C133/D133*1000,0))</f>
        <v/>
      </c>
      <c r="Q133" s="16">
        <f>IF(COUNT(C133:O133)=0,"",IFERROR(D133/E133,0))</f>
        <v/>
      </c>
      <c r="R133" s="17">
        <f>IF(COUNT(C133:O133)=0,"",IFERROR(F133/D133,0))</f>
        <v/>
      </c>
      <c r="S133" s="15">
        <f>IF(COUNT(C133:O133)=0,"",IFERROR(C133/F133,0))</f>
        <v/>
      </c>
      <c r="T133" s="18">
        <f>IF(COUNT(C133:O133)=0,"",IFERROR(G133/F133,0))</f>
        <v/>
      </c>
      <c r="U133" s="15">
        <f>IF(COUNT(C133:O133)=0,"",IFERROR(C133/G133,0))</f>
        <v/>
      </c>
      <c r="V133" s="19">
        <f>IF(COUNT(C133:O133)=0,"",IFERROR(G133/D133*1000,0))</f>
        <v/>
      </c>
      <c r="W133" s="18">
        <f>IF(COUNT(C133:O133)=0,"",IFERROR(H133/G133,0))</f>
        <v/>
      </c>
      <c r="X133" s="15">
        <f>IF(COUNT(C133:O133)=0,"",IFERROR(C133/H133,0))</f>
        <v/>
      </c>
      <c r="Y133" s="18">
        <f>IF(COUNT(C133:O133)=0,"",IFERROR(X133/P133,0))</f>
        <v/>
      </c>
      <c r="Z133" s="19">
        <f>IF(COUNT(C133:O133)=0,"",IFERROR(H133/D133*1000,0))</f>
        <v/>
      </c>
      <c r="AA133" s="18">
        <f>IF(COUNT(C133:O133)=0,"",IFERROR(I133/H133,0))</f>
        <v/>
      </c>
      <c r="AB133" s="18">
        <f>IF(COUNT(C133:O133)=0,"",IFERROR(J133/I133,0))</f>
        <v/>
      </c>
      <c r="AC133" s="18">
        <f>IF(COUNT(C133:O133)=0,"",IFERROR(K133/J133,0))</f>
        <v/>
      </c>
      <c r="AD133" s="15">
        <f>IF(COUNT(C133:O133)=0,"",IFERROR(C133/K133,0))</f>
        <v/>
      </c>
      <c r="AE133" s="18">
        <f>IF(COUNT(C133:O133)=0,"",IFERROR(L133/K133,0))</f>
        <v/>
      </c>
      <c r="AF133" s="18">
        <f>IF(COUNT(C133:O133)=0,"",IFERROR(M133/L133,0))</f>
        <v/>
      </c>
      <c r="AG133" s="17">
        <f>IF(COUNT(C133:O133)=0,"",IFERROR(M133/H133,0))</f>
        <v/>
      </c>
      <c r="AH133" s="15">
        <f>IF(COUNT(C133:O133)=0,"",IFERROR(C133/M133,0))</f>
        <v/>
      </c>
      <c r="AI133" s="20">
        <f>IF(COUNT(C133:O133)=0,"",IFERROR(M133*Config!$C$7+N133*Config!$C$8,0))</f>
        <v/>
      </c>
      <c r="AJ133" s="20">
        <f>IF(COUNT(C133:O133)=0,"",IFERROR(IF(O133&gt;0,O133,AI133*Config!$C$9),0))</f>
        <v/>
      </c>
      <c r="AK133" s="20">
        <f>IF(COUNT(C133:O133)=0,"",IFERROR(AJ133*(1-Config!$C$10-Config!$C$11-Config!$C$12),0))</f>
        <v/>
      </c>
      <c r="AL133" s="20">
        <f>IF(COUNT(C133:O133)=0,"",IFERROR(AK133-C133-Config!$C$13,0))</f>
        <v/>
      </c>
      <c r="AM133" s="21">
        <f>IF(COUNT(C133:O133)=0,"",IFERROR(AK133/C133,0))</f>
        <v/>
      </c>
      <c r="AN133" s="21">
        <f>IF(COUNT(C133:O133)=0,"",IFERROR(AI133/C133,0))</f>
        <v/>
      </c>
      <c r="AO133" s="15">
        <f>IF(COUNT(C133:O133)=0,"",IFERROR(AL133/G133,0))</f>
        <v/>
      </c>
      <c r="AP133" s="21">
        <f>IF(COUNT(C133:O133)=0,"",IFERROR(AO133/U133,0))</f>
        <v/>
      </c>
      <c r="AQ133" s="15">
        <f>IF(COUNT(C133:O133)=0,"",IFERROR(AL133/H133,0))</f>
        <v/>
      </c>
    </row>
    <row r="134">
      <c r="A134" s="12">
        <f>Config!$C$6+128</f>
        <v/>
      </c>
      <c r="B134" s="13">
        <f>INT((A134-Config!$C$6)/7)+1</f>
        <v/>
      </c>
      <c r="C134" s="10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0" t="n"/>
      <c r="P134" s="15">
        <f>IF(COUNT(C134:O134)=0,"",IFERROR(C134/D134*1000,0))</f>
        <v/>
      </c>
      <c r="Q134" s="16">
        <f>IF(COUNT(C134:O134)=0,"",IFERROR(D134/E134,0))</f>
        <v/>
      </c>
      <c r="R134" s="17">
        <f>IF(COUNT(C134:O134)=0,"",IFERROR(F134/D134,0))</f>
        <v/>
      </c>
      <c r="S134" s="15">
        <f>IF(COUNT(C134:O134)=0,"",IFERROR(C134/F134,0))</f>
        <v/>
      </c>
      <c r="T134" s="18">
        <f>IF(COUNT(C134:O134)=0,"",IFERROR(G134/F134,0))</f>
        <v/>
      </c>
      <c r="U134" s="15">
        <f>IF(COUNT(C134:O134)=0,"",IFERROR(C134/G134,0))</f>
        <v/>
      </c>
      <c r="V134" s="19">
        <f>IF(COUNT(C134:O134)=0,"",IFERROR(G134/D134*1000,0))</f>
        <v/>
      </c>
      <c r="W134" s="18">
        <f>IF(COUNT(C134:O134)=0,"",IFERROR(H134/G134,0))</f>
        <v/>
      </c>
      <c r="X134" s="15">
        <f>IF(COUNT(C134:O134)=0,"",IFERROR(C134/H134,0))</f>
        <v/>
      </c>
      <c r="Y134" s="18">
        <f>IF(COUNT(C134:O134)=0,"",IFERROR(X134/P134,0))</f>
        <v/>
      </c>
      <c r="Z134" s="19">
        <f>IF(COUNT(C134:O134)=0,"",IFERROR(H134/D134*1000,0))</f>
        <v/>
      </c>
      <c r="AA134" s="18">
        <f>IF(COUNT(C134:O134)=0,"",IFERROR(I134/H134,0))</f>
        <v/>
      </c>
      <c r="AB134" s="18">
        <f>IF(COUNT(C134:O134)=0,"",IFERROR(J134/I134,0))</f>
        <v/>
      </c>
      <c r="AC134" s="18">
        <f>IF(COUNT(C134:O134)=0,"",IFERROR(K134/J134,0))</f>
        <v/>
      </c>
      <c r="AD134" s="15">
        <f>IF(COUNT(C134:O134)=0,"",IFERROR(C134/K134,0))</f>
        <v/>
      </c>
      <c r="AE134" s="18">
        <f>IF(COUNT(C134:O134)=0,"",IFERROR(L134/K134,0))</f>
        <v/>
      </c>
      <c r="AF134" s="18">
        <f>IF(COUNT(C134:O134)=0,"",IFERROR(M134/L134,0))</f>
        <v/>
      </c>
      <c r="AG134" s="17">
        <f>IF(COUNT(C134:O134)=0,"",IFERROR(M134/H134,0))</f>
        <v/>
      </c>
      <c r="AH134" s="15">
        <f>IF(COUNT(C134:O134)=0,"",IFERROR(C134/M134,0))</f>
        <v/>
      </c>
      <c r="AI134" s="20">
        <f>IF(COUNT(C134:O134)=0,"",IFERROR(M134*Config!$C$7+N134*Config!$C$8,0))</f>
        <v/>
      </c>
      <c r="AJ134" s="20">
        <f>IF(COUNT(C134:O134)=0,"",IFERROR(IF(O134&gt;0,O134,AI134*Config!$C$9),0))</f>
        <v/>
      </c>
      <c r="AK134" s="20">
        <f>IF(COUNT(C134:O134)=0,"",IFERROR(AJ134*(1-Config!$C$10-Config!$C$11-Config!$C$12),0))</f>
        <v/>
      </c>
      <c r="AL134" s="20">
        <f>IF(COUNT(C134:O134)=0,"",IFERROR(AK134-C134-Config!$C$13,0))</f>
        <v/>
      </c>
      <c r="AM134" s="21">
        <f>IF(COUNT(C134:O134)=0,"",IFERROR(AK134/C134,0))</f>
        <v/>
      </c>
      <c r="AN134" s="21">
        <f>IF(COUNT(C134:O134)=0,"",IFERROR(AI134/C134,0))</f>
        <v/>
      </c>
      <c r="AO134" s="15">
        <f>IF(COUNT(C134:O134)=0,"",IFERROR(AL134/G134,0))</f>
        <v/>
      </c>
      <c r="AP134" s="21">
        <f>IF(COUNT(C134:O134)=0,"",IFERROR(AO134/U134,0))</f>
        <v/>
      </c>
      <c r="AQ134" s="15">
        <f>IF(COUNT(C134:O134)=0,"",IFERROR(AL134/H134,0))</f>
        <v/>
      </c>
    </row>
    <row r="135">
      <c r="A135" s="12">
        <f>Config!$C$6+129</f>
        <v/>
      </c>
      <c r="B135" s="13">
        <f>INT((A135-Config!$C$6)/7)+1</f>
        <v/>
      </c>
      <c r="C135" s="10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0" t="n"/>
      <c r="P135" s="15">
        <f>IF(COUNT(C135:O135)=0,"",IFERROR(C135/D135*1000,0))</f>
        <v/>
      </c>
      <c r="Q135" s="16">
        <f>IF(COUNT(C135:O135)=0,"",IFERROR(D135/E135,0))</f>
        <v/>
      </c>
      <c r="R135" s="17">
        <f>IF(COUNT(C135:O135)=0,"",IFERROR(F135/D135,0))</f>
        <v/>
      </c>
      <c r="S135" s="15">
        <f>IF(COUNT(C135:O135)=0,"",IFERROR(C135/F135,0))</f>
        <v/>
      </c>
      <c r="T135" s="18">
        <f>IF(COUNT(C135:O135)=0,"",IFERROR(G135/F135,0))</f>
        <v/>
      </c>
      <c r="U135" s="15">
        <f>IF(COUNT(C135:O135)=0,"",IFERROR(C135/G135,0))</f>
        <v/>
      </c>
      <c r="V135" s="19">
        <f>IF(COUNT(C135:O135)=0,"",IFERROR(G135/D135*1000,0))</f>
        <v/>
      </c>
      <c r="W135" s="18">
        <f>IF(COUNT(C135:O135)=0,"",IFERROR(H135/G135,0))</f>
        <v/>
      </c>
      <c r="X135" s="15">
        <f>IF(COUNT(C135:O135)=0,"",IFERROR(C135/H135,0))</f>
        <v/>
      </c>
      <c r="Y135" s="18">
        <f>IF(COUNT(C135:O135)=0,"",IFERROR(X135/P135,0))</f>
        <v/>
      </c>
      <c r="Z135" s="19">
        <f>IF(COUNT(C135:O135)=0,"",IFERROR(H135/D135*1000,0))</f>
        <v/>
      </c>
      <c r="AA135" s="18">
        <f>IF(COUNT(C135:O135)=0,"",IFERROR(I135/H135,0))</f>
        <v/>
      </c>
      <c r="AB135" s="18">
        <f>IF(COUNT(C135:O135)=0,"",IFERROR(J135/I135,0))</f>
        <v/>
      </c>
      <c r="AC135" s="18">
        <f>IF(COUNT(C135:O135)=0,"",IFERROR(K135/J135,0))</f>
        <v/>
      </c>
      <c r="AD135" s="15">
        <f>IF(COUNT(C135:O135)=0,"",IFERROR(C135/K135,0))</f>
        <v/>
      </c>
      <c r="AE135" s="18">
        <f>IF(COUNT(C135:O135)=0,"",IFERROR(L135/K135,0))</f>
        <v/>
      </c>
      <c r="AF135" s="18">
        <f>IF(COUNT(C135:O135)=0,"",IFERROR(M135/L135,0))</f>
        <v/>
      </c>
      <c r="AG135" s="17">
        <f>IF(COUNT(C135:O135)=0,"",IFERROR(M135/H135,0))</f>
        <v/>
      </c>
      <c r="AH135" s="15">
        <f>IF(COUNT(C135:O135)=0,"",IFERROR(C135/M135,0))</f>
        <v/>
      </c>
      <c r="AI135" s="20">
        <f>IF(COUNT(C135:O135)=0,"",IFERROR(M135*Config!$C$7+N135*Config!$C$8,0))</f>
        <v/>
      </c>
      <c r="AJ135" s="20">
        <f>IF(COUNT(C135:O135)=0,"",IFERROR(IF(O135&gt;0,O135,AI135*Config!$C$9),0))</f>
        <v/>
      </c>
      <c r="AK135" s="20">
        <f>IF(COUNT(C135:O135)=0,"",IFERROR(AJ135*(1-Config!$C$10-Config!$C$11-Config!$C$12),0))</f>
        <v/>
      </c>
      <c r="AL135" s="20">
        <f>IF(COUNT(C135:O135)=0,"",IFERROR(AK135-C135-Config!$C$13,0))</f>
        <v/>
      </c>
      <c r="AM135" s="21">
        <f>IF(COUNT(C135:O135)=0,"",IFERROR(AK135/C135,0))</f>
        <v/>
      </c>
      <c r="AN135" s="21">
        <f>IF(COUNT(C135:O135)=0,"",IFERROR(AI135/C135,0))</f>
        <v/>
      </c>
      <c r="AO135" s="15">
        <f>IF(COUNT(C135:O135)=0,"",IFERROR(AL135/G135,0))</f>
        <v/>
      </c>
      <c r="AP135" s="21">
        <f>IF(COUNT(C135:O135)=0,"",IFERROR(AO135/U135,0))</f>
        <v/>
      </c>
      <c r="AQ135" s="15">
        <f>IF(COUNT(C135:O135)=0,"",IFERROR(AL135/H135,0))</f>
        <v/>
      </c>
    </row>
    <row r="136">
      <c r="A136" s="12">
        <f>Config!$C$6+130</f>
        <v/>
      </c>
      <c r="B136" s="13">
        <f>INT((A136-Config!$C$6)/7)+1</f>
        <v/>
      </c>
      <c r="C136" s="10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0" t="n"/>
      <c r="P136" s="15">
        <f>IF(COUNT(C136:O136)=0,"",IFERROR(C136/D136*1000,0))</f>
        <v/>
      </c>
      <c r="Q136" s="16">
        <f>IF(COUNT(C136:O136)=0,"",IFERROR(D136/E136,0))</f>
        <v/>
      </c>
      <c r="R136" s="17">
        <f>IF(COUNT(C136:O136)=0,"",IFERROR(F136/D136,0))</f>
        <v/>
      </c>
      <c r="S136" s="15">
        <f>IF(COUNT(C136:O136)=0,"",IFERROR(C136/F136,0))</f>
        <v/>
      </c>
      <c r="T136" s="18">
        <f>IF(COUNT(C136:O136)=0,"",IFERROR(G136/F136,0))</f>
        <v/>
      </c>
      <c r="U136" s="15">
        <f>IF(COUNT(C136:O136)=0,"",IFERROR(C136/G136,0))</f>
        <v/>
      </c>
      <c r="V136" s="19">
        <f>IF(COUNT(C136:O136)=0,"",IFERROR(G136/D136*1000,0))</f>
        <v/>
      </c>
      <c r="W136" s="18">
        <f>IF(COUNT(C136:O136)=0,"",IFERROR(H136/G136,0))</f>
        <v/>
      </c>
      <c r="X136" s="15">
        <f>IF(COUNT(C136:O136)=0,"",IFERROR(C136/H136,0))</f>
        <v/>
      </c>
      <c r="Y136" s="18">
        <f>IF(COUNT(C136:O136)=0,"",IFERROR(X136/P136,0))</f>
        <v/>
      </c>
      <c r="Z136" s="19">
        <f>IF(COUNT(C136:O136)=0,"",IFERROR(H136/D136*1000,0))</f>
        <v/>
      </c>
      <c r="AA136" s="18">
        <f>IF(COUNT(C136:O136)=0,"",IFERROR(I136/H136,0))</f>
        <v/>
      </c>
      <c r="AB136" s="18">
        <f>IF(COUNT(C136:O136)=0,"",IFERROR(J136/I136,0))</f>
        <v/>
      </c>
      <c r="AC136" s="18">
        <f>IF(COUNT(C136:O136)=0,"",IFERROR(K136/J136,0))</f>
        <v/>
      </c>
      <c r="AD136" s="15">
        <f>IF(COUNT(C136:O136)=0,"",IFERROR(C136/K136,0))</f>
        <v/>
      </c>
      <c r="AE136" s="18">
        <f>IF(COUNT(C136:O136)=0,"",IFERROR(L136/K136,0))</f>
        <v/>
      </c>
      <c r="AF136" s="18">
        <f>IF(COUNT(C136:O136)=0,"",IFERROR(M136/L136,0))</f>
        <v/>
      </c>
      <c r="AG136" s="17">
        <f>IF(COUNT(C136:O136)=0,"",IFERROR(M136/H136,0))</f>
        <v/>
      </c>
      <c r="AH136" s="15">
        <f>IF(COUNT(C136:O136)=0,"",IFERROR(C136/M136,0))</f>
        <v/>
      </c>
      <c r="AI136" s="20">
        <f>IF(COUNT(C136:O136)=0,"",IFERROR(M136*Config!$C$7+N136*Config!$C$8,0))</f>
        <v/>
      </c>
      <c r="AJ136" s="20">
        <f>IF(COUNT(C136:O136)=0,"",IFERROR(IF(O136&gt;0,O136,AI136*Config!$C$9),0))</f>
        <v/>
      </c>
      <c r="AK136" s="20">
        <f>IF(COUNT(C136:O136)=0,"",IFERROR(AJ136*(1-Config!$C$10-Config!$C$11-Config!$C$12),0))</f>
        <v/>
      </c>
      <c r="AL136" s="20">
        <f>IF(COUNT(C136:O136)=0,"",IFERROR(AK136-C136-Config!$C$13,0))</f>
        <v/>
      </c>
      <c r="AM136" s="21">
        <f>IF(COUNT(C136:O136)=0,"",IFERROR(AK136/C136,0))</f>
        <v/>
      </c>
      <c r="AN136" s="21">
        <f>IF(COUNT(C136:O136)=0,"",IFERROR(AI136/C136,0))</f>
        <v/>
      </c>
      <c r="AO136" s="15">
        <f>IF(COUNT(C136:O136)=0,"",IFERROR(AL136/G136,0))</f>
        <v/>
      </c>
      <c r="AP136" s="21">
        <f>IF(COUNT(C136:O136)=0,"",IFERROR(AO136/U136,0))</f>
        <v/>
      </c>
      <c r="AQ136" s="15">
        <f>IF(COUNT(C136:O136)=0,"",IFERROR(AL136/H136,0))</f>
        <v/>
      </c>
    </row>
    <row r="137">
      <c r="A137" s="12">
        <f>Config!$C$6+131</f>
        <v/>
      </c>
      <c r="B137" s="13">
        <f>INT((A137-Config!$C$6)/7)+1</f>
        <v/>
      </c>
      <c r="C137" s="10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0" t="n"/>
      <c r="P137" s="15">
        <f>IF(COUNT(C137:O137)=0,"",IFERROR(C137/D137*1000,0))</f>
        <v/>
      </c>
      <c r="Q137" s="16">
        <f>IF(COUNT(C137:O137)=0,"",IFERROR(D137/E137,0))</f>
        <v/>
      </c>
      <c r="R137" s="17">
        <f>IF(COUNT(C137:O137)=0,"",IFERROR(F137/D137,0))</f>
        <v/>
      </c>
      <c r="S137" s="15">
        <f>IF(COUNT(C137:O137)=0,"",IFERROR(C137/F137,0))</f>
        <v/>
      </c>
      <c r="T137" s="18">
        <f>IF(COUNT(C137:O137)=0,"",IFERROR(G137/F137,0))</f>
        <v/>
      </c>
      <c r="U137" s="15">
        <f>IF(COUNT(C137:O137)=0,"",IFERROR(C137/G137,0))</f>
        <v/>
      </c>
      <c r="V137" s="19">
        <f>IF(COUNT(C137:O137)=0,"",IFERROR(G137/D137*1000,0))</f>
        <v/>
      </c>
      <c r="W137" s="18">
        <f>IF(COUNT(C137:O137)=0,"",IFERROR(H137/G137,0))</f>
        <v/>
      </c>
      <c r="X137" s="15">
        <f>IF(COUNT(C137:O137)=0,"",IFERROR(C137/H137,0))</f>
        <v/>
      </c>
      <c r="Y137" s="18">
        <f>IF(COUNT(C137:O137)=0,"",IFERROR(X137/P137,0))</f>
        <v/>
      </c>
      <c r="Z137" s="19">
        <f>IF(COUNT(C137:O137)=0,"",IFERROR(H137/D137*1000,0))</f>
        <v/>
      </c>
      <c r="AA137" s="18">
        <f>IF(COUNT(C137:O137)=0,"",IFERROR(I137/H137,0))</f>
        <v/>
      </c>
      <c r="AB137" s="18">
        <f>IF(COUNT(C137:O137)=0,"",IFERROR(J137/I137,0))</f>
        <v/>
      </c>
      <c r="AC137" s="18">
        <f>IF(COUNT(C137:O137)=0,"",IFERROR(K137/J137,0))</f>
        <v/>
      </c>
      <c r="AD137" s="15">
        <f>IF(COUNT(C137:O137)=0,"",IFERROR(C137/K137,0))</f>
        <v/>
      </c>
      <c r="AE137" s="18">
        <f>IF(COUNT(C137:O137)=0,"",IFERROR(L137/K137,0))</f>
        <v/>
      </c>
      <c r="AF137" s="18">
        <f>IF(COUNT(C137:O137)=0,"",IFERROR(M137/L137,0))</f>
        <v/>
      </c>
      <c r="AG137" s="17">
        <f>IF(COUNT(C137:O137)=0,"",IFERROR(M137/H137,0))</f>
        <v/>
      </c>
      <c r="AH137" s="15">
        <f>IF(COUNT(C137:O137)=0,"",IFERROR(C137/M137,0))</f>
        <v/>
      </c>
      <c r="AI137" s="20">
        <f>IF(COUNT(C137:O137)=0,"",IFERROR(M137*Config!$C$7+N137*Config!$C$8,0))</f>
        <v/>
      </c>
      <c r="AJ137" s="20">
        <f>IF(COUNT(C137:O137)=0,"",IFERROR(IF(O137&gt;0,O137,AI137*Config!$C$9),0))</f>
        <v/>
      </c>
      <c r="AK137" s="20">
        <f>IF(COUNT(C137:O137)=0,"",IFERROR(AJ137*(1-Config!$C$10-Config!$C$11-Config!$C$12),0))</f>
        <v/>
      </c>
      <c r="AL137" s="20">
        <f>IF(COUNT(C137:O137)=0,"",IFERROR(AK137-C137-Config!$C$13,0))</f>
        <v/>
      </c>
      <c r="AM137" s="21">
        <f>IF(COUNT(C137:O137)=0,"",IFERROR(AK137/C137,0))</f>
        <v/>
      </c>
      <c r="AN137" s="21">
        <f>IF(COUNT(C137:O137)=0,"",IFERROR(AI137/C137,0))</f>
        <v/>
      </c>
      <c r="AO137" s="15">
        <f>IF(COUNT(C137:O137)=0,"",IFERROR(AL137/G137,0))</f>
        <v/>
      </c>
      <c r="AP137" s="21">
        <f>IF(COUNT(C137:O137)=0,"",IFERROR(AO137/U137,0))</f>
        <v/>
      </c>
      <c r="AQ137" s="15">
        <f>IF(COUNT(C137:O137)=0,"",IFERROR(AL137/H137,0))</f>
        <v/>
      </c>
    </row>
    <row r="138">
      <c r="A138" s="12">
        <f>Config!$C$6+132</f>
        <v/>
      </c>
      <c r="B138" s="13">
        <f>INT((A138-Config!$C$6)/7)+1</f>
        <v/>
      </c>
      <c r="C138" s="10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0" t="n"/>
      <c r="P138" s="15">
        <f>IF(COUNT(C138:O138)=0,"",IFERROR(C138/D138*1000,0))</f>
        <v/>
      </c>
      <c r="Q138" s="16">
        <f>IF(COUNT(C138:O138)=0,"",IFERROR(D138/E138,0))</f>
        <v/>
      </c>
      <c r="R138" s="17">
        <f>IF(COUNT(C138:O138)=0,"",IFERROR(F138/D138,0))</f>
        <v/>
      </c>
      <c r="S138" s="15">
        <f>IF(COUNT(C138:O138)=0,"",IFERROR(C138/F138,0))</f>
        <v/>
      </c>
      <c r="T138" s="18">
        <f>IF(COUNT(C138:O138)=0,"",IFERROR(G138/F138,0))</f>
        <v/>
      </c>
      <c r="U138" s="15">
        <f>IF(COUNT(C138:O138)=0,"",IFERROR(C138/G138,0))</f>
        <v/>
      </c>
      <c r="V138" s="19">
        <f>IF(COUNT(C138:O138)=0,"",IFERROR(G138/D138*1000,0))</f>
        <v/>
      </c>
      <c r="W138" s="18">
        <f>IF(COUNT(C138:O138)=0,"",IFERROR(H138/G138,0))</f>
        <v/>
      </c>
      <c r="X138" s="15">
        <f>IF(COUNT(C138:O138)=0,"",IFERROR(C138/H138,0))</f>
        <v/>
      </c>
      <c r="Y138" s="18">
        <f>IF(COUNT(C138:O138)=0,"",IFERROR(X138/P138,0))</f>
        <v/>
      </c>
      <c r="Z138" s="19">
        <f>IF(COUNT(C138:O138)=0,"",IFERROR(H138/D138*1000,0))</f>
        <v/>
      </c>
      <c r="AA138" s="18">
        <f>IF(COUNT(C138:O138)=0,"",IFERROR(I138/H138,0))</f>
        <v/>
      </c>
      <c r="AB138" s="18">
        <f>IF(COUNT(C138:O138)=0,"",IFERROR(J138/I138,0))</f>
        <v/>
      </c>
      <c r="AC138" s="18">
        <f>IF(COUNT(C138:O138)=0,"",IFERROR(K138/J138,0))</f>
        <v/>
      </c>
      <c r="AD138" s="15">
        <f>IF(COUNT(C138:O138)=0,"",IFERROR(C138/K138,0))</f>
        <v/>
      </c>
      <c r="AE138" s="18">
        <f>IF(COUNT(C138:O138)=0,"",IFERROR(L138/K138,0))</f>
        <v/>
      </c>
      <c r="AF138" s="18">
        <f>IF(COUNT(C138:O138)=0,"",IFERROR(M138/L138,0))</f>
        <v/>
      </c>
      <c r="AG138" s="17">
        <f>IF(COUNT(C138:O138)=0,"",IFERROR(M138/H138,0))</f>
        <v/>
      </c>
      <c r="AH138" s="15">
        <f>IF(COUNT(C138:O138)=0,"",IFERROR(C138/M138,0))</f>
        <v/>
      </c>
      <c r="AI138" s="20">
        <f>IF(COUNT(C138:O138)=0,"",IFERROR(M138*Config!$C$7+N138*Config!$C$8,0))</f>
        <v/>
      </c>
      <c r="AJ138" s="20">
        <f>IF(COUNT(C138:O138)=0,"",IFERROR(IF(O138&gt;0,O138,AI138*Config!$C$9),0))</f>
        <v/>
      </c>
      <c r="AK138" s="20">
        <f>IF(COUNT(C138:O138)=0,"",IFERROR(AJ138*(1-Config!$C$10-Config!$C$11-Config!$C$12),0))</f>
        <v/>
      </c>
      <c r="AL138" s="20">
        <f>IF(COUNT(C138:O138)=0,"",IFERROR(AK138-C138-Config!$C$13,0))</f>
        <v/>
      </c>
      <c r="AM138" s="21">
        <f>IF(COUNT(C138:O138)=0,"",IFERROR(AK138/C138,0))</f>
        <v/>
      </c>
      <c r="AN138" s="21">
        <f>IF(COUNT(C138:O138)=0,"",IFERROR(AI138/C138,0))</f>
        <v/>
      </c>
      <c r="AO138" s="15">
        <f>IF(COUNT(C138:O138)=0,"",IFERROR(AL138/G138,0))</f>
        <v/>
      </c>
      <c r="AP138" s="21">
        <f>IF(COUNT(C138:O138)=0,"",IFERROR(AO138/U138,0))</f>
        <v/>
      </c>
      <c r="AQ138" s="15">
        <f>IF(COUNT(C138:O138)=0,"",IFERROR(AL138/H138,0))</f>
        <v/>
      </c>
    </row>
    <row r="139">
      <c r="A139" s="12">
        <f>Config!$C$6+133</f>
        <v/>
      </c>
      <c r="B139" s="13">
        <f>INT((A139-Config!$C$6)/7)+1</f>
        <v/>
      </c>
      <c r="C139" s="10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0" t="n"/>
      <c r="P139" s="15">
        <f>IF(COUNT(C139:O139)=0,"",IFERROR(C139/D139*1000,0))</f>
        <v/>
      </c>
      <c r="Q139" s="16">
        <f>IF(COUNT(C139:O139)=0,"",IFERROR(D139/E139,0))</f>
        <v/>
      </c>
      <c r="R139" s="17">
        <f>IF(COUNT(C139:O139)=0,"",IFERROR(F139/D139,0))</f>
        <v/>
      </c>
      <c r="S139" s="15">
        <f>IF(COUNT(C139:O139)=0,"",IFERROR(C139/F139,0))</f>
        <v/>
      </c>
      <c r="T139" s="18">
        <f>IF(COUNT(C139:O139)=0,"",IFERROR(G139/F139,0))</f>
        <v/>
      </c>
      <c r="U139" s="15">
        <f>IF(COUNT(C139:O139)=0,"",IFERROR(C139/G139,0))</f>
        <v/>
      </c>
      <c r="V139" s="19">
        <f>IF(COUNT(C139:O139)=0,"",IFERROR(G139/D139*1000,0))</f>
        <v/>
      </c>
      <c r="W139" s="18">
        <f>IF(COUNT(C139:O139)=0,"",IFERROR(H139/G139,0))</f>
        <v/>
      </c>
      <c r="X139" s="15">
        <f>IF(COUNT(C139:O139)=0,"",IFERROR(C139/H139,0))</f>
        <v/>
      </c>
      <c r="Y139" s="18">
        <f>IF(COUNT(C139:O139)=0,"",IFERROR(X139/P139,0))</f>
        <v/>
      </c>
      <c r="Z139" s="19">
        <f>IF(COUNT(C139:O139)=0,"",IFERROR(H139/D139*1000,0))</f>
        <v/>
      </c>
      <c r="AA139" s="18">
        <f>IF(COUNT(C139:O139)=0,"",IFERROR(I139/H139,0))</f>
        <v/>
      </c>
      <c r="AB139" s="18">
        <f>IF(COUNT(C139:O139)=0,"",IFERROR(J139/I139,0))</f>
        <v/>
      </c>
      <c r="AC139" s="18">
        <f>IF(COUNT(C139:O139)=0,"",IFERROR(K139/J139,0))</f>
        <v/>
      </c>
      <c r="AD139" s="15">
        <f>IF(COUNT(C139:O139)=0,"",IFERROR(C139/K139,0))</f>
        <v/>
      </c>
      <c r="AE139" s="18">
        <f>IF(COUNT(C139:O139)=0,"",IFERROR(L139/K139,0))</f>
        <v/>
      </c>
      <c r="AF139" s="18">
        <f>IF(COUNT(C139:O139)=0,"",IFERROR(M139/L139,0))</f>
        <v/>
      </c>
      <c r="AG139" s="17">
        <f>IF(COUNT(C139:O139)=0,"",IFERROR(M139/H139,0))</f>
        <v/>
      </c>
      <c r="AH139" s="15">
        <f>IF(COUNT(C139:O139)=0,"",IFERROR(C139/M139,0))</f>
        <v/>
      </c>
      <c r="AI139" s="20">
        <f>IF(COUNT(C139:O139)=0,"",IFERROR(M139*Config!$C$7+N139*Config!$C$8,0))</f>
        <v/>
      </c>
      <c r="AJ139" s="20">
        <f>IF(COUNT(C139:O139)=0,"",IFERROR(IF(O139&gt;0,O139,AI139*Config!$C$9),0))</f>
        <v/>
      </c>
      <c r="AK139" s="20">
        <f>IF(COUNT(C139:O139)=0,"",IFERROR(AJ139*(1-Config!$C$10-Config!$C$11-Config!$C$12),0))</f>
        <v/>
      </c>
      <c r="AL139" s="20">
        <f>IF(COUNT(C139:O139)=0,"",IFERROR(AK139-C139-Config!$C$13,0))</f>
        <v/>
      </c>
      <c r="AM139" s="21">
        <f>IF(COUNT(C139:O139)=0,"",IFERROR(AK139/C139,0))</f>
        <v/>
      </c>
      <c r="AN139" s="21">
        <f>IF(COUNT(C139:O139)=0,"",IFERROR(AI139/C139,0))</f>
        <v/>
      </c>
      <c r="AO139" s="15">
        <f>IF(COUNT(C139:O139)=0,"",IFERROR(AL139/G139,0))</f>
        <v/>
      </c>
      <c r="AP139" s="21">
        <f>IF(COUNT(C139:O139)=0,"",IFERROR(AO139/U139,0))</f>
        <v/>
      </c>
      <c r="AQ139" s="15">
        <f>IF(COUNT(C139:O139)=0,"",IFERROR(AL139/H139,0))</f>
        <v/>
      </c>
    </row>
    <row r="140">
      <c r="A140" s="12">
        <f>Config!$C$6+134</f>
        <v/>
      </c>
      <c r="B140" s="13">
        <f>INT((A140-Config!$C$6)/7)+1</f>
        <v/>
      </c>
      <c r="C140" s="10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0" t="n"/>
      <c r="P140" s="15">
        <f>IF(COUNT(C140:O140)=0,"",IFERROR(C140/D140*1000,0))</f>
        <v/>
      </c>
      <c r="Q140" s="16">
        <f>IF(COUNT(C140:O140)=0,"",IFERROR(D140/E140,0))</f>
        <v/>
      </c>
      <c r="R140" s="17">
        <f>IF(COUNT(C140:O140)=0,"",IFERROR(F140/D140,0))</f>
        <v/>
      </c>
      <c r="S140" s="15">
        <f>IF(COUNT(C140:O140)=0,"",IFERROR(C140/F140,0))</f>
        <v/>
      </c>
      <c r="T140" s="18">
        <f>IF(COUNT(C140:O140)=0,"",IFERROR(G140/F140,0))</f>
        <v/>
      </c>
      <c r="U140" s="15">
        <f>IF(COUNT(C140:O140)=0,"",IFERROR(C140/G140,0))</f>
        <v/>
      </c>
      <c r="V140" s="19">
        <f>IF(COUNT(C140:O140)=0,"",IFERROR(G140/D140*1000,0))</f>
        <v/>
      </c>
      <c r="W140" s="18">
        <f>IF(COUNT(C140:O140)=0,"",IFERROR(H140/G140,0))</f>
        <v/>
      </c>
      <c r="X140" s="15">
        <f>IF(COUNT(C140:O140)=0,"",IFERROR(C140/H140,0))</f>
        <v/>
      </c>
      <c r="Y140" s="18">
        <f>IF(COUNT(C140:O140)=0,"",IFERROR(X140/P140,0))</f>
        <v/>
      </c>
      <c r="Z140" s="19">
        <f>IF(COUNT(C140:O140)=0,"",IFERROR(H140/D140*1000,0))</f>
        <v/>
      </c>
      <c r="AA140" s="18">
        <f>IF(COUNT(C140:O140)=0,"",IFERROR(I140/H140,0))</f>
        <v/>
      </c>
      <c r="AB140" s="18">
        <f>IF(COUNT(C140:O140)=0,"",IFERROR(J140/I140,0))</f>
        <v/>
      </c>
      <c r="AC140" s="18">
        <f>IF(COUNT(C140:O140)=0,"",IFERROR(K140/J140,0))</f>
        <v/>
      </c>
      <c r="AD140" s="15">
        <f>IF(COUNT(C140:O140)=0,"",IFERROR(C140/K140,0))</f>
        <v/>
      </c>
      <c r="AE140" s="18">
        <f>IF(COUNT(C140:O140)=0,"",IFERROR(L140/K140,0))</f>
        <v/>
      </c>
      <c r="AF140" s="18">
        <f>IF(COUNT(C140:O140)=0,"",IFERROR(M140/L140,0))</f>
        <v/>
      </c>
      <c r="AG140" s="17">
        <f>IF(COUNT(C140:O140)=0,"",IFERROR(M140/H140,0))</f>
        <v/>
      </c>
      <c r="AH140" s="15">
        <f>IF(COUNT(C140:O140)=0,"",IFERROR(C140/M140,0))</f>
        <v/>
      </c>
      <c r="AI140" s="20">
        <f>IF(COUNT(C140:O140)=0,"",IFERROR(M140*Config!$C$7+N140*Config!$C$8,0))</f>
        <v/>
      </c>
      <c r="AJ140" s="20">
        <f>IF(COUNT(C140:O140)=0,"",IFERROR(IF(O140&gt;0,O140,AI140*Config!$C$9),0))</f>
        <v/>
      </c>
      <c r="AK140" s="20">
        <f>IF(COUNT(C140:O140)=0,"",IFERROR(AJ140*(1-Config!$C$10-Config!$C$11-Config!$C$12),0))</f>
        <v/>
      </c>
      <c r="AL140" s="20">
        <f>IF(COUNT(C140:O140)=0,"",IFERROR(AK140-C140-Config!$C$13,0))</f>
        <v/>
      </c>
      <c r="AM140" s="21">
        <f>IF(COUNT(C140:O140)=0,"",IFERROR(AK140/C140,0))</f>
        <v/>
      </c>
      <c r="AN140" s="21">
        <f>IF(COUNT(C140:O140)=0,"",IFERROR(AI140/C140,0))</f>
        <v/>
      </c>
      <c r="AO140" s="15">
        <f>IF(COUNT(C140:O140)=0,"",IFERROR(AL140/G140,0))</f>
        <v/>
      </c>
      <c r="AP140" s="21">
        <f>IF(COUNT(C140:O140)=0,"",IFERROR(AO140/U140,0))</f>
        <v/>
      </c>
      <c r="AQ140" s="15">
        <f>IF(COUNT(C140:O140)=0,"",IFERROR(AL140/H140,0))</f>
        <v/>
      </c>
    </row>
    <row r="141">
      <c r="A141" s="12">
        <f>Config!$C$6+135</f>
        <v/>
      </c>
      <c r="B141" s="13">
        <f>INT((A141-Config!$C$6)/7)+1</f>
        <v/>
      </c>
      <c r="C141" s="10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0" t="n"/>
      <c r="P141" s="15">
        <f>IF(COUNT(C141:O141)=0,"",IFERROR(C141/D141*1000,0))</f>
        <v/>
      </c>
      <c r="Q141" s="16">
        <f>IF(COUNT(C141:O141)=0,"",IFERROR(D141/E141,0))</f>
        <v/>
      </c>
      <c r="R141" s="17">
        <f>IF(COUNT(C141:O141)=0,"",IFERROR(F141/D141,0))</f>
        <v/>
      </c>
      <c r="S141" s="15">
        <f>IF(COUNT(C141:O141)=0,"",IFERROR(C141/F141,0))</f>
        <v/>
      </c>
      <c r="T141" s="18">
        <f>IF(COUNT(C141:O141)=0,"",IFERROR(G141/F141,0))</f>
        <v/>
      </c>
      <c r="U141" s="15">
        <f>IF(COUNT(C141:O141)=0,"",IFERROR(C141/G141,0))</f>
        <v/>
      </c>
      <c r="V141" s="19">
        <f>IF(COUNT(C141:O141)=0,"",IFERROR(G141/D141*1000,0))</f>
        <v/>
      </c>
      <c r="W141" s="18">
        <f>IF(COUNT(C141:O141)=0,"",IFERROR(H141/G141,0))</f>
        <v/>
      </c>
      <c r="X141" s="15">
        <f>IF(COUNT(C141:O141)=0,"",IFERROR(C141/H141,0))</f>
        <v/>
      </c>
      <c r="Y141" s="18">
        <f>IF(COUNT(C141:O141)=0,"",IFERROR(X141/P141,0))</f>
        <v/>
      </c>
      <c r="Z141" s="19">
        <f>IF(COUNT(C141:O141)=0,"",IFERROR(H141/D141*1000,0))</f>
        <v/>
      </c>
      <c r="AA141" s="18">
        <f>IF(COUNT(C141:O141)=0,"",IFERROR(I141/H141,0))</f>
        <v/>
      </c>
      <c r="AB141" s="18">
        <f>IF(COUNT(C141:O141)=0,"",IFERROR(J141/I141,0))</f>
        <v/>
      </c>
      <c r="AC141" s="18">
        <f>IF(COUNT(C141:O141)=0,"",IFERROR(K141/J141,0))</f>
        <v/>
      </c>
      <c r="AD141" s="15">
        <f>IF(COUNT(C141:O141)=0,"",IFERROR(C141/K141,0))</f>
        <v/>
      </c>
      <c r="AE141" s="18">
        <f>IF(COUNT(C141:O141)=0,"",IFERROR(L141/K141,0))</f>
        <v/>
      </c>
      <c r="AF141" s="18">
        <f>IF(COUNT(C141:O141)=0,"",IFERROR(M141/L141,0))</f>
        <v/>
      </c>
      <c r="AG141" s="17">
        <f>IF(COUNT(C141:O141)=0,"",IFERROR(M141/H141,0))</f>
        <v/>
      </c>
      <c r="AH141" s="15">
        <f>IF(COUNT(C141:O141)=0,"",IFERROR(C141/M141,0))</f>
        <v/>
      </c>
      <c r="AI141" s="20">
        <f>IF(COUNT(C141:O141)=0,"",IFERROR(M141*Config!$C$7+N141*Config!$C$8,0))</f>
        <v/>
      </c>
      <c r="AJ141" s="20">
        <f>IF(COUNT(C141:O141)=0,"",IFERROR(IF(O141&gt;0,O141,AI141*Config!$C$9),0))</f>
        <v/>
      </c>
      <c r="AK141" s="20">
        <f>IF(COUNT(C141:O141)=0,"",IFERROR(AJ141*(1-Config!$C$10-Config!$C$11-Config!$C$12),0))</f>
        <v/>
      </c>
      <c r="AL141" s="20">
        <f>IF(COUNT(C141:O141)=0,"",IFERROR(AK141-C141-Config!$C$13,0))</f>
        <v/>
      </c>
      <c r="AM141" s="21">
        <f>IF(COUNT(C141:O141)=0,"",IFERROR(AK141/C141,0))</f>
        <v/>
      </c>
      <c r="AN141" s="21">
        <f>IF(COUNT(C141:O141)=0,"",IFERROR(AI141/C141,0))</f>
        <v/>
      </c>
      <c r="AO141" s="15">
        <f>IF(COUNT(C141:O141)=0,"",IFERROR(AL141/G141,0))</f>
        <v/>
      </c>
      <c r="AP141" s="21">
        <f>IF(COUNT(C141:O141)=0,"",IFERROR(AO141/U141,0))</f>
        <v/>
      </c>
      <c r="AQ141" s="15">
        <f>IF(COUNT(C141:O141)=0,"",IFERROR(AL141/H141,0))</f>
        <v/>
      </c>
    </row>
    <row r="142">
      <c r="A142" s="12">
        <f>Config!$C$6+136</f>
        <v/>
      </c>
      <c r="B142" s="13">
        <f>INT((A142-Config!$C$6)/7)+1</f>
        <v/>
      </c>
      <c r="C142" s="10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0" t="n"/>
      <c r="P142" s="15">
        <f>IF(COUNT(C142:O142)=0,"",IFERROR(C142/D142*1000,0))</f>
        <v/>
      </c>
      <c r="Q142" s="16">
        <f>IF(COUNT(C142:O142)=0,"",IFERROR(D142/E142,0))</f>
        <v/>
      </c>
      <c r="R142" s="17">
        <f>IF(COUNT(C142:O142)=0,"",IFERROR(F142/D142,0))</f>
        <v/>
      </c>
      <c r="S142" s="15">
        <f>IF(COUNT(C142:O142)=0,"",IFERROR(C142/F142,0))</f>
        <v/>
      </c>
      <c r="T142" s="18">
        <f>IF(COUNT(C142:O142)=0,"",IFERROR(G142/F142,0))</f>
        <v/>
      </c>
      <c r="U142" s="15">
        <f>IF(COUNT(C142:O142)=0,"",IFERROR(C142/G142,0))</f>
        <v/>
      </c>
      <c r="V142" s="19">
        <f>IF(COUNT(C142:O142)=0,"",IFERROR(G142/D142*1000,0))</f>
        <v/>
      </c>
      <c r="W142" s="18">
        <f>IF(COUNT(C142:O142)=0,"",IFERROR(H142/G142,0))</f>
        <v/>
      </c>
      <c r="X142" s="15">
        <f>IF(COUNT(C142:O142)=0,"",IFERROR(C142/H142,0))</f>
        <v/>
      </c>
      <c r="Y142" s="18">
        <f>IF(COUNT(C142:O142)=0,"",IFERROR(X142/P142,0))</f>
        <v/>
      </c>
      <c r="Z142" s="19">
        <f>IF(COUNT(C142:O142)=0,"",IFERROR(H142/D142*1000,0))</f>
        <v/>
      </c>
      <c r="AA142" s="18">
        <f>IF(COUNT(C142:O142)=0,"",IFERROR(I142/H142,0))</f>
        <v/>
      </c>
      <c r="AB142" s="18">
        <f>IF(COUNT(C142:O142)=0,"",IFERROR(J142/I142,0))</f>
        <v/>
      </c>
      <c r="AC142" s="18">
        <f>IF(COUNT(C142:O142)=0,"",IFERROR(K142/J142,0))</f>
        <v/>
      </c>
      <c r="AD142" s="15">
        <f>IF(COUNT(C142:O142)=0,"",IFERROR(C142/K142,0))</f>
        <v/>
      </c>
      <c r="AE142" s="18">
        <f>IF(COUNT(C142:O142)=0,"",IFERROR(L142/K142,0))</f>
        <v/>
      </c>
      <c r="AF142" s="18">
        <f>IF(COUNT(C142:O142)=0,"",IFERROR(M142/L142,0))</f>
        <v/>
      </c>
      <c r="AG142" s="17">
        <f>IF(COUNT(C142:O142)=0,"",IFERROR(M142/H142,0))</f>
        <v/>
      </c>
      <c r="AH142" s="15">
        <f>IF(COUNT(C142:O142)=0,"",IFERROR(C142/M142,0))</f>
        <v/>
      </c>
      <c r="AI142" s="20">
        <f>IF(COUNT(C142:O142)=0,"",IFERROR(M142*Config!$C$7+N142*Config!$C$8,0))</f>
        <v/>
      </c>
      <c r="AJ142" s="20">
        <f>IF(COUNT(C142:O142)=0,"",IFERROR(IF(O142&gt;0,O142,AI142*Config!$C$9),0))</f>
        <v/>
      </c>
      <c r="AK142" s="20">
        <f>IF(COUNT(C142:O142)=0,"",IFERROR(AJ142*(1-Config!$C$10-Config!$C$11-Config!$C$12),0))</f>
        <v/>
      </c>
      <c r="AL142" s="20">
        <f>IF(COUNT(C142:O142)=0,"",IFERROR(AK142-C142-Config!$C$13,0))</f>
        <v/>
      </c>
      <c r="AM142" s="21">
        <f>IF(COUNT(C142:O142)=0,"",IFERROR(AK142/C142,0))</f>
        <v/>
      </c>
      <c r="AN142" s="21">
        <f>IF(COUNT(C142:O142)=0,"",IFERROR(AI142/C142,0))</f>
        <v/>
      </c>
      <c r="AO142" s="15">
        <f>IF(COUNT(C142:O142)=0,"",IFERROR(AL142/G142,0))</f>
        <v/>
      </c>
      <c r="AP142" s="21">
        <f>IF(COUNT(C142:O142)=0,"",IFERROR(AO142/U142,0))</f>
        <v/>
      </c>
      <c r="AQ142" s="15">
        <f>IF(COUNT(C142:O142)=0,"",IFERROR(AL142/H142,0))</f>
        <v/>
      </c>
    </row>
    <row r="143">
      <c r="A143" s="12">
        <f>Config!$C$6+137</f>
        <v/>
      </c>
      <c r="B143" s="13">
        <f>INT((A143-Config!$C$6)/7)+1</f>
        <v/>
      </c>
      <c r="C143" s="10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0" t="n"/>
      <c r="P143" s="15">
        <f>IF(COUNT(C143:O143)=0,"",IFERROR(C143/D143*1000,0))</f>
        <v/>
      </c>
      <c r="Q143" s="16">
        <f>IF(COUNT(C143:O143)=0,"",IFERROR(D143/E143,0))</f>
        <v/>
      </c>
      <c r="R143" s="17">
        <f>IF(COUNT(C143:O143)=0,"",IFERROR(F143/D143,0))</f>
        <v/>
      </c>
      <c r="S143" s="15">
        <f>IF(COUNT(C143:O143)=0,"",IFERROR(C143/F143,0))</f>
        <v/>
      </c>
      <c r="T143" s="18">
        <f>IF(COUNT(C143:O143)=0,"",IFERROR(G143/F143,0))</f>
        <v/>
      </c>
      <c r="U143" s="15">
        <f>IF(COUNT(C143:O143)=0,"",IFERROR(C143/G143,0))</f>
        <v/>
      </c>
      <c r="V143" s="19">
        <f>IF(COUNT(C143:O143)=0,"",IFERROR(G143/D143*1000,0))</f>
        <v/>
      </c>
      <c r="W143" s="18">
        <f>IF(COUNT(C143:O143)=0,"",IFERROR(H143/G143,0))</f>
        <v/>
      </c>
      <c r="X143" s="15">
        <f>IF(COUNT(C143:O143)=0,"",IFERROR(C143/H143,0))</f>
        <v/>
      </c>
      <c r="Y143" s="18">
        <f>IF(COUNT(C143:O143)=0,"",IFERROR(X143/P143,0))</f>
        <v/>
      </c>
      <c r="Z143" s="19">
        <f>IF(COUNT(C143:O143)=0,"",IFERROR(H143/D143*1000,0))</f>
        <v/>
      </c>
      <c r="AA143" s="18">
        <f>IF(COUNT(C143:O143)=0,"",IFERROR(I143/H143,0))</f>
        <v/>
      </c>
      <c r="AB143" s="18">
        <f>IF(COUNT(C143:O143)=0,"",IFERROR(J143/I143,0))</f>
        <v/>
      </c>
      <c r="AC143" s="18">
        <f>IF(COUNT(C143:O143)=0,"",IFERROR(K143/J143,0))</f>
        <v/>
      </c>
      <c r="AD143" s="15">
        <f>IF(COUNT(C143:O143)=0,"",IFERROR(C143/K143,0))</f>
        <v/>
      </c>
      <c r="AE143" s="18">
        <f>IF(COUNT(C143:O143)=0,"",IFERROR(L143/K143,0))</f>
        <v/>
      </c>
      <c r="AF143" s="18">
        <f>IF(COUNT(C143:O143)=0,"",IFERROR(M143/L143,0))</f>
        <v/>
      </c>
      <c r="AG143" s="17">
        <f>IF(COUNT(C143:O143)=0,"",IFERROR(M143/H143,0))</f>
        <v/>
      </c>
      <c r="AH143" s="15">
        <f>IF(COUNT(C143:O143)=0,"",IFERROR(C143/M143,0))</f>
        <v/>
      </c>
      <c r="AI143" s="20">
        <f>IF(COUNT(C143:O143)=0,"",IFERROR(M143*Config!$C$7+N143*Config!$C$8,0))</f>
        <v/>
      </c>
      <c r="AJ143" s="20">
        <f>IF(COUNT(C143:O143)=0,"",IFERROR(IF(O143&gt;0,O143,AI143*Config!$C$9),0))</f>
        <v/>
      </c>
      <c r="AK143" s="20">
        <f>IF(COUNT(C143:O143)=0,"",IFERROR(AJ143*(1-Config!$C$10-Config!$C$11-Config!$C$12),0))</f>
        <v/>
      </c>
      <c r="AL143" s="20">
        <f>IF(COUNT(C143:O143)=0,"",IFERROR(AK143-C143-Config!$C$13,0))</f>
        <v/>
      </c>
      <c r="AM143" s="21">
        <f>IF(COUNT(C143:O143)=0,"",IFERROR(AK143/C143,0))</f>
        <v/>
      </c>
      <c r="AN143" s="21">
        <f>IF(COUNT(C143:O143)=0,"",IFERROR(AI143/C143,0))</f>
        <v/>
      </c>
      <c r="AO143" s="15">
        <f>IF(COUNT(C143:O143)=0,"",IFERROR(AL143/G143,0))</f>
        <v/>
      </c>
      <c r="AP143" s="21">
        <f>IF(COUNT(C143:O143)=0,"",IFERROR(AO143/U143,0))</f>
        <v/>
      </c>
      <c r="AQ143" s="15">
        <f>IF(COUNT(C143:O143)=0,"",IFERROR(AL143/H143,0))</f>
        <v/>
      </c>
    </row>
    <row r="144">
      <c r="A144" s="12">
        <f>Config!$C$6+138</f>
        <v/>
      </c>
      <c r="B144" s="13">
        <f>INT((A144-Config!$C$6)/7)+1</f>
        <v/>
      </c>
      <c r="C144" s="10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0" t="n"/>
      <c r="P144" s="15">
        <f>IF(COUNT(C144:O144)=0,"",IFERROR(C144/D144*1000,0))</f>
        <v/>
      </c>
      <c r="Q144" s="16">
        <f>IF(COUNT(C144:O144)=0,"",IFERROR(D144/E144,0))</f>
        <v/>
      </c>
      <c r="R144" s="17">
        <f>IF(COUNT(C144:O144)=0,"",IFERROR(F144/D144,0))</f>
        <v/>
      </c>
      <c r="S144" s="15">
        <f>IF(COUNT(C144:O144)=0,"",IFERROR(C144/F144,0))</f>
        <v/>
      </c>
      <c r="T144" s="18">
        <f>IF(COUNT(C144:O144)=0,"",IFERROR(G144/F144,0))</f>
        <v/>
      </c>
      <c r="U144" s="15">
        <f>IF(COUNT(C144:O144)=0,"",IFERROR(C144/G144,0))</f>
        <v/>
      </c>
      <c r="V144" s="19">
        <f>IF(COUNT(C144:O144)=0,"",IFERROR(G144/D144*1000,0))</f>
        <v/>
      </c>
      <c r="W144" s="18">
        <f>IF(COUNT(C144:O144)=0,"",IFERROR(H144/G144,0))</f>
        <v/>
      </c>
      <c r="X144" s="15">
        <f>IF(COUNT(C144:O144)=0,"",IFERROR(C144/H144,0))</f>
        <v/>
      </c>
      <c r="Y144" s="18">
        <f>IF(COUNT(C144:O144)=0,"",IFERROR(X144/P144,0))</f>
        <v/>
      </c>
      <c r="Z144" s="19">
        <f>IF(COUNT(C144:O144)=0,"",IFERROR(H144/D144*1000,0))</f>
        <v/>
      </c>
      <c r="AA144" s="18">
        <f>IF(COUNT(C144:O144)=0,"",IFERROR(I144/H144,0))</f>
        <v/>
      </c>
      <c r="AB144" s="18">
        <f>IF(COUNT(C144:O144)=0,"",IFERROR(J144/I144,0))</f>
        <v/>
      </c>
      <c r="AC144" s="18">
        <f>IF(COUNT(C144:O144)=0,"",IFERROR(K144/J144,0))</f>
        <v/>
      </c>
      <c r="AD144" s="15">
        <f>IF(COUNT(C144:O144)=0,"",IFERROR(C144/K144,0))</f>
        <v/>
      </c>
      <c r="AE144" s="18">
        <f>IF(COUNT(C144:O144)=0,"",IFERROR(L144/K144,0))</f>
        <v/>
      </c>
      <c r="AF144" s="18">
        <f>IF(COUNT(C144:O144)=0,"",IFERROR(M144/L144,0))</f>
        <v/>
      </c>
      <c r="AG144" s="17">
        <f>IF(COUNT(C144:O144)=0,"",IFERROR(M144/H144,0))</f>
        <v/>
      </c>
      <c r="AH144" s="15">
        <f>IF(COUNT(C144:O144)=0,"",IFERROR(C144/M144,0))</f>
        <v/>
      </c>
      <c r="AI144" s="20">
        <f>IF(COUNT(C144:O144)=0,"",IFERROR(M144*Config!$C$7+N144*Config!$C$8,0))</f>
        <v/>
      </c>
      <c r="AJ144" s="20">
        <f>IF(COUNT(C144:O144)=0,"",IFERROR(IF(O144&gt;0,O144,AI144*Config!$C$9),0))</f>
        <v/>
      </c>
      <c r="AK144" s="20">
        <f>IF(COUNT(C144:O144)=0,"",IFERROR(AJ144*(1-Config!$C$10-Config!$C$11-Config!$C$12),0))</f>
        <v/>
      </c>
      <c r="AL144" s="20">
        <f>IF(COUNT(C144:O144)=0,"",IFERROR(AK144-C144-Config!$C$13,0))</f>
        <v/>
      </c>
      <c r="AM144" s="21">
        <f>IF(COUNT(C144:O144)=0,"",IFERROR(AK144/C144,0))</f>
        <v/>
      </c>
      <c r="AN144" s="21">
        <f>IF(COUNT(C144:O144)=0,"",IFERROR(AI144/C144,0))</f>
        <v/>
      </c>
      <c r="AO144" s="15">
        <f>IF(COUNT(C144:O144)=0,"",IFERROR(AL144/G144,0))</f>
        <v/>
      </c>
      <c r="AP144" s="21">
        <f>IF(COUNT(C144:O144)=0,"",IFERROR(AO144/U144,0))</f>
        <v/>
      </c>
      <c r="AQ144" s="15">
        <f>IF(COUNT(C144:O144)=0,"",IFERROR(AL144/H144,0))</f>
        <v/>
      </c>
    </row>
    <row r="145">
      <c r="A145" s="12">
        <f>Config!$C$6+139</f>
        <v/>
      </c>
      <c r="B145" s="13">
        <f>INT((A145-Config!$C$6)/7)+1</f>
        <v/>
      </c>
      <c r="C145" s="10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0" t="n"/>
      <c r="P145" s="15">
        <f>IF(COUNT(C145:O145)=0,"",IFERROR(C145/D145*1000,0))</f>
        <v/>
      </c>
      <c r="Q145" s="16">
        <f>IF(COUNT(C145:O145)=0,"",IFERROR(D145/E145,0))</f>
        <v/>
      </c>
      <c r="R145" s="17">
        <f>IF(COUNT(C145:O145)=0,"",IFERROR(F145/D145,0))</f>
        <v/>
      </c>
      <c r="S145" s="15">
        <f>IF(COUNT(C145:O145)=0,"",IFERROR(C145/F145,0))</f>
        <v/>
      </c>
      <c r="T145" s="18">
        <f>IF(COUNT(C145:O145)=0,"",IFERROR(G145/F145,0))</f>
        <v/>
      </c>
      <c r="U145" s="15">
        <f>IF(COUNT(C145:O145)=0,"",IFERROR(C145/G145,0))</f>
        <v/>
      </c>
      <c r="V145" s="19">
        <f>IF(COUNT(C145:O145)=0,"",IFERROR(G145/D145*1000,0))</f>
        <v/>
      </c>
      <c r="W145" s="18">
        <f>IF(COUNT(C145:O145)=0,"",IFERROR(H145/G145,0))</f>
        <v/>
      </c>
      <c r="X145" s="15">
        <f>IF(COUNT(C145:O145)=0,"",IFERROR(C145/H145,0))</f>
        <v/>
      </c>
      <c r="Y145" s="18">
        <f>IF(COUNT(C145:O145)=0,"",IFERROR(X145/P145,0))</f>
        <v/>
      </c>
      <c r="Z145" s="19">
        <f>IF(COUNT(C145:O145)=0,"",IFERROR(H145/D145*1000,0))</f>
        <v/>
      </c>
      <c r="AA145" s="18">
        <f>IF(COUNT(C145:O145)=0,"",IFERROR(I145/H145,0))</f>
        <v/>
      </c>
      <c r="AB145" s="18">
        <f>IF(COUNT(C145:O145)=0,"",IFERROR(J145/I145,0))</f>
        <v/>
      </c>
      <c r="AC145" s="18">
        <f>IF(COUNT(C145:O145)=0,"",IFERROR(K145/J145,0))</f>
        <v/>
      </c>
      <c r="AD145" s="15">
        <f>IF(COUNT(C145:O145)=0,"",IFERROR(C145/K145,0))</f>
        <v/>
      </c>
      <c r="AE145" s="18">
        <f>IF(COUNT(C145:O145)=0,"",IFERROR(L145/K145,0))</f>
        <v/>
      </c>
      <c r="AF145" s="18">
        <f>IF(COUNT(C145:O145)=0,"",IFERROR(M145/L145,0))</f>
        <v/>
      </c>
      <c r="AG145" s="17">
        <f>IF(COUNT(C145:O145)=0,"",IFERROR(M145/H145,0))</f>
        <v/>
      </c>
      <c r="AH145" s="15">
        <f>IF(COUNT(C145:O145)=0,"",IFERROR(C145/M145,0))</f>
        <v/>
      </c>
      <c r="AI145" s="20">
        <f>IF(COUNT(C145:O145)=0,"",IFERROR(M145*Config!$C$7+N145*Config!$C$8,0))</f>
        <v/>
      </c>
      <c r="AJ145" s="20">
        <f>IF(COUNT(C145:O145)=0,"",IFERROR(IF(O145&gt;0,O145,AI145*Config!$C$9),0))</f>
        <v/>
      </c>
      <c r="AK145" s="20">
        <f>IF(COUNT(C145:O145)=0,"",IFERROR(AJ145*(1-Config!$C$10-Config!$C$11-Config!$C$12),0))</f>
        <v/>
      </c>
      <c r="AL145" s="20">
        <f>IF(COUNT(C145:O145)=0,"",IFERROR(AK145-C145-Config!$C$13,0))</f>
        <v/>
      </c>
      <c r="AM145" s="21">
        <f>IF(COUNT(C145:O145)=0,"",IFERROR(AK145/C145,0))</f>
        <v/>
      </c>
      <c r="AN145" s="21">
        <f>IF(COUNT(C145:O145)=0,"",IFERROR(AI145/C145,0))</f>
        <v/>
      </c>
      <c r="AO145" s="15">
        <f>IF(COUNT(C145:O145)=0,"",IFERROR(AL145/G145,0))</f>
        <v/>
      </c>
      <c r="AP145" s="21">
        <f>IF(COUNT(C145:O145)=0,"",IFERROR(AO145/U145,0))</f>
        <v/>
      </c>
      <c r="AQ145" s="15">
        <f>IF(COUNT(C145:O145)=0,"",IFERROR(AL145/H145,0))</f>
        <v/>
      </c>
    </row>
    <row r="146">
      <c r="A146" s="12">
        <f>Config!$C$6+140</f>
        <v/>
      </c>
      <c r="B146" s="13">
        <f>INT((A146-Config!$C$6)/7)+1</f>
        <v/>
      </c>
      <c r="C146" s="10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0" t="n"/>
      <c r="P146" s="15">
        <f>IF(COUNT(C146:O146)=0,"",IFERROR(C146/D146*1000,0))</f>
        <v/>
      </c>
      <c r="Q146" s="16">
        <f>IF(COUNT(C146:O146)=0,"",IFERROR(D146/E146,0))</f>
        <v/>
      </c>
      <c r="R146" s="17">
        <f>IF(COUNT(C146:O146)=0,"",IFERROR(F146/D146,0))</f>
        <v/>
      </c>
      <c r="S146" s="15">
        <f>IF(COUNT(C146:O146)=0,"",IFERROR(C146/F146,0))</f>
        <v/>
      </c>
      <c r="T146" s="18">
        <f>IF(COUNT(C146:O146)=0,"",IFERROR(G146/F146,0))</f>
        <v/>
      </c>
      <c r="U146" s="15">
        <f>IF(COUNT(C146:O146)=0,"",IFERROR(C146/G146,0))</f>
        <v/>
      </c>
      <c r="V146" s="19">
        <f>IF(COUNT(C146:O146)=0,"",IFERROR(G146/D146*1000,0))</f>
        <v/>
      </c>
      <c r="W146" s="18">
        <f>IF(COUNT(C146:O146)=0,"",IFERROR(H146/G146,0))</f>
        <v/>
      </c>
      <c r="X146" s="15">
        <f>IF(COUNT(C146:O146)=0,"",IFERROR(C146/H146,0))</f>
        <v/>
      </c>
      <c r="Y146" s="18">
        <f>IF(COUNT(C146:O146)=0,"",IFERROR(X146/P146,0))</f>
        <v/>
      </c>
      <c r="Z146" s="19">
        <f>IF(COUNT(C146:O146)=0,"",IFERROR(H146/D146*1000,0))</f>
        <v/>
      </c>
      <c r="AA146" s="18">
        <f>IF(COUNT(C146:O146)=0,"",IFERROR(I146/H146,0))</f>
        <v/>
      </c>
      <c r="AB146" s="18">
        <f>IF(COUNT(C146:O146)=0,"",IFERROR(J146/I146,0))</f>
        <v/>
      </c>
      <c r="AC146" s="18">
        <f>IF(COUNT(C146:O146)=0,"",IFERROR(K146/J146,0))</f>
        <v/>
      </c>
      <c r="AD146" s="15">
        <f>IF(COUNT(C146:O146)=0,"",IFERROR(C146/K146,0))</f>
        <v/>
      </c>
      <c r="AE146" s="18">
        <f>IF(COUNT(C146:O146)=0,"",IFERROR(L146/K146,0))</f>
        <v/>
      </c>
      <c r="AF146" s="18">
        <f>IF(COUNT(C146:O146)=0,"",IFERROR(M146/L146,0))</f>
        <v/>
      </c>
      <c r="AG146" s="17">
        <f>IF(COUNT(C146:O146)=0,"",IFERROR(M146/H146,0))</f>
        <v/>
      </c>
      <c r="AH146" s="15">
        <f>IF(COUNT(C146:O146)=0,"",IFERROR(C146/M146,0))</f>
        <v/>
      </c>
      <c r="AI146" s="20">
        <f>IF(COUNT(C146:O146)=0,"",IFERROR(M146*Config!$C$7+N146*Config!$C$8,0))</f>
        <v/>
      </c>
      <c r="AJ146" s="20">
        <f>IF(COUNT(C146:O146)=0,"",IFERROR(IF(O146&gt;0,O146,AI146*Config!$C$9),0))</f>
        <v/>
      </c>
      <c r="AK146" s="20">
        <f>IF(COUNT(C146:O146)=0,"",IFERROR(AJ146*(1-Config!$C$10-Config!$C$11-Config!$C$12),0))</f>
        <v/>
      </c>
      <c r="AL146" s="20">
        <f>IF(COUNT(C146:O146)=0,"",IFERROR(AK146-C146-Config!$C$13,0))</f>
        <v/>
      </c>
      <c r="AM146" s="21">
        <f>IF(COUNT(C146:O146)=0,"",IFERROR(AK146/C146,0))</f>
        <v/>
      </c>
      <c r="AN146" s="21">
        <f>IF(COUNT(C146:O146)=0,"",IFERROR(AI146/C146,0))</f>
        <v/>
      </c>
      <c r="AO146" s="15">
        <f>IF(COUNT(C146:O146)=0,"",IFERROR(AL146/G146,0))</f>
        <v/>
      </c>
      <c r="AP146" s="21">
        <f>IF(COUNT(C146:O146)=0,"",IFERROR(AO146/U146,0))</f>
        <v/>
      </c>
      <c r="AQ146" s="15">
        <f>IF(COUNT(C146:O146)=0,"",IFERROR(AL146/H146,0))</f>
        <v/>
      </c>
    </row>
    <row r="147">
      <c r="A147" s="12">
        <f>Config!$C$6+141</f>
        <v/>
      </c>
      <c r="B147" s="13">
        <f>INT((A147-Config!$C$6)/7)+1</f>
        <v/>
      </c>
      <c r="C147" s="10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0" t="n"/>
      <c r="P147" s="15">
        <f>IF(COUNT(C147:O147)=0,"",IFERROR(C147/D147*1000,0))</f>
        <v/>
      </c>
      <c r="Q147" s="16">
        <f>IF(COUNT(C147:O147)=0,"",IFERROR(D147/E147,0))</f>
        <v/>
      </c>
      <c r="R147" s="17">
        <f>IF(COUNT(C147:O147)=0,"",IFERROR(F147/D147,0))</f>
        <v/>
      </c>
      <c r="S147" s="15">
        <f>IF(COUNT(C147:O147)=0,"",IFERROR(C147/F147,0))</f>
        <v/>
      </c>
      <c r="T147" s="18">
        <f>IF(COUNT(C147:O147)=0,"",IFERROR(G147/F147,0))</f>
        <v/>
      </c>
      <c r="U147" s="15">
        <f>IF(COUNT(C147:O147)=0,"",IFERROR(C147/G147,0))</f>
        <v/>
      </c>
      <c r="V147" s="19">
        <f>IF(COUNT(C147:O147)=0,"",IFERROR(G147/D147*1000,0))</f>
        <v/>
      </c>
      <c r="W147" s="18">
        <f>IF(COUNT(C147:O147)=0,"",IFERROR(H147/G147,0))</f>
        <v/>
      </c>
      <c r="X147" s="15">
        <f>IF(COUNT(C147:O147)=0,"",IFERROR(C147/H147,0))</f>
        <v/>
      </c>
      <c r="Y147" s="18">
        <f>IF(COUNT(C147:O147)=0,"",IFERROR(X147/P147,0))</f>
        <v/>
      </c>
      <c r="Z147" s="19">
        <f>IF(COUNT(C147:O147)=0,"",IFERROR(H147/D147*1000,0))</f>
        <v/>
      </c>
      <c r="AA147" s="18">
        <f>IF(COUNT(C147:O147)=0,"",IFERROR(I147/H147,0))</f>
        <v/>
      </c>
      <c r="AB147" s="18">
        <f>IF(COUNT(C147:O147)=0,"",IFERROR(J147/I147,0))</f>
        <v/>
      </c>
      <c r="AC147" s="18">
        <f>IF(COUNT(C147:O147)=0,"",IFERROR(K147/J147,0))</f>
        <v/>
      </c>
      <c r="AD147" s="15">
        <f>IF(COUNT(C147:O147)=0,"",IFERROR(C147/K147,0))</f>
        <v/>
      </c>
      <c r="AE147" s="18">
        <f>IF(COUNT(C147:O147)=0,"",IFERROR(L147/K147,0))</f>
        <v/>
      </c>
      <c r="AF147" s="18">
        <f>IF(COUNT(C147:O147)=0,"",IFERROR(M147/L147,0))</f>
        <v/>
      </c>
      <c r="AG147" s="17">
        <f>IF(COUNT(C147:O147)=0,"",IFERROR(M147/H147,0))</f>
        <v/>
      </c>
      <c r="AH147" s="15">
        <f>IF(COUNT(C147:O147)=0,"",IFERROR(C147/M147,0))</f>
        <v/>
      </c>
      <c r="AI147" s="20">
        <f>IF(COUNT(C147:O147)=0,"",IFERROR(M147*Config!$C$7+N147*Config!$C$8,0))</f>
        <v/>
      </c>
      <c r="AJ147" s="20">
        <f>IF(COUNT(C147:O147)=0,"",IFERROR(IF(O147&gt;0,O147,AI147*Config!$C$9),0))</f>
        <v/>
      </c>
      <c r="AK147" s="20">
        <f>IF(COUNT(C147:O147)=0,"",IFERROR(AJ147*(1-Config!$C$10-Config!$C$11-Config!$C$12),0))</f>
        <v/>
      </c>
      <c r="AL147" s="20">
        <f>IF(COUNT(C147:O147)=0,"",IFERROR(AK147-C147-Config!$C$13,0))</f>
        <v/>
      </c>
      <c r="AM147" s="21">
        <f>IF(COUNT(C147:O147)=0,"",IFERROR(AK147/C147,0))</f>
        <v/>
      </c>
      <c r="AN147" s="21">
        <f>IF(COUNT(C147:O147)=0,"",IFERROR(AI147/C147,0))</f>
        <v/>
      </c>
      <c r="AO147" s="15">
        <f>IF(COUNT(C147:O147)=0,"",IFERROR(AL147/G147,0))</f>
        <v/>
      </c>
      <c r="AP147" s="21">
        <f>IF(COUNT(C147:O147)=0,"",IFERROR(AO147/U147,0))</f>
        <v/>
      </c>
      <c r="AQ147" s="15">
        <f>IF(COUNT(C147:O147)=0,"",IFERROR(AL147/H147,0))</f>
        <v/>
      </c>
    </row>
    <row r="148">
      <c r="A148" s="12">
        <f>Config!$C$6+142</f>
        <v/>
      </c>
      <c r="B148" s="13">
        <f>INT((A148-Config!$C$6)/7)+1</f>
        <v/>
      </c>
      <c r="C148" s="10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0" t="n"/>
      <c r="P148" s="15">
        <f>IF(COUNT(C148:O148)=0,"",IFERROR(C148/D148*1000,0))</f>
        <v/>
      </c>
      <c r="Q148" s="16">
        <f>IF(COUNT(C148:O148)=0,"",IFERROR(D148/E148,0))</f>
        <v/>
      </c>
      <c r="R148" s="17">
        <f>IF(COUNT(C148:O148)=0,"",IFERROR(F148/D148,0))</f>
        <v/>
      </c>
      <c r="S148" s="15">
        <f>IF(COUNT(C148:O148)=0,"",IFERROR(C148/F148,0))</f>
        <v/>
      </c>
      <c r="T148" s="18">
        <f>IF(COUNT(C148:O148)=0,"",IFERROR(G148/F148,0))</f>
        <v/>
      </c>
      <c r="U148" s="15">
        <f>IF(COUNT(C148:O148)=0,"",IFERROR(C148/G148,0))</f>
        <v/>
      </c>
      <c r="V148" s="19">
        <f>IF(COUNT(C148:O148)=0,"",IFERROR(G148/D148*1000,0))</f>
        <v/>
      </c>
      <c r="W148" s="18">
        <f>IF(COUNT(C148:O148)=0,"",IFERROR(H148/G148,0))</f>
        <v/>
      </c>
      <c r="X148" s="15">
        <f>IF(COUNT(C148:O148)=0,"",IFERROR(C148/H148,0))</f>
        <v/>
      </c>
      <c r="Y148" s="18">
        <f>IF(COUNT(C148:O148)=0,"",IFERROR(X148/P148,0))</f>
        <v/>
      </c>
      <c r="Z148" s="19">
        <f>IF(COUNT(C148:O148)=0,"",IFERROR(H148/D148*1000,0))</f>
        <v/>
      </c>
      <c r="AA148" s="18">
        <f>IF(COUNT(C148:O148)=0,"",IFERROR(I148/H148,0))</f>
        <v/>
      </c>
      <c r="AB148" s="18">
        <f>IF(COUNT(C148:O148)=0,"",IFERROR(J148/I148,0))</f>
        <v/>
      </c>
      <c r="AC148" s="18">
        <f>IF(COUNT(C148:O148)=0,"",IFERROR(K148/J148,0))</f>
        <v/>
      </c>
      <c r="AD148" s="15">
        <f>IF(COUNT(C148:O148)=0,"",IFERROR(C148/K148,0))</f>
        <v/>
      </c>
      <c r="AE148" s="18">
        <f>IF(COUNT(C148:O148)=0,"",IFERROR(L148/K148,0))</f>
        <v/>
      </c>
      <c r="AF148" s="18">
        <f>IF(COUNT(C148:O148)=0,"",IFERROR(M148/L148,0))</f>
        <v/>
      </c>
      <c r="AG148" s="17">
        <f>IF(COUNT(C148:O148)=0,"",IFERROR(M148/H148,0))</f>
        <v/>
      </c>
      <c r="AH148" s="15">
        <f>IF(COUNT(C148:O148)=0,"",IFERROR(C148/M148,0))</f>
        <v/>
      </c>
      <c r="AI148" s="20">
        <f>IF(COUNT(C148:O148)=0,"",IFERROR(M148*Config!$C$7+N148*Config!$C$8,0))</f>
        <v/>
      </c>
      <c r="AJ148" s="20">
        <f>IF(COUNT(C148:O148)=0,"",IFERROR(IF(O148&gt;0,O148,AI148*Config!$C$9),0))</f>
        <v/>
      </c>
      <c r="AK148" s="20">
        <f>IF(COUNT(C148:O148)=0,"",IFERROR(AJ148*(1-Config!$C$10-Config!$C$11-Config!$C$12),0))</f>
        <v/>
      </c>
      <c r="AL148" s="20">
        <f>IF(COUNT(C148:O148)=0,"",IFERROR(AK148-C148-Config!$C$13,0))</f>
        <v/>
      </c>
      <c r="AM148" s="21">
        <f>IF(COUNT(C148:O148)=0,"",IFERROR(AK148/C148,0))</f>
        <v/>
      </c>
      <c r="AN148" s="21">
        <f>IF(COUNT(C148:O148)=0,"",IFERROR(AI148/C148,0))</f>
        <v/>
      </c>
      <c r="AO148" s="15">
        <f>IF(COUNT(C148:O148)=0,"",IFERROR(AL148/G148,0))</f>
        <v/>
      </c>
      <c r="AP148" s="21">
        <f>IF(COUNT(C148:O148)=0,"",IFERROR(AO148/U148,0))</f>
        <v/>
      </c>
      <c r="AQ148" s="15">
        <f>IF(COUNT(C148:O148)=0,"",IFERROR(AL148/H148,0))</f>
        <v/>
      </c>
    </row>
    <row r="149">
      <c r="A149" s="12">
        <f>Config!$C$6+143</f>
        <v/>
      </c>
      <c r="B149" s="13">
        <f>INT((A149-Config!$C$6)/7)+1</f>
        <v/>
      </c>
      <c r="C149" s="10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0" t="n"/>
      <c r="P149" s="15">
        <f>IF(COUNT(C149:O149)=0,"",IFERROR(C149/D149*1000,0))</f>
        <v/>
      </c>
      <c r="Q149" s="16">
        <f>IF(COUNT(C149:O149)=0,"",IFERROR(D149/E149,0))</f>
        <v/>
      </c>
      <c r="R149" s="17">
        <f>IF(COUNT(C149:O149)=0,"",IFERROR(F149/D149,0))</f>
        <v/>
      </c>
      <c r="S149" s="15">
        <f>IF(COUNT(C149:O149)=0,"",IFERROR(C149/F149,0))</f>
        <v/>
      </c>
      <c r="T149" s="18">
        <f>IF(COUNT(C149:O149)=0,"",IFERROR(G149/F149,0))</f>
        <v/>
      </c>
      <c r="U149" s="15">
        <f>IF(COUNT(C149:O149)=0,"",IFERROR(C149/G149,0))</f>
        <v/>
      </c>
      <c r="V149" s="19">
        <f>IF(COUNT(C149:O149)=0,"",IFERROR(G149/D149*1000,0))</f>
        <v/>
      </c>
      <c r="W149" s="18">
        <f>IF(COUNT(C149:O149)=0,"",IFERROR(H149/G149,0))</f>
        <v/>
      </c>
      <c r="X149" s="15">
        <f>IF(COUNT(C149:O149)=0,"",IFERROR(C149/H149,0))</f>
        <v/>
      </c>
      <c r="Y149" s="18">
        <f>IF(COUNT(C149:O149)=0,"",IFERROR(X149/P149,0))</f>
        <v/>
      </c>
      <c r="Z149" s="19">
        <f>IF(COUNT(C149:O149)=0,"",IFERROR(H149/D149*1000,0))</f>
        <v/>
      </c>
      <c r="AA149" s="18">
        <f>IF(COUNT(C149:O149)=0,"",IFERROR(I149/H149,0))</f>
        <v/>
      </c>
      <c r="AB149" s="18">
        <f>IF(COUNT(C149:O149)=0,"",IFERROR(J149/I149,0))</f>
        <v/>
      </c>
      <c r="AC149" s="18">
        <f>IF(COUNT(C149:O149)=0,"",IFERROR(K149/J149,0))</f>
        <v/>
      </c>
      <c r="AD149" s="15">
        <f>IF(COUNT(C149:O149)=0,"",IFERROR(C149/K149,0))</f>
        <v/>
      </c>
      <c r="AE149" s="18">
        <f>IF(COUNT(C149:O149)=0,"",IFERROR(L149/K149,0))</f>
        <v/>
      </c>
      <c r="AF149" s="18">
        <f>IF(COUNT(C149:O149)=0,"",IFERROR(M149/L149,0))</f>
        <v/>
      </c>
      <c r="AG149" s="17">
        <f>IF(COUNT(C149:O149)=0,"",IFERROR(M149/H149,0))</f>
        <v/>
      </c>
      <c r="AH149" s="15">
        <f>IF(COUNT(C149:O149)=0,"",IFERROR(C149/M149,0))</f>
        <v/>
      </c>
      <c r="AI149" s="20">
        <f>IF(COUNT(C149:O149)=0,"",IFERROR(M149*Config!$C$7+N149*Config!$C$8,0))</f>
        <v/>
      </c>
      <c r="AJ149" s="20">
        <f>IF(COUNT(C149:O149)=0,"",IFERROR(IF(O149&gt;0,O149,AI149*Config!$C$9),0))</f>
        <v/>
      </c>
      <c r="AK149" s="20">
        <f>IF(COUNT(C149:O149)=0,"",IFERROR(AJ149*(1-Config!$C$10-Config!$C$11-Config!$C$12),0))</f>
        <v/>
      </c>
      <c r="AL149" s="20">
        <f>IF(COUNT(C149:O149)=0,"",IFERROR(AK149-C149-Config!$C$13,0))</f>
        <v/>
      </c>
      <c r="AM149" s="21">
        <f>IF(COUNT(C149:O149)=0,"",IFERROR(AK149/C149,0))</f>
        <v/>
      </c>
      <c r="AN149" s="21">
        <f>IF(COUNT(C149:O149)=0,"",IFERROR(AI149/C149,0))</f>
        <v/>
      </c>
      <c r="AO149" s="15">
        <f>IF(COUNT(C149:O149)=0,"",IFERROR(AL149/G149,0))</f>
        <v/>
      </c>
      <c r="AP149" s="21">
        <f>IF(COUNT(C149:O149)=0,"",IFERROR(AO149/U149,0))</f>
        <v/>
      </c>
      <c r="AQ149" s="15">
        <f>IF(COUNT(C149:O149)=0,"",IFERROR(AL149/H149,0))</f>
        <v/>
      </c>
    </row>
    <row r="150">
      <c r="A150" s="12">
        <f>Config!$C$6+144</f>
        <v/>
      </c>
      <c r="B150" s="13">
        <f>INT((A150-Config!$C$6)/7)+1</f>
        <v/>
      </c>
      <c r="C150" s="10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0" t="n"/>
      <c r="P150" s="15">
        <f>IF(COUNT(C150:O150)=0,"",IFERROR(C150/D150*1000,0))</f>
        <v/>
      </c>
      <c r="Q150" s="16">
        <f>IF(COUNT(C150:O150)=0,"",IFERROR(D150/E150,0))</f>
        <v/>
      </c>
      <c r="R150" s="17">
        <f>IF(COUNT(C150:O150)=0,"",IFERROR(F150/D150,0))</f>
        <v/>
      </c>
      <c r="S150" s="15">
        <f>IF(COUNT(C150:O150)=0,"",IFERROR(C150/F150,0))</f>
        <v/>
      </c>
      <c r="T150" s="18">
        <f>IF(COUNT(C150:O150)=0,"",IFERROR(G150/F150,0))</f>
        <v/>
      </c>
      <c r="U150" s="15">
        <f>IF(COUNT(C150:O150)=0,"",IFERROR(C150/G150,0))</f>
        <v/>
      </c>
      <c r="V150" s="19">
        <f>IF(COUNT(C150:O150)=0,"",IFERROR(G150/D150*1000,0))</f>
        <v/>
      </c>
      <c r="W150" s="18">
        <f>IF(COUNT(C150:O150)=0,"",IFERROR(H150/G150,0))</f>
        <v/>
      </c>
      <c r="X150" s="15">
        <f>IF(COUNT(C150:O150)=0,"",IFERROR(C150/H150,0))</f>
        <v/>
      </c>
      <c r="Y150" s="18">
        <f>IF(COUNT(C150:O150)=0,"",IFERROR(X150/P150,0))</f>
        <v/>
      </c>
      <c r="Z150" s="19">
        <f>IF(COUNT(C150:O150)=0,"",IFERROR(H150/D150*1000,0))</f>
        <v/>
      </c>
      <c r="AA150" s="18">
        <f>IF(COUNT(C150:O150)=0,"",IFERROR(I150/H150,0))</f>
        <v/>
      </c>
      <c r="AB150" s="18">
        <f>IF(COUNT(C150:O150)=0,"",IFERROR(J150/I150,0))</f>
        <v/>
      </c>
      <c r="AC150" s="18">
        <f>IF(COUNT(C150:O150)=0,"",IFERROR(K150/J150,0))</f>
        <v/>
      </c>
      <c r="AD150" s="15">
        <f>IF(COUNT(C150:O150)=0,"",IFERROR(C150/K150,0))</f>
        <v/>
      </c>
      <c r="AE150" s="18">
        <f>IF(COUNT(C150:O150)=0,"",IFERROR(L150/K150,0))</f>
        <v/>
      </c>
      <c r="AF150" s="18">
        <f>IF(COUNT(C150:O150)=0,"",IFERROR(M150/L150,0))</f>
        <v/>
      </c>
      <c r="AG150" s="17">
        <f>IF(COUNT(C150:O150)=0,"",IFERROR(M150/H150,0))</f>
        <v/>
      </c>
      <c r="AH150" s="15">
        <f>IF(COUNT(C150:O150)=0,"",IFERROR(C150/M150,0))</f>
        <v/>
      </c>
      <c r="AI150" s="20">
        <f>IF(COUNT(C150:O150)=0,"",IFERROR(M150*Config!$C$7+N150*Config!$C$8,0))</f>
        <v/>
      </c>
      <c r="AJ150" s="20">
        <f>IF(COUNT(C150:O150)=0,"",IFERROR(IF(O150&gt;0,O150,AI150*Config!$C$9),0))</f>
        <v/>
      </c>
      <c r="AK150" s="20">
        <f>IF(COUNT(C150:O150)=0,"",IFERROR(AJ150*(1-Config!$C$10-Config!$C$11-Config!$C$12),0))</f>
        <v/>
      </c>
      <c r="AL150" s="20">
        <f>IF(COUNT(C150:O150)=0,"",IFERROR(AK150-C150-Config!$C$13,0))</f>
        <v/>
      </c>
      <c r="AM150" s="21">
        <f>IF(COUNT(C150:O150)=0,"",IFERROR(AK150/C150,0))</f>
        <v/>
      </c>
      <c r="AN150" s="21">
        <f>IF(COUNT(C150:O150)=0,"",IFERROR(AI150/C150,0))</f>
        <v/>
      </c>
      <c r="AO150" s="15">
        <f>IF(COUNT(C150:O150)=0,"",IFERROR(AL150/G150,0))</f>
        <v/>
      </c>
      <c r="AP150" s="21">
        <f>IF(COUNT(C150:O150)=0,"",IFERROR(AO150/U150,0))</f>
        <v/>
      </c>
      <c r="AQ150" s="15">
        <f>IF(COUNT(C150:O150)=0,"",IFERROR(AL150/H150,0))</f>
        <v/>
      </c>
    </row>
    <row r="151">
      <c r="A151" s="12">
        <f>Config!$C$6+145</f>
        <v/>
      </c>
      <c r="B151" s="13">
        <f>INT((A151-Config!$C$6)/7)+1</f>
        <v/>
      </c>
      <c r="C151" s="10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0" t="n"/>
      <c r="P151" s="15">
        <f>IF(COUNT(C151:O151)=0,"",IFERROR(C151/D151*1000,0))</f>
        <v/>
      </c>
      <c r="Q151" s="16">
        <f>IF(COUNT(C151:O151)=0,"",IFERROR(D151/E151,0))</f>
        <v/>
      </c>
      <c r="R151" s="17">
        <f>IF(COUNT(C151:O151)=0,"",IFERROR(F151/D151,0))</f>
        <v/>
      </c>
      <c r="S151" s="15">
        <f>IF(COUNT(C151:O151)=0,"",IFERROR(C151/F151,0))</f>
        <v/>
      </c>
      <c r="T151" s="18">
        <f>IF(COUNT(C151:O151)=0,"",IFERROR(G151/F151,0))</f>
        <v/>
      </c>
      <c r="U151" s="15">
        <f>IF(COUNT(C151:O151)=0,"",IFERROR(C151/G151,0))</f>
        <v/>
      </c>
      <c r="V151" s="19">
        <f>IF(COUNT(C151:O151)=0,"",IFERROR(G151/D151*1000,0))</f>
        <v/>
      </c>
      <c r="W151" s="18">
        <f>IF(COUNT(C151:O151)=0,"",IFERROR(H151/G151,0))</f>
        <v/>
      </c>
      <c r="X151" s="15">
        <f>IF(COUNT(C151:O151)=0,"",IFERROR(C151/H151,0))</f>
        <v/>
      </c>
      <c r="Y151" s="18">
        <f>IF(COUNT(C151:O151)=0,"",IFERROR(X151/P151,0))</f>
        <v/>
      </c>
      <c r="Z151" s="19">
        <f>IF(COUNT(C151:O151)=0,"",IFERROR(H151/D151*1000,0))</f>
        <v/>
      </c>
      <c r="AA151" s="18">
        <f>IF(COUNT(C151:O151)=0,"",IFERROR(I151/H151,0))</f>
        <v/>
      </c>
      <c r="AB151" s="18">
        <f>IF(COUNT(C151:O151)=0,"",IFERROR(J151/I151,0))</f>
        <v/>
      </c>
      <c r="AC151" s="18">
        <f>IF(COUNT(C151:O151)=0,"",IFERROR(K151/J151,0))</f>
        <v/>
      </c>
      <c r="AD151" s="15">
        <f>IF(COUNT(C151:O151)=0,"",IFERROR(C151/K151,0))</f>
        <v/>
      </c>
      <c r="AE151" s="18">
        <f>IF(COUNT(C151:O151)=0,"",IFERROR(L151/K151,0))</f>
        <v/>
      </c>
      <c r="AF151" s="18">
        <f>IF(COUNT(C151:O151)=0,"",IFERROR(M151/L151,0))</f>
        <v/>
      </c>
      <c r="AG151" s="17">
        <f>IF(COUNT(C151:O151)=0,"",IFERROR(M151/H151,0))</f>
        <v/>
      </c>
      <c r="AH151" s="15">
        <f>IF(COUNT(C151:O151)=0,"",IFERROR(C151/M151,0))</f>
        <v/>
      </c>
      <c r="AI151" s="20">
        <f>IF(COUNT(C151:O151)=0,"",IFERROR(M151*Config!$C$7+N151*Config!$C$8,0))</f>
        <v/>
      </c>
      <c r="AJ151" s="20">
        <f>IF(COUNT(C151:O151)=0,"",IFERROR(IF(O151&gt;0,O151,AI151*Config!$C$9),0))</f>
        <v/>
      </c>
      <c r="AK151" s="20">
        <f>IF(COUNT(C151:O151)=0,"",IFERROR(AJ151*(1-Config!$C$10-Config!$C$11-Config!$C$12),0))</f>
        <v/>
      </c>
      <c r="AL151" s="20">
        <f>IF(COUNT(C151:O151)=0,"",IFERROR(AK151-C151-Config!$C$13,0))</f>
        <v/>
      </c>
      <c r="AM151" s="21">
        <f>IF(COUNT(C151:O151)=0,"",IFERROR(AK151/C151,0))</f>
        <v/>
      </c>
      <c r="AN151" s="21">
        <f>IF(COUNT(C151:O151)=0,"",IFERROR(AI151/C151,0))</f>
        <v/>
      </c>
      <c r="AO151" s="15">
        <f>IF(COUNT(C151:O151)=0,"",IFERROR(AL151/G151,0))</f>
        <v/>
      </c>
      <c r="AP151" s="21">
        <f>IF(COUNT(C151:O151)=0,"",IFERROR(AO151/U151,0))</f>
        <v/>
      </c>
      <c r="AQ151" s="15">
        <f>IF(COUNT(C151:O151)=0,"",IFERROR(AL151/H151,0))</f>
        <v/>
      </c>
    </row>
    <row r="152">
      <c r="A152" s="12">
        <f>Config!$C$6+146</f>
        <v/>
      </c>
      <c r="B152" s="13">
        <f>INT((A152-Config!$C$6)/7)+1</f>
        <v/>
      </c>
      <c r="C152" s="10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0" t="n"/>
      <c r="P152" s="15">
        <f>IF(COUNT(C152:O152)=0,"",IFERROR(C152/D152*1000,0))</f>
        <v/>
      </c>
      <c r="Q152" s="16">
        <f>IF(COUNT(C152:O152)=0,"",IFERROR(D152/E152,0))</f>
        <v/>
      </c>
      <c r="R152" s="17">
        <f>IF(COUNT(C152:O152)=0,"",IFERROR(F152/D152,0))</f>
        <v/>
      </c>
      <c r="S152" s="15">
        <f>IF(COUNT(C152:O152)=0,"",IFERROR(C152/F152,0))</f>
        <v/>
      </c>
      <c r="T152" s="18">
        <f>IF(COUNT(C152:O152)=0,"",IFERROR(G152/F152,0))</f>
        <v/>
      </c>
      <c r="U152" s="15">
        <f>IF(COUNT(C152:O152)=0,"",IFERROR(C152/G152,0))</f>
        <v/>
      </c>
      <c r="V152" s="19">
        <f>IF(COUNT(C152:O152)=0,"",IFERROR(G152/D152*1000,0))</f>
        <v/>
      </c>
      <c r="W152" s="18">
        <f>IF(COUNT(C152:O152)=0,"",IFERROR(H152/G152,0))</f>
        <v/>
      </c>
      <c r="X152" s="15">
        <f>IF(COUNT(C152:O152)=0,"",IFERROR(C152/H152,0))</f>
        <v/>
      </c>
      <c r="Y152" s="18">
        <f>IF(COUNT(C152:O152)=0,"",IFERROR(X152/P152,0))</f>
        <v/>
      </c>
      <c r="Z152" s="19">
        <f>IF(COUNT(C152:O152)=0,"",IFERROR(H152/D152*1000,0))</f>
        <v/>
      </c>
      <c r="AA152" s="18">
        <f>IF(COUNT(C152:O152)=0,"",IFERROR(I152/H152,0))</f>
        <v/>
      </c>
      <c r="AB152" s="18">
        <f>IF(COUNT(C152:O152)=0,"",IFERROR(J152/I152,0))</f>
        <v/>
      </c>
      <c r="AC152" s="18">
        <f>IF(COUNT(C152:O152)=0,"",IFERROR(K152/J152,0))</f>
        <v/>
      </c>
      <c r="AD152" s="15">
        <f>IF(COUNT(C152:O152)=0,"",IFERROR(C152/K152,0))</f>
        <v/>
      </c>
      <c r="AE152" s="18">
        <f>IF(COUNT(C152:O152)=0,"",IFERROR(L152/K152,0))</f>
        <v/>
      </c>
      <c r="AF152" s="18">
        <f>IF(COUNT(C152:O152)=0,"",IFERROR(M152/L152,0))</f>
        <v/>
      </c>
      <c r="AG152" s="17">
        <f>IF(COUNT(C152:O152)=0,"",IFERROR(M152/H152,0))</f>
        <v/>
      </c>
      <c r="AH152" s="15">
        <f>IF(COUNT(C152:O152)=0,"",IFERROR(C152/M152,0))</f>
        <v/>
      </c>
      <c r="AI152" s="20">
        <f>IF(COUNT(C152:O152)=0,"",IFERROR(M152*Config!$C$7+N152*Config!$C$8,0))</f>
        <v/>
      </c>
      <c r="AJ152" s="20">
        <f>IF(COUNT(C152:O152)=0,"",IFERROR(IF(O152&gt;0,O152,AI152*Config!$C$9),0))</f>
        <v/>
      </c>
      <c r="AK152" s="20">
        <f>IF(COUNT(C152:O152)=0,"",IFERROR(AJ152*(1-Config!$C$10-Config!$C$11-Config!$C$12),0))</f>
        <v/>
      </c>
      <c r="AL152" s="20">
        <f>IF(COUNT(C152:O152)=0,"",IFERROR(AK152-C152-Config!$C$13,0))</f>
        <v/>
      </c>
      <c r="AM152" s="21">
        <f>IF(COUNT(C152:O152)=0,"",IFERROR(AK152/C152,0))</f>
        <v/>
      </c>
      <c r="AN152" s="21">
        <f>IF(COUNT(C152:O152)=0,"",IFERROR(AI152/C152,0))</f>
        <v/>
      </c>
      <c r="AO152" s="15">
        <f>IF(COUNT(C152:O152)=0,"",IFERROR(AL152/G152,0))</f>
        <v/>
      </c>
      <c r="AP152" s="21">
        <f>IF(COUNT(C152:O152)=0,"",IFERROR(AO152/U152,0))</f>
        <v/>
      </c>
      <c r="AQ152" s="15">
        <f>IF(COUNT(C152:O152)=0,"",IFERROR(AL152/H152,0))</f>
        <v/>
      </c>
    </row>
    <row r="153">
      <c r="A153" s="12">
        <f>Config!$C$6+147</f>
        <v/>
      </c>
      <c r="B153" s="13">
        <f>INT((A153-Config!$C$6)/7)+1</f>
        <v/>
      </c>
      <c r="C153" s="10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0" t="n"/>
      <c r="P153" s="15">
        <f>IF(COUNT(C153:O153)=0,"",IFERROR(C153/D153*1000,0))</f>
        <v/>
      </c>
      <c r="Q153" s="16">
        <f>IF(COUNT(C153:O153)=0,"",IFERROR(D153/E153,0))</f>
        <v/>
      </c>
      <c r="R153" s="17">
        <f>IF(COUNT(C153:O153)=0,"",IFERROR(F153/D153,0))</f>
        <v/>
      </c>
      <c r="S153" s="15">
        <f>IF(COUNT(C153:O153)=0,"",IFERROR(C153/F153,0))</f>
        <v/>
      </c>
      <c r="T153" s="18">
        <f>IF(COUNT(C153:O153)=0,"",IFERROR(G153/F153,0))</f>
        <v/>
      </c>
      <c r="U153" s="15">
        <f>IF(COUNT(C153:O153)=0,"",IFERROR(C153/G153,0))</f>
        <v/>
      </c>
      <c r="V153" s="19">
        <f>IF(COUNT(C153:O153)=0,"",IFERROR(G153/D153*1000,0))</f>
        <v/>
      </c>
      <c r="W153" s="18">
        <f>IF(COUNT(C153:O153)=0,"",IFERROR(H153/G153,0))</f>
        <v/>
      </c>
      <c r="X153" s="15">
        <f>IF(COUNT(C153:O153)=0,"",IFERROR(C153/H153,0))</f>
        <v/>
      </c>
      <c r="Y153" s="18">
        <f>IF(COUNT(C153:O153)=0,"",IFERROR(X153/P153,0))</f>
        <v/>
      </c>
      <c r="Z153" s="19">
        <f>IF(COUNT(C153:O153)=0,"",IFERROR(H153/D153*1000,0))</f>
        <v/>
      </c>
      <c r="AA153" s="18">
        <f>IF(COUNT(C153:O153)=0,"",IFERROR(I153/H153,0))</f>
        <v/>
      </c>
      <c r="AB153" s="18">
        <f>IF(COUNT(C153:O153)=0,"",IFERROR(J153/I153,0))</f>
        <v/>
      </c>
      <c r="AC153" s="18">
        <f>IF(COUNT(C153:O153)=0,"",IFERROR(K153/J153,0))</f>
        <v/>
      </c>
      <c r="AD153" s="15">
        <f>IF(COUNT(C153:O153)=0,"",IFERROR(C153/K153,0))</f>
        <v/>
      </c>
      <c r="AE153" s="18">
        <f>IF(COUNT(C153:O153)=0,"",IFERROR(L153/K153,0))</f>
        <v/>
      </c>
      <c r="AF153" s="18">
        <f>IF(COUNT(C153:O153)=0,"",IFERROR(M153/L153,0))</f>
        <v/>
      </c>
      <c r="AG153" s="17">
        <f>IF(COUNT(C153:O153)=0,"",IFERROR(M153/H153,0))</f>
        <v/>
      </c>
      <c r="AH153" s="15">
        <f>IF(COUNT(C153:O153)=0,"",IFERROR(C153/M153,0))</f>
        <v/>
      </c>
      <c r="AI153" s="20">
        <f>IF(COUNT(C153:O153)=0,"",IFERROR(M153*Config!$C$7+N153*Config!$C$8,0))</f>
        <v/>
      </c>
      <c r="AJ153" s="20">
        <f>IF(COUNT(C153:O153)=0,"",IFERROR(IF(O153&gt;0,O153,AI153*Config!$C$9),0))</f>
        <v/>
      </c>
      <c r="AK153" s="20">
        <f>IF(COUNT(C153:O153)=0,"",IFERROR(AJ153*(1-Config!$C$10-Config!$C$11-Config!$C$12),0))</f>
        <v/>
      </c>
      <c r="AL153" s="20">
        <f>IF(COUNT(C153:O153)=0,"",IFERROR(AK153-C153-Config!$C$13,0))</f>
        <v/>
      </c>
      <c r="AM153" s="21">
        <f>IF(COUNT(C153:O153)=0,"",IFERROR(AK153/C153,0))</f>
        <v/>
      </c>
      <c r="AN153" s="21">
        <f>IF(COUNT(C153:O153)=0,"",IFERROR(AI153/C153,0))</f>
        <v/>
      </c>
      <c r="AO153" s="15">
        <f>IF(COUNT(C153:O153)=0,"",IFERROR(AL153/G153,0))</f>
        <v/>
      </c>
      <c r="AP153" s="21">
        <f>IF(COUNT(C153:O153)=0,"",IFERROR(AO153/U153,0))</f>
        <v/>
      </c>
      <c r="AQ153" s="15">
        <f>IF(COUNT(C153:O153)=0,"",IFERROR(AL153/H153,0))</f>
        <v/>
      </c>
    </row>
    <row r="154">
      <c r="A154" s="12">
        <f>Config!$C$6+148</f>
        <v/>
      </c>
      <c r="B154" s="13">
        <f>INT((A154-Config!$C$6)/7)+1</f>
        <v/>
      </c>
      <c r="C154" s="10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0" t="n"/>
      <c r="P154" s="15">
        <f>IF(COUNT(C154:O154)=0,"",IFERROR(C154/D154*1000,0))</f>
        <v/>
      </c>
      <c r="Q154" s="16">
        <f>IF(COUNT(C154:O154)=0,"",IFERROR(D154/E154,0))</f>
        <v/>
      </c>
      <c r="R154" s="17">
        <f>IF(COUNT(C154:O154)=0,"",IFERROR(F154/D154,0))</f>
        <v/>
      </c>
      <c r="S154" s="15">
        <f>IF(COUNT(C154:O154)=0,"",IFERROR(C154/F154,0))</f>
        <v/>
      </c>
      <c r="T154" s="18">
        <f>IF(COUNT(C154:O154)=0,"",IFERROR(G154/F154,0))</f>
        <v/>
      </c>
      <c r="U154" s="15">
        <f>IF(COUNT(C154:O154)=0,"",IFERROR(C154/G154,0))</f>
        <v/>
      </c>
      <c r="V154" s="19">
        <f>IF(COUNT(C154:O154)=0,"",IFERROR(G154/D154*1000,0))</f>
        <v/>
      </c>
      <c r="W154" s="18">
        <f>IF(COUNT(C154:O154)=0,"",IFERROR(H154/G154,0))</f>
        <v/>
      </c>
      <c r="X154" s="15">
        <f>IF(COUNT(C154:O154)=0,"",IFERROR(C154/H154,0))</f>
        <v/>
      </c>
      <c r="Y154" s="18">
        <f>IF(COUNT(C154:O154)=0,"",IFERROR(X154/P154,0))</f>
        <v/>
      </c>
      <c r="Z154" s="19">
        <f>IF(COUNT(C154:O154)=0,"",IFERROR(H154/D154*1000,0))</f>
        <v/>
      </c>
      <c r="AA154" s="18">
        <f>IF(COUNT(C154:O154)=0,"",IFERROR(I154/H154,0))</f>
        <v/>
      </c>
      <c r="AB154" s="18">
        <f>IF(COUNT(C154:O154)=0,"",IFERROR(J154/I154,0))</f>
        <v/>
      </c>
      <c r="AC154" s="18">
        <f>IF(COUNT(C154:O154)=0,"",IFERROR(K154/J154,0))</f>
        <v/>
      </c>
      <c r="AD154" s="15">
        <f>IF(COUNT(C154:O154)=0,"",IFERROR(C154/K154,0))</f>
        <v/>
      </c>
      <c r="AE154" s="18">
        <f>IF(COUNT(C154:O154)=0,"",IFERROR(L154/K154,0))</f>
        <v/>
      </c>
      <c r="AF154" s="18">
        <f>IF(COUNT(C154:O154)=0,"",IFERROR(M154/L154,0))</f>
        <v/>
      </c>
      <c r="AG154" s="17">
        <f>IF(COUNT(C154:O154)=0,"",IFERROR(M154/H154,0))</f>
        <v/>
      </c>
      <c r="AH154" s="15">
        <f>IF(COUNT(C154:O154)=0,"",IFERROR(C154/M154,0))</f>
        <v/>
      </c>
      <c r="AI154" s="20">
        <f>IF(COUNT(C154:O154)=0,"",IFERROR(M154*Config!$C$7+N154*Config!$C$8,0))</f>
        <v/>
      </c>
      <c r="AJ154" s="20">
        <f>IF(COUNT(C154:O154)=0,"",IFERROR(IF(O154&gt;0,O154,AI154*Config!$C$9),0))</f>
        <v/>
      </c>
      <c r="AK154" s="20">
        <f>IF(COUNT(C154:O154)=0,"",IFERROR(AJ154*(1-Config!$C$10-Config!$C$11-Config!$C$12),0))</f>
        <v/>
      </c>
      <c r="AL154" s="20">
        <f>IF(COUNT(C154:O154)=0,"",IFERROR(AK154-C154-Config!$C$13,0))</f>
        <v/>
      </c>
      <c r="AM154" s="21">
        <f>IF(COUNT(C154:O154)=0,"",IFERROR(AK154/C154,0))</f>
        <v/>
      </c>
      <c r="AN154" s="21">
        <f>IF(COUNT(C154:O154)=0,"",IFERROR(AI154/C154,0))</f>
        <v/>
      </c>
      <c r="AO154" s="15">
        <f>IF(COUNT(C154:O154)=0,"",IFERROR(AL154/G154,0))</f>
        <v/>
      </c>
      <c r="AP154" s="21">
        <f>IF(COUNT(C154:O154)=0,"",IFERROR(AO154/U154,0))</f>
        <v/>
      </c>
      <c r="AQ154" s="15">
        <f>IF(COUNT(C154:O154)=0,"",IFERROR(AL154/H154,0))</f>
        <v/>
      </c>
    </row>
    <row r="155">
      <c r="A155" s="12">
        <f>Config!$C$6+149</f>
        <v/>
      </c>
      <c r="B155" s="13">
        <f>INT((A155-Config!$C$6)/7)+1</f>
        <v/>
      </c>
      <c r="C155" s="10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0" t="n"/>
      <c r="P155" s="15">
        <f>IF(COUNT(C155:O155)=0,"",IFERROR(C155/D155*1000,0))</f>
        <v/>
      </c>
      <c r="Q155" s="16">
        <f>IF(COUNT(C155:O155)=0,"",IFERROR(D155/E155,0))</f>
        <v/>
      </c>
      <c r="R155" s="17">
        <f>IF(COUNT(C155:O155)=0,"",IFERROR(F155/D155,0))</f>
        <v/>
      </c>
      <c r="S155" s="15">
        <f>IF(COUNT(C155:O155)=0,"",IFERROR(C155/F155,0))</f>
        <v/>
      </c>
      <c r="T155" s="18">
        <f>IF(COUNT(C155:O155)=0,"",IFERROR(G155/F155,0))</f>
        <v/>
      </c>
      <c r="U155" s="15">
        <f>IF(COUNT(C155:O155)=0,"",IFERROR(C155/G155,0))</f>
        <v/>
      </c>
      <c r="V155" s="19">
        <f>IF(COUNT(C155:O155)=0,"",IFERROR(G155/D155*1000,0))</f>
        <v/>
      </c>
      <c r="W155" s="18">
        <f>IF(COUNT(C155:O155)=0,"",IFERROR(H155/G155,0))</f>
        <v/>
      </c>
      <c r="X155" s="15">
        <f>IF(COUNT(C155:O155)=0,"",IFERROR(C155/H155,0))</f>
        <v/>
      </c>
      <c r="Y155" s="18">
        <f>IF(COUNT(C155:O155)=0,"",IFERROR(X155/P155,0))</f>
        <v/>
      </c>
      <c r="Z155" s="19">
        <f>IF(COUNT(C155:O155)=0,"",IFERROR(H155/D155*1000,0))</f>
        <v/>
      </c>
      <c r="AA155" s="18">
        <f>IF(COUNT(C155:O155)=0,"",IFERROR(I155/H155,0))</f>
        <v/>
      </c>
      <c r="AB155" s="18">
        <f>IF(COUNT(C155:O155)=0,"",IFERROR(J155/I155,0))</f>
        <v/>
      </c>
      <c r="AC155" s="18">
        <f>IF(COUNT(C155:O155)=0,"",IFERROR(K155/J155,0))</f>
        <v/>
      </c>
      <c r="AD155" s="15">
        <f>IF(COUNT(C155:O155)=0,"",IFERROR(C155/K155,0))</f>
        <v/>
      </c>
      <c r="AE155" s="18">
        <f>IF(COUNT(C155:O155)=0,"",IFERROR(L155/K155,0))</f>
        <v/>
      </c>
      <c r="AF155" s="18">
        <f>IF(COUNT(C155:O155)=0,"",IFERROR(M155/L155,0))</f>
        <v/>
      </c>
      <c r="AG155" s="17">
        <f>IF(COUNT(C155:O155)=0,"",IFERROR(M155/H155,0))</f>
        <v/>
      </c>
      <c r="AH155" s="15">
        <f>IF(COUNT(C155:O155)=0,"",IFERROR(C155/M155,0))</f>
        <v/>
      </c>
      <c r="AI155" s="20">
        <f>IF(COUNT(C155:O155)=0,"",IFERROR(M155*Config!$C$7+N155*Config!$C$8,0))</f>
        <v/>
      </c>
      <c r="AJ155" s="20">
        <f>IF(COUNT(C155:O155)=0,"",IFERROR(IF(O155&gt;0,O155,AI155*Config!$C$9),0))</f>
        <v/>
      </c>
      <c r="AK155" s="20">
        <f>IF(COUNT(C155:O155)=0,"",IFERROR(AJ155*(1-Config!$C$10-Config!$C$11-Config!$C$12),0))</f>
        <v/>
      </c>
      <c r="AL155" s="20">
        <f>IF(COUNT(C155:O155)=0,"",IFERROR(AK155-C155-Config!$C$13,0))</f>
        <v/>
      </c>
      <c r="AM155" s="21">
        <f>IF(COUNT(C155:O155)=0,"",IFERROR(AK155/C155,0))</f>
        <v/>
      </c>
      <c r="AN155" s="21">
        <f>IF(COUNT(C155:O155)=0,"",IFERROR(AI155/C155,0))</f>
        <v/>
      </c>
      <c r="AO155" s="15">
        <f>IF(COUNT(C155:O155)=0,"",IFERROR(AL155/G155,0))</f>
        <v/>
      </c>
      <c r="AP155" s="21">
        <f>IF(COUNT(C155:O155)=0,"",IFERROR(AO155/U155,0))</f>
        <v/>
      </c>
      <c r="AQ155" s="15">
        <f>IF(COUNT(C155:O155)=0,"",IFERROR(AL155/H155,0))</f>
        <v/>
      </c>
    </row>
    <row r="156">
      <c r="A156" s="12">
        <f>Config!$C$6+150</f>
        <v/>
      </c>
      <c r="B156" s="13">
        <f>INT((A156-Config!$C$6)/7)+1</f>
        <v/>
      </c>
      <c r="C156" s="10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0" t="n"/>
      <c r="P156" s="15">
        <f>IF(COUNT(C156:O156)=0,"",IFERROR(C156/D156*1000,0))</f>
        <v/>
      </c>
      <c r="Q156" s="16">
        <f>IF(COUNT(C156:O156)=0,"",IFERROR(D156/E156,0))</f>
        <v/>
      </c>
      <c r="R156" s="17">
        <f>IF(COUNT(C156:O156)=0,"",IFERROR(F156/D156,0))</f>
        <v/>
      </c>
      <c r="S156" s="15">
        <f>IF(COUNT(C156:O156)=0,"",IFERROR(C156/F156,0))</f>
        <v/>
      </c>
      <c r="T156" s="18">
        <f>IF(COUNT(C156:O156)=0,"",IFERROR(G156/F156,0))</f>
        <v/>
      </c>
      <c r="U156" s="15">
        <f>IF(COUNT(C156:O156)=0,"",IFERROR(C156/G156,0))</f>
        <v/>
      </c>
      <c r="V156" s="19">
        <f>IF(COUNT(C156:O156)=0,"",IFERROR(G156/D156*1000,0))</f>
        <v/>
      </c>
      <c r="W156" s="18">
        <f>IF(COUNT(C156:O156)=0,"",IFERROR(H156/G156,0))</f>
        <v/>
      </c>
      <c r="X156" s="15">
        <f>IF(COUNT(C156:O156)=0,"",IFERROR(C156/H156,0))</f>
        <v/>
      </c>
      <c r="Y156" s="18">
        <f>IF(COUNT(C156:O156)=0,"",IFERROR(X156/P156,0))</f>
        <v/>
      </c>
      <c r="Z156" s="19">
        <f>IF(COUNT(C156:O156)=0,"",IFERROR(H156/D156*1000,0))</f>
        <v/>
      </c>
      <c r="AA156" s="18">
        <f>IF(COUNT(C156:O156)=0,"",IFERROR(I156/H156,0))</f>
        <v/>
      </c>
      <c r="AB156" s="18">
        <f>IF(COUNT(C156:O156)=0,"",IFERROR(J156/I156,0))</f>
        <v/>
      </c>
      <c r="AC156" s="18">
        <f>IF(COUNT(C156:O156)=0,"",IFERROR(K156/J156,0))</f>
        <v/>
      </c>
      <c r="AD156" s="15">
        <f>IF(COUNT(C156:O156)=0,"",IFERROR(C156/K156,0))</f>
        <v/>
      </c>
      <c r="AE156" s="18">
        <f>IF(COUNT(C156:O156)=0,"",IFERROR(L156/K156,0))</f>
        <v/>
      </c>
      <c r="AF156" s="18">
        <f>IF(COUNT(C156:O156)=0,"",IFERROR(M156/L156,0))</f>
        <v/>
      </c>
      <c r="AG156" s="17">
        <f>IF(COUNT(C156:O156)=0,"",IFERROR(M156/H156,0))</f>
        <v/>
      </c>
      <c r="AH156" s="15">
        <f>IF(COUNT(C156:O156)=0,"",IFERROR(C156/M156,0))</f>
        <v/>
      </c>
      <c r="AI156" s="20">
        <f>IF(COUNT(C156:O156)=0,"",IFERROR(M156*Config!$C$7+N156*Config!$C$8,0))</f>
        <v/>
      </c>
      <c r="AJ156" s="20">
        <f>IF(COUNT(C156:O156)=0,"",IFERROR(IF(O156&gt;0,O156,AI156*Config!$C$9),0))</f>
        <v/>
      </c>
      <c r="AK156" s="20">
        <f>IF(COUNT(C156:O156)=0,"",IFERROR(AJ156*(1-Config!$C$10-Config!$C$11-Config!$C$12),0))</f>
        <v/>
      </c>
      <c r="AL156" s="20">
        <f>IF(COUNT(C156:O156)=0,"",IFERROR(AK156-C156-Config!$C$13,0))</f>
        <v/>
      </c>
      <c r="AM156" s="21">
        <f>IF(COUNT(C156:O156)=0,"",IFERROR(AK156/C156,0))</f>
        <v/>
      </c>
      <c r="AN156" s="21">
        <f>IF(COUNT(C156:O156)=0,"",IFERROR(AI156/C156,0))</f>
        <v/>
      </c>
      <c r="AO156" s="15">
        <f>IF(COUNT(C156:O156)=0,"",IFERROR(AL156/G156,0))</f>
        <v/>
      </c>
      <c r="AP156" s="21">
        <f>IF(COUNT(C156:O156)=0,"",IFERROR(AO156/U156,0))</f>
        <v/>
      </c>
      <c r="AQ156" s="15">
        <f>IF(COUNT(C156:O156)=0,"",IFERROR(AL156/H156,0))</f>
        <v/>
      </c>
    </row>
    <row r="157">
      <c r="A157" s="12">
        <f>Config!$C$6+151</f>
        <v/>
      </c>
      <c r="B157" s="13">
        <f>INT((A157-Config!$C$6)/7)+1</f>
        <v/>
      </c>
      <c r="C157" s="10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0" t="n"/>
      <c r="P157" s="15">
        <f>IF(COUNT(C157:O157)=0,"",IFERROR(C157/D157*1000,0))</f>
        <v/>
      </c>
      <c r="Q157" s="16">
        <f>IF(COUNT(C157:O157)=0,"",IFERROR(D157/E157,0))</f>
        <v/>
      </c>
      <c r="R157" s="17">
        <f>IF(COUNT(C157:O157)=0,"",IFERROR(F157/D157,0))</f>
        <v/>
      </c>
      <c r="S157" s="15">
        <f>IF(COUNT(C157:O157)=0,"",IFERROR(C157/F157,0))</f>
        <v/>
      </c>
      <c r="T157" s="18">
        <f>IF(COUNT(C157:O157)=0,"",IFERROR(G157/F157,0))</f>
        <v/>
      </c>
      <c r="U157" s="15">
        <f>IF(COUNT(C157:O157)=0,"",IFERROR(C157/G157,0))</f>
        <v/>
      </c>
      <c r="V157" s="19">
        <f>IF(COUNT(C157:O157)=0,"",IFERROR(G157/D157*1000,0))</f>
        <v/>
      </c>
      <c r="W157" s="18">
        <f>IF(COUNT(C157:O157)=0,"",IFERROR(H157/G157,0))</f>
        <v/>
      </c>
      <c r="X157" s="15">
        <f>IF(COUNT(C157:O157)=0,"",IFERROR(C157/H157,0))</f>
        <v/>
      </c>
      <c r="Y157" s="18">
        <f>IF(COUNT(C157:O157)=0,"",IFERROR(X157/P157,0))</f>
        <v/>
      </c>
      <c r="Z157" s="19">
        <f>IF(COUNT(C157:O157)=0,"",IFERROR(H157/D157*1000,0))</f>
        <v/>
      </c>
      <c r="AA157" s="18">
        <f>IF(COUNT(C157:O157)=0,"",IFERROR(I157/H157,0))</f>
        <v/>
      </c>
      <c r="AB157" s="18">
        <f>IF(COUNT(C157:O157)=0,"",IFERROR(J157/I157,0))</f>
        <v/>
      </c>
      <c r="AC157" s="18">
        <f>IF(COUNT(C157:O157)=0,"",IFERROR(K157/J157,0))</f>
        <v/>
      </c>
      <c r="AD157" s="15">
        <f>IF(COUNT(C157:O157)=0,"",IFERROR(C157/K157,0))</f>
        <v/>
      </c>
      <c r="AE157" s="18">
        <f>IF(COUNT(C157:O157)=0,"",IFERROR(L157/K157,0))</f>
        <v/>
      </c>
      <c r="AF157" s="18">
        <f>IF(COUNT(C157:O157)=0,"",IFERROR(M157/L157,0))</f>
        <v/>
      </c>
      <c r="AG157" s="17">
        <f>IF(COUNT(C157:O157)=0,"",IFERROR(M157/H157,0))</f>
        <v/>
      </c>
      <c r="AH157" s="15">
        <f>IF(COUNT(C157:O157)=0,"",IFERROR(C157/M157,0))</f>
        <v/>
      </c>
      <c r="AI157" s="20">
        <f>IF(COUNT(C157:O157)=0,"",IFERROR(M157*Config!$C$7+N157*Config!$C$8,0))</f>
        <v/>
      </c>
      <c r="AJ157" s="20">
        <f>IF(COUNT(C157:O157)=0,"",IFERROR(IF(O157&gt;0,O157,AI157*Config!$C$9),0))</f>
        <v/>
      </c>
      <c r="AK157" s="20">
        <f>IF(COUNT(C157:O157)=0,"",IFERROR(AJ157*(1-Config!$C$10-Config!$C$11-Config!$C$12),0))</f>
        <v/>
      </c>
      <c r="AL157" s="20">
        <f>IF(COUNT(C157:O157)=0,"",IFERROR(AK157-C157-Config!$C$13,0))</f>
        <v/>
      </c>
      <c r="AM157" s="21">
        <f>IF(COUNT(C157:O157)=0,"",IFERROR(AK157/C157,0))</f>
        <v/>
      </c>
      <c r="AN157" s="21">
        <f>IF(COUNT(C157:O157)=0,"",IFERROR(AI157/C157,0))</f>
        <v/>
      </c>
      <c r="AO157" s="15">
        <f>IF(COUNT(C157:O157)=0,"",IFERROR(AL157/G157,0))</f>
        <v/>
      </c>
      <c r="AP157" s="21">
        <f>IF(COUNT(C157:O157)=0,"",IFERROR(AO157/U157,0))</f>
        <v/>
      </c>
      <c r="AQ157" s="15">
        <f>IF(COUNT(C157:O157)=0,"",IFERROR(AL157/H157,0))</f>
        <v/>
      </c>
    </row>
    <row r="158">
      <c r="A158" s="12">
        <f>Config!$C$6+152</f>
        <v/>
      </c>
      <c r="B158" s="13">
        <f>INT((A158-Config!$C$6)/7)+1</f>
        <v/>
      </c>
      <c r="C158" s="10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0" t="n"/>
      <c r="P158" s="15">
        <f>IF(COUNT(C158:O158)=0,"",IFERROR(C158/D158*1000,0))</f>
        <v/>
      </c>
      <c r="Q158" s="16">
        <f>IF(COUNT(C158:O158)=0,"",IFERROR(D158/E158,0))</f>
        <v/>
      </c>
      <c r="R158" s="17">
        <f>IF(COUNT(C158:O158)=0,"",IFERROR(F158/D158,0))</f>
        <v/>
      </c>
      <c r="S158" s="15">
        <f>IF(COUNT(C158:O158)=0,"",IFERROR(C158/F158,0))</f>
        <v/>
      </c>
      <c r="T158" s="18">
        <f>IF(COUNT(C158:O158)=0,"",IFERROR(G158/F158,0))</f>
        <v/>
      </c>
      <c r="U158" s="15">
        <f>IF(COUNT(C158:O158)=0,"",IFERROR(C158/G158,0))</f>
        <v/>
      </c>
      <c r="V158" s="19">
        <f>IF(COUNT(C158:O158)=0,"",IFERROR(G158/D158*1000,0))</f>
        <v/>
      </c>
      <c r="W158" s="18">
        <f>IF(COUNT(C158:O158)=0,"",IFERROR(H158/G158,0))</f>
        <v/>
      </c>
      <c r="X158" s="15">
        <f>IF(COUNT(C158:O158)=0,"",IFERROR(C158/H158,0))</f>
        <v/>
      </c>
      <c r="Y158" s="18">
        <f>IF(COUNT(C158:O158)=0,"",IFERROR(X158/P158,0))</f>
        <v/>
      </c>
      <c r="Z158" s="19">
        <f>IF(COUNT(C158:O158)=0,"",IFERROR(H158/D158*1000,0))</f>
        <v/>
      </c>
      <c r="AA158" s="18">
        <f>IF(COUNT(C158:O158)=0,"",IFERROR(I158/H158,0))</f>
        <v/>
      </c>
      <c r="AB158" s="18">
        <f>IF(COUNT(C158:O158)=0,"",IFERROR(J158/I158,0))</f>
        <v/>
      </c>
      <c r="AC158" s="18">
        <f>IF(COUNT(C158:O158)=0,"",IFERROR(K158/J158,0))</f>
        <v/>
      </c>
      <c r="AD158" s="15">
        <f>IF(COUNT(C158:O158)=0,"",IFERROR(C158/K158,0))</f>
        <v/>
      </c>
      <c r="AE158" s="18">
        <f>IF(COUNT(C158:O158)=0,"",IFERROR(L158/K158,0))</f>
        <v/>
      </c>
      <c r="AF158" s="18">
        <f>IF(COUNT(C158:O158)=0,"",IFERROR(M158/L158,0))</f>
        <v/>
      </c>
      <c r="AG158" s="17">
        <f>IF(COUNT(C158:O158)=0,"",IFERROR(M158/H158,0))</f>
        <v/>
      </c>
      <c r="AH158" s="15">
        <f>IF(COUNT(C158:O158)=0,"",IFERROR(C158/M158,0))</f>
        <v/>
      </c>
      <c r="AI158" s="20">
        <f>IF(COUNT(C158:O158)=0,"",IFERROR(M158*Config!$C$7+N158*Config!$C$8,0))</f>
        <v/>
      </c>
      <c r="AJ158" s="20">
        <f>IF(COUNT(C158:O158)=0,"",IFERROR(IF(O158&gt;0,O158,AI158*Config!$C$9),0))</f>
        <v/>
      </c>
      <c r="AK158" s="20">
        <f>IF(COUNT(C158:O158)=0,"",IFERROR(AJ158*(1-Config!$C$10-Config!$C$11-Config!$C$12),0))</f>
        <v/>
      </c>
      <c r="AL158" s="20">
        <f>IF(COUNT(C158:O158)=0,"",IFERROR(AK158-C158-Config!$C$13,0))</f>
        <v/>
      </c>
      <c r="AM158" s="21">
        <f>IF(COUNT(C158:O158)=0,"",IFERROR(AK158/C158,0))</f>
        <v/>
      </c>
      <c r="AN158" s="21">
        <f>IF(COUNT(C158:O158)=0,"",IFERROR(AI158/C158,0))</f>
        <v/>
      </c>
      <c r="AO158" s="15">
        <f>IF(COUNT(C158:O158)=0,"",IFERROR(AL158/G158,0))</f>
        <v/>
      </c>
      <c r="AP158" s="21">
        <f>IF(COUNT(C158:O158)=0,"",IFERROR(AO158/U158,0))</f>
        <v/>
      </c>
      <c r="AQ158" s="15">
        <f>IF(COUNT(C158:O158)=0,"",IFERROR(AL158/H158,0))</f>
        <v/>
      </c>
    </row>
    <row r="159">
      <c r="A159" s="12">
        <f>Config!$C$6+153</f>
        <v/>
      </c>
      <c r="B159" s="13">
        <f>INT((A159-Config!$C$6)/7)+1</f>
        <v/>
      </c>
      <c r="C159" s="10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0" t="n"/>
      <c r="P159" s="15">
        <f>IF(COUNT(C159:O159)=0,"",IFERROR(C159/D159*1000,0))</f>
        <v/>
      </c>
      <c r="Q159" s="16">
        <f>IF(COUNT(C159:O159)=0,"",IFERROR(D159/E159,0))</f>
        <v/>
      </c>
      <c r="R159" s="17">
        <f>IF(COUNT(C159:O159)=0,"",IFERROR(F159/D159,0))</f>
        <v/>
      </c>
      <c r="S159" s="15">
        <f>IF(COUNT(C159:O159)=0,"",IFERROR(C159/F159,0))</f>
        <v/>
      </c>
      <c r="T159" s="18">
        <f>IF(COUNT(C159:O159)=0,"",IFERROR(G159/F159,0))</f>
        <v/>
      </c>
      <c r="U159" s="15">
        <f>IF(COUNT(C159:O159)=0,"",IFERROR(C159/G159,0))</f>
        <v/>
      </c>
      <c r="V159" s="19">
        <f>IF(COUNT(C159:O159)=0,"",IFERROR(G159/D159*1000,0))</f>
        <v/>
      </c>
      <c r="W159" s="18">
        <f>IF(COUNT(C159:O159)=0,"",IFERROR(H159/G159,0))</f>
        <v/>
      </c>
      <c r="X159" s="15">
        <f>IF(COUNT(C159:O159)=0,"",IFERROR(C159/H159,0))</f>
        <v/>
      </c>
      <c r="Y159" s="18">
        <f>IF(COUNT(C159:O159)=0,"",IFERROR(X159/P159,0))</f>
        <v/>
      </c>
      <c r="Z159" s="19">
        <f>IF(COUNT(C159:O159)=0,"",IFERROR(H159/D159*1000,0))</f>
        <v/>
      </c>
      <c r="AA159" s="18">
        <f>IF(COUNT(C159:O159)=0,"",IFERROR(I159/H159,0))</f>
        <v/>
      </c>
      <c r="AB159" s="18">
        <f>IF(COUNT(C159:O159)=0,"",IFERROR(J159/I159,0))</f>
        <v/>
      </c>
      <c r="AC159" s="18">
        <f>IF(COUNT(C159:O159)=0,"",IFERROR(K159/J159,0))</f>
        <v/>
      </c>
      <c r="AD159" s="15">
        <f>IF(COUNT(C159:O159)=0,"",IFERROR(C159/K159,0))</f>
        <v/>
      </c>
      <c r="AE159" s="18">
        <f>IF(COUNT(C159:O159)=0,"",IFERROR(L159/K159,0))</f>
        <v/>
      </c>
      <c r="AF159" s="18">
        <f>IF(COUNT(C159:O159)=0,"",IFERROR(M159/L159,0))</f>
        <v/>
      </c>
      <c r="AG159" s="17">
        <f>IF(COUNT(C159:O159)=0,"",IFERROR(M159/H159,0))</f>
        <v/>
      </c>
      <c r="AH159" s="15">
        <f>IF(COUNT(C159:O159)=0,"",IFERROR(C159/M159,0))</f>
        <v/>
      </c>
      <c r="AI159" s="20">
        <f>IF(COUNT(C159:O159)=0,"",IFERROR(M159*Config!$C$7+N159*Config!$C$8,0))</f>
        <v/>
      </c>
      <c r="AJ159" s="20">
        <f>IF(COUNT(C159:O159)=0,"",IFERROR(IF(O159&gt;0,O159,AI159*Config!$C$9),0))</f>
        <v/>
      </c>
      <c r="AK159" s="20">
        <f>IF(COUNT(C159:O159)=0,"",IFERROR(AJ159*(1-Config!$C$10-Config!$C$11-Config!$C$12),0))</f>
        <v/>
      </c>
      <c r="AL159" s="20">
        <f>IF(COUNT(C159:O159)=0,"",IFERROR(AK159-C159-Config!$C$13,0))</f>
        <v/>
      </c>
      <c r="AM159" s="21">
        <f>IF(COUNT(C159:O159)=0,"",IFERROR(AK159/C159,0))</f>
        <v/>
      </c>
      <c r="AN159" s="21">
        <f>IF(COUNT(C159:O159)=0,"",IFERROR(AI159/C159,0))</f>
        <v/>
      </c>
      <c r="AO159" s="15">
        <f>IF(COUNT(C159:O159)=0,"",IFERROR(AL159/G159,0))</f>
        <v/>
      </c>
      <c r="AP159" s="21">
        <f>IF(COUNT(C159:O159)=0,"",IFERROR(AO159/U159,0))</f>
        <v/>
      </c>
      <c r="AQ159" s="15">
        <f>IF(COUNT(C159:O159)=0,"",IFERROR(AL159/H159,0))</f>
        <v/>
      </c>
    </row>
    <row r="160">
      <c r="A160" s="12">
        <f>Config!$C$6+154</f>
        <v/>
      </c>
      <c r="B160" s="13">
        <f>INT((A160-Config!$C$6)/7)+1</f>
        <v/>
      </c>
      <c r="C160" s="10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0" t="n"/>
      <c r="P160" s="15">
        <f>IF(COUNT(C160:O160)=0,"",IFERROR(C160/D160*1000,0))</f>
        <v/>
      </c>
      <c r="Q160" s="16">
        <f>IF(COUNT(C160:O160)=0,"",IFERROR(D160/E160,0))</f>
        <v/>
      </c>
      <c r="R160" s="17">
        <f>IF(COUNT(C160:O160)=0,"",IFERROR(F160/D160,0))</f>
        <v/>
      </c>
      <c r="S160" s="15">
        <f>IF(COUNT(C160:O160)=0,"",IFERROR(C160/F160,0))</f>
        <v/>
      </c>
      <c r="T160" s="18">
        <f>IF(COUNT(C160:O160)=0,"",IFERROR(G160/F160,0))</f>
        <v/>
      </c>
      <c r="U160" s="15">
        <f>IF(COUNT(C160:O160)=0,"",IFERROR(C160/G160,0))</f>
        <v/>
      </c>
      <c r="V160" s="19">
        <f>IF(COUNT(C160:O160)=0,"",IFERROR(G160/D160*1000,0))</f>
        <v/>
      </c>
      <c r="W160" s="18">
        <f>IF(COUNT(C160:O160)=0,"",IFERROR(H160/G160,0))</f>
        <v/>
      </c>
      <c r="X160" s="15">
        <f>IF(COUNT(C160:O160)=0,"",IFERROR(C160/H160,0))</f>
        <v/>
      </c>
      <c r="Y160" s="18">
        <f>IF(COUNT(C160:O160)=0,"",IFERROR(X160/P160,0))</f>
        <v/>
      </c>
      <c r="Z160" s="19">
        <f>IF(COUNT(C160:O160)=0,"",IFERROR(H160/D160*1000,0))</f>
        <v/>
      </c>
      <c r="AA160" s="18">
        <f>IF(COUNT(C160:O160)=0,"",IFERROR(I160/H160,0))</f>
        <v/>
      </c>
      <c r="AB160" s="18">
        <f>IF(COUNT(C160:O160)=0,"",IFERROR(J160/I160,0))</f>
        <v/>
      </c>
      <c r="AC160" s="18">
        <f>IF(COUNT(C160:O160)=0,"",IFERROR(K160/J160,0))</f>
        <v/>
      </c>
      <c r="AD160" s="15">
        <f>IF(COUNT(C160:O160)=0,"",IFERROR(C160/K160,0))</f>
        <v/>
      </c>
      <c r="AE160" s="18">
        <f>IF(COUNT(C160:O160)=0,"",IFERROR(L160/K160,0))</f>
        <v/>
      </c>
      <c r="AF160" s="18">
        <f>IF(COUNT(C160:O160)=0,"",IFERROR(M160/L160,0))</f>
        <v/>
      </c>
      <c r="AG160" s="17">
        <f>IF(COUNT(C160:O160)=0,"",IFERROR(M160/H160,0))</f>
        <v/>
      </c>
      <c r="AH160" s="15">
        <f>IF(COUNT(C160:O160)=0,"",IFERROR(C160/M160,0))</f>
        <v/>
      </c>
      <c r="AI160" s="20">
        <f>IF(COUNT(C160:O160)=0,"",IFERROR(M160*Config!$C$7+N160*Config!$C$8,0))</f>
        <v/>
      </c>
      <c r="AJ160" s="20">
        <f>IF(COUNT(C160:O160)=0,"",IFERROR(IF(O160&gt;0,O160,AI160*Config!$C$9),0))</f>
        <v/>
      </c>
      <c r="AK160" s="20">
        <f>IF(COUNT(C160:O160)=0,"",IFERROR(AJ160*(1-Config!$C$10-Config!$C$11-Config!$C$12),0))</f>
        <v/>
      </c>
      <c r="AL160" s="20">
        <f>IF(COUNT(C160:O160)=0,"",IFERROR(AK160-C160-Config!$C$13,0))</f>
        <v/>
      </c>
      <c r="AM160" s="21">
        <f>IF(COUNT(C160:O160)=0,"",IFERROR(AK160/C160,0))</f>
        <v/>
      </c>
      <c r="AN160" s="21">
        <f>IF(COUNT(C160:O160)=0,"",IFERROR(AI160/C160,0))</f>
        <v/>
      </c>
      <c r="AO160" s="15">
        <f>IF(COUNT(C160:O160)=0,"",IFERROR(AL160/G160,0))</f>
        <v/>
      </c>
      <c r="AP160" s="21">
        <f>IF(COUNT(C160:O160)=0,"",IFERROR(AO160/U160,0))</f>
        <v/>
      </c>
      <c r="AQ160" s="15">
        <f>IF(COUNT(C160:O160)=0,"",IFERROR(AL160/H160,0))</f>
        <v/>
      </c>
    </row>
    <row r="161">
      <c r="A161" s="12">
        <f>Config!$C$6+155</f>
        <v/>
      </c>
      <c r="B161" s="13">
        <f>INT((A161-Config!$C$6)/7)+1</f>
        <v/>
      </c>
      <c r="C161" s="10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0" t="n"/>
      <c r="P161" s="15">
        <f>IF(COUNT(C161:O161)=0,"",IFERROR(C161/D161*1000,0))</f>
        <v/>
      </c>
      <c r="Q161" s="16">
        <f>IF(COUNT(C161:O161)=0,"",IFERROR(D161/E161,0))</f>
        <v/>
      </c>
      <c r="R161" s="17">
        <f>IF(COUNT(C161:O161)=0,"",IFERROR(F161/D161,0))</f>
        <v/>
      </c>
      <c r="S161" s="15">
        <f>IF(COUNT(C161:O161)=0,"",IFERROR(C161/F161,0))</f>
        <v/>
      </c>
      <c r="T161" s="18">
        <f>IF(COUNT(C161:O161)=0,"",IFERROR(G161/F161,0))</f>
        <v/>
      </c>
      <c r="U161" s="15">
        <f>IF(COUNT(C161:O161)=0,"",IFERROR(C161/G161,0))</f>
        <v/>
      </c>
      <c r="V161" s="19">
        <f>IF(COUNT(C161:O161)=0,"",IFERROR(G161/D161*1000,0))</f>
        <v/>
      </c>
      <c r="W161" s="18">
        <f>IF(COUNT(C161:O161)=0,"",IFERROR(H161/G161,0))</f>
        <v/>
      </c>
      <c r="X161" s="15">
        <f>IF(COUNT(C161:O161)=0,"",IFERROR(C161/H161,0))</f>
        <v/>
      </c>
      <c r="Y161" s="18">
        <f>IF(COUNT(C161:O161)=0,"",IFERROR(X161/P161,0))</f>
        <v/>
      </c>
      <c r="Z161" s="19">
        <f>IF(COUNT(C161:O161)=0,"",IFERROR(H161/D161*1000,0))</f>
        <v/>
      </c>
      <c r="AA161" s="18">
        <f>IF(COUNT(C161:O161)=0,"",IFERROR(I161/H161,0))</f>
        <v/>
      </c>
      <c r="AB161" s="18">
        <f>IF(COUNT(C161:O161)=0,"",IFERROR(J161/I161,0))</f>
        <v/>
      </c>
      <c r="AC161" s="18">
        <f>IF(COUNT(C161:O161)=0,"",IFERROR(K161/J161,0))</f>
        <v/>
      </c>
      <c r="AD161" s="15">
        <f>IF(COUNT(C161:O161)=0,"",IFERROR(C161/K161,0))</f>
        <v/>
      </c>
      <c r="AE161" s="18">
        <f>IF(COUNT(C161:O161)=0,"",IFERROR(L161/K161,0))</f>
        <v/>
      </c>
      <c r="AF161" s="18">
        <f>IF(COUNT(C161:O161)=0,"",IFERROR(M161/L161,0))</f>
        <v/>
      </c>
      <c r="AG161" s="17">
        <f>IF(COUNT(C161:O161)=0,"",IFERROR(M161/H161,0))</f>
        <v/>
      </c>
      <c r="AH161" s="15">
        <f>IF(COUNT(C161:O161)=0,"",IFERROR(C161/M161,0))</f>
        <v/>
      </c>
      <c r="AI161" s="20">
        <f>IF(COUNT(C161:O161)=0,"",IFERROR(M161*Config!$C$7+N161*Config!$C$8,0))</f>
        <v/>
      </c>
      <c r="AJ161" s="20">
        <f>IF(COUNT(C161:O161)=0,"",IFERROR(IF(O161&gt;0,O161,AI161*Config!$C$9),0))</f>
        <v/>
      </c>
      <c r="AK161" s="20">
        <f>IF(COUNT(C161:O161)=0,"",IFERROR(AJ161*(1-Config!$C$10-Config!$C$11-Config!$C$12),0))</f>
        <v/>
      </c>
      <c r="AL161" s="20">
        <f>IF(COUNT(C161:O161)=0,"",IFERROR(AK161-C161-Config!$C$13,0))</f>
        <v/>
      </c>
      <c r="AM161" s="21">
        <f>IF(COUNT(C161:O161)=0,"",IFERROR(AK161/C161,0))</f>
        <v/>
      </c>
      <c r="AN161" s="21">
        <f>IF(COUNT(C161:O161)=0,"",IFERROR(AI161/C161,0))</f>
        <v/>
      </c>
      <c r="AO161" s="15">
        <f>IF(COUNT(C161:O161)=0,"",IFERROR(AL161/G161,0))</f>
        <v/>
      </c>
      <c r="AP161" s="21">
        <f>IF(COUNT(C161:O161)=0,"",IFERROR(AO161/U161,0))</f>
        <v/>
      </c>
      <c r="AQ161" s="15">
        <f>IF(COUNT(C161:O161)=0,"",IFERROR(AL161/H161,0))</f>
        <v/>
      </c>
    </row>
    <row r="162">
      <c r="A162" s="12">
        <f>Config!$C$6+156</f>
        <v/>
      </c>
      <c r="B162" s="13">
        <f>INT((A162-Config!$C$6)/7)+1</f>
        <v/>
      </c>
      <c r="C162" s="10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0" t="n"/>
      <c r="P162" s="15">
        <f>IF(COUNT(C162:O162)=0,"",IFERROR(C162/D162*1000,0))</f>
        <v/>
      </c>
      <c r="Q162" s="16">
        <f>IF(COUNT(C162:O162)=0,"",IFERROR(D162/E162,0))</f>
        <v/>
      </c>
      <c r="R162" s="17">
        <f>IF(COUNT(C162:O162)=0,"",IFERROR(F162/D162,0))</f>
        <v/>
      </c>
      <c r="S162" s="15">
        <f>IF(COUNT(C162:O162)=0,"",IFERROR(C162/F162,0))</f>
        <v/>
      </c>
      <c r="T162" s="18">
        <f>IF(COUNT(C162:O162)=0,"",IFERROR(G162/F162,0))</f>
        <v/>
      </c>
      <c r="U162" s="15">
        <f>IF(COUNT(C162:O162)=0,"",IFERROR(C162/G162,0))</f>
        <v/>
      </c>
      <c r="V162" s="19">
        <f>IF(COUNT(C162:O162)=0,"",IFERROR(G162/D162*1000,0))</f>
        <v/>
      </c>
      <c r="W162" s="18">
        <f>IF(COUNT(C162:O162)=0,"",IFERROR(H162/G162,0))</f>
        <v/>
      </c>
      <c r="X162" s="15">
        <f>IF(COUNT(C162:O162)=0,"",IFERROR(C162/H162,0))</f>
        <v/>
      </c>
      <c r="Y162" s="18">
        <f>IF(COUNT(C162:O162)=0,"",IFERROR(X162/P162,0))</f>
        <v/>
      </c>
      <c r="Z162" s="19">
        <f>IF(COUNT(C162:O162)=0,"",IFERROR(H162/D162*1000,0))</f>
        <v/>
      </c>
      <c r="AA162" s="18">
        <f>IF(COUNT(C162:O162)=0,"",IFERROR(I162/H162,0))</f>
        <v/>
      </c>
      <c r="AB162" s="18">
        <f>IF(COUNT(C162:O162)=0,"",IFERROR(J162/I162,0))</f>
        <v/>
      </c>
      <c r="AC162" s="18">
        <f>IF(COUNT(C162:O162)=0,"",IFERROR(K162/J162,0))</f>
        <v/>
      </c>
      <c r="AD162" s="15">
        <f>IF(COUNT(C162:O162)=0,"",IFERROR(C162/K162,0))</f>
        <v/>
      </c>
      <c r="AE162" s="18">
        <f>IF(COUNT(C162:O162)=0,"",IFERROR(L162/K162,0))</f>
        <v/>
      </c>
      <c r="AF162" s="18">
        <f>IF(COUNT(C162:O162)=0,"",IFERROR(M162/L162,0))</f>
        <v/>
      </c>
      <c r="AG162" s="17">
        <f>IF(COUNT(C162:O162)=0,"",IFERROR(M162/H162,0))</f>
        <v/>
      </c>
      <c r="AH162" s="15">
        <f>IF(COUNT(C162:O162)=0,"",IFERROR(C162/M162,0))</f>
        <v/>
      </c>
      <c r="AI162" s="20">
        <f>IF(COUNT(C162:O162)=0,"",IFERROR(M162*Config!$C$7+N162*Config!$C$8,0))</f>
        <v/>
      </c>
      <c r="AJ162" s="20">
        <f>IF(COUNT(C162:O162)=0,"",IFERROR(IF(O162&gt;0,O162,AI162*Config!$C$9),0))</f>
        <v/>
      </c>
      <c r="AK162" s="20">
        <f>IF(COUNT(C162:O162)=0,"",IFERROR(AJ162*(1-Config!$C$10-Config!$C$11-Config!$C$12),0))</f>
        <v/>
      </c>
      <c r="AL162" s="20">
        <f>IF(COUNT(C162:O162)=0,"",IFERROR(AK162-C162-Config!$C$13,0))</f>
        <v/>
      </c>
      <c r="AM162" s="21">
        <f>IF(COUNT(C162:O162)=0,"",IFERROR(AK162/C162,0))</f>
        <v/>
      </c>
      <c r="AN162" s="21">
        <f>IF(COUNT(C162:O162)=0,"",IFERROR(AI162/C162,0))</f>
        <v/>
      </c>
      <c r="AO162" s="15">
        <f>IF(COUNT(C162:O162)=0,"",IFERROR(AL162/G162,0))</f>
        <v/>
      </c>
      <c r="AP162" s="21">
        <f>IF(COUNT(C162:O162)=0,"",IFERROR(AO162/U162,0))</f>
        <v/>
      </c>
      <c r="AQ162" s="15">
        <f>IF(COUNT(C162:O162)=0,"",IFERROR(AL162/H162,0))</f>
        <v/>
      </c>
    </row>
    <row r="163">
      <c r="A163" s="12">
        <f>Config!$C$6+157</f>
        <v/>
      </c>
      <c r="B163" s="13">
        <f>INT((A163-Config!$C$6)/7)+1</f>
        <v/>
      </c>
      <c r="C163" s="10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0" t="n"/>
      <c r="P163" s="15">
        <f>IF(COUNT(C163:O163)=0,"",IFERROR(C163/D163*1000,0))</f>
        <v/>
      </c>
      <c r="Q163" s="16">
        <f>IF(COUNT(C163:O163)=0,"",IFERROR(D163/E163,0))</f>
        <v/>
      </c>
      <c r="R163" s="17">
        <f>IF(COUNT(C163:O163)=0,"",IFERROR(F163/D163,0))</f>
        <v/>
      </c>
      <c r="S163" s="15">
        <f>IF(COUNT(C163:O163)=0,"",IFERROR(C163/F163,0))</f>
        <v/>
      </c>
      <c r="T163" s="18">
        <f>IF(COUNT(C163:O163)=0,"",IFERROR(G163/F163,0))</f>
        <v/>
      </c>
      <c r="U163" s="15">
        <f>IF(COUNT(C163:O163)=0,"",IFERROR(C163/G163,0))</f>
        <v/>
      </c>
      <c r="V163" s="19">
        <f>IF(COUNT(C163:O163)=0,"",IFERROR(G163/D163*1000,0))</f>
        <v/>
      </c>
      <c r="W163" s="18">
        <f>IF(COUNT(C163:O163)=0,"",IFERROR(H163/G163,0))</f>
        <v/>
      </c>
      <c r="X163" s="15">
        <f>IF(COUNT(C163:O163)=0,"",IFERROR(C163/H163,0))</f>
        <v/>
      </c>
      <c r="Y163" s="18">
        <f>IF(COUNT(C163:O163)=0,"",IFERROR(X163/P163,0))</f>
        <v/>
      </c>
      <c r="Z163" s="19">
        <f>IF(COUNT(C163:O163)=0,"",IFERROR(H163/D163*1000,0))</f>
        <v/>
      </c>
      <c r="AA163" s="18">
        <f>IF(COUNT(C163:O163)=0,"",IFERROR(I163/H163,0))</f>
        <v/>
      </c>
      <c r="AB163" s="18">
        <f>IF(COUNT(C163:O163)=0,"",IFERROR(J163/I163,0))</f>
        <v/>
      </c>
      <c r="AC163" s="18">
        <f>IF(COUNT(C163:O163)=0,"",IFERROR(K163/J163,0))</f>
        <v/>
      </c>
      <c r="AD163" s="15">
        <f>IF(COUNT(C163:O163)=0,"",IFERROR(C163/K163,0))</f>
        <v/>
      </c>
      <c r="AE163" s="18">
        <f>IF(COUNT(C163:O163)=0,"",IFERROR(L163/K163,0))</f>
        <v/>
      </c>
      <c r="AF163" s="18">
        <f>IF(COUNT(C163:O163)=0,"",IFERROR(M163/L163,0))</f>
        <v/>
      </c>
      <c r="AG163" s="17">
        <f>IF(COUNT(C163:O163)=0,"",IFERROR(M163/H163,0))</f>
        <v/>
      </c>
      <c r="AH163" s="15">
        <f>IF(COUNT(C163:O163)=0,"",IFERROR(C163/M163,0))</f>
        <v/>
      </c>
      <c r="AI163" s="20">
        <f>IF(COUNT(C163:O163)=0,"",IFERROR(M163*Config!$C$7+N163*Config!$C$8,0))</f>
        <v/>
      </c>
      <c r="AJ163" s="20">
        <f>IF(COUNT(C163:O163)=0,"",IFERROR(IF(O163&gt;0,O163,AI163*Config!$C$9),0))</f>
        <v/>
      </c>
      <c r="AK163" s="20">
        <f>IF(COUNT(C163:O163)=0,"",IFERROR(AJ163*(1-Config!$C$10-Config!$C$11-Config!$C$12),0))</f>
        <v/>
      </c>
      <c r="AL163" s="20">
        <f>IF(COUNT(C163:O163)=0,"",IFERROR(AK163-C163-Config!$C$13,0))</f>
        <v/>
      </c>
      <c r="AM163" s="21">
        <f>IF(COUNT(C163:O163)=0,"",IFERROR(AK163/C163,0))</f>
        <v/>
      </c>
      <c r="AN163" s="21">
        <f>IF(COUNT(C163:O163)=0,"",IFERROR(AI163/C163,0))</f>
        <v/>
      </c>
      <c r="AO163" s="15">
        <f>IF(COUNT(C163:O163)=0,"",IFERROR(AL163/G163,0))</f>
        <v/>
      </c>
      <c r="AP163" s="21">
        <f>IF(COUNT(C163:O163)=0,"",IFERROR(AO163/U163,0))</f>
        <v/>
      </c>
      <c r="AQ163" s="15">
        <f>IF(COUNT(C163:O163)=0,"",IFERROR(AL163/H163,0))</f>
        <v/>
      </c>
    </row>
    <row r="164">
      <c r="A164" s="12">
        <f>Config!$C$6+158</f>
        <v/>
      </c>
      <c r="B164" s="13">
        <f>INT((A164-Config!$C$6)/7)+1</f>
        <v/>
      </c>
      <c r="C164" s="10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0" t="n"/>
      <c r="P164" s="15">
        <f>IF(COUNT(C164:O164)=0,"",IFERROR(C164/D164*1000,0))</f>
        <v/>
      </c>
      <c r="Q164" s="16">
        <f>IF(COUNT(C164:O164)=0,"",IFERROR(D164/E164,0))</f>
        <v/>
      </c>
      <c r="R164" s="17">
        <f>IF(COUNT(C164:O164)=0,"",IFERROR(F164/D164,0))</f>
        <v/>
      </c>
      <c r="S164" s="15">
        <f>IF(COUNT(C164:O164)=0,"",IFERROR(C164/F164,0))</f>
        <v/>
      </c>
      <c r="T164" s="18">
        <f>IF(COUNT(C164:O164)=0,"",IFERROR(G164/F164,0))</f>
        <v/>
      </c>
      <c r="U164" s="15">
        <f>IF(COUNT(C164:O164)=0,"",IFERROR(C164/G164,0))</f>
        <v/>
      </c>
      <c r="V164" s="19">
        <f>IF(COUNT(C164:O164)=0,"",IFERROR(G164/D164*1000,0))</f>
        <v/>
      </c>
      <c r="W164" s="18">
        <f>IF(COUNT(C164:O164)=0,"",IFERROR(H164/G164,0))</f>
        <v/>
      </c>
      <c r="X164" s="15">
        <f>IF(COUNT(C164:O164)=0,"",IFERROR(C164/H164,0))</f>
        <v/>
      </c>
      <c r="Y164" s="18">
        <f>IF(COUNT(C164:O164)=0,"",IFERROR(X164/P164,0))</f>
        <v/>
      </c>
      <c r="Z164" s="19">
        <f>IF(COUNT(C164:O164)=0,"",IFERROR(H164/D164*1000,0))</f>
        <v/>
      </c>
      <c r="AA164" s="18">
        <f>IF(COUNT(C164:O164)=0,"",IFERROR(I164/H164,0))</f>
        <v/>
      </c>
      <c r="AB164" s="18">
        <f>IF(COUNT(C164:O164)=0,"",IFERROR(J164/I164,0))</f>
        <v/>
      </c>
      <c r="AC164" s="18">
        <f>IF(COUNT(C164:O164)=0,"",IFERROR(K164/J164,0))</f>
        <v/>
      </c>
      <c r="AD164" s="15">
        <f>IF(COUNT(C164:O164)=0,"",IFERROR(C164/K164,0))</f>
        <v/>
      </c>
      <c r="AE164" s="18">
        <f>IF(COUNT(C164:O164)=0,"",IFERROR(L164/K164,0))</f>
        <v/>
      </c>
      <c r="AF164" s="18">
        <f>IF(COUNT(C164:O164)=0,"",IFERROR(M164/L164,0))</f>
        <v/>
      </c>
      <c r="AG164" s="17">
        <f>IF(COUNT(C164:O164)=0,"",IFERROR(M164/H164,0))</f>
        <v/>
      </c>
      <c r="AH164" s="15">
        <f>IF(COUNT(C164:O164)=0,"",IFERROR(C164/M164,0))</f>
        <v/>
      </c>
      <c r="AI164" s="20">
        <f>IF(COUNT(C164:O164)=0,"",IFERROR(M164*Config!$C$7+N164*Config!$C$8,0))</f>
        <v/>
      </c>
      <c r="AJ164" s="20">
        <f>IF(COUNT(C164:O164)=0,"",IFERROR(IF(O164&gt;0,O164,AI164*Config!$C$9),0))</f>
        <v/>
      </c>
      <c r="AK164" s="20">
        <f>IF(COUNT(C164:O164)=0,"",IFERROR(AJ164*(1-Config!$C$10-Config!$C$11-Config!$C$12),0))</f>
        <v/>
      </c>
      <c r="AL164" s="20">
        <f>IF(COUNT(C164:O164)=0,"",IFERROR(AK164-C164-Config!$C$13,0))</f>
        <v/>
      </c>
      <c r="AM164" s="21">
        <f>IF(COUNT(C164:O164)=0,"",IFERROR(AK164/C164,0))</f>
        <v/>
      </c>
      <c r="AN164" s="21">
        <f>IF(COUNT(C164:O164)=0,"",IFERROR(AI164/C164,0))</f>
        <v/>
      </c>
      <c r="AO164" s="15">
        <f>IF(COUNT(C164:O164)=0,"",IFERROR(AL164/G164,0))</f>
        <v/>
      </c>
      <c r="AP164" s="21">
        <f>IF(COUNT(C164:O164)=0,"",IFERROR(AO164/U164,0))</f>
        <v/>
      </c>
      <c r="AQ164" s="15">
        <f>IF(COUNT(C164:O164)=0,"",IFERROR(AL164/H164,0))</f>
        <v/>
      </c>
    </row>
    <row r="165">
      <c r="A165" s="12">
        <f>Config!$C$6+159</f>
        <v/>
      </c>
      <c r="B165" s="13">
        <f>INT((A165-Config!$C$6)/7)+1</f>
        <v/>
      </c>
      <c r="C165" s="10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0" t="n"/>
      <c r="P165" s="15">
        <f>IF(COUNT(C165:O165)=0,"",IFERROR(C165/D165*1000,0))</f>
        <v/>
      </c>
      <c r="Q165" s="16">
        <f>IF(COUNT(C165:O165)=0,"",IFERROR(D165/E165,0))</f>
        <v/>
      </c>
      <c r="R165" s="17">
        <f>IF(COUNT(C165:O165)=0,"",IFERROR(F165/D165,0))</f>
        <v/>
      </c>
      <c r="S165" s="15">
        <f>IF(COUNT(C165:O165)=0,"",IFERROR(C165/F165,0))</f>
        <v/>
      </c>
      <c r="T165" s="18">
        <f>IF(COUNT(C165:O165)=0,"",IFERROR(G165/F165,0))</f>
        <v/>
      </c>
      <c r="U165" s="15">
        <f>IF(COUNT(C165:O165)=0,"",IFERROR(C165/G165,0))</f>
        <v/>
      </c>
      <c r="V165" s="19">
        <f>IF(COUNT(C165:O165)=0,"",IFERROR(G165/D165*1000,0))</f>
        <v/>
      </c>
      <c r="W165" s="18">
        <f>IF(COUNT(C165:O165)=0,"",IFERROR(H165/G165,0))</f>
        <v/>
      </c>
      <c r="X165" s="15">
        <f>IF(COUNT(C165:O165)=0,"",IFERROR(C165/H165,0))</f>
        <v/>
      </c>
      <c r="Y165" s="18">
        <f>IF(COUNT(C165:O165)=0,"",IFERROR(X165/P165,0))</f>
        <v/>
      </c>
      <c r="Z165" s="19">
        <f>IF(COUNT(C165:O165)=0,"",IFERROR(H165/D165*1000,0))</f>
        <v/>
      </c>
      <c r="AA165" s="18">
        <f>IF(COUNT(C165:O165)=0,"",IFERROR(I165/H165,0))</f>
        <v/>
      </c>
      <c r="AB165" s="18">
        <f>IF(COUNT(C165:O165)=0,"",IFERROR(J165/I165,0))</f>
        <v/>
      </c>
      <c r="AC165" s="18">
        <f>IF(COUNT(C165:O165)=0,"",IFERROR(K165/J165,0))</f>
        <v/>
      </c>
      <c r="AD165" s="15">
        <f>IF(COUNT(C165:O165)=0,"",IFERROR(C165/K165,0))</f>
        <v/>
      </c>
      <c r="AE165" s="18">
        <f>IF(COUNT(C165:O165)=0,"",IFERROR(L165/K165,0))</f>
        <v/>
      </c>
      <c r="AF165" s="18">
        <f>IF(COUNT(C165:O165)=0,"",IFERROR(M165/L165,0))</f>
        <v/>
      </c>
      <c r="AG165" s="17">
        <f>IF(COUNT(C165:O165)=0,"",IFERROR(M165/H165,0))</f>
        <v/>
      </c>
      <c r="AH165" s="15">
        <f>IF(COUNT(C165:O165)=0,"",IFERROR(C165/M165,0))</f>
        <v/>
      </c>
      <c r="AI165" s="20">
        <f>IF(COUNT(C165:O165)=0,"",IFERROR(M165*Config!$C$7+N165*Config!$C$8,0))</f>
        <v/>
      </c>
      <c r="AJ165" s="20">
        <f>IF(COUNT(C165:O165)=0,"",IFERROR(IF(O165&gt;0,O165,AI165*Config!$C$9),0))</f>
        <v/>
      </c>
      <c r="AK165" s="20">
        <f>IF(COUNT(C165:O165)=0,"",IFERROR(AJ165*(1-Config!$C$10-Config!$C$11-Config!$C$12),0))</f>
        <v/>
      </c>
      <c r="AL165" s="20">
        <f>IF(COUNT(C165:O165)=0,"",IFERROR(AK165-C165-Config!$C$13,0))</f>
        <v/>
      </c>
      <c r="AM165" s="21">
        <f>IF(COUNT(C165:O165)=0,"",IFERROR(AK165/C165,0))</f>
        <v/>
      </c>
      <c r="AN165" s="21">
        <f>IF(COUNT(C165:O165)=0,"",IFERROR(AI165/C165,0))</f>
        <v/>
      </c>
      <c r="AO165" s="15">
        <f>IF(COUNT(C165:O165)=0,"",IFERROR(AL165/G165,0))</f>
        <v/>
      </c>
      <c r="AP165" s="21">
        <f>IF(COUNT(C165:O165)=0,"",IFERROR(AO165/U165,0))</f>
        <v/>
      </c>
      <c r="AQ165" s="15">
        <f>IF(COUNT(C165:O165)=0,"",IFERROR(AL165/H165,0))</f>
        <v/>
      </c>
    </row>
    <row r="166">
      <c r="A166" s="12">
        <f>Config!$C$6+160</f>
        <v/>
      </c>
      <c r="B166" s="13">
        <f>INT((A166-Config!$C$6)/7)+1</f>
        <v/>
      </c>
      <c r="C166" s="10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0" t="n"/>
      <c r="P166" s="15">
        <f>IF(COUNT(C166:O166)=0,"",IFERROR(C166/D166*1000,0))</f>
        <v/>
      </c>
      <c r="Q166" s="16">
        <f>IF(COUNT(C166:O166)=0,"",IFERROR(D166/E166,0))</f>
        <v/>
      </c>
      <c r="R166" s="17">
        <f>IF(COUNT(C166:O166)=0,"",IFERROR(F166/D166,0))</f>
        <v/>
      </c>
      <c r="S166" s="15">
        <f>IF(COUNT(C166:O166)=0,"",IFERROR(C166/F166,0))</f>
        <v/>
      </c>
      <c r="T166" s="18">
        <f>IF(COUNT(C166:O166)=0,"",IFERROR(G166/F166,0))</f>
        <v/>
      </c>
      <c r="U166" s="15">
        <f>IF(COUNT(C166:O166)=0,"",IFERROR(C166/G166,0))</f>
        <v/>
      </c>
      <c r="V166" s="19">
        <f>IF(COUNT(C166:O166)=0,"",IFERROR(G166/D166*1000,0))</f>
        <v/>
      </c>
      <c r="W166" s="18">
        <f>IF(COUNT(C166:O166)=0,"",IFERROR(H166/G166,0))</f>
        <v/>
      </c>
      <c r="X166" s="15">
        <f>IF(COUNT(C166:O166)=0,"",IFERROR(C166/H166,0))</f>
        <v/>
      </c>
      <c r="Y166" s="18">
        <f>IF(COUNT(C166:O166)=0,"",IFERROR(X166/P166,0))</f>
        <v/>
      </c>
      <c r="Z166" s="19">
        <f>IF(COUNT(C166:O166)=0,"",IFERROR(H166/D166*1000,0))</f>
        <v/>
      </c>
      <c r="AA166" s="18">
        <f>IF(COUNT(C166:O166)=0,"",IFERROR(I166/H166,0))</f>
        <v/>
      </c>
      <c r="AB166" s="18">
        <f>IF(COUNT(C166:O166)=0,"",IFERROR(J166/I166,0))</f>
        <v/>
      </c>
      <c r="AC166" s="18">
        <f>IF(COUNT(C166:O166)=0,"",IFERROR(K166/J166,0))</f>
        <v/>
      </c>
      <c r="AD166" s="15">
        <f>IF(COUNT(C166:O166)=0,"",IFERROR(C166/K166,0))</f>
        <v/>
      </c>
      <c r="AE166" s="18">
        <f>IF(COUNT(C166:O166)=0,"",IFERROR(L166/K166,0))</f>
        <v/>
      </c>
      <c r="AF166" s="18">
        <f>IF(COUNT(C166:O166)=0,"",IFERROR(M166/L166,0))</f>
        <v/>
      </c>
      <c r="AG166" s="17">
        <f>IF(COUNT(C166:O166)=0,"",IFERROR(M166/H166,0))</f>
        <v/>
      </c>
      <c r="AH166" s="15">
        <f>IF(COUNT(C166:O166)=0,"",IFERROR(C166/M166,0))</f>
        <v/>
      </c>
      <c r="AI166" s="20">
        <f>IF(COUNT(C166:O166)=0,"",IFERROR(M166*Config!$C$7+N166*Config!$C$8,0))</f>
        <v/>
      </c>
      <c r="AJ166" s="20">
        <f>IF(COUNT(C166:O166)=0,"",IFERROR(IF(O166&gt;0,O166,AI166*Config!$C$9),0))</f>
        <v/>
      </c>
      <c r="AK166" s="20">
        <f>IF(COUNT(C166:O166)=0,"",IFERROR(AJ166*(1-Config!$C$10-Config!$C$11-Config!$C$12),0))</f>
        <v/>
      </c>
      <c r="AL166" s="20">
        <f>IF(COUNT(C166:O166)=0,"",IFERROR(AK166-C166-Config!$C$13,0))</f>
        <v/>
      </c>
      <c r="AM166" s="21">
        <f>IF(COUNT(C166:O166)=0,"",IFERROR(AK166/C166,0))</f>
        <v/>
      </c>
      <c r="AN166" s="21">
        <f>IF(COUNT(C166:O166)=0,"",IFERROR(AI166/C166,0))</f>
        <v/>
      </c>
      <c r="AO166" s="15">
        <f>IF(COUNT(C166:O166)=0,"",IFERROR(AL166/G166,0))</f>
        <v/>
      </c>
      <c r="AP166" s="21">
        <f>IF(COUNT(C166:O166)=0,"",IFERROR(AO166/U166,0))</f>
        <v/>
      </c>
      <c r="AQ166" s="15">
        <f>IF(COUNT(C166:O166)=0,"",IFERROR(AL166/H166,0))</f>
        <v/>
      </c>
    </row>
    <row r="167">
      <c r="A167" s="12">
        <f>Config!$C$6+161</f>
        <v/>
      </c>
      <c r="B167" s="13">
        <f>INT((A167-Config!$C$6)/7)+1</f>
        <v/>
      </c>
      <c r="C167" s="10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0" t="n"/>
      <c r="P167" s="15">
        <f>IF(COUNT(C167:O167)=0,"",IFERROR(C167/D167*1000,0))</f>
        <v/>
      </c>
      <c r="Q167" s="16">
        <f>IF(COUNT(C167:O167)=0,"",IFERROR(D167/E167,0))</f>
        <v/>
      </c>
      <c r="R167" s="17">
        <f>IF(COUNT(C167:O167)=0,"",IFERROR(F167/D167,0))</f>
        <v/>
      </c>
      <c r="S167" s="15">
        <f>IF(COUNT(C167:O167)=0,"",IFERROR(C167/F167,0))</f>
        <v/>
      </c>
      <c r="T167" s="18">
        <f>IF(COUNT(C167:O167)=0,"",IFERROR(G167/F167,0))</f>
        <v/>
      </c>
      <c r="U167" s="15">
        <f>IF(COUNT(C167:O167)=0,"",IFERROR(C167/G167,0))</f>
        <v/>
      </c>
      <c r="V167" s="19">
        <f>IF(COUNT(C167:O167)=0,"",IFERROR(G167/D167*1000,0))</f>
        <v/>
      </c>
      <c r="W167" s="18">
        <f>IF(COUNT(C167:O167)=0,"",IFERROR(H167/G167,0))</f>
        <v/>
      </c>
      <c r="X167" s="15">
        <f>IF(COUNT(C167:O167)=0,"",IFERROR(C167/H167,0))</f>
        <v/>
      </c>
      <c r="Y167" s="18">
        <f>IF(COUNT(C167:O167)=0,"",IFERROR(X167/P167,0))</f>
        <v/>
      </c>
      <c r="Z167" s="19">
        <f>IF(COUNT(C167:O167)=0,"",IFERROR(H167/D167*1000,0))</f>
        <v/>
      </c>
      <c r="AA167" s="18">
        <f>IF(COUNT(C167:O167)=0,"",IFERROR(I167/H167,0))</f>
        <v/>
      </c>
      <c r="AB167" s="18">
        <f>IF(COUNT(C167:O167)=0,"",IFERROR(J167/I167,0))</f>
        <v/>
      </c>
      <c r="AC167" s="18">
        <f>IF(COUNT(C167:O167)=0,"",IFERROR(K167/J167,0))</f>
        <v/>
      </c>
      <c r="AD167" s="15">
        <f>IF(COUNT(C167:O167)=0,"",IFERROR(C167/K167,0))</f>
        <v/>
      </c>
      <c r="AE167" s="18">
        <f>IF(COUNT(C167:O167)=0,"",IFERROR(L167/K167,0))</f>
        <v/>
      </c>
      <c r="AF167" s="18">
        <f>IF(COUNT(C167:O167)=0,"",IFERROR(M167/L167,0))</f>
        <v/>
      </c>
      <c r="AG167" s="17">
        <f>IF(COUNT(C167:O167)=0,"",IFERROR(M167/H167,0))</f>
        <v/>
      </c>
      <c r="AH167" s="15">
        <f>IF(COUNT(C167:O167)=0,"",IFERROR(C167/M167,0))</f>
        <v/>
      </c>
      <c r="AI167" s="20">
        <f>IF(COUNT(C167:O167)=0,"",IFERROR(M167*Config!$C$7+N167*Config!$C$8,0))</f>
        <v/>
      </c>
      <c r="AJ167" s="20">
        <f>IF(COUNT(C167:O167)=0,"",IFERROR(IF(O167&gt;0,O167,AI167*Config!$C$9),0))</f>
        <v/>
      </c>
      <c r="AK167" s="20">
        <f>IF(COUNT(C167:O167)=0,"",IFERROR(AJ167*(1-Config!$C$10-Config!$C$11-Config!$C$12),0))</f>
        <v/>
      </c>
      <c r="AL167" s="20">
        <f>IF(COUNT(C167:O167)=0,"",IFERROR(AK167-C167-Config!$C$13,0))</f>
        <v/>
      </c>
      <c r="AM167" s="21">
        <f>IF(COUNT(C167:O167)=0,"",IFERROR(AK167/C167,0))</f>
        <v/>
      </c>
      <c r="AN167" s="21">
        <f>IF(COUNT(C167:O167)=0,"",IFERROR(AI167/C167,0))</f>
        <v/>
      </c>
      <c r="AO167" s="15">
        <f>IF(COUNT(C167:O167)=0,"",IFERROR(AL167/G167,0))</f>
        <v/>
      </c>
      <c r="AP167" s="21">
        <f>IF(COUNT(C167:O167)=0,"",IFERROR(AO167/U167,0))</f>
        <v/>
      </c>
      <c r="AQ167" s="15">
        <f>IF(COUNT(C167:O167)=0,"",IFERROR(AL167/H167,0))</f>
        <v/>
      </c>
    </row>
    <row r="168">
      <c r="A168" s="12">
        <f>Config!$C$6+162</f>
        <v/>
      </c>
      <c r="B168" s="13">
        <f>INT((A168-Config!$C$6)/7)+1</f>
        <v/>
      </c>
      <c r="C168" s="10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0" t="n"/>
      <c r="P168" s="15">
        <f>IF(COUNT(C168:O168)=0,"",IFERROR(C168/D168*1000,0))</f>
        <v/>
      </c>
      <c r="Q168" s="16">
        <f>IF(COUNT(C168:O168)=0,"",IFERROR(D168/E168,0))</f>
        <v/>
      </c>
      <c r="R168" s="17">
        <f>IF(COUNT(C168:O168)=0,"",IFERROR(F168/D168,0))</f>
        <v/>
      </c>
      <c r="S168" s="15">
        <f>IF(COUNT(C168:O168)=0,"",IFERROR(C168/F168,0))</f>
        <v/>
      </c>
      <c r="T168" s="18">
        <f>IF(COUNT(C168:O168)=0,"",IFERROR(G168/F168,0))</f>
        <v/>
      </c>
      <c r="U168" s="15">
        <f>IF(COUNT(C168:O168)=0,"",IFERROR(C168/G168,0))</f>
        <v/>
      </c>
      <c r="V168" s="19">
        <f>IF(COUNT(C168:O168)=0,"",IFERROR(G168/D168*1000,0))</f>
        <v/>
      </c>
      <c r="W168" s="18">
        <f>IF(COUNT(C168:O168)=0,"",IFERROR(H168/G168,0))</f>
        <v/>
      </c>
      <c r="X168" s="15">
        <f>IF(COUNT(C168:O168)=0,"",IFERROR(C168/H168,0))</f>
        <v/>
      </c>
      <c r="Y168" s="18">
        <f>IF(COUNT(C168:O168)=0,"",IFERROR(X168/P168,0))</f>
        <v/>
      </c>
      <c r="Z168" s="19">
        <f>IF(COUNT(C168:O168)=0,"",IFERROR(H168/D168*1000,0))</f>
        <v/>
      </c>
      <c r="AA168" s="18">
        <f>IF(COUNT(C168:O168)=0,"",IFERROR(I168/H168,0))</f>
        <v/>
      </c>
      <c r="AB168" s="18">
        <f>IF(COUNT(C168:O168)=0,"",IFERROR(J168/I168,0))</f>
        <v/>
      </c>
      <c r="AC168" s="18">
        <f>IF(COUNT(C168:O168)=0,"",IFERROR(K168/J168,0))</f>
        <v/>
      </c>
      <c r="AD168" s="15">
        <f>IF(COUNT(C168:O168)=0,"",IFERROR(C168/K168,0))</f>
        <v/>
      </c>
      <c r="AE168" s="18">
        <f>IF(COUNT(C168:O168)=0,"",IFERROR(L168/K168,0))</f>
        <v/>
      </c>
      <c r="AF168" s="18">
        <f>IF(COUNT(C168:O168)=0,"",IFERROR(M168/L168,0))</f>
        <v/>
      </c>
      <c r="AG168" s="17">
        <f>IF(COUNT(C168:O168)=0,"",IFERROR(M168/H168,0))</f>
        <v/>
      </c>
      <c r="AH168" s="15">
        <f>IF(COUNT(C168:O168)=0,"",IFERROR(C168/M168,0))</f>
        <v/>
      </c>
      <c r="AI168" s="20">
        <f>IF(COUNT(C168:O168)=0,"",IFERROR(M168*Config!$C$7+N168*Config!$C$8,0))</f>
        <v/>
      </c>
      <c r="AJ168" s="20">
        <f>IF(COUNT(C168:O168)=0,"",IFERROR(IF(O168&gt;0,O168,AI168*Config!$C$9),0))</f>
        <v/>
      </c>
      <c r="AK168" s="20">
        <f>IF(COUNT(C168:O168)=0,"",IFERROR(AJ168*(1-Config!$C$10-Config!$C$11-Config!$C$12),0))</f>
        <v/>
      </c>
      <c r="AL168" s="20">
        <f>IF(COUNT(C168:O168)=0,"",IFERROR(AK168-C168-Config!$C$13,0))</f>
        <v/>
      </c>
      <c r="AM168" s="21">
        <f>IF(COUNT(C168:O168)=0,"",IFERROR(AK168/C168,0))</f>
        <v/>
      </c>
      <c r="AN168" s="21">
        <f>IF(COUNT(C168:O168)=0,"",IFERROR(AI168/C168,0))</f>
        <v/>
      </c>
      <c r="AO168" s="15">
        <f>IF(COUNT(C168:O168)=0,"",IFERROR(AL168/G168,0))</f>
        <v/>
      </c>
      <c r="AP168" s="21">
        <f>IF(COUNT(C168:O168)=0,"",IFERROR(AO168/U168,0))</f>
        <v/>
      </c>
      <c r="AQ168" s="15">
        <f>IF(COUNT(C168:O168)=0,"",IFERROR(AL168/H168,0))</f>
        <v/>
      </c>
    </row>
    <row r="169">
      <c r="A169" s="12">
        <f>Config!$C$6+163</f>
        <v/>
      </c>
      <c r="B169" s="13">
        <f>INT((A169-Config!$C$6)/7)+1</f>
        <v/>
      </c>
      <c r="C169" s="10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0" t="n"/>
      <c r="P169" s="15">
        <f>IF(COUNT(C169:O169)=0,"",IFERROR(C169/D169*1000,0))</f>
        <v/>
      </c>
      <c r="Q169" s="16">
        <f>IF(COUNT(C169:O169)=0,"",IFERROR(D169/E169,0))</f>
        <v/>
      </c>
      <c r="R169" s="17">
        <f>IF(COUNT(C169:O169)=0,"",IFERROR(F169/D169,0))</f>
        <v/>
      </c>
      <c r="S169" s="15">
        <f>IF(COUNT(C169:O169)=0,"",IFERROR(C169/F169,0))</f>
        <v/>
      </c>
      <c r="T169" s="18">
        <f>IF(COUNT(C169:O169)=0,"",IFERROR(G169/F169,0))</f>
        <v/>
      </c>
      <c r="U169" s="15">
        <f>IF(COUNT(C169:O169)=0,"",IFERROR(C169/G169,0))</f>
        <v/>
      </c>
      <c r="V169" s="19">
        <f>IF(COUNT(C169:O169)=0,"",IFERROR(G169/D169*1000,0))</f>
        <v/>
      </c>
      <c r="W169" s="18">
        <f>IF(COUNT(C169:O169)=0,"",IFERROR(H169/G169,0))</f>
        <v/>
      </c>
      <c r="X169" s="15">
        <f>IF(COUNT(C169:O169)=0,"",IFERROR(C169/H169,0))</f>
        <v/>
      </c>
      <c r="Y169" s="18">
        <f>IF(COUNT(C169:O169)=0,"",IFERROR(X169/P169,0))</f>
        <v/>
      </c>
      <c r="Z169" s="19">
        <f>IF(COUNT(C169:O169)=0,"",IFERROR(H169/D169*1000,0))</f>
        <v/>
      </c>
      <c r="AA169" s="18">
        <f>IF(COUNT(C169:O169)=0,"",IFERROR(I169/H169,0))</f>
        <v/>
      </c>
      <c r="AB169" s="18">
        <f>IF(COUNT(C169:O169)=0,"",IFERROR(J169/I169,0))</f>
        <v/>
      </c>
      <c r="AC169" s="18">
        <f>IF(COUNT(C169:O169)=0,"",IFERROR(K169/J169,0))</f>
        <v/>
      </c>
      <c r="AD169" s="15">
        <f>IF(COUNT(C169:O169)=0,"",IFERROR(C169/K169,0))</f>
        <v/>
      </c>
      <c r="AE169" s="18">
        <f>IF(COUNT(C169:O169)=0,"",IFERROR(L169/K169,0))</f>
        <v/>
      </c>
      <c r="AF169" s="18">
        <f>IF(COUNT(C169:O169)=0,"",IFERROR(M169/L169,0))</f>
        <v/>
      </c>
      <c r="AG169" s="17">
        <f>IF(COUNT(C169:O169)=0,"",IFERROR(M169/H169,0))</f>
        <v/>
      </c>
      <c r="AH169" s="15">
        <f>IF(COUNT(C169:O169)=0,"",IFERROR(C169/M169,0))</f>
        <v/>
      </c>
      <c r="AI169" s="20">
        <f>IF(COUNT(C169:O169)=0,"",IFERROR(M169*Config!$C$7+N169*Config!$C$8,0))</f>
        <v/>
      </c>
      <c r="AJ169" s="20">
        <f>IF(COUNT(C169:O169)=0,"",IFERROR(IF(O169&gt;0,O169,AI169*Config!$C$9),0))</f>
        <v/>
      </c>
      <c r="AK169" s="20">
        <f>IF(COUNT(C169:O169)=0,"",IFERROR(AJ169*(1-Config!$C$10-Config!$C$11-Config!$C$12),0))</f>
        <v/>
      </c>
      <c r="AL169" s="20">
        <f>IF(COUNT(C169:O169)=0,"",IFERROR(AK169-C169-Config!$C$13,0))</f>
        <v/>
      </c>
      <c r="AM169" s="21">
        <f>IF(COUNT(C169:O169)=0,"",IFERROR(AK169/C169,0))</f>
        <v/>
      </c>
      <c r="AN169" s="21">
        <f>IF(COUNT(C169:O169)=0,"",IFERROR(AI169/C169,0))</f>
        <v/>
      </c>
      <c r="AO169" s="15">
        <f>IF(COUNT(C169:O169)=0,"",IFERROR(AL169/G169,0))</f>
        <v/>
      </c>
      <c r="AP169" s="21">
        <f>IF(COUNT(C169:O169)=0,"",IFERROR(AO169/U169,0))</f>
        <v/>
      </c>
      <c r="AQ169" s="15">
        <f>IF(COUNT(C169:O169)=0,"",IFERROR(AL169/H169,0))</f>
        <v/>
      </c>
    </row>
    <row r="170">
      <c r="A170" s="12">
        <f>Config!$C$6+164</f>
        <v/>
      </c>
      <c r="B170" s="13">
        <f>INT((A170-Config!$C$6)/7)+1</f>
        <v/>
      </c>
      <c r="C170" s="10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0" t="n"/>
      <c r="P170" s="15">
        <f>IF(COUNT(C170:O170)=0,"",IFERROR(C170/D170*1000,0))</f>
        <v/>
      </c>
      <c r="Q170" s="16">
        <f>IF(COUNT(C170:O170)=0,"",IFERROR(D170/E170,0))</f>
        <v/>
      </c>
      <c r="R170" s="17">
        <f>IF(COUNT(C170:O170)=0,"",IFERROR(F170/D170,0))</f>
        <v/>
      </c>
      <c r="S170" s="15">
        <f>IF(COUNT(C170:O170)=0,"",IFERROR(C170/F170,0))</f>
        <v/>
      </c>
      <c r="T170" s="18">
        <f>IF(COUNT(C170:O170)=0,"",IFERROR(G170/F170,0))</f>
        <v/>
      </c>
      <c r="U170" s="15">
        <f>IF(COUNT(C170:O170)=0,"",IFERROR(C170/G170,0))</f>
        <v/>
      </c>
      <c r="V170" s="19">
        <f>IF(COUNT(C170:O170)=0,"",IFERROR(G170/D170*1000,0))</f>
        <v/>
      </c>
      <c r="W170" s="18">
        <f>IF(COUNT(C170:O170)=0,"",IFERROR(H170/G170,0))</f>
        <v/>
      </c>
      <c r="X170" s="15">
        <f>IF(COUNT(C170:O170)=0,"",IFERROR(C170/H170,0))</f>
        <v/>
      </c>
      <c r="Y170" s="18">
        <f>IF(COUNT(C170:O170)=0,"",IFERROR(X170/P170,0))</f>
        <v/>
      </c>
      <c r="Z170" s="19">
        <f>IF(COUNT(C170:O170)=0,"",IFERROR(H170/D170*1000,0))</f>
        <v/>
      </c>
      <c r="AA170" s="18">
        <f>IF(COUNT(C170:O170)=0,"",IFERROR(I170/H170,0))</f>
        <v/>
      </c>
      <c r="AB170" s="18">
        <f>IF(COUNT(C170:O170)=0,"",IFERROR(J170/I170,0))</f>
        <v/>
      </c>
      <c r="AC170" s="18">
        <f>IF(COUNT(C170:O170)=0,"",IFERROR(K170/J170,0))</f>
        <v/>
      </c>
      <c r="AD170" s="15">
        <f>IF(COUNT(C170:O170)=0,"",IFERROR(C170/K170,0))</f>
        <v/>
      </c>
      <c r="AE170" s="18">
        <f>IF(COUNT(C170:O170)=0,"",IFERROR(L170/K170,0))</f>
        <v/>
      </c>
      <c r="AF170" s="18">
        <f>IF(COUNT(C170:O170)=0,"",IFERROR(M170/L170,0))</f>
        <v/>
      </c>
      <c r="AG170" s="17">
        <f>IF(COUNT(C170:O170)=0,"",IFERROR(M170/H170,0))</f>
        <v/>
      </c>
      <c r="AH170" s="15">
        <f>IF(COUNT(C170:O170)=0,"",IFERROR(C170/M170,0))</f>
        <v/>
      </c>
      <c r="AI170" s="20">
        <f>IF(COUNT(C170:O170)=0,"",IFERROR(M170*Config!$C$7+N170*Config!$C$8,0))</f>
        <v/>
      </c>
      <c r="AJ170" s="20">
        <f>IF(COUNT(C170:O170)=0,"",IFERROR(IF(O170&gt;0,O170,AI170*Config!$C$9),0))</f>
        <v/>
      </c>
      <c r="AK170" s="20">
        <f>IF(COUNT(C170:O170)=0,"",IFERROR(AJ170*(1-Config!$C$10-Config!$C$11-Config!$C$12),0))</f>
        <v/>
      </c>
      <c r="AL170" s="20">
        <f>IF(COUNT(C170:O170)=0,"",IFERROR(AK170-C170-Config!$C$13,0))</f>
        <v/>
      </c>
      <c r="AM170" s="21">
        <f>IF(COUNT(C170:O170)=0,"",IFERROR(AK170/C170,0))</f>
        <v/>
      </c>
      <c r="AN170" s="21">
        <f>IF(COUNT(C170:O170)=0,"",IFERROR(AI170/C170,0))</f>
        <v/>
      </c>
      <c r="AO170" s="15">
        <f>IF(COUNT(C170:O170)=0,"",IFERROR(AL170/G170,0))</f>
        <v/>
      </c>
      <c r="AP170" s="21">
        <f>IF(COUNT(C170:O170)=0,"",IFERROR(AO170/U170,0))</f>
        <v/>
      </c>
      <c r="AQ170" s="15">
        <f>IF(COUNT(C170:O170)=0,"",IFERROR(AL170/H170,0))</f>
        <v/>
      </c>
    </row>
    <row r="171">
      <c r="A171" s="12">
        <f>Config!$C$6+165</f>
        <v/>
      </c>
      <c r="B171" s="13">
        <f>INT((A171-Config!$C$6)/7)+1</f>
        <v/>
      </c>
      <c r="C171" s="10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0" t="n"/>
      <c r="P171" s="15">
        <f>IF(COUNT(C171:O171)=0,"",IFERROR(C171/D171*1000,0))</f>
        <v/>
      </c>
      <c r="Q171" s="16">
        <f>IF(COUNT(C171:O171)=0,"",IFERROR(D171/E171,0))</f>
        <v/>
      </c>
      <c r="R171" s="17">
        <f>IF(COUNT(C171:O171)=0,"",IFERROR(F171/D171,0))</f>
        <v/>
      </c>
      <c r="S171" s="15">
        <f>IF(COUNT(C171:O171)=0,"",IFERROR(C171/F171,0))</f>
        <v/>
      </c>
      <c r="T171" s="18">
        <f>IF(COUNT(C171:O171)=0,"",IFERROR(G171/F171,0))</f>
        <v/>
      </c>
      <c r="U171" s="15">
        <f>IF(COUNT(C171:O171)=0,"",IFERROR(C171/G171,0))</f>
        <v/>
      </c>
      <c r="V171" s="19">
        <f>IF(COUNT(C171:O171)=0,"",IFERROR(G171/D171*1000,0))</f>
        <v/>
      </c>
      <c r="W171" s="18">
        <f>IF(COUNT(C171:O171)=0,"",IFERROR(H171/G171,0))</f>
        <v/>
      </c>
      <c r="X171" s="15">
        <f>IF(COUNT(C171:O171)=0,"",IFERROR(C171/H171,0))</f>
        <v/>
      </c>
      <c r="Y171" s="18">
        <f>IF(COUNT(C171:O171)=0,"",IFERROR(X171/P171,0))</f>
        <v/>
      </c>
      <c r="Z171" s="19">
        <f>IF(COUNT(C171:O171)=0,"",IFERROR(H171/D171*1000,0))</f>
        <v/>
      </c>
      <c r="AA171" s="18">
        <f>IF(COUNT(C171:O171)=0,"",IFERROR(I171/H171,0))</f>
        <v/>
      </c>
      <c r="AB171" s="18">
        <f>IF(COUNT(C171:O171)=0,"",IFERROR(J171/I171,0))</f>
        <v/>
      </c>
      <c r="AC171" s="18">
        <f>IF(COUNT(C171:O171)=0,"",IFERROR(K171/J171,0))</f>
        <v/>
      </c>
      <c r="AD171" s="15">
        <f>IF(COUNT(C171:O171)=0,"",IFERROR(C171/K171,0))</f>
        <v/>
      </c>
      <c r="AE171" s="18">
        <f>IF(COUNT(C171:O171)=0,"",IFERROR(L171/K171,0))</f>
        <v/>
      </c>
      <c r="AF171" s="18">
        <f>IF(COUNT(C171:O171)=0,"",IFERROR(M171/L171,0))</f>
        <v/>
      </c>
      <c r="AG171" s="17">
        <f>IF(COUNT(C171:O171)=0,"",IFERROR(M171/H171,0))</f>
        <v/>
      </c>
      <c r="AH171" s="15">
        <f>IF(COUNT(C171:O171)=0,"",IFERROR(C171/M171,0))</f>
        <v/>
      </c>
      <c r="AI171" s="20">
        <f>IF(COUNT(C171:O171)=0,"",IFERROR(M171*Config!$C$7+N171*Config!$C$8,0))</f>
        <v/>
      </c>
      <c r="AJ171" s="20">
        <f>IF(COUNT(C171:O171)=0,"",IFERROR(IF(O171&gt;0,O171,AI171*Config!$C$9),0))</f>
        <v/>
      </c>
      <c r="AK171" s="20">
        <f>IF(COUNT(C171:O171)=0,"",IFERROR(AJ171*(1-Config!$C$10-Config!$C$11-Config!$C$12),0))</f>
        <v/>
      </c>
      <c r="AL171" s="20">
        <f>IF(COUNT(C171:O171)=0,"",IFERROR(AK171-C171-Config!$C$13,0))</f>
        <v/>
      </c>
      <c r="AM171" s="21">
        <f>IF(COUNT(C171:O171)=0,"",IFERROR(AK171/C171,0))</f>
        <v/>
      </c>
      <c r="AN171" s="21">
        <f>IF(COUNT(C171:O171)=0,"",IFERROR(AI171/C171,0))</f>
        <v/>
      </c>
      <c r="AO171" s="15">
        <f>IF(COUNT(C171:O171)=0,"",IFERROR(AL171/G171,0))</f>
        <v/>
      </c>
      <c r="AP171" s="21">
        <f>IF(COUNT(C171:O171)=0,"",IFERROR(AO171/U171,0))</f>
        <v/>
      </c>
      <c r="AQ171" s="15">
        <f>IF(COUNT(C171:O171)=0,"",IFERROR(AL171/H171,0))</f>
        <v/>
      </c>
    </row>
    <row r="172">
      <c r="A172" s="12">
        <f>Config!$C$6+166</f>
        <v/>
      </c>
      <c r="B172" s="13">
        <f>INT((A172-Config!$C$6)/7)+1</f>
        <v/>
      </c>
      <c r="C172" s="10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0" t="n"/>
      <c r="P172" s="15">
        <f>IF(COUNT(C172:O172)=0,"",IFERROR(C172/D172*1000,0))</f>
        <v/>
      </c>
      <c r="Q172" s="16">
        <f>IF(COUNT(C172:O172)=0,"",IFERROR(D172/E172,0))</f>
        <v/>
      </c>
      <c r="R172" s="17">
        <f>IF(COUNT(C172:O172)=0,"",IFERROR(F172/D172,0))</f>
        <v/>
      </c>
      <c r="S172" s="15">
        <f>IF(COUNT(C172:O172)=0,"",IFERROR(C172/F172,0))</f>
        <v/>
      </c>
      <c r="T172" s="18">
        <f>IF(COUNT(C172:O172)=0,"",IFERROR(G172/F172,0))</f>
        <v/>
      </c>
      <c r="U172" s="15">
        <f>IF(COUNT(C172:O172)=0,"",IFERROR(C172/G172,0))</f>
        <v/>
      </c>
      <c r="V172" s="19">
        <f>IF(COUNT(C172:O172)=0,"",IFERROR(G172/D172*1000,0))</f>
        <v/>
      </c>
      <c r="W172" s="18">
        <f>IF(COUNT(C172:O172)=0,"",IFERROR(H172/G172,0))</f>
        <v/>
      </c>
      <c r="X172" s="15">
        <f>IF(COUNT(C172:O172)=0,"",IFERROR(C172/H172,0))</f>
        <v/>
      </c>
      <c r="Y172" s="18">
        <f>IF(COUNT(C172:O172)=0,"",IFERROR(X172/P172,0))</f>
        <v/>
      </c>
      <c r="Z172" s="19">
        <f>IF(COUNT(C172:O172)=0,"",IFERROR(H172/D172*1000,0))</f>
        <v/>
      </c>
      <c r="AA172" s="18">
        <f>IF(COUNT(C172:O172)=0,"",IFERROR(I172/H172,0))</f>
        <v/>
      </c>
      <c r="AB172" s="18">
        <f>IF(COUNT(C172:O172)=0,"",IFERROR(J172/I172,0))</f>
        <v/>
      </c>
      <c r="AC172" s="18">
        <f>IF(COUNT(C172:O172)=0,"",IFERROR(K172/J172,0))</f>
        <v/>
      </c>
      <c r="AD172" s="15">
        <f>IF(COUNT(C172:O172)=0,"",IFERROR(C172/K172,0))</f>
        <v/>
      </c>
      <c r="AE172" s="18">
        <f>IF(COUNT(C172:O172)=0,"",IFERROR(L172/K172,0))</f>
        <v/>
      </c>
      <c r="AF172" s="18">
        <f>IF(COUNT(C172:O172)=0,"",IFERROR(M172/L172,0))</f>
        <v/>
      </c>
      <c r="AG172" s="17">
        <f>IF(COUNT(C172:O172)=0,"",IFERROR(M172/H172,0))</f>
        <v/>
      </c>
      <c r="AH172" s="15">
        <f>IF(COUNT(C172:O172)=0,"",IFERROR(C172/M172,0))</f>
        <v/>
      </c>
      <c r="AI172" s="20">
        <f>IF(COUNT(C172:O172)=0,"",IFERROR(M172*Config!$C$7+N172*Config!$C$8,0))</f>
        <v/>
      </c>
      <c r="AJ172" s="20">
        <f>IF(COUNT(C172:O172)=0,"",IFERROR(IF(O172&gt;0,O172,AI172*Config!$C$9),0))</f>
        <v/>
      </c>
      <c r="AK172" s="20">
        <f>IF(COUNT(C172:O172)=0,"",IFERROR(AJ172*(1-Config!$C$10-Config!$C$11-Config!$C$12),0))</f>
        <v/>
      </c>
      <c r="AL172" s="20">
        <f>IF(COUNT(C172:O172)=0,"",IFERROR(AK172-C172-Config!$C$13,0))</f>
        <v/>
      </c>
      <c r="AM172" s="21">
        <f>IF(COUNT(C172:O172)=0,"",IFERROR(AK172/C172,0))</f>
        <v/>
      </c>
      <c r="AN172" s="21">
        <f>IF(COUNT(C172:O172)=0,"",IFERROR(AI172/C172,0))</f>
        <v/>
      </c>
      <c r="AO172" s="15">
        <f>IF(COUNT(C172:O172)=0,"",IFERROR(AL172/G172,0))</f>
        <v/>
      </c>
      <c r="AP172" s="21">
        <f>IF(COUNT(C172:O172)=0,"",IFERROR(AO172/U172,0))</f>
        <v/>
      </c>
      <c r="AQ172" s="15">
        <f>IF(COUNT(C172:O172)=0,"",IFERROR(AL172/H172,0))</f>
        <v/>
      </c>
    </row>
    <row r="173">
      <c r="A173" s="12">
        <f>Config!$C$6+167</f>
        <v/>
      </c>
      <c r="B173" s="13">
        <f>INT((A173-Config!$C$6)/7)+1</f>
        <v/>
      </c>
      <c r="C173" s="10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0" t="n"/>
      <c r="P173" s="15">
        <f>IF(COUNT(C173:O173)=0,"",IFERROR(C173/D173*1000,0))</f>
        <v/>
      </c>
      <c r="Q173" s="16">
        <f>IF(COUNT(C173:O173)=0,"",IFERROR(D173/E173,0))</f>
        <v/>
      </c>
      <c r="R173" s="17">
        <f>IF(COUNT(C173:O173)=0,"",IFERROR(F173/D173,0))</f>
        <v/>
      </c>
      <c r="S173" s="15">
        <f>IF(COUNT(C173:O173)=0,"",IFERROR(C173/F173,0))</f>
        <v/>
      </c>
      <c r="T173" s="18">
        <f>IF(COUNT(C173:O173)=0,"",IFERROR(G173/F173,0))</f>
        <v/>
      </c>
      <c r="U173" s="15">
        <f>IF(COUNT(C173:O173)=0,"",IFERROR(C173/G173,0))</f>
        <v/>
      </c>
      <c r="V173" s="19">
        <f>IF(COUNT(C173:O173)=0,"",IFERROR(G173/D173*1000,0))</f>
        <v/>
      </c>
      <c r="W173" s="18">
        <f>IF(COUNT(C173:O173)=0,"",IFERROR(H173/G173,0))</f>
        <v/>
      </c>
      <c r="X173" s="15">
        <f>IF(COUNT(C173:O173)=0,"",IFERROR(C173/H173,0))</f>
        <v/>
      </c>
      <c r="Y173" s="18">
        <f>IF(COUNT(C173:O173)=0,"",IFERROR(X173/P173,0))</f>
        <v/>
      </c>
      <c r="Z173" s="19">
        <f>IF(COUNT(C173:O173)=0,"",IFERROR(H173/D173*1000,0))</f>
        <v/>
      </c>
      <c r="AA173" s="18">
        <f>IF(COUNT(C173:O173)=0,"",IFERROR(I173/H173,0))</f>
        <v/>
      </c>
      <c r="AB173" s="18">
        <f>IF(COUNT(C173:O173)=0,"",IFERROR(J173/I173,0))</f>
        <v/>
      </c>
      <c r="AC173" s="18">
        <f>IF(COUNT(C173:O173)=0,"",IFERROR(K173/J173,0))</f>
        <v/>
      </c>
      <c r="AD173" s="15">
        <f>IF(COUNT(C173:O173)=0,"",IFERROR(C173/K173,0))</f>
        <v/>
      </c>
      <c r="AE173" s="18">
        <f>IF(COUNT(C173:O173)=0,"",IFERROR(L173/K173,0))</f>
        <v/>
      </c>
      <c r="AF173" s="18">
        <f>IF(COUNT(C173:O173)=0,"",IFERROR(M173/L173,0))</f>
        <v/>
      </c>
      <c r="AG173" s="17">
        <f>IF(COUNT(C173:O173)=0,"",IFERROR(M173/H173,0))</f>
        <v/>
      </c>
      <c r="AH173" s="15">
        <f>IF(COUNT(C173:O173)=0,"",IFERROR(C173/M173,0))</f>
        <v/>
      </c>
      <c r="AI173" s="20">
        <f>IF(COUNT(C173:O173)=0,"",IFERROR(M173*Config!$C$7+N173*Config!$C$8,0))</f>
        <v/>
      </c>
      <c r="AJ173" s="20">
        <f>IF(COUNT(C173:O173)=0,"",IFERROR(IF(O173&gt;0,O173,AI173*Config!$C$9),0))</f>
        <v/>
      </c>
      <c r="AK173" s="20">
        <f>IF(COUNT(C173:O173)=0,"",IFERROR(AJ173*(1-Config!$C$10-Config!$C$11-Config!$C$12),0))</f>
        <v/>
      </c>
      <c r="AL173" s="20">
        <f>IF(COUNT(C173:O173)=0,"",IFERROR(AK173-C173-Config!$C$13,0))</f>
        <v/>
      </c>
      <c r="AM173" s="21">
        <f>IF(COUNT(C173:O173)=0,"",IFERROR(AK173/C173,0))</f>
        <v/>
      </c>
      <c r="AN173" s="21">
        <f>IF(COUNT(C173:O173)=0,"",IFERROR(AI173/C173,0))</f>
        <v/>
      </c>
      <c r="AO173" s="15">
        <f>IF(COUNT(C173:O173)=0,"",IFERROR(AL173/G173,0))</f>
        <v/>
      </c>
      <c r="AP173" s="21">
        <f>IF(COUNT(C173:O173)=0,"",IFERROR(AO173/U173,0))</f>
        <v/>
      </c>
      <c r="AQ173" s="15">
        <f>IF(COUNT(C173:O173)=0,"",IFERROR(AL173/H173,0))</f>
        <v/>
      </c>
    </row>
    <row r="174">
      <c r="A174" s="12">
        <f>Config!$C$6+168</f>
        <v/>
      </c>
      <c r="B174" s="13">
        <f>INT((A174-Config!$C$6)/7)+1</f>
        <v/>
      </c>
      <c r="C174" s="10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0" t="n"/>
      <c r="P174" s="15">
        <f>IF(COUNT(C174:O174)=0,"",IFERROR(C174/D174*1000,0))</f>
        <v/>
      </c>
      <c r="Q174" s="16">
        <f>IF(COUNT(C174:O174)=0,"",IFERROR(D174/E174,0))</f>
        <v/>
      </c>
      <c r="R174" s="17">
        <f>IF(COUNT(C174:O174)=0,"",IFERROR(F174/D174,0))</f>
        <v/>
      </c>
      <c r="S174" s="15">
        <f>IF(COUNT(C174:O174)=0,"",IFERROR(C174/F174,0))</f>
        <v/>
      </c>
      <c r="T174" s="18">
        <f>IF(COUNT(C174:O174)=0,"",IFERROR(G174/F174,0))</f>
        <v/>
      </c>
      <c r="U174" s="15">
        <f>IF(COUNT(C174:O174)=0,"",IFERROR(C174/G174,0))</f>
        <v/>
      </c>
      <c r="V174" s="19">
        <f>IF(COUNT(C174:O174)=0,"",IFERROR(G174/D174*1000,0))</f>
        <v/>
      </c>
      <c r="W174" s="18">
        <f>IF(COUNT(C174:O174)=0,"",IFERROR(H174/G174,0))</f>
        <v/>
      </c>
      <c r="X174" s="15">
        <f>IF(COUNT(C174:O174)=0,"",IFERROR(C174/H174,0))</f>
        <v/>
      </c>
      <c r="Y174" s="18">
        <f>IF(COUNT(C174:O174)=0,"",IFERROR(X174/P174,0))</f>
        <v/>
      </c>
      <c r="Z174" s="19">
        <f>IF(COUNT(C174:O174)=0,"",IFERROR(H174/D174*1000,0))</f>
        <v/>
      </c>
      <c r="AA174" s="18">
        <f>IF(COUNT(C174:O174)=0,"",IFERROR(I174/H174,0))</f>
        <v/>
      </c>
      <c r="AB174" s="18">
        <f>IF(COUNT(C174:O174)=0,"",IFERROR(J174/I174,0))</f>
        <v/>
      </c>
      <c r="AC174" s="18">
        <f>IF(COUNT(C174:O174)=0,"",IFERROR(K174/J174,0))</f>
        <v/>
      </c>
      <c r="AD174" s="15">
        <f>IF(COUNT(C174:O174)=0,"",IFERROR(C174/K174,0))</f>
        <v/>
      </c>
      <c r="AE174" s="18">
        <f>IF(COUNT(C174:O174)=0,"",IFERROR(L174/K174,0))</f>
        <v/>
      </c>
      <c r="AF174" s="18">
        <f>IF(COUNT(C174:O174)=0,"",IFERROR(M174/L174,0))</f>
        <v/>
      </c>
      <c r="AG174" s="17">
        <f>IF(COUNT(C174:O174)=0,"",IFERROR(M174/H174,0))</f>
        <v/>
      </c>
      <c r="AH174" s="15">
        <f>IF(COUNT(C174:O174)=0,"",IFERROR(C174/M174,0))</f>
        <v/>
      </c>
      <c r="AI174" s="20">
        <f>IF(COUNT(C174:O174)=0,"",IFERROR(M174*Config!$C$7+N174*Config!$C$8,0))</f>
        <v/>
      </c>
      <c r="AJ174" s="20">
        <f>IF(COUNT(C174:O174)=0,"",IFERROR(IF(O174&gt;0,O174,AI174*Config!$C$9),0))</f>
        <v/>
      </c>
      <c r="AK174" s="20">
        <f>IF(COUNT(C174:O174)=0,"",IFERROR(AJ174*(1-Config!$C$10-Config!$C$11-Config!$C$12),0))</f>
        <v/>
      </c>
      <c r="AL174" s="20">
        <f>IF(COUNT(C174:O174)=0,"",IFERROR(AK174-C174-Config!$C$13,0))</f>
        <v/>
      </c>
      <c r="AM174" s="21">
        <f>IF(COUNT(C174:O174)=0,"",IFERROR(AK174/C174,0))</f>
        <v/>
      </c>
      <c r="AN174" s="21">
        <f>IF(COUNT(C174:O174)=0,"",IFERROR(AI174/C174,0))</f>
        <v/>
      </c>
      <c r="AO174" s="15">
        <f>IF(COUNT(C174:O174)=0,"",IFERROR(AL174/G174,0))</f>
        <v/>
      </c>
      <c r="AP174" s="21">
        <f>IF(COUNT(C174:O174)=0,"",IFERROR(AO174/U174,0))</f>
        <v/>
      </c>
      <c r="AQ174" s="15">
        <f>IF(COUNT(C174:O174)=0,"",IFERROR(AL174/H174,0))</f>
        <v/>
      </c>
    </row>
    <row r="175">
      <c r="A175" s="12">
        <f>Config!$C$6+169</f>
        <v/>
      </c>
      <c r="B175" s="13">
        <f>INT((A175-Config!$C$6)/7)+1</f>
        <v/>
      </c>
      <c r="C175" s="10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0" t="n"/>
      <c r="P175" s="15">
        <f>IF(COUNT(C175:O175)=0,"",IFERROR(C175/D175*1000,0))</f>
        <v/>
      </c>
      <c r="Q175" s="16">
        <f>IF(COUNT(C175:O175)=0,"",IFERROR(D175/E175,0))</f>
        <v/>
      </c>
      <c r="R175" s="17">
        <f>IF(COUNT(C175:O175)=0,"",IFERROR(F175/D175,0))</f>
        <v/>
      </c>
      <c r="S175" s="15">
        <f>IF(COUNT(C175:O175)=0,"",IFERROR(C175/F175,0))</f>
        <v/>
      </c>
      <c r="T175" s="18">
        <f>IF(COUNT(C175:O175)=0,"",IFERROR(G175/F175,0))</f>
        <v/>
      </c>
      <c r="U175" s="15">
        <f>IF(COUNT(C175:O175)=0,"",IFERROR(C175/G175,0))</f>
        <v/>
      </c>
      <c r="V175" s="19">
        <f>IF(COUNT(C175:O175)=0,"",IFERROR(G175/D175*1000,0))</f>
        <v/>
      </c>
      <c r="W175" s="18">
        <f>IF(COUNT(C175:O175)=0,"",IFERROR(H175/G175,0))</f>
        <v/>
      </c>
      <c r="X175" s="15">
        <f>IF(COUNT(C175:O175)=0,"",IFERROR(C175/H175,0))</f>
        <v/>
      </c>
      <c r="Y175" s="18">
        <f>IF(COUNT(C175:O175)=0,"",IFERROR(X175/P175,0))</f>
        <v/>
      </c>
      <c r="Z175" s="19">
        <f>IF(COUNT(C175:O175)=0,"",IFERROR(H175/D175*1000,0))</f>
        <v/>
      </c>
      <c r="AA175" s="18">
        <f>IF(COUNT(C175:O175)=0,"",IFERROR(I175/H175,0))</f>
        <v/>
      </c>
      <c r="AB175" s="18">
        <f>IF(COUNT(C175:O175)=0,"",IFERROR(J175/I175,0))</f>
        <v/>
      </c>
      <c r="AC175" s="18">
        <f>IF(COUNT(C175:O175)=0,"",IFERROR(K175/J175,0))</f>
        <v/>
      </c>
      <c r="AD175" s="15">
        <f>IF(COUNT(C175:O175)=0,"",IFERROR(C175/K175,0))</f>
        <v/>
      </c>
      <c r="AE175" s="18">
        <f>IF(COUNT(C175:O175)=0,"",IFERROR(L175/K175,0))</f>
        <v/>
      </c>
      <c r="AF175" s="18">
        <f>IF(COUNT(C175:O175)=0,"",IFERROR(M175/L175,0))</f>
        <v/>
      </c>
      <c r="AG175" s="17">
        <f>IF(COUNT(C175:O175)=0,"",IFERROR(M175/H175,0))</f>
        <v/>
      </c>
      <c r="AH175" s="15">
        <f>IF(COUNT(C175:O175)=0,"",IFERROR(C175/M175,0))</f>
        <v/>
      </c>
      <c r="AI175" s="20">
        <f>IF(COUNT(C175:O175)=0,"",IFERROR(M175*Config!$C$7+N175*Config!$C$8,0))</f>
        <v/>
      </c>
      <c r="AJ175" s="20">
        <f>IF(COUNT(C175:O175)=0,"",IFERROR(IF(O175&gt;0,O175,AI175*Config!$C$9),0))</f>
        <v/>
      </c>
      <c r="AK175" s="20">
        <f>IF(COUNT(C175:O175)=0,"",IFERROR(AJ175*(1-Config!$C$10-Config!$C$11-Config!$C$12),0))</f>
        <v/>
      </c>
      <c r="AL175" s="20">
        <f>IF(COUNT(C175:O175)=0,"",IFERROR(AK175-C175-Config!$C$13,0))</f>
        <v/>
      </c>
      <c r="AM175" s="21">
        <f>IF(COUNT(C175:O175)=0,"",IFERROR(AK175/C175,0))</f>
        <v/>
      </c>
      <c r="AN175" s="21">
        <f>IF(COUNT(C175:O175)=0,"",IFERROR(AI175/C175,0))</f>
        <v/>
      </c>
      <c r="AO175" s="15">
        <f>IF(COUNT(C175:O175)=0,"",IFERROR(AL175/G175,0))</f>
        <v/>
      </c>
      <c r="AP175" s="21">
        <f>IF(COUNT(C175:O175)=0,"",IFERROR(AO175/U175,0))</f>
        <v/>
      </c>
      <c r="AQ175" s="15">
        <f>IF(COUNT(C175:O175)=0,"",IFERROR(AL175/H175,0))</f>
        <v/>
      </c>
    </row>
    <row r="176">
      <c r="A176" s="12">
        <f>Config!$C$6+170</f>
        <v/>
      </c>
      <c r="B176" s="13">
        <f>INT((A176-Config!$C$6)/7)+1</f>
        <v/>
      </c>
      <c r="C176" s="10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0" t="n"/>
      <c r="P176" s="15">
        <f>IF(COUNT(C176:O176)=0,"",IFERROR(C176/D176*1000,0))</f>
        <v/>
      </c>
      <c r="Q176" s="16">
        <f>IF(COUNT(C176:O176)=0,"",IFERROR(D176/E176,0))</f>
        <v/>
      </c>
      <c r="R176" s="17">
        <f>IF(COUNT(C176:O176)=0,"",IFERROR(F176/D176,0))</f>
        <v/>
      </c>
      <c r="S176" s="15">
        <f>IF(COUNT(C176:O176)=0,"",IFERROR(C176/F176,0))</f>
        <v/>
      </c>
      <c r="T176" s="18">
        <f>IF(COUNT(C176:O176)=0,"",IFERROR(G176/F176,0))</f>
        <v/>
      </c>
      <c r="U176" s="15">
        <f>IF(COUNT(C176:O176)=0,"",IFERROR(C176/G176,0))</f>
        <v/>
      </c>
      <c r="V176" s="19">
        <f>IF(COUNT(C176:O176)=0,"",IFERROR(G176/D176*1000,0))</f>
        <v/>
      </c>
      <c r="W176" s="18">
        <f>IF(COUNT(C176:O176)=0,"",IFERROR(H176/G176,0))</f>
        <v/>
      </c>
      <c r="X176" s="15">
        <f>IF(COUNT(C176:O176)=0,"",IFERROR(C176/H176,0))</f>
        <v/>
      </c>
      <c r="Y176" s="18">
        <f>IF(COUNT(C176:O176)=0,"",IFERROR(X176/P176,0))</f>
        <v/>
      </c>
      <c r="Z176" s="19">
        <f>IF(COUNT(C176:O176)=0,"",IFERROR(H176/D176*1000,0))</f>
        <v/>
      </c>
      <c r="AA176" s="18">
        <f>IF(COUNT(C176:O176)=0,"",IFERROR(I176/H176,0))</f>
        <v/>
      </c>
      <c r="AB176" s="18">
        <f>IF(COUNT(C176:O176)=0,"",IFERROR(J176/I176,0))</f>
        <v/>
      </c>
      <c r="AC176" s="18">
        <f>IF(COUNT(C176:O176)=0,"",IFERROR(K176/J176,0))</f>
        <v/>
      </c>
      <c r="AD176" s="15">
        <f>IF(COUNT(C176:O176)=0,"",IFERROR(C176/K176,0))</f>
        <v/>
      </c>
      <c r="AE176" s="18">
        <f>IF(COUNT(C176:O176)=0,"",IFERROR(L176/K176,0))</f>
        <v/>
      </c>
      <c r="AF176" s="18">
        <f>IF(COUNT(C176:O176)=0,"",IFERROR(M176/L176,0))</f>
        <v/>
      </c>
      <c r="AG176" s="17">
        <f>IF(COUNT(C176:O176)=0,"",IFERROR(M176/H176,0))</f>
        <v/>
      </c>
      <c r="AH176" s="15">
        <f>IF(COUNT(C176:O176)=0,"",IFERROR(C176/M176,0))</f>
        <v/>
      </c>
      <c r="AI176" s="20">
        <f>IF(COUNT(C176:O176)=0,"",IFERROR(M176*Config!$C$7+N176*Config!$C$8,0))</f>
        <v/>
      </c>
      <c r="AJ176" s="20">
        <f>IF(COUNT(C176:O176)=0,"",IFERROR(IF(O176&gt;0,O176,AI176*Config!$C$9),0))</f>
        <v/>
      </c>
      <c r="AK176" s="20">
        <f>IF(COUNT(C176:O176)=0,"",IFERROR(AJ176*(1-Config!$C$10-Config!$C$11-Config!$C$12),0))</f>
        <v/>
      </c>
      <c r="AL176" s="20">
        <f>IF(COUNT(C176:O176)=0,"",IFERROR(AK176-C176-Config!$C$13,0))</f>
        <v/>
      </c>
      <c r="AM176" s="21">
        <f>IF(COUNT(C176:O176)=0,"",IFERROR(AK176/C176,0))</f>
        <v/>
      </c>
      <c r="AN176" s="21">
        <f>IF(COUNT(C176:O176)=0,"",IFERROR(AI176/C176,0))</f>
        <v/>
      </c>
      <c r="AO176" s="15">
        <f>IF(COUNT(C176:O176)=0,"",IFERROR(AL176/G176,0))</f>
        <v/>
      </c>
      <c r="AP176" s="21">
        <f>IF(COUNT(C176:O176)=0,"",IFERROR(AO176/U176,0))</f>
        <v/>
      </c>
      <c r="AQ176" s="15">
        <f>IF(COUNT(C176:O176)=0,"",IFERROR(AL176/H176,0))</f>
        <v/>
      </c>
    </row>
    <row r="177">
      <c r="A177" s="12">
        <f>Config!$C$6+171</f>
        <v/>
      </c>
      <c r="B177" s="13">
        <f>INT((A177-Config!$C$6)/7)+1</f>
        <v/>
      </c>
      <c r="C177" s="10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0" t="n"/>
      <c r="P177" s="15">
        <f>IF(COUNT(C177:O177)=0,"",IFERROR(C177/D177*1000,0))</f>
        <v/>
      </c>
      <c r="Q177" s="16">
        <f>IF(COUNT(C177:O177)=0,"",IFERROR(D177/E177,0))</f>
        <v/>
      </c>
      <c r="R177" s="17">
        <f>IF(COUNT(C177:O177)=0,"",IFERROR(F177/D177,0))</f>
        <v/>
      </c>
      <c r="S177" s="15">
        <f>IF(COUNT(C177:O177)=0,"",IFERROR(C177/F177,0))</f>
        <v/>
      </c>
      <c r="T177" s="18">
        <f>IF(COUNT(C177:O177)=0,"",IFERROR(G177/F177,0))</f>
        <v/>
      </c>
      <c r="U177" s="15">
        <f>IF(COUNT(C177:O177)=0,"",IFERROR(C177/G177,0))</f>
        <v/>
      </c>
      <c r="V177" s="19">
        <f>IF(COUNT(C177:O177)=0,"",IFERROR(G177/D177*1000,0))</f>
        <v/>
      </c>
      <c r="W177" s="18">
        <f>IF(COUNT(C177:O177)=0,"",IFERROR(H177/G177,0))</f>
        <v/>
      </c>
      <c r="X177" s="15">
        <f>IF(COUNT(C177:O177)=0,"",IFERROR(C177/H177,0))</f>
        <v/>
      </c>
      <c r="Y177" s="18">
        <f>IF(COUNT(C177:O177)=0,"",IFERROR(X177/P177,0))</f>
        <v/>
      </c>
      <c r="Z177" s="19">
        <f>IF(COUNT(C177:O177)=0,"",IFERROR(H177/D177*1000,0))</f>
        <v/>
      </c>
      <c r="AA177" s="18">
        <f>IF(COUNT(C177:O177)=0,"",IFERROR(I177/H177,0))</f>
        <v/>
      </c>
      <c r="AB177" s="18">
        <f>IF(COUNT(C177:O177)=0,"",IFERROR(J177/I177,0))</f>
        <v/>
      </c>
      <c r="AC177" s="18">
        <f>IF(COUNT(C177:O177)=0,"",IFERROR(K177/J177,0))</f>
        <v/>
      </c>
      <c r="AD177" s="15">
        <f>IF(COUNT(C177:O177)=0,"",IFERROR(C177/K177,0))</f>
        <v/>
      </c>
      <c r="AE177" s="18">
        <f>IF(COUNT(C177:O177)=0,"",IFERROR(L177/K177,0))</f>
        <v/>
      </c>
      <c r="AF177" s="18">
        <f>IF(COUNT(C177:O177)=0,"",IFERROR(M177/L177,0))</f>
        <v/>
      </c>
      <c r="AG177" s="17">
        <f>IF(COUNT(C177:O177)=0,"",IFERROR(M177/H177,0))</f>
        <v/>
      </c>
      <c r="AH177" s="15">
        <f>IF(COUNT(C177:O177)=0,"",IFERROR(C177/M177,0))</f>
        <v/>
      </c>
      <c r="AI177" s="20">
        <f>IF(COUNT(C177:O177)=0,"",IFERROR(M177*Config!$C$7+N177*Config!$C$8,0))</f>
        <v/>
      </c>
      <c r="AJ177" s="20">
        <f>IF(COUNT(C177:O177)=0,"",IFERROR(IF(O177&gt;0,O177,AI177*Config!$C$9),0))</f>
        <v/>
      </c>
      <c r="AK177" s="20">
        <f>IF(COUNT(C177:O177)=0,"",IFERROR(AJ177*(1-Config!$C$10-Config!$C$11-Config!$C$12),0))</f>
        <v/>
      </c>
      <c r="AL177" s="20">
        <f>IF(COUNT(C177:O177)=0,"",IFERROR(AK177-C177-Config!$C$13,0))</f>
        <v/>
      </c>
      <c r="AM177" s="21">
        <f>IF(COUNT(C177:O177)=0,"",IFERROR(AK177/C177,0))</f>
        <v/>
      </c>
      <c r="AN177" s="21">
        <f>IF(COUNT(C177:O177)=0,"",IFERROR(AI177/C177,0))</f>
        <v/>
      </c>
      <c r="AO177" s="15">
        <f>IF(COUNT(C177:O177)=0,"",IFERROR(AL177/G177,0))</f>
        <v/>
      </c>
      <c r="AP177" s="21">
        <f>IF(COUNT(C177:O177)=0,"",IFERROR(AO177/U177,0))</f>
        <v/>
      </c>
      <c r="AQ177" s="15">
        <f>IF(COUNT(C177:O177)=0,"",IFERROR(AL177/H177,0))</f>
        <v/>
      </c>
    </row>
    <row r="178">
      <c r="A178" s="12">
        <f>Config!$C$6+172</f>
        <v/>
      </c>
      <c r="B178" s="13">
        <f>INT((A178-Config!$C$6)/7)+1</f>
        <v/>
      </c>
      <c r="C178" s="10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0" t="n"/>
      <c r="P178" s="15">
        <f>IF(COUNT(C178:O178)=0,"",IFERROR(C178/D178*1000,0))</f>
        <v/>
      </c>
      <c r="Q178" s="16">
        <f>IF(COUNT(C178:O178)=0,"",IFERROR(D178/E178,0))</f>
        <v/>
      </c>
      <c r="R178" s="17">
        <f>IF(COUNT(C178:O178)=0,"",IFERROR(F178/D178,0))</f>
        <v/>
      </c>
      <c r="S178" s="15">
        <f>IF(COUNT(C178:O178)=0,"",IFERROR(C178/F178,0))</f>
        <v/>
      </c>
      <c r="T178" s="18">
        <f>IF(COUNT(C178:O178)=0,"",IFERROR(G178/F178,0))</f>
        <v/>
      </c>
      <c r="U178" s="15">
        <f>IF(COUNT(C178:O178)=0,"",IFERROR(C178/G178,0))</f>
        <v/>
      </c>
      <c r="V178" s="19">
        <f>IF(COUNT(C178:O178)=0,"",IFERROR(G178/D178*1000,0))</f>
        <v/>
      </c>
      <c r="W178" s="18">
        <f>IF(COUNT(C178:O178)=0,"",IFERROR(H178/G178,0))</f>
        <v/>
      </c>
      <c r="X178" s="15">
        <f>IF(COUNT(C178:O178)=0,"",IFERROR(C178/H178,0))</f>
        <v/>
      </c>
      <c r="Y178" s="18">
        <f>IF(COUNT(C178:O178)=0,"",IFERROR(X178/P178,0))</f>
        <v/>
      </c>
      <c r="Z178" s="19">
        <f>IF(COUNT(C178:O178)=0,"",IFERROR(H178/D178*1000,0))</f>
        <v/>
      </c>
      <c r="AA178" s="18">
        <f>IF(COUNT(C178:O178)=0,"",IFERROR(I178/H178,0))</f>
        <v/>
      </c>
      <c r="AB178" s="18">
        <f>IF(COUNT(C178:O178)=0,"",IFERROR(J178/I178,0))</f>
        <v/>
      </c>
      <c r="AC178" s="18">
        <f>IF(COUNT(C178:O178)=0,"",IFERROR(K178/J178,0))</f>
        <v/>
      </c>
      <c r="AD178" s="15">
        <f>IF(COUNT(C178:O178)=0,"",IFERROR(C178/K178,0))</f>
        <v/>
      </c>
      <c r="AE178" s="18">
        <f>IF(COUNT(C178:O178)=0,"",IFERROR(L178/K178,0))</f>
        <v/>
      </c>
      <c r="AF178" s="18">
        <f>IF(COUNT(C178:O178)=0,"",IFERROR(M178/L178,0))</f>
        <v/>
      </c>
      <c r="AG178" s="17">
        <f>IF(COUNT(C178:O178)=0,"",IFERROR(M178/H178,0))</f>
        <v/>
      </c>
      <c r="AH178" s="15">
        <f>IF(COUNT(C178:O178)=0,"",IFERROR(C178/M178,0))</f>
        <v/>
      </c>
      <c r="AI178" s="20">
        <f>IF(COUNT(C178:O178)=0,"",IFERROR(M178*Config!$C$7+N178*Config!$C$8,0))</f>
        <v/>
      </c>
      <c r="AJ178" s="20">
        <f>IF(COUNT(C178:O178)=0,"",IFERROR(IF(O178&gt;0,O178,AI178*Config!$C$9),0))</f>
        <v/>
      </c>
      <c r="AK178" s="20">
        <f>IF(COUNT(C178:O178)=0,"",IFERROR(AJ178*(1-Config!$C$10-Config!$C$11-Config!$C$12),0))</f>
        <v/>
      </c>
      <c r="AL178" s="20">
        <f>IF(COUNT(C178:O178)=0,"",IFERROR(AK178-C178-Config!$C$13,0))</f>
        <v/>
      </c>
      <c r="AM178" s="21">
        <f>IF(COUNT(C178:O178)=0,"",IFERROR(AK178/C178,0))</f>
        <v/>
      </c>
      <c r="AN178" s="21">
        <f>IF(COUNT(C178:O178)=0,"",IFERROR(AI178/C178,0))</f>
        <v/>
      </c>
      <c r="AO178" s="15">
        <f>IF(COUNT(C178:O178)=0,"",IFERROR(AL178/G178,0))</f>
        <v/>
      </c>
      <c r="AP178" s="21">
        <f>IF(COUNT(C178:O178)=0,"",IFERROR(AO178/U178,0))</f>
        <v/>
      </c>
      <c r="AQ178" s="15">
        <f>IF(COUNT(C178:O178)=0,"",IFERROR(AL178/H178,0))</f>
        <v/>
      </c>
    </row>
    <row r="179">
      <c r="A179" s="12">
        <f>Config!$C$6+173</f>
        <v/>
      </c>
      <c r="B179" s="13">
        <f>INT((A179-Config!$C$6)/7)+1</f>
        <v/>
      </c>
      <c r="C179" s="10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0" t="n"/>
      <c r="P179" s="15">
        <f>IF(COUNT(C179:O179)=0,"",IFERROR(C179/D179*1000,0))</f>
        <v/>
      </c>
      <c r="Q179" s="16">
        <f>IF(COUNT(C179:O179)=0,"",IFERROR(D179/E179,0))</f>
        <v/>
      </c>
      <c r="R179" s="17">
        <f>IF(COUNT(C179:O179)=0,"",IFERROR(F179/D179,0))</f>
        <v/>
      </c>
      <c r="S179" s="15">
        <f>IF(COUNT(C179:O179)=0,"",IFERROR(C179/F179,0))</f>
        <v/>
      </c>
      <c r="T179" s="18">
        <f>IF(COUNT(C179:O179)=0,"",IFERROR(G179/F179,0))</f>
        <v/>
      </c>
      <c r="U179" s="15">
        <f>IF(COUNT(C179:O179)=0,"",IFERROR(C179/G179,0))</f>
        <v/>
      </c>
      <c r="V179" s="19">
        <f>IF(COUNT(C179:O179)=0,"",IFERROR(G179/D179*1000,0))</f>
        <v/>
      </c>
      <c r="W179" s="18">
        <f>IF(COUNT(C179:O179)=0,"",IFERROR(H179/G179,0))</f>
        <v/>
      </c>
      <c r="X179" s="15">
        <f>IF(COUNT(C179:O179)=0,"",IFERROR(C179/H179,0))</f>
        <v/>
      </c>
      <c r="Y179" s="18">
        <f>IF(COUNT(C179:O179)=0,"",IFERROR(X179/P179,0))</f>
        <v/>
      </c>
      <c r="Z179" s="19">
        <f>IF(COUNT(C179:O179)=0,"",IFERROR(H179/D179*1000,0))</f>
        <v/>
      </c>
      <c r="AA179" s="18">
        <f>IF(COUNT(C179:O179)=0,"",IFERROR(I179/H179,0))</f>
        <v/>
      </c>
      <c r="AB179" s="18">
        <f>IF(COUNT(C179:O179)=0,"",IFERROR(J179/I179,0))</f>
        <v/>
      </c>
      <c r="AC179" s="18">
        <f>IF(COUNT(C179:O179)=0,"",IFERROR(K179/J179,0))</f>
        <v/>
      </c>
      <c r="AD179" s="15">
        <f>IF(COUNT(C179:O179)=0,"",IFERROR(C179/K179,0))</f>
        <v/>
      </c>
      <c r="AE179" s="18">
        <f>IF(COUNT(C179:O179)=0,"",IFERROR(L179/K179,0))</f>
        <v/>
      </c>
      <c r="AF179" s="18">
        <f>IF(COUNT(C179:O179)=0,"",IFERROR(M179/L179,0))</f>
        <v/>
      </c>
      <c r="AG179" s="17">
        <f>IF(COUNT(C179:O179)=0,"",IFERROR(M179/H179,0))</f>
        <v/>
      </c>
      <c r="AH179" s="15">
        <f>IF(COUNT(C179:O179)=0,"",IFERROR(C179/M179,0))</f>
        <v/>
      </c>
      <c r="AI179" s="20">
        <f>IF(COUNT(C179:O179)=0,"",IFERROR(M179*Config!$C$7+N179*Config!$C$8,0))</f>
        <v/>
      </c>
      <c r="AJ179" s="20">
        <f>IF(COUNT(C179:O179)=0,"",IFERROR(IF(O179&gt;0,O179,AI179*Config!$C$9),0))</f>
        <v/>
      </c>
      <c r="AK179" s="20">
        <f>IF(COUNT(C179:O179)=0,"",IFERROR(AJ179*(1-Config!$C$10-Config!$C$11-Config!$C$12),0))</f>
        <v/>
      </c>
      <c r="AL179" s="20">
        <f>IF(COUNT(C179:O179)=0,"",IFERROR(AK179-C179-Config!$C$13,0))</f>
        <v/>
      </c>
      <c r="AM179" s="21">
        <f>IF(COUNT(C179:O179)=0,"",IFERROR(AK179/C179,0))</f>
        <v/>
      </c>
      <c r="AN179" s="21">
        <f>IF(COUNT(C179:O179)=0,"",IFERROR(AI179/C179,0))</f>
        <v/>
      </c>
      <c r="AO179" s="15">
        <f>IF(COUNT(C179:O179)=0,"",IFERROR(AL179/G179,0))</f>
        <v/>
      </c>
      <c r="AP179" s="21">
        <f>IF(COUNT(C179:O179)=0,"",IFERROR(AO179/U179,0))</f>
        <v/>
      </c>
      <c r="AQ179" s="15">
        <f>IF(COUNT(C179:O179)=0,"",IFERROR(AL179/H179,0))</f>
        <v/>
      </c>
    </row>
    <row r="180">
      <c r="A180" s="12">
        <f>Config!$C$6+174</f>
        <v/>
      </c>
      <c r="B180" s="13">
        <f>INT((A180-Config!$C$6)/7)+1</f>
        <v/>
      </c>
      <c r="C180" s="10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0" t="n"/>
      <c r="P180" s="15">
        <f>IF(COUNT(C180:O180)=0,"",IFERROR(C180/D180*1000,0))</f>
        <v/>
      </c>
      <c r="Q180" s="16">
        <f>IF(COUNT(C180:O180)=0,"",IFERROR(D180/E180,0))</f>
        <v/>
      </c>
      <c r="R180" s="17">
        <f>IF(COUNT(C180:O180)=0,"",IFERROR(F180/D180,0))</f>
        <v/>
      </c>
      <c r="S180" s="15">
        <f>IF(COUNT(C180:O180)=0,"",IFERROR(C180/F180,0))</f>
        <v/>
      </c>
      <c r="T180" s="18">
        <f>IF(COUNT(C180:O180)=0,"",IFERROR(G180/F180,0))</f>
        <v/>
      </c>
      <c r="U180" s="15">
        <f>IF(COUNT(C180:O180)=0,"",IFERROR(C180/G180,0))</f>
        <v/>
      </c>
      <c r="V180" s="19">
        <f>IF(COUNT(C180:O180)=0,"",IFERROR(G180/D180*1000,0))</f>
        <v/>
      </c>
      <c r="W180" s="18">
        <f>IF(COUNT(C180:O180)=0,"",IFERROR(H180/G180,0))</f>
        <v/>
      </c>
      <c r="X180" s="15">
        <f>IF(COUNT(C180:O180)=0,"",IFERROR(C180/H180,0))</f>
        <v/>
      </c>
      <c r="Y180" s="18">
        <f>IF(COUNT(C180:O180)=0,"",IFERROR(X180/P180,0))</f>
        <v/>
      </c>
      <c r="Z180" s="19">
        <f>IF(COUNT(C180:O180)=0,"",IFERROR(H180/D180*1000,0))</f>
        <v/>
      </c>
      <c r="AA180" s="18">
        <f>IF(COUNT(C180:O180)=0,"",IFERROR(I180/H180,0))</f>
        <v/>
      </c>
      <c r="AB180" s="18">
        <f>IF(COUNT(C180:O180)=0,"",IFERROR(J180/I180,0))</f>
        <v/>
      </c>
      <c r="AC180" s="18">
        <f>IF(COUNT(C180:O180)=0,"",IFERROR(K180/J180,0))</f>
        <v/>
      </c>
      <c r="AD180" s="15">
        <f>IF(COUNT(C180:O180)=0,"",IFERROR(C180/K180,0))</f>
        <v/>
      </c>
      <c r="AE180" s="18">
        <f>IF(COUNT(C180:O180)=0,"",IFERROR(L180/K180,0))</f>
        <v/>
      </c>
      <c r="AF180" s="18">
        <f>IF(COUNT(C180:O180)=0,"",IFERROR(M180/L180,0))</f>
        <v/>
      </c>
      <c r="AG180" s="17">
        <f>IF(COUNT(C180:O180)=0,"",IFERROR(M180/H180,0))</f>
        <v/>
      </c>
      <c r="AH180" s="15">
        <f>IF(COUNT(C180:O180)=0,"",IFERROR(C180/M180,0))</f>
        <v/>
      </c>
      <c r="AI180" s="20">
        <f>IF(COUNT(C180:O180)=0,"",IFERROR(M180*Config!$C$7+N180*Config!$C$8,0))</f>
        <v/>
      </c>
      <c r="AJ180" s="20">
        <f>IF(COUNT(C180:O180)=0,"",IFERROR(IF(O180&gt;0,O180,AI180*Config!$C$9),0))</f>
        <v/>
      </c>
      <c r="AK180" s="20">
        <f>IF(COUNT(C180:O180)=0,"",IFERROR(AJ180*(1-Config!$C$10-Config!$C$11-Config!$C$12),0))</f>
        <v/>
      </c>
      <c r="AL180" s="20">
        <f>IF(COUNT(C180:O180)=0,"",IFERROR(AK180-C180-Config!$C$13,0))</f>
        <v/>
      </c>
      <c r="AM180" s="21">
        <f>IF(COUNT(C180:O180)=0,"",IFERROR(AK180/C180,0))</f>
        <v/>
      </c>
      <c r="AN180" s="21">
        <f>IF(COUNT(C180:O180)=0,"",IFERROR(AI180/C180,0))</f>
        <v/>
      </c>
      <c r="AO180" s="15">
        <f>IF(COUNT(C180:O180)=0,"",IFERROR(AL180/G180,0))</f>
        <v/>
      </c>
      <c r="AP180" s="21">
        <f>IF(COUNT(C180:O180)=0,"",IFERROR(AO180/U180,0))</f>
        <v/>
      </c>
      <c r="AQ180" s="15">
        <f>IF(COUNT(C180:O180)=0,"",IFERROR(AL180/H180,0))</f>
        <v/>
      </c>
    </row>
    <row r="181">
      <c r="A181" s="12">
        <f>Config!$C$6+175</f>
        <v/>
      </c>
      <c r="B181" s="13">
        <f>INT((A181-Config!$C$6)/7)+1</f>
        <v/>
      </c>
      <c r="C181" s="10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0" t="n"/>
      <c r="P181" s="15">
        <f>IF(COUNT(C181:O181)=0,"",IFERROR(C181/D181*1000,0))</f>
        <v/>
      </c>
      <c r="Q181" s="16">
        <f>IF(COUNT(C181:O181)=0,"",IFERROR(D181/E181,0))</f>
        <v/>
      </c>
      <c r="R181" s="17">
        <f>IF(COUNT(C181:O181)=0,"",IFERROR(F181/D181,0))</f>
        <v/>
      </c>
      <c r="S181" s="15">
        <f>IF(COUNT(C181:O181)=0,"",IFERROR(C181/F181,0))</f>
        <v/>
      </c>
      <c r="T181" s="18">
        <f>IF(COUNT(C181:O181)=0,"",IFERROR(G181/F181,0))</f>
        <v/>
      </c>
      <c r="U181" s="15">
        <f>IF(COUNT(C181:O181)=0,"",IFERROR(C181/G181,0))</f>
        <v/>
      </c>
      <c r="V181" s="19">
        <f>IF(COUNT(C181:O181)=0,"",IFERROR(G181/D181*1000,0))</f>
        <v/>
      </c>
      <c r="W181" s="18">
        <f>IF(COUNT(C181:O181)=0,"",IFERROR(H181/G181,0))</f>
        <v/>
      </c>
      <c r="X181" s="15">
        <f>IF(COUNT(C181:O181)=0,"",IFERROR(C181/H181,0))</f>
        <v/>
      </c>
      <c r="Y181" s="18">
        <f>IF(COUNT(C181:O181)=0,"",IFERROR(X181/P181,0))</f>
        <v/>
      </c>
      <c r="Z181" s="19">
        <f>IF(COUNT(C181:O181)=0,"",IFERROR(H181/D181*1000,0))</f>
        <v/>
      </c>
      <c r="AA181" s="18">
        <f>IF(COUNT(C181:O181)=0,"",IFERROR(I181/H181,0))</f>
        <v/>
      </c>
      <c r="AB181" s="18">
        <f>IF(COUNT(C181:O181)=0,"",IFERROR(J181/I181,0))</f>
        <v/>
      </c>
      <c r="AC181" s="18">
        <f>IF(COUNT(C181:O181)=0,"",IFERROR(K181/J181,0))</f>
        <v/>
      </c>
      <c r="AD181" s="15">
        <f>IF(COUNT(C181:O181)=0,"",IFERROR(C181/K181,0))</f>
        <v/>
      </c>
      <c r="AE181" s="18">
        <f>IF(COUNT(C181:O181)=0,"",IFERROR(L181/K181,0))</f>
        <v/>
      </c>
      <c r="AF181" s="18">
        <f>IF(COUNT(C181:O181)=0,"",IFERROR(M181/L181,0))</f>
        <v/>
      </c>
      <c r="AG181" s="17">
        <f>IF(COUNT(C181:O181)=0,"",IFERROR(M181/H181,0))</f>
        <v/>
      </c>
      <c r="AH181" s="15">
        <f>IF(COUNT(C181:O181)=0,"",IFERROR(C181/M181,0))</f>
        <v/>
      </c>
      <c r="AI181" s="20">
        <f>IF(COUNT(C181:O181)=0,"",IFERROR(M181*Config!$C$7+N181*Config!$C$8,0))</f>
        <v/>
      </c>
      <c r="AJ181" s="20">
        <f>IF(COUNT(C181:O181)=0,"",IFERROR(IF(O181&gt;0,O181,AI181*Config!$C$9),0))</f>
        <v/>
      </c>
      <c r="AK181" s="20">
        <f>IF(COUNT(C181:O181)=0,"",IFERROR(AJ181*(1-Config!$C$10-Config!$C$11-Config!$C$12),0))</f>
        <v/>
      </c>
      <c r="AL181" s="20">
        <f>IF(COUNT(C181:O181)=0,"",IFERROR(AK181-C181-Config!$C$13,0))</f>
        <v/>
      </c>
      <c r="AM181" s="21">
        <f>IF(COUNT(C181:O181)=0,"",IFERROR(AK181/C181,0))</f>
        <v/>
      </c>
      <c r="AN181" s="21">
        <f>IF(COUNT(C181:O181)=0,"",IFERROR(AI181/C181,0))</f>
        <v/>
      </c>
      <c r="AO181" s="15">
        <f>IF(COUNT(C181:O181)=0,"",IFERROR(AL181/G181,0))</f>
        <v/>
      </c>
      <c r="AP181" s="21">
        <f>IF(COUNT(C181:O181)=0,"",IFERROR(AO181/U181,0))</f>
        <v/>
      </c>
      <c r="AQ181" s="15">
        <f>IF(COUNT(C181:O181)=0,"",IFERROR(AL181/H181,0))</f>
        <v/>
      </c>
    </row>
    <row r="182">
      <c r="A182" s="12">
        <f>Config!$C$6+176</f>
        <v/>
      </c>
      <c r="B182" s="13">
        <f>INT((A182-Config!$C$6)/7)+1</f>
        <v/>
      </c>
      <c r="C182" s="10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0" t="n"/>
      <c r="P182" s="15">
        <f>IF(COUNT(C182:O182)=0,"",IFERROR(C182/D182*1000,0))</f>
        <v/>
      </c>
      <c r="Q182" s="16">
        <f>IF(COUNT(C182:O182)=0,"",IFERROR(D182/E182,0))</f>
        <v/>
      </c>
      <c r="R182" s="17">
        <f>IF(COUNT(C182:O182)=0,"",IFERROR(F182/D182,0))</f>
        <v/>
      </c>
      <c r="S182" s="15">
        <f>IF(COUNT(C182:O182)=0,"",IFERROR(C182/F182,0))</f>
        <v/>
      </c>
      <c r="T182" s="18">
        <f>IF(COUNT(C182:O182)=0,"",IFERROR(G182/F182,0))</f>
        <v/>
      </c>
      <c r="U182" s="15">
        <f>IF(COUNT(C182:O182)=0,"",IFERROR(C182/G182,0))</f>
        <v/>
      </c>
      <c r="V182" s="19">
        <f>IF(COUNT(C182:O182)=0,"",IFERROR(G182/D182*1000,0))</f>
        <v/>
      </c>
      <c r="W182" s="18">
        <f>IF(COUNT(C182:O182)=0,"",IFERROR(H182/G182,0))</f>
        <v/>
      </c>
      <c r="X182" s="15">
        <f>IF(COUNT(C182:O182)=0,"",IFERROR(C182/H182,0))</f>
        <v/>
      </c>
      <c r="Y182" s="18">
        <f>IF(COUNT(C182:O182)=0,"",IFERROR(X182/P182,0))</f>
        <v/>
      </c>
      <c r="Z182" s="19">
        <f>IF(COUNT(C182:O182)=0,"",IFERROR(H182/D182*1000,0))</f>
        <v/>
      </c>
      <c r="AA182" s="18">
        <f>IF(COUNT(C182:O182)=0,"",IFERROR(I182/H182,0))</f>
        <v/>
      </c>
      <c r="AB182" s="18">
        <f>IF(COUNT(C182:O182)=0,"",IFERROR(J182/I182,0))</f>
        <v/>
      </c>
      <c r="AC182" s="18">
        <f>IF(COUNT(C182:O182)=0,"",IFERROR(K182/J182,0))</f>
        <v/>
      </c>
      <c r="AD182" s="15">
        <f>IF(COUNT(C182:O182)=0,"",IFERROR(C182/K182,0))</f>
        <v/>
      </c>
      <c r="AE182" s="18">
        <f>IF(COUNT(C182:O182)=0,"",IFERROR(L182/K182,0))</f>
        <v/>
      </c>
      <c r="AF182" s="18">
        <f>IF(COUNT(C182:O182)=0,"",IFERROR(M182/L182,0))</f>
        <v/>
      </c>
      <c r="AG182" s="17">
        <f>IF(COUNT(C182:O182)=0,"",IFERROR(M182/H182,0))</f>
        <v/>
      </c>
      <c r="AH182" s="15">
        <f>IF(COUNT(C182:O182)=0,"",IFERROR(C182/M182,0))</f>
        <v/>
      </c>
      <c r="AI182" s="20">
        <f>IF(COUNT(C182:O182)=0,"",IFERROR(M182*Config!$C$7+N182*Config!$C$8,0))</f>
        <v/>
      </c>
      <c r="AJ182" s="20">
        <f>IF(COUNT(C182:O182)=0,"",IFERROR(IF(O182&gt;0,O182,AI182*Config!$C$9),0))</f>
        <v/>
      </c>
      <c r="AK182" s="20">
        <f>IF(COUNT(C182:O182)=0,"",IFERROR(AJ182*(1-Config!$C$10-Config!$C$11-Config!$C$12),0))</f>
        <v/>
      </c>
      <c r="AL182" s="20">
        <f>IF(COUNT(C182:O182)=0,"",IFERROR(AK182-C182-Config!$C$13,0))</f>
        <v/>
      </c>
      <c r="AM182" s="21">
        <f>IF(COUNT(C182:O182)=0,"",IFERROR(AK182/C182,0))</f>
        <v/>
      </c>
      <c r="AN182" s="21">
        <f>IF(COUNT(C182:O182)=0,"",IFERROR(AI182/C182,0))</f>
        <v/>
      </c>
      <c r="AO182" s="15">
        <f>IF(COUNT(C182:O182)=0,"",IFERROR(AL182/G182,0))</f>
        <v/>
      </c>
      <c r="AP182" s="21">
        <f>IF(COUNT(C182:O182)=0,"",IFERROR(AO182/U182,0))</f>
        <v/>
      </c>
      <c r="AQ182" s="15">
        <f>IF(COUNT(C182:O182)=0,"",IFERROR(AL182/H182,0))</f>
        <v/>
      </c>
    </row>
    <row r="183">
      <c r="A183" s="12">
        <f>Config!$C$6+177</f>
        <v/>
      </c>
      <c r="B183" s="13">
        <f>INT((A183-Config!$C$6)/7)+1</f>
        <v/>
      </c>
      <c r="C183" s="10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0" t="n"/>
      <c r="P183" s="15">
        <f>IF(COUNT(C183:O183)=0,"",IFERROR(C183/D183*1000,0))</f>
        <v/>
      </c>
      <c r="Q183" s="16">
        <f>IF(COUNT(C183:O183)=0,"",IFERROR(D183/E183,0))</f>
        <v/>
      </c>
      <c r="R183" s="17">
        <f>IF(COUNT(C183:O183)=0,"",IFERROR(F183/D183,0))</f>
        <v/>
      </c>
      <c r="S183" s="15">
        <f>IF(COUNT(C183:O183)=0,"",IFERROR(C183/F183,0))</f>
        <v/>
      </c>
      <c r="T183" s="18">
        <f>IF(COUNT(C183:O183)=0,"",IFERROR(G183/F183,0))</f>
        <v/>
      </c>
      <c r="U183" s="15">
        <f>IF(COUNT(C183:O183)=0,"",IFERROR(C183/G183,0))</f>
        <v/>
      </c>
      <c r="V183" s="19">
        <f>IF(COUNT(C183:O183)=0,"",IFERROR(G183/D183*1000,0))</f>
        <v/>
      </c>
      <c r="W183" s="18">
        <f>IF(COUNT(C183:O183)=0,"",IFERROR(H183/G183,0))</f>
        <v/>
      </c>
      <c r="X183" s="15">
        <f>IF(COUNT(C183:O183)=0,"",IFERROR(C183/H183,0))</f>
        <v/>
      </c>
      <c r="Y183" s="18">
        <f>IF(COUNT(C183:O183)=0,"",IFERROR(X183/P183,0))</f>
        <v/>
      </c>
      <c r="Z183" s="19">
        <f>IF(COUNT(C183:O183)=0,"",IFERROR(H183/D183*1000,0))</f>
        <v/>
      </c>
      <c r="AA183" s="18">
        <f>IF(COUNT(C183:O183)=0,"",IFERROR(I183/H183,0))</f>
        <v/>
      </c>
      <c r="AB183" s="18">
        <f>IF(COUNT(C183:O183)=0,"",IFERROR(J183/I183,0))</f>
        <v/>
      </c>
      <c r="AC183" s="18">
        <f>IF(COUNT(C183:O183)=0,"",IFERROR(K183/J183,0))</f>
        <v/>
      </c>
      <c r="AD183" s="15">
        <f>IF(COUNT(C183:O183)=0,"",IFERROR(C183/K183,0))</f>
        <v/>
      </c>
      <c r="AE183" s="18">
        <f>IF(COUNT(C183:O183)=0,"",IFERROR(L183/K183,0))</f>
        <v/>
      </c>
      <c r="AF183" s="18">
        <f>IF(COUNT(C183:O183)=0,"",IFERROR(M183/L183,0))</f>
        <v/>
      </c>
      <c r="AG183" s="17">
        <f>IF(COUNT(C183:O183)=0,"",IFERROR(M183/H183,0))</f>
        <v/>
      </c>
      <c r="AH183" s="15">
        <f>IF(COUNT(C183:O183)=0,"",IFERROR(C183/M183,0))</f>
        <v/>
      </c>
      <c r="AI183" s="20">
        <f>IF(COUNT(C183:O183)=0,"",IFERROR(M183*Config!$C$7+N183*Config!$C$8,0))</f>
        <v/>
      </c>
      <c r="AJ183" s="20">
        <f>IF(COUNT(C183:O183)=0,"",IFERROR(IF(O183&gt;0,O183,AI183*Config!$C$9),0))</f>
        <v/>
      </c>
      <c r="AK183" s="20">
        <f>IF(COUNT(C183:O183)=0,"",IFERROR(AJ183*(1-Config!$C$10-Config!$C$11-Config!$C$12),0))</f>
        <v/>
      </c>
      <c r="AL183" s="20">
        <f>IF(COUNT(C183:O183)=0,"",IFERROR(AK183-C183-Config!$C$13,0))</f>
        <v/>
      </c>
      <c r="AM183" s="21">
        <f>IF(COUNT(C183:O183)=0,"",IFERROR(AK183/C183,0))</f>
        <v/>
      </c>
      <c r="AN183" s="21">
        <f>IF(COUNT(C183:O183)=0,"",IFERROR(AI183/C183,0))</f>
        <v/>
      </c>
      <c r="AO183" s="15">
        <f>IF(COUNT(C183:O183)=0,"",IFERROR(AL183/G183,0))</f>
        <v/>
      </c>
      <c r="AP183" s="21">
        <f>IF(COUNT(C183:O183)=0,"",IFERROR(AO183/U183,0))</f>
        <v/>
      </c>
      <c r="AQ183" s="15">
        <f>IF(COUNT(C183:O183)=0,"",IFERROR(AL183/H183,0))</f>
        <v/>
      </c>
    </row>
    <row r="184">
      <c r="A184" s="12">
        <f>Config!$C$6+178</f>
        <v/>
      </c>
      <c r="B184" s="13">
        <f>INT((A184-Config!$C$6)/7)+1</f>
        <v/>
      </c>
      <c r="C184" s="10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0" t="n"/>
      <c r="P184" s="15">
        <f>IF(COUNT(C184:O184)=0,"",IFERROR(C184/D184*1000,0))</f>
        <v/>
      </c>
      <c r="Q184" s="16">
        <f>IF(COUNT(C184:O184)=0,"",IFERROR(D184/E184,0))</f>
        <v/>
      </c>
      <c r="R184" s="17">
        <f>IF(COUNT(C184:O184)=0,"",IFERROR(F184/D184,0))</f>
        <v/>
      </c>
      <c r="S184" s="15">
        <f>IF(COUNT(C184:O184)=0,"",IFERROR(C184/F184,0))</f>
        <v/>
      </c>
      <c r="T184" s="18">
        <f>IF(COUNT(C184:O184)=0,"",IFERROR(G184/F184,0))</f>
        <v/>
      </c>
      <c r="U184" s="15">
        <f>IF(COUNT(C184:O184)=0,"",IFERROR(C184/G184,0))</f>
        <v/>
      </c>
      <c r="V184" s="19">
        <f>IF(COUNT(C184:O184)=0,"",IFERROR(G184/D184*1000,0))</f>
        <v/>
      </c>
      <c r="W184" s="18">
        <f>IF(COUNT(C184:O184)=0,"",IFERROR(H184/G184,0))</f>
        <v/>
      </c>
      <c r="X184" s="15">
        <f>IF(COUNT(C184:O184)=0,"",IFERROR(C184/H184,0))</f>
        <v/>
      </c>
      <c r="Y184" s="18">
        <f>IF(COUNT(C184:O184)=0,"",IFERROR(X184/P184,0))</f>
        <v/>
      </c>
      <c r="Z184" s="19">
        <f>IF(COUNT(C184:O184)=0,"",IFERROR(H184/D184*1000,0))</f>
        <v/>
      </c>
      <c r="AA184" s="18">
        <f>IF(COUNT(C184:O184)=0,"",IFERROR(I184/H184,0))</f>
        <v/>
      </c>
      <c r="AB184" s="18">
        <f>IF(COUNT(C184:O184)=0,"",IFERROR(J184/I184,0))</f>
        <v/>
      </c>
      <c r="AC184" s="18">
        <f>IF(COUNT(C184:O184)=0,"",IFERROR(K184/J184,0))</f>
        <v/>
      </c>
      <c r="AD184" s="15">
        <f>IF(COUNT(C184:O184)=0,"",IFERROR(C184/K184,0))</f>
        <v/>
      </c>
      <c r="AE184" s="18">
        <f>IF(COUNT(C184:O184)=0,"",IFERROR(L184/K184,0))</f>
        <v/>
      </c>
      <c r="AF184" s="18">
        <f>IF(COUNT(C184:O184)=0,"",IFERROR(M184/L184,0))</f>
        <v/>
      </c>
      <c r="AG184" s="17">
        <f>IF(COUNT(C184:O184)=0,"",IFERROR(M184/H184,0))</f>
        <v/>
      </c>
      <c r="AH184" s="15">
        <f>IF(COUNT(C184:O184)=0,"",IFERROR(C184/M184,0))</f>
        <v/>
      </c>
      <c r="AI184" s="20">
        <f>IF(COUNT(C184:O184)=0,"",IFERROR(M184*Config!$C$7+N184*Config!$C$8,0))</f>
        <v/>
      </c>
      <c r="AJ184" s="20">
        <f>IF(COUNT(C184:O184)=0,"",IFERROR(IF(O184&gt;0,O184,AI184*Config!$C$9),0))</f>
        <v/>
      </c>
      <c r="AK184" s="20">
        <f>IF(COUNT(C184:O184)=0,"",IFERROR(AJ184*(1-Config!$C$10-Config!$C$11-Config!$C$12),0))</f>
        <v/>
      </c>
      <c r="AL184" s="20">
        <f>IF(COUNT(C184:O184)=0,"",IFERROR(AK184-C184-Config!$C$13,0))</f>
        <v/>
      </c>
      <c r="AM184" s="21">
        <f>IF(COUNT(C184:O184)=0,"",IFERROR(AK184/C184,0))</f>
        <v/>
      </c>
      <c r="AN184" s="21">
        <f>IF(COUNT(C184:O184)=0,"",IFERROR(AI184/C184,0))</f>
        <v/>
      </c>
      <c r="AO184" s="15">
        <f>IF(COUNT(C184:O184)=0,"",IFERROR(AL184/G184,0))</f>
        <v/>
      </c>
      <c r="AP184" s="21">
        <f>IF(COUNT(C184:O184)=0,"",IFERROR(AO184/U184,0))</f>
        <v/>
      </c>
      <c r="AQ184" s="15">
        <f>IF(COUNT(C184:O184)=0,"",IFERROR(AL184/H184,0))</f>
        <v/>
      </c>
    </row>
    <row r="185">
      <c r="A185" s="12">
        <f>Config!$C$6+179</f>
        <v/>
      </c>
      <c r="B185" s="13">
        <f>INT((A185-Config!$C$6)/7)+1</f>
        <v/>
      </c>
      <c r="C185" s="10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0" t="n"/>
      <c r="P185" s="15">
        <f>IF(COUNT(C185:O185)=0,"",IFERROR(C185/D185*1000,0))</f>
        <v/>
      </c>
      <c r="Q185" s="16">
        <f>IF(COUNT(C185:O185)=0,"",IFERROR(D185/E185,0))</f>
        <v/>
      </c>
      <c r="R185" s="17">
        <f>IF(COUNT(C185:O185)=0,"",IFERROR(F185/D185,0))</f>
        <v/>
      </c>
      <c r="S185" s="15">
        <f>IF(COUNT(C185:O185)=0,"",IFERROR(C185/F185,0))</f>
        <v/>
      </c>
      <c r="T185" s="18">
        <f>IF(COUNT(C185:O185)=0,"",IFERROR(G185/F185,0))</f>
        <v/>
      </c>
      <c r="U185" s="15">
        <f>IF(COUNT(C185:O185)=0,"",IFERROR(C185/G185,0))</f>
        <v/>
      </c>
      <c r="V185" s="19">
        <f>IF(COUNT(C185:O185)=0,"",IFERROR(G185/D185*1000,0))</f>
        <v/>
      </c>
      <c r="W185" s="18">
        <f>IF(COUNT(C185:O185)=0,"",IFERROR(H185/G185,0))</f>
        <v/>
      </c>
      <c r="X185" s="15">
        <f>IF(COUNT(C185:O185)=0,"",IFERROR(C185/H185,0))</f>
        <v/>
      </c>
      <c r="Y185" s="18">
        <f>IF(COUNT(C185:O185)=0,"",IFERROR(X185/P185,0))</f>
        <v/>
      </c>
      <c r="Z185" s="19">
        <f>IF(COUNT(C185:O185)=0,"",IFERROR(H185/D185*1000,0))</f>
        <v/>
      </c>
      <c r="AA185" s="18">
        <f>IF(COUNT(C185:O185)=0,"",IFERROR(I185/H185,0))</f>
        <v/>
      </c>
      <c r="AB185" s="18">
        <f>IF(COUNT(C185:O185)=0,"",IFERROR(J185/I185,0))</f>
        <v/>
      </c>
      <c r="AC185" s="18">
        <f>IF(COUNT(C185:O185)=0,"",IFERROR(K185/J185,0))</f>
        <v/>
      </c>
      <c r="AD185" s="15">
        <f>IF(COUNT(C185:O185)=0,"",IFERROR(C185/K185,0))</f>
        <v/>
      </c>
      <c r="AE185" s="18">
        <f>IF(COUNT(C185:O185)=0,"",IFERROR(L185/K185,0))</f>
        <v/>
      </c>
      <c r="AF185" s="18">
        <f>IF(COUNT(C185:O185)=0,"",IFERROR(M185/L185,0))</f>
        <v/>
      </c>
      <c r="AG185" s="17">
        <f>IF(COUNT(C185:O185)=0,"",IFERROR(M185/H185,0))</f>
        <v/>
      </c>
      <c r="AH185" s="15">
        <f>IF(COUNT(C185:O185)=0,"",IFERROR(C185/M185,0))</f>
        <v/>
      </c>
      <c r="AI185" s="20">
        <f>IF(COUNT(C185:O185)=0,"",IFERROR(M185*Config!$C$7+N185*Config!$C$8,0))</f>
        <v/>
      </c>
      <c r="AJ185" s="20">
        <f>IF(COUNT(C185:O185)=0,"",IFERROR(IF(O185&gt;0,O185,AI185*Config!$C$9),0))</f>
        <v/>
      </c>
      <c r="AK185" s="20">
        <f>IF(COUNT(C185:O185)=0,"",IFERROR(AJ185*(1-Config!$C$10-Config!$C$11-Config!$C$12),0))</f>
        <v/>
      </c>
      <c r="AL185" s="20">
        <f>IF(COUNT(C185:O185)=0,"",IFERROR(AK185-C185-Config!$C$13,0))</f>
        <v/>
      </c>
      <c r="AM185" s="21">
        <f>IF(COUNT(C185:O185)=0,"",IFERROR(AK185/C185,0))</f>
        <v/>
      </c>
      <c r="AN185" s="21">
        <f>IF(COUNT(C185:O185)=0,"",IFERROR(AI185/C185,0))</f>
        <v/>
      </c>
      <c r="AO185" s="15">
        <f>IF(COUNT(C185:O185)=0,"",IFERROR(AL185/G185,0))</f>
        <v/>
      </c>
      <c r="AP185" s="21">
        <f>IF(COUNT(C185:O185)=0,"",IFERROR(AO185/U185,0))</f>
        <v/>
      </c>
      <c r="AQ185" s="15">
        <f>IF(COUNT(C185:O185)=0,"",IFERROR(AL185/H185,0))</f>
        <v/>
      </c>
    </row>
    <row r="186">
      <c r="A186" s="12">
        <f>Config!$C$6+180</f>
        <v/>
      </c>
      <c r="B186" s="13">
        <f>INT((A186-Config!$C$6)/7)+1</f>
        <v/>
      </c>
      <c r="C186" s="10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0" t="n"/>
      <c r="P186" s="15">
        <f>IF(COUNT(C186:O186)=0,"",IFERROR(C186/D186*1000,0))</f>
        <v/>
      </c>
      <c r="Q186" s="16">
        <f>IF(COUNT(C186:O186)=0,"",IFERROR(D186/E186,0))</f>
        <v/>
      </c>
      <c r="R186" s="17">
        <f>IF(COUNT(C186:O186)=0,"",IFERROR(F186/D186,0))</f>
        <v/>
      </c>
      <c r="S186" s="15">
        <f>IF(COUNT(C186:O186)=0,"",IFERROR(C186/F186,0))</f>
        <v/>
      </c>
      <c r="T186" s="18">
        <f>IF(COUNT(C186:O186)=0,"",IFERROR(G186/F186,0))</f>
        <v/>
      </c>
      <c r="U186" s="15">
        <f>IF(COUNT(C186:O186)=0,"",IFERROR(C186/G186,0))</f>
        <v/>
      </c>
      <c r="V186" s="19">
        <f>IF(COUNT(C186:O186)=0,"",IFERROR(G186/D186*1000,0))</f>
        <v/>
      </c>
      <c r="W186" s="18">
        <f>IF(COUNT(C186:O186)=0,"",IFERROR(H186/G186,0))</f>
        <v/>
      </c>
      <c r="X186" s="15">
        <f>IF(COUNT(C186:O186)=0,"",IFERROR(C186/H186,0))</f>
        <v/>
      </c>
      <c r="Y186" s="18">
        <f>IF(COUNT(C186:O186)=0,"",IFERROR(X186/P186,0))</f>
        <v/>
      </c>
      <c r="Z186" s="19">
        <f>IF(COUNT(C186:O186)=0,"",IFERROR(H186/D186*1000,0))</f>
        <v/>
      </c>
      <c r="AA186" s="18">
        <f>IF(COUNT(C186:O186)=0,"",IFERROR(I186/H186,0))</f>
        <v/>
      </c>
      <c r="AB186" s="18">
        <f>IF(COUNT(C186:O186)=0,"",IFERROR(J186/I186,0))</f>
        <v/>
      </c>
      <c r="AC186" s="18">
        <f>IF(COUNT(C186:O186)=0,"",IFERROR(K186/J186,0))</f>
        <v/>
      </c>
      <c r="AD186" s="15">
        <f>IF(COUNT(C186:O186)=0,"",IFERROR(C186/K186,0))</f>
        <v/>
      </c>
      <c r="AE186" s="18">
        <f>IF(COUNT(C186:O186)=0,"",IFERROR(L186/K186,0))</f>
        <v/>
      </c>
      <c r="AF186" s="18">
        <f>IF(COUNT(C186:O186)=0,"",IFERROR(M186/L186,0))</f>
        <v/>
      </c>
      <c r="AG186" s="17">
        <f>IF(COUNT(C186:O186)=0,"",IFERROR(M186/H186,0))</f>
        <v/>
      </c>
      <c r="AH186" s="15">
        <f>IF(COUNT(C186:O186)=0,"",IFERROR(C186/M186,0))</f>
        <v/>
      </c>
      <c r="AI186" s="20">
        <f>IF(COUNT(C186:O186)=0,"",IFERROR(M186*Config!$C$7+N186*Config!$C$8,0))</f>
        <v/>
      </c>
      <c r="AJ186" s="20">
        <f>IF(COUNT(C186:O186)=0,"",IFERROR(IF(O186&gt;0,O186,AI186*Config!$C$9),0))</f>
        <v/>
      </c>
      <c r="AK186" s="20">
        <f>IF(COUNT(C186:O186)=0,"",IFERROR(AJ186*(1-Config!$C$10-Config!$C$11-Config!$C$12),0))</f>
        <v/>
      </c>
      <c r="AL186" s="20">
        <f>IF(COUNT(C186:O186)=0,"",IFERROR(AK186-C186-Config!$C$13,0))</f>
        <v/>
      </c>
      <c r="AM186" s="21">
        <f>IF(COUNT(C186:O186)=0,"",IFERROR(AK186/C186,0))</f>
        <v/>
      </c>
      <c r="AN186" s="21">
        <f>IF(COUNT(C186:O186)=0,"",IFERROR(AI186/C186,0))</f>
        <v/>
      </c>
      <c r="AO186" s="15">
        <f>IF(COUNT(C186:O186)=0,"",IFERROR(AL186/G186,0))</f>
        <v/>
      </c>
      <c r="AP186" s="21">
        <f>IF(COUNT(C186:O186)=0,"",IFERROR(AO186/U186,0))</f>
        <v/>
      </c>
      <c r="AQ186" s="15">
        <f>IF(COUNT(C186:O186)=0,"",IFERROR(AL186/H186,0))</f>
        <v/>
      </c>
    </row>
    <row r="187">
      <c r="A187" s="12">
        <f>Config!$C$6+181</f>
        <v/>
      </c>
      <c r="B187" s="13">
        <f>INT((A187-Config!$C$6)/7)+1</f>
        <v/>
      </c>
      <c r="C187" s="10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0" t="n"/>
      <c r="P187" s="15">
        <f>IF(COUNT(C187:O187)=0,"",IFERROR(C187/D187*1000,0))</f>
        <v/>
      </c>
      <c r="Q187" s="16">
        <f>IF(COUNT(C187:O187)=0,"",IFERROR(D187/E187,0))</f>
        <v/>
      </c>
      <c r="R187" s="17">
        <f>IF(COUNT(C187:O187)=0,"",IFERROR(F187/D187,0))</f>
        <v/>
      </c>
      <c r="S187" s="15">
        <f>IF(COUNT(C187:O187)=0,"",IFERROR(C187/F187,0))</f>
        <v/>
      </c>
      <c r="T187" s="18">
        <f>IF(COUNT(C187:O187)=0,"",IFERROR(G187/F187,0))</f>
        <v/>
      </c>
      <c r="U187" s="15">
        <f>IF(COUNT(C187:O187)=0,"",IFERROR(C187/G187,0))</f>
        <v/>
      </c>
      <c r="V187" s="19">
        <f>IF(COUNT(C187:O187)=0,"",IFERROR(G187/D187*1000,0))</f>
        <v/>
      </c>
      <c r="W187" s="18">
        <f>IF(COUNT(C187:O187)=0,"",IFERROR(H187/G187,0))</f>
        <v/>
      </c>
      <c r="X187" s="15">
        <f>IF(COUNT(C187:O187)=0,"",IFERROR(C187/H187,0))</f>
        <v/>
      </c>
      <c r="Y187" s="18">
        <f>IF(COUNT(C187:O187)=0,"",IFERROR(X187/P187,0))</f>
        <v/>
      </c>
      <c r="Z187" s="19">
        <f>IF(COUNT(C187:O187)=0,"",IFERROR(H187/D187*1000,0))</f>
        <v/>
      </c>
      <c r="AA187" s="18">
        <f>IF(COUNT(C187:O187)=0,"",IFERROR(I187/H187,0))</f>
        <v/>
      </c>
      <c r="AB187" s="18">
        <f>IF(COUNT(C187:O187)=0,"",IFERROR(J187/I187,0))</f>
        <v/>
      </c>
      <c r="AC187" s="18">
        <f>IF(COUNT(C187:O187)=0,"",IFERROR(K187/J187,0))</f>
        <v/>
      </c>
      <c r="AD187" s="15">
        <f>IF(COUNT(C187:O187)=0,"",IFERROR(C187/K187,0))</f>
        <v/>
      </c>
      <c r="AE187" s="18">
        <f>IF(COUNT(C187:O187)=0,"",IFERROR(L187/K187,0))</f>
        <v/>
      </c>
      <c r="AF187" s="18">
        <f>IF(COUNT(C187:O187)=0,"",IFERROR(M187/L187,0))</f>
        <v/>
      </c>
      <c r="AG187" s="17">
        <f>IF(COUNT(C187:O187)=0,"",IFERROR(M187/H187,0))</f>
        <v/>
      </c>
      <c r="AH187" s="15">
        <f>IF(COUNT(C187:O187)=0,"",IFERROR(C187/M187,0))</f>
        <v/>
      </c>
      <c r="AI187" s="20">
        <f>IF(COUNT(C187:O187)=0,"",IFERROR(M187*Config!$C$7+N187*Config!$C$8,0))</f>
        <v/>
      </c>
      <c r="AJ187" s="20">
        <f>IF(COUNT(C187:O187)=0,"",IFERROR(IF(O187&gt;0,O187,AI187*Config!$C$9),0))</f>
        <v/>
      </c>
      <c r="AK187" s="20">
        <f>IF(COUNT(C187:O187)=0,"",IFERROR(AJ187*(1-Config!$C$10-Config!$C$11-Config!$C$12),0))</f>
        <v/>
      </c>
      <c r="AL187" s="20">
        <f>IF(COUNT(C187:O187)=0,"",IFERROR(AK187-C187-Config!$C$13,0))</f>
        <v/>
      </c>
      <c r="AM187" s="21">
        <f>IF(COUNT(C187:O187)=0,"",IFERROR(AK187/C187,0))</f>
        <v/>
      </c>
      <c r="AN187" s="21">
        <f>IF(COUNT(C187:O187)=0,"",IFERROR(AI187/C187,0))</f>
        <v/>
      </c>
      <c r="AO187" s="15">
        <f>IF(COUNT(C187:O187)=0,"",IFERROR(AL187/G187,0))</f>
        <v/>
      </c>
      <c r="AP187" s="21">
        <f>IF(COUNT(C187:O187)=0,"",IFERROR(AO187/U187,0))</f>
        <v/>
      </c>
      <c r="AQ187" s="15">
        <f>IF(COUNT(C187:O187)=0,"",IFERROR(AL187/H187,0))</f>
        <v/>
      </c>
    </row>
    <row r="188">
      <c r="A188" s="12">
        <f>Config!$C$6+182</f>
        <v/>
      </c>
      <c r="B188" s="13">
        <f>INT((A188-Config!$C$6)/7)+1</f>
        <v/>
      </c>
      <c r="C188" s="10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0" t="n"/>
      <c r="P188" s="15">
        <f>IF(COUNT(C188:O188)=0,"",IFERROR(C188/D188*1000,0))</f>
        <v/>
      </c>
      <c r="Q188" s="16">
        <f>IF(COUNT(C188:O188)=0,"",IFERROR(D188/E188,0))</f>
        <v/>
      </c>
      <c r="R188" s="17">
        <f>IF(COUNT(C188:O188)=0,"",IFERROR(F188/D188,0))</f>
        <v/>
      </c>
      <c r="S188" s="15">
        <f>IF(COUNT(C188:O188)=0,"",IFERROR(C188/F188,0))</f>
        <v/>
      </c>
      <c r="T188" s="18">
        <f>IF(COUNT(C188:O188)=0,"",IFERROR(G188/F188,0))</f>
        <v/>
      </c>
      <c r="U188" s="15">
        <f>IF(COUNT(C188:O188)=0,"",IFERROR(C188/G188,0))</f>
        <v/>
      </c>
      <c r="V188" s="19">
        <f>IF(COUNT(C188:O188)=0,"",IFERROR(G188/D188*1000,0))</f>
        <v/>
      </c>
      <c r="W188" s="18">
        <f>IF(COUNT(C188:O188)=0,"",IFERROR(H188/G188,0))</f>
        <v/>
      </c>
      <c r="X188" s="15">
        <f>IF(COUNT(C188:O188)=0,"",IFERROR(C188/H188,0))</f>
        <v/>
      </c>
      <c r="Y188" s="18">
        <f>IF(COUNT(C188:O188)=0,"",IFERROR(X188/P188,0))</f>
        <v/>
      </c>
      <c r="Z188" s="19">
        <f>IF(COUNT(C188:O188)=0,"",IFERROR(H188/D188*1000,0))</f>
        <v/>
      </c>
      <c r="AA188" s="18">
        <f>IF(COUNT(C188:O188)=0,"",IFERROR(I188/H188,0))</f>
        <v/>
      </c>
      <c r="AB188" s="18">
        <f>IF(COUNT(C188:O188)=0,"",IFERROR(J188/I188,0))</f>
        <v/>
      </c>
      <c r="AC188" s="18">
        <f>IF(COUNT(C188:O188)=0,"",IFERROR(K188/J188,0))</f>
        <v/>
      </c>
      <c r="AD188" s="15">
        <f>IF(COUNT(C188:O188)=0,"",IFERROR(C188/K188,0))</f>
        <v/>
      </c>
      <c r="AE188" s="18">
        <f>IF(COUNT(C188:O188)=0,"",IFERROR(L188/K188,0))</f>
        <v/>
      </c>
      <c r="AF188" s="18">
        <f>IF(COUNT(C188:O188)=0,"",IFERROR(M188/L188,0))</f>
        <v/>
      </c>
      <c r="AG188" s="17">
        <f>IF(COUNT(C188:O188)=0,"",IFERROR(M188/H188,0))</f>
        <v/>
      </c>
      <c r="AH188" s="15">
        <f>IF(COUNT(C188:O188)=0,"",IFERROR(C188/M188,0))</f>
        <v/>
      </c>
      <c r="AI188" s="20">
        <f>IF(COUNT(C188:O188)=0,"",IFERROR(M188*Config!$C$7+N188*Config!$C$8,0))</f>
        <v/>
      </c>
      <c r="AJ188" s="20">
        <f>IF(COUNT(C188:O188)=0,"",IFERROR(IF(O188&gt;0,O188,AI188*Config!$C$9),0))</f>
        <v/>
      </c>
      <c r="AK188" s="20">
        <f>IF(COUNT(C188:O188)=0,"",IFERROR(AJ188*(1-Config!$C$10-Config!$C$11-Config!$C$12),0))</f>
        <v/>
      </c>
      <c r="AL188" s="20">
        <f>IF(COUNT(C188:O188)=0,"",IFERROR(AK188-C188-Config!$C$13,0))</f>
        <v/>
      </c>
      <c r="AM188" s="21">
        <f>IF(COUNT(C188:O188)=0,"",IFERROR(AK188/C188,0))</f>
        <v/>
      </c>
      <c r="AN188" s="21">
        <f>IF(COUNT(C188:O188)=0,"",IFERROR(AI188/C188,0))</f>
        <v/>
      </c>
      <c r="AO188" s="15">
        <f>IF(COUNT(C188:O188)=0,"",IFERROR(AL188/G188,0))</f>
        <v/>
      </c>
      <c r="AP188" s="21">
        <f>IF(COUNT(C188:O188)=0,"",IFERROR(AO188/U188,0))</f>
        <v/>
      </c>
      <c r="AQ188" s="15">
        <f>IF(COUNT(C188:O188)=0,"",IFERROR(AL188/H188,0))</f>
        <v/>
      </c>
    </row>
    <row r="189">
      <c r="A189" s="12">
        <f>Config!$C$6+183</f>
        <v/>
      </c>
      <c r="B189" s="13">
        <f>INT((A189-Config!$C$6)/7)+1</f>
        <v/>
      </c>
      <c r="C189" s="10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0" t="n"/>
      <c r="P189" s="15">
        <f>IF(COUNT(C189:O189)=0,"",IFERROR(C189/D189*1000,0))</f>
        <v/>
      </c>
      <c r="Q189" s="16">
        <f>IF(COUNT(C189:O189)=0,"",IFERROR(D189/E189,0))</f>
        <v/>
      </c>
      <c r="R189" s="17">
        <f>IF(COUNT(C189:O189)=0,"",IFERROR(F189/D189,0))</f>
        <v/>
      </c>
      <c r="S189" s="15">
        <f>IF(COUNT(C189:O189)=0,"",IFERROR(C189/F189,0))</f>
        <v/>
      </c>
      <c r="T189" s="18">
        <f>IF(COUNT(C189:O189)=0,"",IFERROR(G189/F189,0))</f>
        <v/>
      </c>
      <c r="U189" s="15">
        <f>IF(COUNT(C189:O189)=0,"",IFERROR(C189/G189,0))</f>
        <v/>
      </c>
      <c r="V189" s="19">
        <f>IF(COUNT(C189:O189)=0,"",IFERROR(G189/D189*1000,0))</f>
        <v/>
      </c>
      <c r="W189" s="18">
        <f>IF(COUNT(C189:O189)=0,"",IFERROR(H189/G189,0))</f>
        <v/>
      </c>
      <c r="X189" s="15">
        <f>IF(COUNT(C189:O189)=0,"",IFERROR(C189/H189,0))</f>
        <v/>
      </c>
      <c r="Y189" s="18">
        <f>IF(COUNT(C189:O189)=0,"",IFERROR(X189/P189,0))</f>
        <v/>
      </c>
      <c r="Z189" s="19">
        <f>IF(COUNT(C189:O189)=0,"",IFERROR(H189/D189*1000,0))</f>
        <v/>
      </c>
      <c r="AA189" s="18">
        <f>IF(COUNT(C189:O189)=0,"",IFERROR(I189/H189,0))</f>
        <v/>
      </c>
      <c r="AB189" s="18">
        <f>IF(COUNT(C189:O189)=0,"",IFERROR(J189/I189,0))</f>
        <v/>
      </c>
      <c r="AC189" s="18">
        <f>IF(COUNT(C189:O189)=0,"",IFERROR(K189/J189,0))</f>
        <v/>
      </c>
      <c r="AD189" s="15">
        <f>IF(COUNT(C189:O189)=0,"",IFERROR(C189/K189,0))</f>
        <v/>
      </c>
      <c r="AE189" s="18">
        <f>IF(COUNT(C189:O189)=0,"",IFERROR(L189/K189,0))</f>
        <v/>
      </c>
      <c r="AF189" s="18">
        <f>IF(COUNT(C189:O189)=0,"",IFERROR(M189/L189,0))</f>
        <v/>
      </c>
      <c r="AG189" s="17">
        <f>IF(COUNT(C189:O189)=0,"",IFERROR(M189/H189,0))</f>
        <v/>
      </c>
      <c r="AH189" s="15">
        <f>IF(COUNT(C189:O189)=0,"",IFERROR(C189/M189,0))</f>
        <v/>
      </c>
      <c r="AI189" s="20">
        <f>IF(COUNT(C189:O189)=0,"",IFERROR(M189*Config!$C$7+N189*Config!$C$8,0))</f>
        <v/>
      </c>
      <c r="AJ189" s="20">
        <f>IF(COUNT(C189:O189)=0,"",IFERROR(IF(O189&gt;0,O189,AI189*Config!$C$9),0))</f>
        <v/>
      </c>
      <c r="AK189" s="20">
        <f>IF(COUNT(C189:O189)=0,"",IFERROR(AJ189*(1-Config!$C$10-Config!$C$11-Config!$C$12),0))</f>
        <v/>
      </c>
      <c r="AL189" s="20">
        <f>IF(COUNT(C189:O189)=0,"",IFERROR(AK189-C189-Config!$C$13,0))</f>
        <v/>
      </c>
      <c r="AM189" s="21">
        <f>IF(COUNT(C189:O189)=0,"",IFERROR(AK189/C189,0))</f>
        <v/>
      </c>
      <c r="AN189" s="21">
        <f>IF(COUNT(C189:O189)=0,"",IFERROR(AI189/C189,0))</f>
        <v/>
      </c>
      <c r="AO189" s="15">
        <f>IF(COUNT(C189:O189)=0,"",IFERROR(AL189/G189,0))</f>
        <v/>
      </c>
      <c r="AP189" s="21">
        <f>IF(COUNT(C189:O189)=0,"",IFERROR(AO189/U189,0))</f>
        <v/>
      </c>
      <c r="AQ189" s="15">
        <f>IF(COUNT(C189:O189)=0,"",IFERROR(AL189/H189,0))</f>
        <v/>
      </c>
    </row>
    <row r="190">
      <c r="A190" s="12">
        <f>Config!$C$6+184</f>
        <v/>
      </c>
      <c r="B190" s="13">
        <f>INT((A190-Config!$C$6)/7)+1</f>
        <v/>
      </c>
      <c r="C190" s="10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0" t="n"/>
      <c r="P190" s="15">
        <f>IF(COUNT(C190:O190)=0,"",IFERROR(C190/D190*1000,0))</f>
        <v/>
      </c>
      <c r="Q190" s="16">
        <f>IF(COUNT(C190:O190)=0,"",IFERROR(D190/E190,0))</f>
        <v/>
      </c>
      <c r="R190" s="17">
        <f>IF(COUNT(C190:O190)=0,"",IFERROR(F190/D190,0))</f>
        <v/>
      </c>
      <c r="S190" s="15">
        <f>IF(COUNT(C190:O190)=0,"",IFERROR(C190/F190,0))</f>
        <v/>
      </c>
      <c r="T190" s="18">
        <f>IF(COUNT(C190:O190)=0,"",IFERROR(G190/F190,0))</f>
        <v/>
      </c>
      <c r="U190" s="15">
        <f>IF(COUNT(C190:O190)=0,"",IFERROR(C190/G190,0))</f>
        <v/>
      </c>
      <c r="V190" s="19">
        <f>IF(COUNT(C190:O190)=0,"",IFERROR(G190/D190*1000,0))</f>
        <v/>
      </c>
      <c r="W190" s="18">
        <f>IF(COUNT(C190:O190)=0,"",IFERROR(H190/G190,0))</f>
        <v/>
      </c>
      <c r="X190" s="15">
        <f>IF(COUNT(C190:O190)=0,"",IFERROR(C190/H190,0))</f>
        <v/>
      </c>
      <c r="Y190" s="18">
        <f>IF(COUNT(C190:O190)=0,"",IFERROR(X190/P190,0))</f>
        <v/>
      </c>
      <c r="Z190" s="19">
        <f>IF(COUNT(C190:O190)=0,"",IFERROR(H190/D190*1000,0))</f>
        <v/>
      </c>
      <c r="AA190" s="18">
        <f>IF(COUNT(C190:O190)=0,"",IFERROR(I190/H190,0))</f>
        <v/>
      </c>
      <c r="AB190" s="18">
        <f>IF(COUNT(C190:O190)=0,"",IFERROR(J190/I190,0))</f>
        <v/>
      </c>
      <c r="AC190" s="18">
        <f>IF(COUNT(C190:O190)=0,"",IFERROR(K190/J190,0))</f>
        <v/>
      </c>
      <c r="AD190" s="15">
        <f>IF(COUNT(C190:O190)=0,"",IFERROR(C190/K190,0))</f>
        <v/>
      </c>
      <c r="AE190" s="18">
        <f>IF(COUNT(C190:O190)=0,"",IFERROR(L190/K190,0))</f>
        <v/>
      </c>
      <c r="AF190" s="18">
        <f>IF(COUNT(C190:O190)=0,"",IFERROR(M190/L190,0))</f>
        <v/>
      </c>
      <c r="AG190" s="17">
        <f>IF(COUNT(C190:O190)=0,"",IFERROR(M190/H190,0))</f>
        <v/>
      </c>
      <c r="AH190" s="15">
        <f>IF(COUNT(C190:O190)=0,"",IFERROR(C190/M190,0))</f>
        <v/>
      </c>
      <c r="AI190" s="20">
        <f>IF(COUNT(C190:O190)=0,"",IFERROR(M190*Config!$C$7+N190*Config!$C$8,0))</f>
        <v/>
      </c>
      <c r="AJ190" s="20">
        <f>IF(COUNT(C190:O190)=0,"",IFERROR(IF(O190&gt;0,O190,AI190*Config!$C$9),0))</f>
        <v/>
      </c>
      <c r="AK190" s="20">
        <f>IF(COUNT(C190:O190)=0,"",IFERROR(AJ190*(1-Config!$C$10-Config!$C$11-Config!$C$12),0))</f>
        <v/>
      </c>
      <c r="AL190" s="20">
        <f>IF(COUNT(C190:O190)=0,"",IFERROR(AK190-C190-Config!$C$13,0))</f>
        <v/>
      </c>
      <c r="AM190" s="21">
        <f>IF(COUNT(C190:O190)=0,"",IFERROR(AK190/C190,0))</f>
        <v/>
      </c>
      <c r="AN190" s="21">
        <f>IF(COUNT(C190:O190)=0,"",IFERROR(AI190/C190,0))</f>
        <v/>
      </c>
      <c r="AO190" s="15">
        <f>IF(COUNT(C190:O190)=0,"",IFERROR(AL190/G190,0))</f>
        <v/>
      </c>
      <c r="AP190" s="21">
        <f>IF(COUNT(C190:O190)=0,"",IFERROR(AO190/U190,0))</f>
        <v/>
      </c>
      <c r="AQ190" s="15">
        <f>IF(COUNT(C190:O190)=0,"",IFERROR(AL190/H190,0))</f>
        <v/>
      </c>
    </row>
    <row r="191">
      <c r="A191" s="12">
        <f>Config!$C$6+185</f>
        <v/>
      </c>
      <c r="B191" s="13">
        <f>INT((A191-Config!$C$6)/7)+1</f>
        <v/>
      </c>
      <c r="C191" s="10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0" t="n"/>
      <c r="P191" s="15">
        <f>IF(COUNT(C191:O191)=0,"",IFERROR(C191/D191*1000,0))</f>
        <v/>
      </c>
      <c r="Q191" s="16">
        <f>IF(COUNT(C191:O191)=0,"",IFERROR(D191/E191,0))</f>
        <v/>
      </c>
      <c r="R191" s="17">
        <f>IF(COUNT(C191:O191)=0,"",IFERROR(F191/D191,0))</f>
        <v/>
      </c>
      <c r="S191" s="15">
        <f>IF(COUNT(C191:O191)=0,"",IFERROR(C191/F191,0))</f>
        <v/>
      </c>
      <c r="T191" s="18">
        <f>IF(COUNT(C191:O191)=0,"",IFERROR(G191/F191,0))</f>
        <v/>
      </c>
      <c r="U191" s="15">
        <f>IF(COUNT(C191:O191)=0,"",IFERROR(C191/G191,0))</f>
        <v/>
      </c>
      <c r="V191" s="19">
        <f>IF(COUNT(C191:O191)=0,"",IFERROR(G191/D191*1000,0))</f>
        <v/>
      </c>
      <c r="W191" s="18">
        <f>IF(COUNT(C191:O191)=0,"",IFERROR(H191/G191,0))</f>
        <v/>
      </c>
      <c r="X191" s="15">
        <f>IF(COUNT(C191:O191)=0,"",IFERROR(C191/H191,0))</f>
        <v/>
      </c>
      <c r="Y191" s="18">
        <f>IF(COUNT(C191:O191)=0,"",IFERROR(X191/P191,0))</f>
        <v/>
      </c>
      <c r="Z191" s="19">
        <f>IF(COUNT(C191:O191)=0,"",IFERROR(H191/D191*1000,0))</f>
        <v/>
      </c>
      <c r="AA191" s="18">
        <f>IF(COUNT(C191:O191)=0,"",IFERROR(I191/H191,0))</f>
        <v/>
      </c>
      <c r="AB191" s="18">
        <f>IF(COUNT(C191:O191)=0,"",IFERROR(J191/I191,0))</f>
        <v/>
      </c>
      <c r="AC191" s="18">
        <f>IF(COUNT(C191:O191)=0,"",IFERROR(K191/J191,0))</f>
        <v/>
      </c>
      <c r="AD191" s="15">
        <f>IF(COUNT(C191:O191)=0,"",IFERROR(C191/K191,0))</f>
        <v/>
      </c>
      <c r="AE191" s="18">
        <f>IF(COUNT(C191:O191)=0,"",IFERROR(L191/K191,0))</f>
        <v/>
      </c>
      <c r="AF191" s="18">
        <f>IF(COUNT(C191:O191)=0,"",IFERROR(M191/L191,0))</f>
        <v/>
      </c>
      <c r="AG191" s="17">
        <f>IF(COUNT(C191:O191)=0,"",IFERROR(M191/H191,0))</f>
        <v/>
      </c>
      <c r="AH191" s="15">
        <f>IF(COUNT(C191:O191)=0,"",IFERROR(C191/M191,0))</f>
        <v/>
      </c>
      <c r="AI191" s="20">
        <f>IF(COUNT(C191:O191)=0,"",IFERROR(M191*Config!$C$7+N191*Config!$C$8,0))</f>
        <v/>
      </c>
      <c r="AJ191" s="20">
        <f>IF(COUNT(C191:O191)=0,"",IFERROR(IF(O191&gt;0,O191,AI191*Config!$C$9),0))</f>
        <v/>
      </c>
      <c r="AK191" s="20">
        <f>IF(COUNT(C191:O191)=0,"",IFERROR(AJ191*(1-Config!$C$10-Config!$C$11-Config!$C$12),0))</f>
        <v/>
      </c>
      <c r="AL191" s="20">
        <f>IF(COUNT(C191:O191)=0,"",IFERROR(AK191-C191-Config!$C$13,0))</f>
        <v/>
      </c>
      <c r="AM191" s="21">
        <f>IF(COUNT(C191:O191)=0,"",IFERROR(AK191/C191,0))</f>
        <v/>
      </c>
      <c r="AN191" s="21">
        <f>IF(COUNT(C191:O191)=0,"",IFERROR(AI191/C191,0))</f>
        <v/>
      </c>
      <c r="AO191" s="15">
        <f>IF(COUNT(C191:O191)=0,"",IFERROR(AL191/G191,0))</f>
        <v/>
      </c>
      <c r="AP191" s="21">
        <f>IF(COUNT(C191:O191)=0,"",IFERROR(AO191/U191,0))</f>
        <v/>
      </c>
      <c r="AQ191" s="15">
        <f>IF(COUNT(C191:O191)=0,"",IFERROR(AL191/H191,0))</f>
        <v/>
      </c>
    </row>
    <row r="192">
      <c r="A192" s="12">
        <f>Config!$C$6+186</f>
        <v/>
      </c>
      <c r="B192" s="13">
        <f>INT((A192-Config!$C$6)/7)+1</f>
        <v/>
      </c>
      <c r="C192" s="10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0" t="n"/>
      <c r="P192" s="15">
        <f>IF(COUNT(C192:O192)=0,"",IFERROR(C192/D192*1000,0))</f>
        <v/>
      </c>
      <c r="Q192" s="16">
        <f>IF(COUNT(C192:O192)=0,"",IFERROR(D192/E192,0))</f>
        <v/>
      </c>
      <c r="R192" s="17">
        <f>IF(COUNT(C192:O192)=0,"",IFERROR(F192/D192,0))</f>
        <v/>
      </c>
      <c r="S192" s="15">
        <f>IF(COUNT(C192:O192)=0,"",IFERROR(C192/F192,0))</f>
        <v/>
      </c>
      <c r="T192" s="18">
        <f>IF(COUNT(C192:O192)=0,"",IFERROR(G192/F192,0))</f>
        <v/>
      </c>
      <c r="U192" s="15">
        <f>IF(COUNT(C192:O192)=0,"",IFERROR(C192/G192,0))</f>
        <v/>
      </c>
      <c r="V192" s="19">
        <f>IF(COUNT(C192:O192)=0,"",IFERROR(G192/D192*1000,0))</f>
        <v/>
      </c>
      <c r="W192" s="18">
        <f>IF(COUNT(C192:O192)=0,"",IFERROR(H192/G192,0))</f>
        <v/>
      </c>
      <c r="X192" s="15">
        <f>IF(COUNT(C192:O192)=0,"",IFERROR(C192/H192,0))</f>
        <v/>
      </c>
      <c r="Y192" s="18">
        <f>IF(COUNT(C192:O192)=0,"",IFERROR(X192/P192,0))</f>
        <v/>
      </c>
      <c r="Z192" s="19">
        <f>IF(COUNT(C192:O192)=0,"",IFERROR(H192/D192*1000,0))</f>
        <v/>
      </c>
      <c r="AA192" s="18">
        <f>IF(COUNT(C192:O192)=0,"",IFERROR(I192/H192,0))</f>
        <v/>
      </c>
      <c r="AB192" s="18">
        <f>IF(COUNT(C192:O192)=0,"",IFERROR(J192/I192,0))</f>
        <v/>
      </c>
      <c r="AC192" s="18">
        <f>IF(COUNT(C192:O192)=0,"",IFERROR(K192/J192,0))</f>
        <v/>
      </c>
      <c r="AD192" s="15">
        <f>IF(COUNT(C192:O192)=0,"",IFERROR(C192/K192,0))</f>
        <v/>
      </c>
      <c r="AE192" s="18">
        <f>IF(COUNT(C192:O192)=0,"",IFERROR(L192/K192,0))</f>
        <v/>
      </c>
      <c r="AF192" s="18">
        <f>IF(COUNT(C192:O192)=0,"",IFERROR(M192/L192,0))</f>
        <v/>
      </c>
      <c r="AG192" s="17">
        <f>IF(COUNT(C192:O192)=0,"",IFERROR(M192/H192,0))</f>
        <v/>
      </c>
      <c r="AH192" s="15">
        <f>IF(COUNT(C192:O192)=0,"",IFERROR(C192/M192,0))</f>
        <v/>
      </c>
      <c r="AI192" s="20">
        <f>IF(COUNT(C192:O192)=0,"",IFERROR(M192*Config!$C$7+N192*Config!$C$8,0))</f>
        <v/>
      </c>
      <c r="AJ192" s="20">
        <f>IF(COUNT(C192:O192)=0,"",IFERROR(IF(O192&gt;0,O192,AI192*Config!$C$9),0))</f>
        <v/>
      </c>
      <c r="AK192" s="20">
        <f>IF(COUNT(C192:O192)=0,"",IFERROR(AJ192*(1-Config!$C$10-Config!$C$11-Config!$C$12),0))</f>
        <v/>
      </c>
      <c r="AL192" s="20">
        <f>IF(COUNT(C192:O192)=0,"",IFERROR(AK192-C192-Config!$C$13,0))</f>
        <v/>
      </c>
      <c r="AM192" s="21">
        <f>IF(COUNT(C192:O192)=0,"",IFERROR(AK192/C192,0))</f>
        <v/>
      </c>
      <c r="AN192" s="21">
        <f>IF(COUNT(C192:O192)=0,"",IFERROR(AI192/C192,0))</f>
        <v/>
      </c>
      <c r="AO192" s="15">
        <f>IF(COUNT(C192:O192)=0,"",IFERROR(AL192/G192,0))</f>
        <v/>
      </c>
      <c r="AP192" s="21">
        <f>IF(COUNT(C192:O192)=0,"",IFERROR(AO192/U192,0))</f>
        <v/>
      </c>
      <c r="AQ192" s="15">
        <f>IF(COUNT(C192:O192)=0,"",IFERROR(AL192/H192,0))</f>
        <v/>
      </c>
    </row>
    <row r="193">
      <c r="A193" s="12">
        <f>Config!$C$6+187</f>
        <v/>
      </c>
      <c r="B193" s="13">
        <f>INT((A193-Config!$C$6)/7)+1</f>
        <v/>
      </c>
      <c r="C193" s="10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0" t="n"/>
      <c r="P193" s="15">
        <f>IF(COUNT(C193:O193)=0,"",IFERROR(C193/D193*1000,0))</f>
        <v/>
      </c>
      <c r="Q193" s="16">
        <f>IF(COUNT(C193:O193)=0,"",IFERROR(D193/E193,0))</f>
        <v/>
      </c>
      <c r="R193" s="17">
        <f>IF(COUNT(C193:O193)=0,"",IFERROR(F193/D193,0))</f>
        <v/>
      </c>
      <c r="S193" s="15">
        <f>IF(COUNT(C193:O193)=0,"",IFERROR(C193/F193,0))</f>
        <v/>
      </c>
      <c r="T193" s="18">
        <f>IF(COUNT(C193:O193)=0,"",IFERROR(G193/F193,0))</f>
        <v/>
      </c>
      <c r="U193" s="15">
        <f>IF(COUNT(C193:O193)=0,"",IFERROR(C193/G193,0))</f>
        <v/>
      </c>
      <c r="V193" s="19">
        <f>IF(COUNT(C193:O193)=0,"",IFERROR(G193/D193*1000,0))</f>
        <v/>
      </c>
      <c r="W193" s="18">
        <f>IF(COUNT(C193:O193)=0,"",IFERROR(H193/G193,0))</f>
        <v/>
      </c>
      <c r="X193" s="15">
        <f>IF(COUNT(C193:O193)=0,"",IFERROR(C193/H193,0))</f>
        <v/>
      </c>
      <c r="Y193" s="18">
        <f>IF(COUNT(C193:O193)=0,"",IFERROR(X193/P193,0))</f>
        <v/>
      </c>
      <c r="Z193" s="19">
        <f>IF(COUNT(C193:O193)=0,"",IFERROR(H193/D193*1000,0))</f>
        <v/>
      </c>
      <c r="AA193" s="18">
        <f>IF(COUNT(C193:O193)=0,"",IFERROR(I193/H193,0))</f>
        <v/>
      </c>
      <c r="AB193" s="18">
        <f>IF(COUNT(C193:O193)=0,"",IFERROR(J193/I193,0))</f>
        <v/>
      </c>
      <c r="AC193" s="18">
        <f>IF(COUNT(C193:O193)=0,"",IFERROR(K193/J193,0))</f>
        <v/>
      </c>
      <c r="AD193" s="15">
        <f>IF(COUNT(C193:O193)=0,"",IFERROR(C193/K193,0))</f>
        <v/>
      </c>
      <c r="AE193" s="18">
        <f>IF(COUNT(C193:O193)=0,"",IFERROR(L193/K193,0))</f>
        <v/>
      </c>
      <c r="AF193" s="18">
        <f>IF(COUNT(C193:O193)=0,"",IFERROR(M193/L193,0))</f>
        <v/>
      </c>
      <c r="AG193" s="17">
        <f>IF(COUNT(C193:O193)=0,"",IFERROR(M193/H193,0))</f>
        <v/>
      </c>
      <c r="AH193" s="15">
        <f>IF(COUNT(C193:O193)=0,"",IFERROR(C193/M193,0))</f>
        <v/>
      </c>
      <c r="AI193" s="20">
        <f>IF(COUNT(C193:O193)=0,"",IFERROR(M193*Config!$C$7+N193*Config!$C$8,0))</f>
        <v/>
      </c>
      <c r="AJ193" s="20">
        <f>IF(COUNT(C193:O193)=0,"",IFERROR(IF(O193&gt;0,O193,AI193*Config!$C$9),0))</f>
        <v/>
      </c>
      <c r="AK193" s="20">
        <f>IF(COUNT(C193:O193)=0,"",IFERROR(AJ193*(1-Config!$C$10-Config!$C$11-Config!$C$12),0))</f>
        <v/>
      </c>
      <c r="AL193" s="20">
        <f>IF(COUNT(C193:O193)=0,"",IFERROR(AK193-C193-Config!$C$13,0))</f>
        <v/>
      </c>
      <c r="AM193" s="21">
        <f>IF(COUNT(C193:O193)=0,"",IFERROR(AK193/C193,0))</f>
        <v/>
      </c>
      <c r="AN193" s="21">
        <f>IF(COUNT(C193:O193)=0,"",IFERROR(AI193/C193,0))</f>
        <v/>
      </c>
      <c r="AO193" s="15">
        <f>IF(COUNT(C193:O193)=0,"",IFERROR(AL193/G193,0))</f>
        <v/>
      </c>
      <c r="AP193" s="21">
        <f>IF(COUNT(C193:O193)=0,"",IFERROR(AO193/U193,0))</f>
        <v/>
      </c>
      <c r="AQ193" s="15">
        <f>IF(COUNT(C193:O193)=0,"",IFERROR(AL193/H193,0))</f>
        <v/>
      </c>
    </row>
    <row r="194">
      <c r="A194" s="12">
        <f>Config!$C$6+188</f>
        <v/>
      </c>
      <c r="B194" s="13">
        <f>INT((A194-Config!$C$6)/7)+1</f>
        <v/>
      </c>
      <c r="C194" s="10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0" t="n"/>
      <c r="P194" s="15">
        <f>IF(COUNT(C194:O194)=0,"",IFERROR(C194/D194*1000,0))</f>
        <v/>
      </c>
      <c r="Q194" s="16">
        <f>IF(COUNT(C194:O194)=0,"",IFERROR(D194/E194,0))</f>
        <v/>
      </c>
      <c r="R194" s="17">
        <f>IF(COUNT(C194:O194)=0,"",IFERROR(F194/D194,0))</f>
        <v/>
      </c>
      <c r="S194" s="15">
        <f>IF(COUNT(C194:O194)=0,"",IFERROR(C194/F194,0))</f>
        <v/>
      </c>
      <c r="T194" s="18">
        <f>IF(COUNT(C194:O194)=0,"",IFERROR(G194/F194,0))</f>
        <v/>
      </c>
      <c r="U194" s="15">
        <f>IF(COUNT(C194:O194)=0,"",IFERROR(C194/G194,0))</f>
        <v/>
      </c>
      <c r="V194" s="19">
        <f>IF(COUNT(C194:O194)=0,"",IFERROR(G194/D194*1000,0))</f>
        <v/>
      </c>
      <c r="W194" s="18">
        <f>IF(COUNT(C194:O194)=0,"",IFERROR(H194/G194,0))</f>
        <v/>
      </c>
      <c r="X194" s="15">
        <f>IF(COUNT(C194:O194)=0,"",IFERROR(C194/H194,0))</f>
        <v/>
      </c>
      <c r="Y194" s="18">
        <f>IF(COUNT(C194:O194)=0,"",IFERROR(X194/P194,0))</f>
        <v/>
      </c>
      <c r="Z194" s="19">
        <f>IF(COUNT(C194:O194)=0,"",IFERROR(H194/D194*1000,0))</f>
        <v/>
      </c>
      <c r="AA194" s="18">
        <f>IF(COUNT(C194:O194)=0,"",IFERROR(I194/H194,0))</f>
        <v/>
      </c>
      <c r="AB194" s="18">
        <f>IF(COUNT(C194:O194)=0,"",IFERROR(J194/I194,0))</f>
        <v/>
      </c>
      <c r="AC194" s="18">
        <f>IF(COUNT(C194:O194)=0,"",IFERROR(K194/J194,0))</f>
        <v/>
      </c>
      <c r="AD194" s="15">
        <f>IF(COUNT(C194:O194)=0,"",IFERROR(C194/K194,0))</f>
        <v/>
      </c>
      <c r="AE194" s="18">
        <f>IF(COUNT(C194:O194)=0,"",IFERROR(L194/K194,0))</f>
        <v/>
      </c>
      <c r="AF194" s="18">
        <f>IF(COUNT(C194:O194)=0,"",IFERROR(M194/L194,0))</f>
        <v/>
      </c>
      <c r="AG194" s="17">
        <f>IF(COUNT(C194:O194)=0,"",IFERROR(M194/H194,0))</f>
        <v/>
      </c>
      <c r="AH194" s="15">
        <f>IF(COUNT(C194:O194)=0,"",IFERROR(C194/M194,0))</f>
        <v/>
      </c>
      <c r="AI194" s="20">
        <f>IF(COUNT(C194:O194)=0,"",IFERROR(M194*Config!$C$7+N194*Config!$C$8,0))</f>
        <v/>
      </c>
      <c r="AJ194" s="20">
        <f>IF(COUNT(C194:O194)=0,"",IFERROR(IF(O194&gt;0,O194,AI194*Config!$C$9),0))</f>
        <v/>
      </c>
      <c r="AK194" s="20">
        <f>IF(COUNT(C194:O194)=0,"",IFERROR(AJ194*(1-Config!$C$10-Config!$C$11-Config!$C$12),0))</f>
        <v/>
      </c>
      <c r="AL194" s="20">
        <f>IF(COUNT(C194:O194)=0,"",IFERROR(AK194-C194-Config!$C$13,0))</f>
        <v/>
      </c>
      <c r="AM194" s="21">
        <f>IF(COUNT(C194:O194)=0,"",IFERROR(AK194/C194,0))</f>
        <v/>
      </c>
      <c r="AN194" s="21">
        <f>IF(COUNT(C194:O194)=0,"",IFERROR(AI194/C194,0))</f>
        <v/>
      </c>
      <c r="AO194" s="15">
        <f>IF(COUNT(C194:O194)=0,"",IFERROR(AL194/G194,0))</f>
        <v/>
      </c>
      <c r="AP194" s="21">
        <f>IF(COUNT(C194:O194)=0,"",IFERROR(AO194/U194,0))</f>
        <v/>
      </c>
      <c r="AQ194" s="15">
        <f>IF(COUNT(C194:O194)=0,"",IFERROR(AL194/H194,0))</f>
        <v/>
      </c>
    </row>
    <row r="195">
      <c r="A195" s="12">
        <f>Config!$C$6+189</f>
        <v/>
      </c>
      <c r="B195" s="13">
        <f>INT((A195-Config!$C$6)/7)+1</f>
        <v/>
      </c>
      <c r="C195" s="10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0" t="n"/>
      <c r="P195" s="15">
        <f>IF(COUNT(C195:O195)=0,"",IFERROR(C195/D195*1000,0))</f>
        <v/>
      </c>
      <c r="Q195" s="16">
        <f>IF(COUNT(C195:O195)=0,"",IFERROR(D195/E195,0))</f>
        <v/>
      </c>
      <c r="R195" s="17">
        <f>IF(COUNT(C195:O195)=0,"",IFERROR(F195/D195,0))</f>
        <v/>
      </c>
      <c r="S195" s="15">
        <f>IF(COUNT(C195:O195)=0,"",IFERROR(C195/F195,0))</f>
        <v/>
      </c>
      <c r="T195" s="18">
        <f>IF(COUNT(C195:O195)=0,"",IFERROR(G195/F195,0))</f>
        <v/>
      </c>
      <c r="U195" s="15">
        <f>IF(COUNT(C195:O195)=0,"",IFERROR(C195/G195,0))</f>
        <v/>
      </c>
      <c r="V195" s="19">
        <f>IF(COUNT(C195:O195)=0,"",IFERROR(G195/D195*1000,0))</f>
        <v/>
      </c>
      <c r="W195" s="18">
        <f>IF(COUNT(C195:O195)=0,"",IFERROR(H195/G195,0))</f>
        <v/>
      </c>
      <c r="X195" s="15">
        <f>IF(COUNT(C195:O195)=0,"",IFERROR(C195/H195,0))</f>
        <v/>
      </c>
      <c r="Y195" s="18">
        <f>IF(COUNT(C195:O195)=0,"",IFERROR(X195/P195,0))</f>
        <v/>
      </c>
      <c r="Z195" s="19">
        <f>IF(COUNT(C195:O195)=0,"",IFERROR(H195/D195*1000,0))</f>
        <v/>
      </c>
      <c r="AA195" s="18">
        <f>IF(COUNT(C195:O195)=0,"",IFERROR(I195/H195,0))</f>
        <v/>
      </c>
      <c r="AB195" s="18">
        <f>IF(COUNT(C195:O195)=0,"",IFERROR(J195/I195,0))</f>
        <v/>
      </c>
      <c r="AC195" s="18">
        <f>IF(COUNT(C195:O195)=0,"",IFERROR(K195/J195,0))</f>
        <v/>
      </c>
      <c r="AD195" s="15">
        <f>IF(COUNT(C195:O195)=0,"",IFERROR(C195/K195,0))</f>
        <v/>
      </c>
      <c r="AE195" s="18">
        <f>IF(COUNT(C195:O195)=0,"",IFERROR(L195/K195,0))</f>
        <v/>
      </c>
      <c r="AF195" s="18">
        <f>IF(COUNT(C195:O195)=0,"",IFERROR(M195/L195,0))</f>
        <v/>
      </c>
      <c r="AG195" s="17">
        <f>IF(COUNT(C195:O195)=0,"",IFERROR(M195/H195,0))</f>
        <v/>
      </c>
      <c r="AH195" s="15">
        <f>IF(COUNT(C195:O195)=0,"",IFERROR(C195/M195,0))</f>
        <v/>
      </c>
      <c r="AI195" s="20">
        <f>IF(COUNT(C195:O195)=0,"",IFERROR(M195*Config!$C$7+N195*Config!$C$8,0))</f>
        <v/>
      </c>
      <c r="AJ195" s="20">
        <f>IF(COUNT(C195:O195)=0,"",IFERROR(IF(O195&gt;0,O195,AI195*Config!$C$9),0))</f>
        <v/>
      </c>
      <c r="AK195" s="20">
        <f>IF(COUNT(C195:O195)=0,"",IFERROR(AJ195*(1-Config!$C$10-Config!$C$11-Config!$C$12),0))</f>
        <v/>
      </c>
      <c r="AL195" s="20">
        <f>IF(COUNT(C195:O195)=0,"",IFERROR(AK195-C195-Config!$C$13,0))</f>
        <v/>
      </c>
      <c r="AM195" s="21">
        <f>IF(COUNT(C195:O195)=0,"",IFERROR(AK195/C195,0))</f>
        <v/>
      </c>
      <c r="AN195" s="21">
        <f>IF(COUNT(C195:O195)=0,"",IFERROR(AI195/C195,0))</f>
        <v/>
      </c>
      <c r="AO195" s="15">
        <f>IF(COUNT(C195:O195)=0,"",IFERROR(AL195/G195,0))</f>
        <v/>
      </c>
      <c r="AP195" s="21">
        <f>IF(COUNT(C195:O195)=0,"",IFERROR(AO195/U195,0))</f>
        <v/>
      </c>
      <c r="AQ195" s="15">
        <f>IF(COUNT(C195:O195)=0,"",IFERROR(AL195/H195,0))</f>
        <v/>
      </c>
    </row>
    <row r="196">
      <c r="A196" s="12">
        <f>Config!$C$6+190</f>
        <v/>
      </c>
      <c r="B196" s="13">
        <f>INT((A196-Config!$C$6)/7)+1</f>
        <v/>
      </c>
      <c r="C196" s="10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0" t="n"/>
      <c r="P196" s="15">
        <f>IF(COUNT(C196:O196)=0,"",IFERROR(C196/D196*1000,0))</f>
        <v/>
      </c>
      <c r="Q196" s="16">
        <f>IF(COUNT(C196:O196)=0,"",IFERROR(D196/E196,0))</f>
        <v/>
      </c>
      <c r="R196" s="17">
        <f>IF(COUNT(C196:O196)=0,"",IFERROR(F196/D196,0))</f>
        <v/>
      </c>
      <c r="S196" s="15">
        <f>IF(COUNT(C196:O196)=0,"",IFERROR(C196/F196,0))</f>
        <v/>
      </c>
      <c r="T196" s="18">
        <f>IF(COUNT(C196:O196)=0,"",IFERROR(G196/F196,0))</f>
        <v/>
      </c>
      <c r="U196" s="15">
        <f>IF(COUNT(C196:O196)=0,"",IFERROR(C196/G196,0))</f>
        <v/>
      </c>
      <c r="V196" s="19">
        <f>IF(COUNT(C196:O196)=0,"",IFERROR(G196/D196*1000,0))</f>
        <v/>
      </c>
      <c r="W196" s="18">
        <f>IF(COUNT(C196:O196)=0,"",IFERROR(H196/G196,0))</f>
        <v/>
      </c>
      <c r="X196" s="15">
        <f>IF(COUNT(C196:O196)=0,"",IFERROR(C196/H196,0))</f>
        <v/>
      </c>
      <c r="Y196" s="18">
        <f>IF(COUNT(C196:O196)=0,"",IFERROR(X196/P196,0))</f>
        <v/>
      </c>
      <c r="Z196" s="19">
        <f>IF(COUNT(C196:O196)=0,"",IFERROR(H196/D196*1000,0))</f>
        <v/>
      </c>
      <c r="AA196" s="18">
        <f>IF(COUNT(C196:O196)=0,"",IFERROR(I196/H196,0))</f>
        <v/>
      </c>
      <c r="AB196" s="18">
        <f>IF(COUNT(C196:O196)=0,"",IFERROR(J196/I196,0))</f>
        <v/>
      </c>
      <c r="AC196" s="18">
        <f>IF(COUNT(C196:O196)=0,"",IFERROR(K196/J196,0))</f>
        <v/>
      </c>
      <c r="AD196" s="15">
        <f>IF(COUNT(C196:O196)=0,"",IFERROR(C196/K196,0))</f>
        <v/>
      </c>
      <c r="AE196" s="18">
        <f>IF(COUNT(C196:O196)=0,"",IFERROR(L196/K196,0))</f>
        <v/>
      </c>
      <c r="AF196" s="18">
        <f>IF(COUNT(C196:O196)=0,"",IFERROR(M196/L196,0))</f>
        <v/>
      </c>
      <c r="AG196" s="17">
        <f>IF(COUNT(C196:O196)=0,"",IFERROR(M196/H196,0))</f>
        <v/>
      </c>
      <c r="AH196" s="15">
        <f>IF(COUNT(C196:O196)=0,"",IFERROR(C196/M196,0))</f>
        <v/>
      </c>
      <c r="AI196" s="20">
        <f>IF(COUNT(C196:O196)=0,"",IFERROR(M196*Config!$C$7+N196*Config!$C$8,0))</f>
        <v/>
      </c>
      <c r="AJ196" s="20">
        <f>IF(COUNT(C196:O196)=0,"",IFERROR(IF(O196&gt;0,O196,AI196*Config!$C$9),0))</f>
        <v/>
      </c>
      <c r="AK196" s="20">
        <f>IF(COUNT(C196:O196)=0,"",IFERROR(AJ196*(1-Config!$C$10-Config!$C$11-Config!$C$12),0))</f>
        <v/>
      </c>
      <c r="AL196" s="20">
        <f>IF(COUNT(C196:O196)=0,"",IFERROR(AK196-C196-Config!$C$13,0))</f>
        <v/>
      </c>
      <c r="AM196" s="21">
        <f>IF(COUNT(C196:O196)=0,"",IFERROR(AK196/C196,0))</f>
        <v/>
      </c>
      <c r="AN196" s="21">
        <f>IF(COUNT(C196:O196)=0,"",IFERROR(AI196/C196,0))</f>
        <v/>
      </c>
      <c r="AO196" s="15">
        <f>IF(COUNT(C196:O196)=0,"",IFERROR(AL196/G196,0))</f>
        <v/>
      </c>
      <c r="AP196" s="21">
        <f>IF(COUNT(C196:O196)=0,"",IFERROR(AO196/U196,0))</f>
        <v/>
      </c>
      <c r="AQ196" s="15">
        <f>IF(COUNT(C196:O196)=0,"",IFERROR(AL196/H196,0))</f>
        <v/>
      </c>
    </row>
    <row r="197">
      <c r="A197" s="12">
        <f>Config!$C$6+191</f>
        <v/>
      </c>
      <c r="B197" s="13">
        <f>INT((A197-Config!$C$6)/7)+1</f>
        <v/>
      </c>
      <c r="C197" s="10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0" t="n"/>
      <c r="P197" s="15">
        <f>IF(COUNT(C197:O197)=0,"",IFERROR(C197/D197*1000,0))</f>
        <v/>
      </c>
      <c r="Q197" s="16">
        <f>IF(COUNT(C197:O197)=0,"",IFERROR(D197/E197,0))</f>
        <v/>
      </c>
      <c r="R197" s="17">
        <f>IF(COUNT(C197:O197)=0,"",IFERROR(F197/D197,0))</f>
        <v/>
      </c>
      <c r="S197" s="15">
        <f>IF(COUNT(C197:O197)=0,"",IFERROR(C197/F197,0))</f>
        <v/>
      </c>
      <c r="T197" s="18">
        <f>IF(COUNT(C197:O197)=0,"",IFERROR(G197/F197,0))</f>
        <v/>
      </c>
      <c r="U197" s="15">
        <f>IF(COUNT(C197:O197)=0,"",IFERROR(C197/G197,0))</f>
        <v/>
      </c>
      <c r="V197" s="19">
        <f>IF(COUNT(C197:O197)=0,"",IFERROR(G197/D197*1000,0))</f>
        <v/>
      </c>
      <c r="W197" s="18">
        <f>IF(COUNT(C197:O197)=0,"",IFERROR(H197/G197,0))</f>
        <v/>
      </c>
      <c r="X197" s="15">
        <f>IF(COUNT(C197:O197)=0,"",IFERROR(C197/H197,0))</f>
        <v/>
      </c>
      <c r="Y197" s="18">
        <f>IF(COUNT(C197:O197)=0,"",IFERROR(X197/P197,0))</f>
        <v/>
      </c>
      <c r="Z197" s="19">
        <f>IF(COUNT(C197:O197)=0,"",IFERROR(H197/D197*1000,0))</f>
        <v/>
      </c>
      <c r="AA197" s="18">
        <f>IF(COUNT(C197:O197)=0,"",IFERROR(I197/H197,0))</f>
        <v/>
      </c>
      <c r="AB197" s="18">
        <f>IF(COUNT(C197:O197)=0,"",IFERROR(J197/I197,0))</f>
        <v/>
      </c>
      <c r="AC197" s="18">
        <f>IF(COUNT(C197:O197)=0,"",IFERROR(K197/J197,0))</f>
        <v/>
      </c>
      <c r="AD197" s="15">
        <f>IF(COUNT(C197:O197)=0,"",IFERROR(C197/K197,0))</f>
        <v/>
      </c>
      <c r="AE197" s="18">
        <f>IF(COUNT(C197:O197)=0,"",IFERROR(L197/K197,0))</f>
        <v/>
      </c>
      <c r="AF197" s="18">
        <f>IF(COUNT(C197:O197)=0,"",IFERROR(M197/L197,0))</f>
        <v/>
      </c>
      <c r="AG197" s="17">
        <f>IF(COUNT(C197:O197)=0,"",IFERROR(M197/H197,0))</f>
        <v/>
      </c>
      <c r="AH197" s="15">
        <f>IF(COUNT(C197:O197)=0,"",IFERROR(C197/M197,0))</f>
        <v/>
      </c>
      <c r="AI197" s="20">
        <f>IF(COUNT(C197:O197)=0,"",IFERROR(M197*Config!$C$7+N197*Config!$C$8,0))</f>
        <v/>
      </c>
      <c r="AJ197" s="20">
        <f>IF(COUNT(C197:O197)=0,"",IFERROR(IF(O197&gt;0,O197,AI197*Config!$C$9),0))</f>
        <v/>
      </c>
      <c r="AK197" s="20">
        <f>IF(COUNT(C197:O197)=0,"",IFERROR(AJ197*(1-Config!$C$10-Config!$C$11-Config!$C$12),0))</f>
        <v/>
      </c>
      <c r="AL197" s="20">
        <f>IF(COUNT(C197:O197)=0,"",IFERROR(AK197-C197-Config!$C$13,0))</f>
        <v/>
      </c>
      <c r="AM197" s="21">
        <f>IF(COUNT(C197:O197)=0,"",IFERROR(AK197/C197,0))</f>
        <v/>
      </c>
      <c r="AN197" s="21">
        <f>IF(COUNT(C197:O197)=0,"",IFERROR(AI197/C197,0))</f>
        <v/>
      </c>
      <c r="AO197" s="15">
        <f>IF(COUNT(C197:O197)=0,"",IFERROR(AL197/G197,0))</f>
        <v/>
      </c>
      <c r="AP197" s="21">
        <f>IF(COUNT(C197:O197)=0,"",IFERROR(AO197/U197,0))</f>
        <v/>
      </c>
      <c r="AQ197" s="15">
        <f>IF(COUNT(C197:O197)=0,"",IFERROR(AL197/H197,0))</f>
        <v/>
      </c>
    </row>
    <row r="198">
      <c r="A198" s="12">
        <f>Config!$C$6+192</f>
        <v/>
      </c>
      <c r="B198" s="13">
        <f>INT((A198-Config!$C$6)/7)+1</f>
        <v/>
      </c>
      <c r="C198" s="10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0" t="n"/>
      <c r="P198" s="15">
        <f>IF(COUNT(C198:O198)=0,"",IFERROR(C198/D198*1000,0))</f>
        <v/>
      </c>
      <c r="Q198" s="16">
        <f>IF(COUNT(C198:O198)=0,"",IFERROR(D198/E198,0))</f>
        <v/>
      </c>
      <c r="R198" s="17">
        <f>IF(COUNT(C198:O198)=0,"",IFERROR(F198/D198,0))</f>
        <v/>
      </c>
      <c r="S198" s="15">
        <f>IF(COUNT(C198:O198)=0,"",IFERROR(C198/F198,0))</f>
        <v/>
      </c>
      <c r="T198" s="18">
        <f>IF(COUNT(C198:O198)=0,"",IFERROR(G198/F198,0))</f>
        <v/>
      </c>
      <c r="U198" s="15">
        <f>IF(COUNT(C198:O198)=0,"",IFERROR(C198/G198,0))</f>
        <v/>
      </c>
      <c r="V198" s="19">
        <f>IF(COUNT(C198:O198)=0,"",IFERROR(G198/D198*1000,0))</f>
        <v/>
      </c>
      <c r="W198" s="18">
        <f>IF(COUNT(C198:O198)=0,"",IFERROR(H198/G198,0))</f>
        <v/>
      </c>
      <c r="X198" s="15">
        <f>IF(COUNT(C198:O198)=0,"",IFERROR(C198/H198,0))</f>
        <v/>
      </c>
      <c r="Y198" s="18">
        <f>IF(COUNT(C198:O198)=0,"",IFERROR(X198/P198,0))</f>
        <v/>
      </c>
      <c r="Z198" s="19">
        <f>IF(COUNT(C198:O198)=0,"",IFERROR(H198/D198*1000,0))</f>
        <v/>
      </c>
      <c r="AA198" s="18">
        <f>IF(COUNT(C198:O198)=0,"",IFERROR(I198/H198,0))</f>
        <v/>
      </c>
      <c r="AB198" s="18">
        <f>IF(COUNT(C198:O198)=0,"",IFERROR(J198/I198,0))</f>
        <v/>
      </c>
      <c r="AC198" s="18">
        <f>IF(COUNT(C198:O198)=0,"",IFERROR(K198/J198,0))</f>
        <v/>
      </c>
      <c r="AD198" s="15">
        <f>IF(COUNT(C198:O198)=0,"",IFERROR(C198/K198,0))</f>
        <v/>
      </c>
      <c r="AE198" s="18">
        <f>IF(COUNT(C198:O198)=0,"",IFERROR(L198/K198,0))</f>
        <v/>
      </c>
      <c r="AF198" s="18">
        <f>IF(COUNT(C198:O198)=0,"",IFERROR(M198/L198,0))</f>
        <v/>
      </c>
      <c r="AG198" s="17">
        <f>IF(COUNT(C198:O198)=0,"",IFERROR(M198/H198,0))</f>
        <v/>
      </c>
      <c r="AH198" s="15">
        <f>IF(COUNT(C198:O198)=0,"",IFERROR(C198/M198,0))</f>
        <v/>
      </c>
      <c r="AI198" s="20">
        <f>IF(COUNT(C198:O198)=0,"",IFERROR(M198*Config!$C$7+N198*Config!$C$8,0))</f>
        <v/>
      </c>
      <c r="AJ198" s="20">
        <f>IF(COUNT(C198:O198)=0,"",IFERROR(IF(O198&gt;0,O198,AI198*Config!$C$9),0))</f>
        <v/>
      </c>
      <c r="AK198" s="20">
        <f>IF(COUNT(C198:O198)=0,"",IFERROR(AJ198*(1-Config!$C$10-Config!$C$11-Config!$C$12),0))</f>
        <v/>
      </c>
      <c r="AL198" s="20">
        <f>IF(COUNT(C198:O198)=0,"",IFERROR(AK198-C198-Config!$C$13,0))</f>
        <v/>
      </c>
      <c r="AM198" s="21">
        <f>IF(COUNT(C198:O198)=0,"",IFERROR(AK198/C198,0))</f>
        <v/>
      </c>
      <c r="AN198" s="21">
        <f>IF(COUNT(C198:O198)=0,"",IFERROR(AI198/C198,0))</f>
        <v/>
      </c>
      <c r="AO198" s="15">
        <f>IF(COUNT(C198:O198)=0,"",IFERROR(AL198/G198,0))</f>
        <v/>
      </c>
      <c r="AP198" s="21">
        <f>IF(COUNT(C198:O198)=0,"",IFERROR(AO198/U198,0))</f>
        <v/>
      </c>
      <c r="AQ198" s="15">
        <f>IF(COUNT(C198:O198)=0,"",IFERROR(AL198/H198,0))</f>
        <v/>
      </c>
    </row>
    <row r="199">
      <c r="A199" s="12">
        <f>Config!$C$6+193</f>
        <v/>
      </c>
      <c r="B199" s="13">
        <f>INT((A199-Config!$C$6)/7)+1</f>
        <v/>
      </c>
      <c r="C199" s="10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0" t="n"/>
      <c r="P199" s="15">
        <f>IF(COUNT(C199:O199)=0,"",IFERROR(C199/D199*1000,0))</f>
        <v/>
      </c>
      <c r="Q199" s="16">
        <f>IF(COUNT(C199:O199)=0,"",IFERROR(D199/E199,0))</f>
        <v/>
      </c>
      <c r="R199" s="17">
        <f>IF(COUNT(C199:O199)=0,"",IFERROR(F199/D199,0))</f>
        <v/>
      </c>
      <c r="S199" s="15">
        <f>IF(COUNT(C199:O199)=0,"",IFERROR(C199/F199,0))</f>
        <v/>
      </c>
      <c r="T199" s="18">
        <f>IF(COUNT(C199:O199)=0,"",IFERROR(G199/F199,0))</f>
        <v/>
      </c>
      <c r="U199" s="15">
        <f>IF(COUNT(C199:O199)=0,"",IFERROR(C199/G199,0))</f>
        <v/>
      </c>
      <c r="V199" s="19">
        <f>IF(COUNT(C199:O199)=0,"",IFERROR(G199/D199*1000,0))</f>
        <v/>
      </c>
      <c r="W199" s="18">
        <f>IF(COUNT(C199:O199)=0,"",IFERROR(H199/G199,0))</f>
        <v/>
      </c>
      <c r="X199" s="15">
        <f>IF(COUNT(C199:O199)=0,"",IFERROR(C199/H199,0))</f>
        <v/>
      </c>
      <c r="Y199" s="18">
        <f>IF(COUNT(C199:O199)=0,"",IFERROR(X199/P199,0))</f>
        <v/>
      </c>
      <c r="Z199" s="19">
        <f>IF(COUNT(C199:O199)=0,"",IFERROR(H199/D199*1000,0))</f>
        <v/>
      </c>
      <c r="AA199" s="18">
        <f>IF(COUNT(C199:O199)=0,"",IFERROR(I199/H199,0))</f>
        <v/>
      </c>
      <c r="AB199" s="18">
        <f>IF(COUNT(C199:O199)=0,"",IFERROR(J199/I199,0))</f>
        <v/>
      </c>
      <c r="AC199" s="18">
        <f>IF(COUNT(C199:O199)=0,"",IFERROR(K199/J199,0))</f>
        <v/>
      </c>
      <c r="AD199" s="15">
        <f>IF(COUNT(C199:O199)=0,"",IFERROR(C199/K199,0))</f>
        <v/>
      </c>
      <c r="AE199" s="18">
        <f>IF(COUNT(C199:O199)=0,"",IFERROR(L199/K199,0))</f>
        <v/>
      </c>
      <c r="AF199" s="18">
        <f>IF(COUNT(C199:O199)=0,"",IFERROR(M199/L199,0))</f>
        <v/>
      </c>
      <c r="AG199" s="17">
        <f>IF(COUNT(C199:O199)=0,"",IFERROR(M199/H199,0))</f>
        <v/>
      </c>
      <c r="AH199" s="15">
        <f>IF(COUNT(C199:O199)=0,"",IFERROR(C199/M199,0))</f>
        <v/>
      </c>
      <c r="AI199" s="20">
        <f>IF(COUNT(C199:O199)=0,"",IFERROR(M199*Config!$C$7+N199*Config!$C$8,0))</f>
        <v/>
      </c>
      <c r="AJ199" s="20">
        <f>IF(COUNT(C199:O199)=0,"",IFERROR(IF(O199&gt;0,O199,AI199*Config!$C$9),0))</f>
        <v/>
      </c>
      <c r="AK199" s="20">
        <f>IF(COUNT(C199:O199)=0,"",IFERROR(AJ199*(1-Config!$C$10-Config!$C$11-Config!$C$12),0))</f>
        <v/>
      </c>
      <c r="AL199" s="20">
        <f>IF(COUNT(C199:O199)=0,"",IFERROR(AK199-C199-Config!$C$13,0))</f>
        <v/>
      </c>
      <c r="AM199" s="21">
        <f>IF(COUNT(C199:O199)=0,"",IFERROR(AK199/C199,0))</f>
        <v/>
      </c>
      <c r="AN199" s="21">
        <f>IF(COUNT(C199:O199)=0,"",IFERROR(AI199/C199,0))</f>
        <v/>
      </c>
      <c r="AO199" s="15">
        <f>IF(COUNT(C199:O199)=0,"",IFERROR(AL199/G199,0))</f>
        <v/>
      </c>
      <c r="AP199" s="21">
        <f>IF(COUNT(C199:O199)=0,"",IFERROR(AO199/U199,0))</f>
        <v/>
      </c>
      <c r="AQ199" s="15">
        <f>IF(COUNT(C199:O199)=0,"",IFERROR(AL199/H199,0))</f>
        <v/>
      </c>
    </row>
    <row r="200">
      <c r="A200" s="12">
        <f>Config!$C$6+194</f>
        <v/>
      </c>
      <c r="B200" s="13">
        <f>INT((A200-Config!$C$6)/7)+1</f>
        <v/>
      </c>
      <c r="C200" s="10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0" t="n"/>
      <c r="P200" s="15">
        <f>IF(COUNT(C200:O200)=0,"",IFERROR(C200/D200*1000,0))</f>
        <v/>
      </c>
      <c r="Q200" s="16">
        <f>IF(COUNT(C200:O200)=0,"",IFERROR(D200/E200,0))</f>
        <v/>
      </c>
      <c r="R200" s="17">
        <f>IF(COUNT(C200:O200)=0,"",IFERROR(F200/D200,0))</f>
        <v/>
      </c>
      <c r="S200" s="15">
        <f>IF(COUNT(C200:O200)=0,"",IFERROR(C200/F200,0))</f>
        <v/>
      </c>
      <c r="T200" s="18">
        <f>IF(COUNT(C200:O200)=0,"",IFERROR(G200/F200,0))</f>
        <v/>
      </c>
      <c r="U200" s="15">
        <f>IF(COUNT(C200:O200)=0,"",IFERROR(C200/G200,0))</f>
        <v/>
      </c>
      <c r="V200" s="19">
        <f>IF(COUNT(C200:O200)=0,"",IFERROR(G200/D200*1000,0))</f>
        <v/>
      </c>
      <c r="W200" s="18">
        <f>IF(COUNT(C200:O200)=0,"",IFERROR(H200/G200,0))</f>
        <v/>
      </c>
      <c r="X200" s="15">
        <f>IF(COUNT(C200:O200)=0,"",IFERROR(C200/H200,0))</f>
        <v/>
      </c>
      <c r="Y200" s="18">
        <f>IF(COUNT(C200:O200)=0,"",IFERROR(X200/P200,0))</f>
        <v/>
      </c>
      <c r="Z200" s="19">
        <f>IF(COUNT(C200:O200)=0,"",IFERROR(H200/D200*1000,0))</f>
        <v/>
      </c>
      <c r="AA200" s="18">
        <f>IF(COUNT(C200:O200)=0,"",IFERROR(I200/H200,0))</f>
        <v/>
      </c>
      <c r="AB200" s="18">
        <f>IF(COUNT(C200:O200)=0,"",IFERROR(J200/I200,0))</f>
        <v/>
      </c>
      <c r="AC200" s="18">
        <f>IF(COUNT(C200:O200)=0,"",IFERROR(K200/J200,0))</f>
        <v/>
      </c>
      <c r="AD200" s="15">
        <f>IF(COUNT(C200:O200)=0,"",IFERROR(C200/K200,0))</f>
        <v/>
      </c>
      <c r="AE200" s="18">
        <f>IF(COUNT(C200:O200)=0,"",IFERROR(L200/K200,0))</f>
        <v/>
      </c>
      <c r="AF200" s="18">
        <f>IF(COUNT(C200:O200)=0,"",IFERROR(M200/L200,0))</f>
        <v/>
      </c>
      <c r="AG200" s="17">
        <f>IF(COUNT(C200:O200)=0,"",IFERROR(M200/H200,0))</f>
        <v/>
      </c>
      <c r="AH200" s="15">
        <f>IF(COUNT(C200:O200)=0,"",IFERROR(C200/M200,0))</f>
        <v/>
      </c>
      <c r="AI200" s="20">
        <f>IF(COUNT(C200:O200)=0,"",IFERROR(M200*Config!$C$7+N200*Config!$C$8,0))</f>
        <v/>
      </c>
      <c r="AJ200" s="20">
        <f>IF(COUNT(C200:O200)=0,"",IFERROR(IF(O200&gt;0,O200,AI200*Config!$C$9),0))</f>
        <v/>
      </c>
      <c r="AK200" s="20">
        <f>IF(COUNT(C200:O200)=0,"",IFERROR(AJ200*(1-Config!$C$10-Config!$C$11-Config!$C$12),0))</f>
        <v/>
      </c>
      <c r="AL200" s="20">
        <f>IF(COUNT(C200:O200)=0,"",IFERROR(AK200-C200-Config!$C$13,0))</f>
        <v/>
      </c>
      <c r="AM200" s="21">
        <f>IF(COUNT(C200:O200)=0,"",IFERROR(AK200/C200,0))</f>
        <v/>
      </c>
      <c r="AN200" s="21">
        <f>IF(COUNT(C200:O200)=0,"",IFERROR(AI200/C200,0))</f>
        <v/>
      </c>
      <c r="AO200" s="15">
        <f>IF(COUNT(C200:O200)=0,"",IFERROR(AL200/G200,0))</f>
        <v/>
      </c>
      <c r="AP200" s="21">
        <f>IF(COUNT(C200:O200)=0,"",IFERROR(AO200/U200,0))</f>
        <v/>
      </c>
      <c r="AQ200" s="15">
        <f>IF(COUNT(C200:O200)=0,"",IFERROR(AL200/H200,0))</f>
        <v/>
      </c>
    </row>
    <row r="201">
      <c r="A201" s="12">
        <f>Config!$C$6+195</f>
        <v/>
      </c>
      <c r="B201" s="13">
        <f>INT((A201-Config!$C$6)/7)+1</f>
        <v/>
      </c>
      <c r="C201" s="10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0" t="n"/>
      <c r="P201" s="15">
        <f>IF(COUNT(C201:O201)=0,"",IFERROR(C201/D201*1000,0))</f>
        <v/>
      </c>
      <c r="Q201" s="16">
        <f>IF(COUNT(C201:O201)=0,"",IFERROR(D201/E201,0))</f>
        <v/>
      </c>
      <c r="R201" s="17">
        <f>IF(COUNT(C201:O201)=0,"",IFERROR(F201/D201,0))</f>
        <v/>
      </c>
      <c r="S201" s="15">
        <f>IF(COUNT(C201:O201)=0,"",IFERROR(C201/F201,0))</f>
        <v/>
      </c>
      <c r="T201" s="18">
        <f>IF(COUNT(C201:O201)=0,"",IFERROR(G201/F201,0))</f>
        <v/>
      </c>
      <c r="U201" s="15">
        <f>IF(COUNT(C201:O201)=0,"",IFERROR(C201/G201,0))</f>
        <v/>
      </c>
      <c r="V201" s="19">
        <f>IF(COUNT(C201:O201)=0,"",IFERROR(G201/D201*1000,0))</f>
        <v/>
      </c>
      <c r="W201" s="18">
        <f>IF(COUNT(C201:O201)=0,"",IFERROR(H201/G201,0))</f>
        <v/>
      </c>
      <c r="X201" s="15">
        <f>IF(COUNT(C201:O201)=0,"",IFERROR(C201/H201,0))</f>
        <v/>
      </c>
      <c r="Y201" s="18">
        <f>IF(COUNT(C201:O201)=0,"",IFERROR(X201/P201,0))</f>
        <v/>
      </c>
      <c r="Z201" s="19">
        <f>IF(COUNT(C201:O201)=0,"",IFERROR(H201/D201*1000,0))</f>
        <v/>
      </c>
      <c r="AA201" s="18">
        <f>IF(COUNT(C201:O201)=0,"",IFERROR(I201/H201,0))</f>
        <v/>
      </c>
      <c r="AB201" s="18">
        <f>IF(COUNT(C201:O201)=0,"",IFERROR(J201/I201,0))</f>
        <v/>
      </c>
      <c r="AC201" s="18">
        <f>IF(COUNT(C201:O201)=0,"",IFERROR(K201/J201,0))</f>
        <v/>
      </c>
      <c r="AD201" s="15">
        <f>IF(COUNT(C201:O201)=0,"",IFERROR(C201/K201,0))</f>
        <v/>
      </c>
      <c r="AE201" s="18">
        <f>IF(COUNT(C201:O201)=0,"",IFERROR(L201/K201,0))</f>
        <v/>
      </c>
      <c r="AF201" s="18">
        <f>IF(COUNT(C201:O201)=0,"",IFERROR(M201/L201,0))</f>
        <v/>
      </c>
      <c r="AG201" s="17">
        <f>IF(COUNT(C201:O201)=0,"",IFERROR(M201/H201,0))</f>
        <v/>
      </c>
      <c r="AH201" s="15">
        <f>IF(COUNT(C201:O201)=0,"",IFERROR(C201/M201,0))</f>
        <v/>
      </c>
      <c r="AI201" s="20">
        <f>IF(COUNT(C201:O201)=0,"",IFERROR(M201*Config!$C$7+N201*Config!$C$8,0))</f>
        <v/>
      </c>
      <c r="AJ201" s="20">
        <f>IF(COUNT(C201:O201)=0,"",IFERROR(IF(O201&gt;0,O201,AI201*Config!$C$9),0))</f>
        <v/>
      </c>
      <c r="AK201" s="20">
        <f>IF(COUNT(C201:O201)=0,"",IFERROR(AJ201*(1-Config!$C$10-Config!$C$11-Config!$C$12),0))</f>
        <v/>
      </c>
      <c r="AL201" s="20">
        <f>IF(COUNT(C201:O201)=0,"",IFERROR(AK201-C201-Config!$C$13,0))</f>
        <v/>
      </c>
      <c r="AM201" s="21">
        <f>IF(COUNT(C201:O201)=0,"",IFERROR(AK201/C201,0))</f>
        <v/>
      </c>
      <c r="AN201" s="21">
        <f>IF(COUNT(C201:O201)=0,"",IFERROR(AI201/C201,0))</f>
        <v/>
      </c>
      <c r="AO201" s="15">
        <f>IF(COUNT(C201:O201)=0,"",IFERROR(AL201/G201,0))</f>
        <v/>
      </c>
      <c r="AP201" s="21">
        <f>IF(COUNT(C201:O201)=0,"",IFERROR(AO201/U201,0))</f>
        <v/>
      </c>
      <c r="AQ201" s="15">
        <f>IF(COUNT(C201:O201)=0,"",IFERROR(AL201/H201,0))</f>
        <v/>
      </c>
    </row>
    <row r="202">
      <c r="A202" s="12">
        <f>Config!$C$6+196</f>
        <v/>
      </c>
      <c r="B202" s="13">
        <f>INT((A202-Config!$C$6)/7)+1</f>
        <v/>
      </c>
      <c r="C202" s="10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0" t="n"/>
      <c r="P202" s="15">
        <f>IF(COUNT(C202:O202)=0,"",IFERROR(C202/D202*1000,0))</f>
        <v/>
      </c>
      <c r="Q202" s="16">
        <f>IF(COUNT(C202:O202)=0,"",IFERROR(D202/E202,0))</f>
        <v/>
      </c>
      <c r="R202" s="17">
        <f>IF(COUNT(C202:O202)=0,"",IFERROR(F202/D202,0))</f>
        <v/>
      </c>
      <c r="S202" s="15">
        <f>IF(COUNT(C202:O202)=0,"",IFERROR(C202/F202,0))</f>
        <v/>
      </c>
      <c r="T202" s="18">
        <f>IF(COUNT(C202:O202)=0,"",IFERROR(G202/F202,0))</f>
        <v/>
      </c>
      <c r="U202" s="15">
        <f>IF(COUNT(C202:O202)=0,"",IFERROR(C202/G202,0))</f>
        <v/>
      </c>
      <c r="V202" s="19">
        <f>IF(COUNT(C202:O202)=0,"",IFERROR(G202/D202*1000,0))</f>
        <v/>
      </c>
      <c r="W202" s="18">
        <f>IF(COUNT(C202:O202)=0,"",IFERROR(H202/G202,0))</f>
        <v/>
      </c>
      <c r="X202" s="15">
        <f>IF(COUNT(C202:O202)=0,"",IFERROR(C202/H202,0))</f>
        <v/>
      </c>
      <c r="Y202" s="18">
        <f>IF(COUNT(C202:O202)=0,"",IFERROR(X202/P202,0))</f>
        <v/>
      </c>
      <c r="Z202" s="19">
        <f>IF(COUNT(C202:O202)=0,"",IFERROR(H202/D202*1000,0))</f>
        <v/>
      </c>
      <c r="AA202" s="18">
        <f>IF(COUNT(C202:O202)=0,"",IFERROR(I202/H202,0))</f>
        <v/>
      </c>
      <c r="AB202" s="18">
        <f>IF(COUNT(C202:O202)=0,"",IFERROR(J202/I202,0))</f>
        <v/>
      </c>
      <c r="AC202" s="18">
        <f>IF(COUNT(C202:O202)=0,"",IFERROR(K202/J202,0))</f>
        <v/>
      </c>
      <c r="AD202" s="15">
        <f>IF(COUNT(C202:O202)=0,"",IFERROR(C202/K202,0))</f>
        <v/>
      </c>
      <c r="AE202" s="18">
        <f>IF(COUNT(C202:O202)=0,"",IFERROR(L202/K202,0))</f>
        <v/>
      </c>
      <c r="AF202" s="18">
        <f>IF(COUNT(C202:O202)=0,"",IFERROR(M202/L202,0))</f>
        <v/>
      </c>
      <c r="AG202" s="17">
        <f>IF(COUNT(C202:O202)=0,"",IFERROR(M202/H202,0))</f>
        <v/>
      </c>
      <c r="AH202" s="15">
        <f>IF(COUNT(C202:O202)=0,"",IFERROR(C202/M202,0))</f>
        <v/>
      </c>
      <c r="AI202" s="20">
        <f>IF(COUNT(C202:O202)=0,"",IFERROR(M202*Config!$C$7+N202*Config!$C$8,0))</f>
        <v/>
      </c>
      <c r="AJ202" s="20">
        <f>IF(COUNT(C202:O202)=0,"",IFERROR(IF(O202&gt;0,O202,AI202*Config!$C$9),0))</f>
        <v/>
      </c>
      <c r="AK202" s="20">
        <f>IF(COUNT(C202:O202)=0,"",IFERROR(AJ202*(1-Config!$C$10-Config!$C$11-Config!$C$12),0))</f>
        <v/>
      </c>
      <c r="AL202" s="20">
        <f>IF(COUNT(C202:O202)=0,"",IFERROR(AK202-C202-Config!$C$13,0))</f>
        <v/>
      </c>
      <c r="AM202" s="21">
        <f>IF(COUNT(C202:O202)=0,"",IFERROR(AK202/C202,0))</f>
        <v/>
      </c>
      <c r="AN202" s="21">
        <f>IF(COUNT(C202:O202)=0,"",IFERROR(AI202/C202,0))</f>
        <v/>
      </c>
      <c r="AO202" s="15">
        <f>IF(COUNT(C202:O202)=0,"",IFERROR(AL202/G202,0))</f>
        <v/>
      </c>
      <c r="AP202" s="21">
        <f>IF(COUNT(C202:O202)=0,"",IFERROR(AO202/U202,0))</f>
        <v/>
      </c>
      <c r="AQ202" s="15">
        <f>IF(COUNT(C202:O202)=0,"",IFERROR(AL202/H202,0))</f>
        <v/>
      </c>
    </row>
    <row r="203">
      <c r="A203" s="12">
        <f>Config!$C$6+197</f>
        <v/>
      </c>
      <c r="B203" s="13">
        <f>INT((A203-Config!$C$6)/7)+1</f>
        <v/>
      </c>
      <c r="C203" s="10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0" t="n"/>
      <c r="P203" s="15">
        <f>IF(COUNT(C203:O203)=0,"",IFERROR(C203/D203*1000,0))</f>
        <v/>
      </c>
      <c r="Q203" s="16">
        <f>IF(COUNT(C203:O203)=0,"",IFERROR(D203/E203,0))</f>
        <v/>
      </c>
      <c r="R203" s="17">
        <f>IF(COUNT(C203:O203)=0,"",IFERROR(F203/D203,0))</f>
        <v/>
      </c>
      <c r="S203" s="15">
        <f>IF(COUNT(C203:O203)=0,"",IFERROR(C203/F203,0))</f>
        <v/>
      </c>
      <c r="T203" s="18">
        <f>IF(COUNT(C203:O203)=0,"",IFERROR(G203/F203,0))</f>
        <v/>
      </c>
      <c r="U203" s="15">
        <f>IF(COUNT(C203:O203)=0,"",IFERROR(C203/G203,0))</f>
        <v/>
      </c>
      <c r="V203" s="19">
        <f>IF(COUNT(C203:O203)=0,"",IFERROR(G203/D203*1000,0))</f>
        <v/>
      </c>
      <c r="W203" s="18">
        <f>IF(COUNT(C203:O203)=0,"",IFERROR(H203/G203,0))</f>
        <v/>
      </c>
      <c r="X203" s="15">
        <f>IF(COUNT(C203:O203)=0,"",IFERROR(C203/H203,0))</f>
        <v/>
      </c>
      <c r="Y203" s="18">
        <f>IF(COUNT(C203:O203)=0,"",IFERROR(X203/P203,0))</f>
        <v/>
      </c>
      <c r="Z203" s="19">
        <f>IF(COUNT(C203:O203)=0,"",IFERROR(H203/D203*1000,0))</f>
        <v/>
      </c>
      <c r="AA203" s="18">
        <f>IF(COUNT(C203:O203)=0,"",IFERROR(I203/H203,0))</f>
        <v/>
      </c>
      <c r="AB203" s="18">
        <f>IF(COUNT(C203:O203)=0,"",IFERROR(J203/I203,0))</f>
        <v/>
      </c>
      <c r="AC203" s="18">
        <f>IF(COUNT(C203:O203)=0,"",IFERROR(K203/J203,0))</f>
        <v/>
      </c>
      <c r="AD203" s="15">
        <f>IF(COUNT(C203:O203)=0,"",IFERROR(C203/K203,0))</f>
        <v/>
      </c>
      <c r="AE203" s="18">
        <f>IF(COUNT(C203:O203)=0,"",IFERROR(L203/K203,0))</f>
        <v/>
      </c>
      <c r="AF203" s="18">
        <f>IF(COUNT(C203:O203)=0,"",IFERROR(M203/L203,0))</f>
        <v/>
      </c>
      <c r="AG203" s="17">
        <f>IF(COUNT(C203:O203)=0,"",IFERROR(M203/H203,0))</f>
        <v/>
      </c>
      <c r="AH203" s="15">
        <f>IF(COUNT(C203:O203)=0,"",IFERROR(C203/M203,0))</f>
        <v/>
      </c>
      <c r="AI203" s="20">
        <f>IF(COUNT(C203:O203)=0,"",IFERROR(M203*Config!$C$7+N203*Config!$C$8,0))</f>
        <v/>
      </c>
      <c r="AJ203" s="20">
        <f>IF(COUNT(C203:O203)=0,"",IFERROR(IF(O203&gt;0,O203,AI203*Config!$C$9),0))</f>
        <v/>
      </c>
      <c r="AK203" s="20">
        <f>IF(COUNT(C203:O203)=0,"",IFERROR(AJ203*(1-Config!$C$10-Config!$C$11-Config!$C$12),0))</f>
        <v/>
      </c>
      <c r="AL203" s="20">
        <f>IF(COUNT(C203:O203)=0,"",IFERROR(AK203-C203-Config!$C$13,0))</f>
        <v/>
      </c>
      <c r="AM203" s="21">
        <f>IF(COUNT(C203:O203)=0,"",IFERROR(AK203/C203,0))</f>
        <v/>
      </c>
      <c r="AN203" s="21">
        <f>IF(COUNT(C203:O203)=0,"",IFERROR(AI203/C203,0))</f>
        <v/>
      </c>
      <c r="AO203" s="15">
        <f>IF(COUNT(C203:O203)=0,"",IFERROR(AL203/G203,0))</f>
        <v/>
      </c>
      <c r="AP203" s="21">
        <f>IF(COUNT(C203:O203)=0,"",IFERROR(AO203/U203,0))</f>
        <v/>
      </c>
      <c r="AQ203" s="15">
        <f>IF(COUNT(C203:O203)=0,"",IFERROR(AL203/H203,0))</f>
        <v/>
      </c>
    </row>
    <row r="204">
      <c r="A204" s="12">
        <f>Config!$C$6+198</f>
        <v/>
      </c>
      <c r="B204" s="13">
        <f>INT((A204-Config!$C$6)/7)+1</f>
        <v/>
      </c>
      <c r="C204" s="10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0" t="n"/>
      <c r="P204" s="15">
        <f>IF(COUNT(C204:O204)=0,"",IFERROR(C204/D204*1000,0))</f>
        <v/>
      </c>
      <c r="Q204" s="16">
        <f>IF(COUNT(C204:O204)=0,"",IFERROR(D204/E204,0))</f>
        <v/>
      </c>
      <c r="R204" s="17">
        <f>IF(COUNT(C204:O204)=0,"",IFERROR(F204/D204,0))</f>
        <v/>
      </c>
      <c r="S204" s="15">
        <f>IF(COUNT(C204:O204)=0,"",IFERROR(C204/F204,0))</f>
        <v/>
      </c>
      <c r="T204" s="18">
        <f>IF(COUNT(C204:O204)=0,"",IFERROR(G204/F204,0))</f>
        <v/>
      </c>
      <c r="U204" s="15">
        <f>IF(COUNT(C204:O204)=0,"",IFERROR(C204/G204,0))</f>
        <v/>
      </c>
      <c r="V204" s="19">
        <f>IF(COUNT(C204:O204)=0,"",IFERROR(G204/D204*1000,0))</f>
        <v/>
      </c>
      <c r="W204" s="18">
        <f>IF(COUNT(C204:O204)=0,"",IFERROR(H204/G204,0))</f>
        <v/>
      </c>
      <c r="X204" s="15">
        <f>IF(COUNT(C204:O204)=0,"",IFERROR(C204/H204,0))</f>
        <v/>
      </c>
      <c r="Y204" s="18">
        <f>IF(COUNT(C204:O204)=0,"",IFERROR(X204/P204,0))</f>
        <v/>
      </c>
      <c r="Z204" s="19">
        <f>IF(COUNT(C204:O204)=0,"",IFERROR(H204/D204*1000,0))</f>
        <v/>
      </c>
      <c r="AA204" s="18">
        <f>IF(COUNT(C204:O204)=0,"",IFERROR(I204/H204,0))</f>
        <v/>
      </c>
      <c r="AB204" s="18">
        <f>IF(COUNT(C204:O204)=0,"",IFERROR(J204/I204,0))</f>
        <v/>
      </c>
      <c r="AC204" s="18">
        <f>IF(COUNT(C204:O204)=0,"",IFERROR(K204/J204,0))</f>
        <v/>
      </c>
      <c r="AD204" s="15">
        <f>IF(COUNT(C204:O204)=0,"",IFERROR(C204/K204,0))</f>
        <v/>
      </c>
      <c r="AE204" s="18">
        <f>IF(COUNT(C204:O204)=0,"",IFERROR(L204/K204,0))</f>
        <v/>
      </c>
      <c r="AF204" s="18">
        <f>IF(COUNT(C204:O204)=0,"",IFERROR(M204/L204,0))</f>
        <v/>
      </c>
      <c r="AG204" s="17">
        <f>IF(COUNT(C204:O204)=0,"",IFERROR(M204/H204,0))</f>
        <v/>
      </c>
      <c r="AH204" s="15">
        <f>IF(COUNT(C204:O204)=0,"",IFERROR(C204/M204,0))</f>
        <v/>
      </c>
      <c r="AI204" s="20">
        <f>IF(COUNT(C204:O204)=0,"",IFERROR(M204*Config!$C$7+N204*Config!$C$8,0))</f>
        <v/>
      </c>
      <c r="AJ204" s="20">
        <f>IF(COUNT(C204:O204)=0,"",IFERROR(IF(O204&gt;0,O204,AI204*Config!$C$9),0))</f>
        <v/>
      </c>
      <c r="AK204" s="20">
        <f>IF(COUNT(C204:O204)=0,"",IFERROR(AJ204*(1-Config!$C$10-Config!$C$11-Config!$C$12),0))</f>
        <v/>
      </c>
      <c r="AL204" s="20">
        <f>IF(COUNT(C204:O204)=0,"",IFERROR(AK204-C204-Config!$C$13,0))</f>
        <v/>
      </c>
      <c r="AM204" s="21">
        <f>IF(COUNT(C204:O204)=0,"",IFERROR(AK204/C204,0))</f>
        <v/>
      </c>
      <c r="AN204" s="21">
        <f>IF(COUNT(C204:O204)=0,"",IFERROR(AI204/C204,0))</f>
        <v/>
      </c>
      <c r="AO204" s="15">
        <f>IF(COUNT(C204:O204)=0,"",IFERROR(AL204/G204,0))</f>
        <v/>
      </c>
      <c r="AP204" s="21">
        <f>IF(COUNT(C204:O204)=0,"",IFERROR(AO204/U204,0))</f>
        <v/>
      </c>
      <c r="AQ204" s="15">
        <f>IF(COUNT(C204:O204)=0,"",IFERROR(AL204/H204,0))</f>
        <v/>
      </c>
    </row>
    <row r="205">
      <c r="A205" s="12">
        <f>Config!$C$6+199</f>
        <v/>
      </c>
      <c r="B205" s="13">
        <f>INT((A205-Config!$C$6)/7)+1</f>
        <v/>
      </c>
      <c r="C205" s="10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0" t="n"/>
      <c r="P205" s="15">
        <f>IF(COUNT(C205:O205)=0,"",IFERROR(C205/D205*1000,0))</f>
        <v/>
      </c>
      <c r="Q205" s="16">
        <f>IF(COUNT(C205:O205)=0,"",IFERROR(D205/E205,0))</f>
        <v/>
      </c>
      <c r="R205" s="17">
        <f>IF(COUNT(C205:O205)=0,"",IFERROR(F205/D205,0))</f>
        <v/>
      </c>
      <c r="S205" s="15">
        <f>IF(COUNT(C205:O205)=0,"",IFERROR(C205/F205,0))</f>
        <v/>
      </c>
      <c r="T205" s="18">
        <f>IF(COUNT(C205:O205)=0,"",IFERROR(G205/F205,0))</f>
        <v/>
      </c>
      <c r="U205" s="15">
        <f>IF(COUNT(C205:O205)=0,"",IFERROR(C205/G205,0))</f>
        <v/>
      </c>
      <c r="V205" s="19">
        <f>IF(COUNT(C205:O205)=0,"",IFERROR(G205/D205*1000,0))</f>
        <v/>
      </c>
      <c r="W205" s="18">
        <f>IF(COUNT(C205:O205)=0,"",IFERROR(H205/G205,0))</f>
        <v/>
      </c>
      <c r="X205" s="15">
        <f>IF(COUNT(C205:O205)=0,"",IFERROR(C205/H205,0))</f>
        <v/>
      </c>
      <c r="Y205" s="18">
        <f>IF(COUNT(C205:O205)=0,"",IFERROR(X205/P205,0))</f>
        <v/>
      </c>
      <c r="Z205" s="19">
        <f>IF(COUNT(C205:O205)=0,"",IFERROR(H205/D205*1000,0))</f>
        <v/>
      </c>
      <c r="AA205" s="18">
        <f>IF(COUNT(C205:O205)=0,"",IFERROR(I205/H205,0))</f>
        <v/>
      </c>
      <c r="AB205" s="18">
        <f>IF(COUNT(C205:O205)=0,"",IFERROR(J205/I205,0))</f>
        <v/>
      </c>
      <c r="AC205" s="18">
        <f>IF(COUNT(C205:O205)=0,"",IFERROR(K205/J205,0))</f>
        <v/>
      </c>
      <c r="AD205" s="15">
        <f>IF(COUNT(C205:O205)=0,"",IFERROR(C205/K205,0))</f>
        <v/>
      </c>
      <c r="AE205" s="18">
        <f>IF(COUNT(C205:O205)=0,"",IFERROR(L205/K205,0))</f>
        <v/>
      </c>
      <c r="AF205" s="18">
        <f>IF(COUNT(C205:O205)=0,"",IFERROR(M205/L205,0))</f>
        <v/>
      </c>
      <c r="AG205" s="17">
        <f>IF(COUNT(C205:O205)=0,"",IFERROR(M205/H205,0))</f>
        <v/>
      </c>
      <c r="AH205" s="15">
        <f>IF(COUNT(C205:O205)=0,"",IFERROR(C205/M205,0))</f>
        <v/>
      </c>
      <c r="AI205" s="20">
        <f>IF(COUNT(C205:O205)=0,"",IFERROR(M205*Config!$C$7+N205*Config!$C$8,0))</f>
        <v/>
      </c>
      <c r="AJ205" s="20">
        <f>IF(COUNT(C205:O205)=0,"",IFERROR(IF(O205&gt;0,O205,AI205*Config!$C$9),0))</f>
        <v/>
      </c>
      <c r="AK205" s="20">
        <f>IF(COUNT(C205:O205)=0,"",IFERROR(AJ205*(1-Config!$C$10-Config!$C$11-Config!$C$12),0))</f>
        <v/>
      </c>
      <c r="AL205" s="20">
        <f>IF(COUNT(C205:O205)=0,"",IFERROR(AK205-C205-Config!$C$13,0))</f>
        <v/>
      </c>
      <c r="AM205" s="21">
        <f>IF(COUNT(C205:O205)=0,"",IFERROR(AK205/C205,0))</f>
        <v/>
      </c>
      <c r="AN205" s="21">
        <f>IF(COUNT(C205:O205)=0,"",IFERROR(AI205/C205,0))</f>
        <v/>
      </c>
      <c r="AO205" s="15">
        <f>IF(COUNT(C205:O205)=0,"",IFERROR(AL205/G205,0))</f>
        <v/>
      </c>
      <c r="AP205" s="21">
        <f>IF(COUNT(C205:O205)=0,"",IFERROR(AO205/U205,0))</f>
        <v/>
      </c>
      <c r="AQ205" s="15">
        <f>IF(COUNT(C205:O205)=0,"",IFERROR(AL205/H205,0))</f>
        <v/>
      </c>
    </row>
    <row r="206">
      <c r="A206" s="12">
        <f>Config!$C$6+200</f>
        <v/>
      </c>
      <c r="B206" s="13">
        <f>INT((A206-Config!$C$6)/7)+1</f>
        <v/>
      </c>
      <c r="C206" s="10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0" t="n"/>
      <c r="P206" s="15">
        <f>IF(COUNT(C206:O206)=0,"",IFERROR(C206/D206*1000,0))</f>
        <v/>
      </c>
      <c r="Q206" s="16">
        <f>IF(COUNT(C206:O206)=0,"",IFERROR(D206/E206,0))</f>
        <v/>
      </c>
      <c r="R206" s="17">
        <f>IF(COUNT(C206:O206)=0,"",IFERROR(F206/D206,0))</f>
        <v/>
      </c>
      <c r="S206" s="15">
        <f>IF(COUNT(C206:O206)=0,"",IFERROR(C206/F206,0))</f>
        <v/>
      </c>
      <c r="T206" s="18">
        <f>IF(COUNT(C206:O206)=0,"",IFERROR(G206/F206,0))</f>
        <v/>
      </c>
      <c r="U206" s="15">
        <f>IF(COUNT(C206:O206)=0,"",IFERROR(C206/G206,0))</f>
        <v/>
      </c>
      <c r="V206" s="19">
        <f>IF(COUNT(C206:O206)=0,"",IFERROR(G206/D206*1000,0))</f>
        <v/>
      </c>
      <c r="W206" s="18">
        <f>IF(COUNT(C206:O206)=0,"",IFERROR(H206/G206,0))</f>
        <v/>
      </c>
      <c r="X206" s="15">
        <f>IF(COUNT(C206:O206)=0,"",IFERROR(C206/H206,0))</f>
        <v/>
      </c>
      <c r="Y206" s="18">
        <f>IF(COUNT(C206:O206)=0,"",IFERROR(X206/P206,0))</f>
        <v/>
      </c>
      <c r="Z206" s="19">
        <f>IF(COUNT(C206:O206)=0,"",IFERROR(H206/D206*1000,0))</f>
        <v/>
      </c>
      <c r="AA206" s="18">
        <f>IF(COUNT(C206:O206)=0,"",IFERROR(I206/H206,0))</f>
        <v/>
      </c>
      <c r="AB206" s="18">
        <f>IF(COUNT(C206:O206)=0,"",IFERROR(J206/I206,0))</f>
        <v/>
      </c>
      <c r="AC206" s="18">
        <f>IF(COUNT(C206:O206)=0,"",IFERROR(K206/J206,0))</f>
        <v/>
      </c>
      <c r="AD206" s="15">
        <f>IF(COUNT(C206:O206)=0,"",IFERROR(C206/K206,0))</f>
        <v/>
      </c>
      <c r="AE206" s="18">
        <f>IF(COUNT(C206:O206)=0,"",IFERROR(L206/K206,0))</f>
        <v/>
      </c>
      <c r="AF206" s="18">
        <f>IF(COUNT(C206:O206)=0,"",IFERROR(M206/L206,0))</f>
        <v/>
      </c>
      <c r="AG206" s="17">
        <f>IF(COUNT(C206:O206)=0,"",IFERROR(M206/H206,0))</f>
        <v/>
      </c>
      <c r="AH206" s="15">
        <f>IF(COUNT(C206:O206)=0,"",IFERROR(C206/M206,0))</f>
        <v/>
      </c>
      <c r="AI206" s="20">
        <f>IF(COUNT(C206:O206)=0,"",IFERROR(M206*Config!$C$7+N206*Config!$C$8,0))</f>
        <v/>
      </c>
      <c r="AJ206" s="20">
        <f>IF(COUNT(C206:O206)=0,"",IFERROR(IF(O206&gt;0,O206,AI206*Config!$C$9),0))</f>
        <v/>
      </c>
      <c r="AK206" s="20">
        <f>IF(COUNT(C206:O206)=0,"",IFERROR(AJ206*(1-Config!$C$10-Config!$C$11-Config!$C$12),0))</f>
        <v/>
      </c>
      <c r="AL206" s="20">
        <f>IF(COUNT(C206:O206)=0,"",IFERROR(AK206-C206-Config!$C$13,0))</f>
        <v/>
      </c>
      <c r="AM206" s="21">
        <f>IF(COUNT(C206:O206)=0,"",IFERROR(AK206/C206,0))</f>
        <v/>
      </c>
      <c r="AN206" s="21">
        <f>IF(COUNT(C206:O206)=0,"",IFERROR(AI206/C206,0))</f>
        <v/>
      </c>
      <c r="AO206" s="15">
        <f>IF(COUNT(C206:O206)=0,"",IFERROR(AL206/G206,0))</f>
        <v/>
      </c>
      <c r="AP206" s="21">
        <f>IF(COUNT(C206:O206)=0,"",IFERROR(AO206/U206,0))</f>
        <v/>
      </c>
      <c r="AQ206" s="15">
        <f>IF(COUNT(C206:O206)=0,"",IFERROR(AL206/H206,0))</f>
        <v/>
      </c>
    </row>
    <row r="207">
      <c r="A207" s="12">
        <f>Config!$C$6+201</f>
        <v/>
      </c>
      <c r="B207" s="13">
        <f>INT((A207-Config!$C$6)/7)+1</f>
        <v/>
      </c>
      <c r="C207" s="10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0" t="n"/>
      <c r="P207" s="15">
        <f>IF(COUNT(C207:O207)=0,"",IFERROR(C207/D207*1000,0))</f>
        <v/>
      </c>
      <c r="Q207" s="16">
        <f>IF(COUNT(C207:O207)=0,"",IFERROR(D207/E207,0))</f>
        <v/>
      </c>
      <c r="R207" s="17">
        <f>IF(COUNT(C207:O207)=0,"",IFERROR(F207/D207,0))</f>
        <v/>
      </c>
      <c r="S207" s="15">
        <f>IF(COUNT(C207:O207)=0,"",IFERROR(C207/F207,0))</f>
        <v/>
      </c>
      <c r="T207" s="18">
        <f>IF(COUNT(C207:O207)=0,"",IFERROR(G207/F207,0))</f>
        <v/>
      </c>
      <c r="U207" s="15">
        <f>IF(COUNT(C207:O207)=0,"",IFERROR(C207/G207,0))</f>
        <v/>
      </c>
      <c r="V207" s="19">
        <f>IF(COUNT(C207:O207)=0,"",IFERROR(G207/D207*1000,0))</f>
        <v/>
      </c>
      <c r="W207" s="18">
        <f>IF(COUNT(C207:O207)=0,"",IFERROR(H207/G207,0))</f>
        <v/>
      </c>
      <c r="X207" s="15">
        <f>IF(COUNT(C207:O207)=0,"",IFERROR(C207/H207,0))</f>
        <v/>
      </c>
      <c r="Y207" s="18">
        <f>IF(COUNT(C207:O207)=0,"",IFERROR(X207/P207,0))</f>
        <v/>
      </c>
      <c r="Z207" s="19">
        <f>IF(COUNT(C207:O207)=0,"",IFERROR(H207/D207*1000,0))</f>
        <v/>
      </c>
      <c r="AA207" s="18">
        <f>IF(COUNT(C207:O207)=0,"",IFERROR(I207/H207,0))</f>
        <v/>
      </c>
      <c r="AB207" s="18">
        <f>IF(COUNT(C207:O207)=0,"",IFERROR(J207/I207,0))</f>
        <v/>
      </c>
      <c r="AC207" s="18">
        <f>IF(COUNT(C207:O207)=0,"",IFERROR(K207/J207,0))</f>
        <v/>
      </c>
      <c r="AD207" s="15">
        <f>IF(COUNT(C207:O207)=0,"",IFERROR(C207/K207,0))</f>
        <v/>
      </c>
      <c r="AE207" s="18">
        <f>IF(COUNT(C207:O207)=0,"",IFERROR(L207/K207,0))</f>
        <v/>
      </c>
      <c r="AF207" s="18">
        <f>IF(COUNT(C207:O207)=0,"",IFERROR(M207/L207,0))</f>
        <v/>
      </c>
      <c r="AG207" s="17">
        <f>IF(COUNT(C207:O207)=0,"",IFERROR(M207/H207,0))</f>
        <v/>
      </c>
      <c r="AH207" s="15">
        <f>IF(COUNT(C207:O207)=0,"",IFERROR(C207/M207,0))</f>
        <v/>
      </c>
      <c r="AI207" s="20">
        <f>IF(COUNT(C207:O207)=0,"",IFERROR(M207*Config!$C$7+N207*Config!$C$8,0))</f>
        <v/>
      </c>
      <c r="AJ207" s="20">
        <f>IF(COUNT(C207:O207)=0,"",IFERROR(IF(O207&gt;0,O207,AI207*Config!$C$9),0))</f>
        <v/>
      </c>
      <c r="AK207" s="20">
        <f>IF(COUNT(C207:O207)=0,"",IFERROR(AJ207*(1-Config!$C$10-Config!$C$11-Config!$C$12),0))</f>
        <v/>
      </c>
      <c r="AL207" s="20">
        <f>IF(COUNT(C207:O207)=0,"",IFERROR(AK207-C207-Config!$C$13,0))</f>
        <v/>
      </c>
      <c r="AM207" s="21">
        <f>IF(COUNT(C207:O207)=0,"",IFERROR(AK207/C207,0))</f>
        <v/>
      </c>
      <c r="AN207" s="21">
        <f>IF(COUNT(C207:O207)=0,"",IFERROR(AI207/C207,0))</f>
        <v/>
      </c>
      <c r="AO207" s="15">
        <f>IF(COUNT(C207:O207)=0,"",IFERROR(AL207/G207,0))</f>
        <v/>
      </c>
      <c r="AP207" s="21">
        <f>IF(COUNT(C207:O207)=0,"",IFERROR(AO207/U207,0))</f>
        <v/>
      </c>
      <c r="AQ207" s="15">
        <f>IF(COUNT(C207:O207)=0,"",IFERROR(AL207/H207,0))</f>
        <v/>
      </c>
    </row>
    <row r="208">
      <c r="A208" s="12">
        <f>Config!$C$6+202</f>
        <v/>
      </c>
      <c r="B208" s="13">
        <f>INT((A208-Config!$C$6)/7)+1</f>
        <v/>
      </c>
      <c r="C208" s="10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0" t="n"/>
      <c r="P208" s="15">
        <f>IF(COUNT(C208:O208)=0,"",IFERROR(C208/D208*1000,0))</f>
        <v/>
      </c>
      <c r="Q208" s="16">
        <f>IF(COUNT(C208:O208)=0,"",IFERROR(D208/E208,0))</f>
        <v/>
      </c>
      <c r="R208" s="17">
        <f>IF(COUNT(C208:O208)=0,"",IFERROR(F208/D208,0))</f>
        <v/>
      </c>
      <c r="S208" s="15">
        <f>IF(COUNT(C208:O208)=0,"",IFERROR(C208/F208,0))</f>
        <v/>
      </c>
      <c r="T208" s="18">
        <f>IF(COUNT(C208:O208)=0,"",IFERROR(G208/F208,0))</f>
        <v/>
      </c>
      <c r="U208" s="15">
        <f>IF(COUNT(C208:O208)=0,"",IFERROR(C208/G208,0))</f>
        <v/>
      </c>
      <c r="V208" s="19">
        <f>IF(COUNT(C208:O208)=0,"",IFERROR(G208/D208*1000,0))</f>
        <v/>
      </c>
      <c r="W208" s="18">
        <f>IF(COUNT(C208:O208)=0,"",IFERROR(H208/G208,0))</f>
        <v/>
      </c>
      <c r="X208" s="15">
        <f>IF(COUNT(C208:O208)=0,"",IFERROR(C208/H208,0))</f>
        <v/>
      </c>
      <c r="Y208" s="18">
        <f>IF(COUNT(C208:O208)=0,"",IFERROR(X208/P208,0))</f>
        <v/>
      </c>
      <c r="Z208" s="19">
        <f>IF(COUNT(C208:O208)=0,"",IFERROR(H208/D208*1000,0))</f>
        <v/>
      </c>
      <c r="AA208" s="18">
        <f>IF(COUNT(C208:O208)=0,"",IFERROR(I208/H208,0))</f>
        <v/>
      </c>
      <c r="AB208" s="18">
        <f>IF(COUNT(C208:O208)=0,"",IFERROR(J208/I208,0))</f>
        <v/>
      </c>
      <c r="AC208" s="18">
        <f>IF(COUNT(C208:O208)=0,"",IFERROR(K208/J208,0))</f>
        <v/>
      </c>
      <c r="AD208" s="15">
        <f>IF(COUNT(C208:O208)=0,"",IFERROR(C208/K208,0))</f>
        <v/>
      </c>
      <c r="AE208" s="18">
        <f>IF(COUNT(C208:O208)=0,"",IFERROR(L208/K208,0))</f>
        <v/>
      </c>
      <c r="AF208" s="18">
        <f>IF(COUNT(C208:O208)=0,"",IFERROR(M208/L208,0))</f>
        <v/>
      </c>
      <c r="AG208" s="17">
        <f>IF(COUNT(C208:O208)=0,"",IFERROR(M208/H208,0))</f>
        <v/>
      </c>
      <c r="AH208" s="15">
        <f>IF(COUNT(C208:O208)=0,"",IFERROR(C208/M208,0))</f>
        <v/>
      </c>
      <c r="AI208" s="20">
        <f>IF(COUNT(C208:O208)=0,"",IFERROR(M208*Config!$C$7+N208*Config!$C$8,0))</f>
        <v/>
      </c>
      <c r="AJ208" s="20">
        <f>IF(COUNT(C208:O208)=0,"",IFERROR(IF(O208&gt;0,O208,AI208*Config!$C$9),0))</f>
        <v/>
      </c>
      <c r="AK208" s="20">
        <f>IF(COUNT(C208:O208)=0,"",IFERROR(AJ208*(1-Config!$C$10-Config!$C$11-Config!$C$12),0))</f>
        <v/>
      </c>
      <c r="AL208" s="20">
        <f>IF(COUNT(C208:O208)=0,"",IFERROR(AK208-C208-Config!$C$13,0))</f>
        <v/>
      </c>
      <c r="AM208" s="21">
        <f>IF(COUNT(C208:O208)=0,"",IFERROR(AK208/C208,0))</f>
        <v/>
      </c>
      <c r="AN208" s="21">
        <f>IF(COUNT(C208:O208)=0,"",IFERROR(AI208/C208,0))</f>
        <v/>
      </c>
      <c r="AO208" s="15">
        <f>IF(COUNT(C208:O208)=0,"",IFERROR(AL208/G208,0))</f>
        <v/>
      </c>
      <c r="AP208" s="21">
        <f>IF(COUNT(C208:O208)=0,"",IFERROR(AO208/U208,0))</f>
        <v/>
      </c>
      <c r="AQ208" s="15">
        <f>IF(COUNT(C208:O208)=0,"",IFERROR(AL208/H208,0))</f>
        <v/>
      </c>
    </row>
    <row r="209">
      <c r="A209" s="12">
        <f>Config!$C$6+203</f>
        <v/>
      </c>
      <c r="B209" s="13">
        <f>INT((A209-Config!$C$6)/7)+1</f>
        <v/>
      </c>
      <c r="C209" s="10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0" t="n"/>
      <c r="P209" s="15">
        <f>IF(COUNT(C209:O209)=0,"",IFERROR(C209/D209*1000,0))</f>
        <v/>
      </c>
      <c r="Q209" s="16">
        <f>IF(COUNT(C209:O209)=0,"",IFERROR(D209/E209,0))</f>
        <v/>
      </c>
      <c r="R209" s="17">
        <f>IF(COUNT(C209:O209)=0,"",IFERROR(F209/D209,0))</f>
        <v/>
      </c>
      <c r="S209" s="15">
        <f>IF(COUNT(C209:O209)=0,"",IFERROR(C209/F209,0))</f>
        <v/>
      </c>
      <c r="T209" s="18">
        <f>IF(COUNT(C209:O209)=0,"",IFERROR(G209/F209,0))</f>
        <v/>
      </c>
      <c r="U209" s="15">
        <f>IF(COUNT(C209:O209)=0,"",IFERROR(C209/G209,0))</f>
        <v/>
      </c>
      <c r="V209" s="19">
        <f>IF(COUNT(C209:O209)=0,"",IFERROR(G209/D209*1000,0))</f>
        <v/>
      </c>
      <c r="W209" s="18">
        <f>IF(COUNT(C209:O209)=0,"",IFERROR(H209/G209,0))</f>
        <v/>
      </c>
      <c r="X209" s="15">
        <f>IF(COUNT(C209:O209)=0,"",IFERROR(C209/H209,0))</f>
        <v/>
      </c>
      <c r="Y209" s="18">
        <f>IF(COUNT(C209:O209)=0,"",IFERROR(X209/P209,0))</f>
        <v/>
      </c>
      <c r="Z209" s="19">
        <f>IF(COUNT(C209:O209)=0,"",IFERROR(H209/D209*1000,0))</f>
        <v/>
      </c>
      <c r="AA209" s="18">
        <f>IF(COUNT(C209:O209)=0,"",IFERROR(I209/H209,0))</f>
        <v/>
      </c>
      <c r="AB209" s="18">
        <f>IF(COUNT(C209:O209)=0,"",IFERROR(J209/I209,0))</f>
        <v/>
      </c>
      <c r="AC209" s="18">
        <f>IF(COUNT(C209:O209)=0,"",IFERROR(K209/J209,0))</f>
        <v/>
      </c>
      <c r="AD209" s="15">
        <f>IF(COUNT(C209:O209)=0,"",IFERROR(C209/K209,0))</f>
        <v/>
      </c>
      <c r="AE209" s="18">
        <f>IF(COUNT(C209:O209)=0,"",IFERROR(L209/K209,0))</f>
        <v/>
      </c>
      <c r="AF209" s="18">
        <f>IF(COUNT(C209:O209)=0,"",IFERROR(M209/L209,0))</f>
        <v/>
      </c>
      <c r="AG209" s="17">
        <f>IF(COUNT(C209:O209)=0,"",IFERROR(M209/H209,0))</f>
        <v/>
      </c>
      <c r="AH209" s="15">
        <f>IF(COUNT(C209:O209)=0,"",IFERROR(C209/M209,0))</f>
        <v/>
      </c>
      <c r="AI209" s="20">
        <f>IF(COUNT(C209:O209)=0,"",IFERROR(M209*Config!$C$7+N209*Config!$C$8,0))</f>
        <v/>
      </c>
      <c r="AJ209" s="20">
        <f>IF(COUNT(C209:O209)=0,"",IFERROR(IF(O209&gt;0,O209,AI209*Config!$C$9),0))</f>
        <v/>
      </c>
      <c r="AK209" s="20">
        <f>IF(COUNT(C209:O209)=0,"",IFERROR(AJ209*(1-Config!$C$10-Config!$C$11-Config!$C$12),0))</f>
        <v/>
      </c>
      <c r="AL209" s="20">
        <f>IF(COUNT(C209:O209)=0,"",IFERROR(AK209-C209-Config!$C$13,0))</f>
        <v/>
      </c>
      <c r="AM209" s="21">
        <f>IF(COUNT(C209:O209)=0,"",IFERROR(AK209/C209,0))</f>
        <v/>
      </c>
      <c r="AN209" s="21">
        <f>IF(COUNT(C209:O209)=0,"",IFERROR(AI209/C209,0))</f>
        <v/>
      </c>
      <c r="AO209" s="15">
        <f>IF(COUNT(C209:O209)=0,"",IFERROR(AL209/G209,0))</f>
        <v/>
      </c>
      <c r="AP209" s="21">
        <f>IF(COUNT(C209:O209)=0,"",IFERROR(AO209/U209,0))</f>
        <v/>
      </c>
      <c r="AQ209" s="15">
        <f>IF(COUNT(C209:O209)=0,"",IFERROR(AL209/H209,0))</f>
        <v/>
      </c>
    </row>
    <row r="210">
      <c r="A210" s="12">
        <f>Config!$C$6+204</f>
        <v/>
      </c>
      <c r="B210" s="13">
        <f>INT((A210-Config!$C$6)/7)+1</f>
        <v/>
      </c>
      <c r="C210" s="10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0" t="n"/>
      <c r="P210" s="15">
        <f>IF(COUNT(C210:O210)=0,"",IFERROR(C210/D210*1000,0))</f>
        <v/>
      </c>
      <c r="Q210" s="16">
        <f>IF(COUNT(C210:O210)=0,"",IFERROR(D210/E210,0))</f>
        <v/>
      </c>
      <c r="R210" s="17">
        <f>IF(COUNT(C210:O210)=0,"",IFERROR(F210/D210,0))</f>
        <v/>
      </c>
      <c r="S210" s="15">
        <f>IF(COUNT(C210:O210)=0,"",IFERROR(C210/F210,0))</f>
        <v/>
      </c>
      <c r="T210" s="18">
        <f>IF(COUNT(C210:O210)=0,"",IFERROR(G210/F210,0))</f>
        <v/>
      </c>
      <c r="U210" s="15">
        <f>IF(COUNT(C210:O210)=0,"",IFERROR(C210/G210,0))</f>
        <v/>
      </c>
      <c r="V210" s="19">
        <f>IF(COUNT(C210:O210)=0,"",IFERROR(G210/D210*1000,0))</f>
        <v/>
      </c>
      <c r="W210" s="18">
        <f>IF(COUNT(C210:O210)=0,"",IFERROR(H210/G210,0))</f>
        <v/>
      </c>
      <c r="X210" s="15">
        <f>IF(COUNT(C210:O210)=0,"",IFERROR(C210/H210,0))</f>
        <v/>
      </c>
      <c r="Y210" s="18">
        <f>IF(COUNT(C210:O210)=0,"",IFERROR(X210/P210,0))</f>
        <v/>
      </c>
      <c r="Z210" s="19">
        <f>IF(COUNT(C210:O210)=0,"",IFERROR(H210/D210*1000,0))</f>
        <v/>
      </c>
      <c r="AA210" s="18">
        <f>IF(COUNT(C210:O210)=0,"",IFERROR(I210/H210,0))</f>
        <v/>
      </c>
      <c r="AB210" s="18">
        <f>IF(COUNT(C210:O210)=0,"",IFERROR(J210/I210,0))</f>
        <v/>
      </c>
      <c r="AC210" s="18">
        <f>IF(COUNT(C210:O210)=0,"",IFERROR(K210/J210,0))</f>
        <v/>
      </c>
      <c r="AD210" s="15">
        <f>IF(COUNT(C210:O210)=0,"",IFERROR(C210/K210,0))</f>
        <v/>
      </c>
      <c r="AE210" s="18">
        <f>IF(COUNT(C210:O210)=0,"",IFERROR(L210/K210,0))</f>
        <v/>
      </c>
      <c r="AF210" s="18">
        <f>IF(COUNT(C210:O210)=0,"",IFERROR(M210/L210,0))</f>
        <v/>
      </c>
      <c r="AG210" s="17">
        <f>IF(COUNT(C210:O210)=0,"",IFERROR(M210/H210,0))</f>
        <v/>
      </c>
      <c r="AH210" s="15">
        <f>IF(COUNT(C210:O210)=0,"",IFERROR(C210/M210,0))</f>
        <v/>
      </c>
      <c r="AI210" s="20">
        <f>IF(COUNT(C210:O210)=0,"",IFERROR(M210*Config!$C$7+N210*Config!$C$8,0))</f>
        <v/>
      </c>
      <c r="AJ210" s="20">
        <f>IF(COUNT(C210:O210)=0,"",IFERROR(IF(O210&gt;0,O210,AI210*Config!$C$9),0))</f>
        <v/>
      </c>
      <c r="AK210" s="20">
        <f>IF(COUNT(C210:O210)=0,"",IFERROR(AJ210*(1-Config!$C$10-Config!$C$11-Config!$C$12),0))</f>
        <v/>
      </c>
      <c r="AL210" s="20">
        <f>IF(COUNT(C210:O210)=0,"",IFERROR(AK210-C210-Config!$C$13,0))</f>
        <v/>
      </c>
      <c r="AM210" s="21">
        <f>IF(COUNT(C210:O210)=0,"",IFERROR(AK210/C210,0))</f>
        <v/>
      </c>
      <c r="AN210" s="21">
        <f>IF(COUNT(C210:O210)=0,"",IFERROR(AI210/C210,0))</f>
        <v/>
      </c>
      <c r="AO210" s="15">
        <f>IF(COUNT(C210:O210)=0,"",IFERROR(AL210/G210,0))</f>
        <v/>
      </c>
      <c r="AP210" s="21">
        <f>IF(COUNT(C210:O210)=0,"",IFERROR(AO210/U210,0))</f>
        <v/>
      </c>
      <c r="AQ210" s="15">
        <f>IF(COUNT(C210:O210)=0,"",IFERROR(AL210/H210,0))</f>
        <v/>
      </c>
    </row>
    <row r="211">
      <c r="A211" s="12">
        <f>Config!$C$6+205</f>
        <v/>
      </c>
      <c r="B211" s="13">
        <f>INT((A211-Config!$C$6)/7)+1</f>
        <v/>
      </c>
      <c r="C211" s="10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0" t="n"/>
      <c r="P211" s="15">
        <f>IF(COUNT(C211:O211)=0,"",IFERROR(C211/D211*1000,0))</f>
        <v/>
      </c>
      <c r="Q211" s="16">
        <f>IF(COUNT(C211:O211)=0,"",IFERROR(D211/E211,0))</f>
        <v/>
      </c>
      <c r="R211" s="17">
        <f>IF(COUNT(C211:O211)=0,"",IFERROR(F211/D211,0))</f>
        <v/>
      </c>
      <c r="S211" s="15">
        <f>IF(COUNT(C211:O211)=0,"",IFERROR(C211/F211,0))</f>
        <v/>
      </c>
      <c r="T211" s="18">
        <f>IF(COUNT(C211:O211)=0,"",IFERROR(G211/F211,0))</f>
        <v/>
      </c>
      <c r="U211" s="15">
        <f>IF(COUNT(C211:O211)=0,"",IFERROR(C211/G211,0))</f>
        <v/>
      </c>
      <c r="V211" s="19">
        <f>IF(COUNT(C211:O211)=0,"",IFERROR(G211/D211*1000,0))</f>
        <v/>
      </c>
      <c r="W211" s="18">
        <f>IF(COUNT(C211:O211)=0,"",IFERROR(H211/G211,0))</f>
        <v/>
      </c>
      <c r="X211" s="15">
        <f>IF(COUNT(C211:O211)=0,"",IFERROR(C211/H211,0))</f>
        <v/>
      </c>
      <c r="Y211" s="18">
        <f>IF(COUNT(C211:O211)=0,"",IFERROR(X211/P211,0))</f>
        <v/>
      </c>
      <c r="Z211" s="19">
        <f>IF(COUNT(C211:O211)=0,"",IFERROR(H211/D211*1000,0))</f>
        <v/>
      </c>
      <c r="AA211" s="18">
        <f>IF(COUNT(C211:O211)=0,"",IFERROR(I211/H211,0))</f>
        <v/>
      </c>
      <c r="AB211" s="18">
        <f>IF(COUNT(C211:O211)=0,"",IFERROR(J211/I211,0))</f>
        <v/>
      </c>
      <c r="AC211" s="18">
        <f>IF(COUNT(C211:O211)=0,"",IFERROR(K211/J211,0))</f>
        <v/>
      </c>
      <c r="AD211" s="15">
        <f>IF(COUNT(C211:O211)=0,"",IFERROR(C211/K211,0))</f>
        <v/>
      </c>
      <c r="AE211" s="18">
        <f>IF(COUNT(C211:O211)=0,"",IFERROR(L211/K211,0))</f>
        <v/>
      </c>
      <c r="AF211" s="18">
        <f>IF(COUNT(C211:O211)=0,"",IFERROR(M211/L211,0))</f>
        <v/>
      </c>
      <c r="AG211" s="17">
        <f>IF(COUNT(C211:O211)=0,"",IFERROR(M211/H211,0))</f>
        <v/>
      </c>
      <c r="AH211" s="15">
        <f>IF(COUNT(C211:O211)=0,"",IFERROR(C211/M211,0))</f>
        <v/>
      </c>
      <c r="AI211" s="20">
        <f>IF(COUNT(C211:O211)=0,"",IFERROR(M211*Config!$C$7+N211*Config!$C$8,0))</f>
        <v/>
      </c>
      <c r="AJ211" s="20">
        <f>IF(COUNT(C211:O211)=0,"",IFERROR(IF(O211&gt;0,O211,AI211*Config!$C$9),0))</f>
        <v/>
      </c>
      <c r="AK211" s="20">
        <f>IF(COUNT(C211:O211)=0,"",IFERROR(AJ211*(1-Config!$C$10-Config!$C$11-Config!$C$12),0))</f>
        <v/>
      </c>
      <c r="AL211" s="20">
        <f>IF(COUNT(C211:O211)=0,"",IFERROR(AK211-C211-Config!$C$13,0))</f>
        <v/>
      </c>
      <c r="AM211" s="21">
        <f>IF(COUNT(C211:O211)=0,"",IFERROR(AK211/C211,0))</f>
        <v/>
      </c>
      <c r="AN211" s="21">
        <f>IF(COUNT(C211:O211)=0,"",IFERROR(AI211/C211,0))</f>
        <v/>
      </c>
      <c r="AO211" s="15">
        <f>IF(COUNT(C211:O211)=0,"",IFERROR(AL211/G211,0))</f>
        <v/>
      </c>
      <c r="AP211" s="21">
        <f>IF(COUNT(C211:O211)=0,"",IFERROR(AO211/U211,0))</f>
        <v/>
      </c>
      <c r="AQ211" s="15">
        <f>IF(COUNT(C211:O211)=0,"",IFERROR(AL211/H211,0))</f>
        <v/>
      </c>
    </row>
    <row r="212">
      <c r="A212" s="12">
        <f>Config!$C$6+206</f>
        <v/>
      </c>
      <c r="B212" s="13">
        <f>INT((A212-Config!$C$6)/7)+1</f>
        <v/>
      </c>
      <c r="C212" s="10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0" t="n"/>
      <c r="P212" s="15">
        <f>IF(COUNT(C212:O212)=0,"",IFERROR(C212/D212*1000,0))</f>
        <v/>
      </c>
      <c r="Q212" s="16">
        <f>IF(COUNT(C212:O212)=0,"",IFERROR(D212/E212,0))</f>
        <v/>
      </c>
      <c r="R212" s="17">
        <f>IF(COUNT(C212:O212)=0,"",IFERROR(F212/D212,0))</f>
        <v/>
      </c>
      <c r="S212" s="15">
        <f>IF(COUNT(C212:O212)=0,"",IFERROR(C212/F212,0))</f>
        <v/>
      </c>
      <c r="T212" s="18">
        <f>IF(COUNT(C212:O212)=0,"",IFERROR(G212/F212,0))</f>
        <v/>
      </c>
      <c r="U212" s="15">
        <f>IF(COUNT(C212:O212)=0,"",IFERROR(C212/G212,0))</f>
        <v/>
      </c>
      <c r="V212" s="19">
        <f>IF(COUNT(C212:O212)=0,"",IFERROR(G212/D212*1000,0))</f>
        <v/>
      </c>
      <c r="W212" s="18">
        <f>IF(COUNT(C212:O212)=0,"",IFERROR(H212/G212,0))</f>
        <v/>
      </c>
      <c r="X212" s="15">
        <f>IF(COUNT(C212:O212)=0,"",IFERROR(C212/H212,0))</f>
        <v/>
      </c>
      <c r="Y212" s="18">
        <f>IF(COUNT(C212:O212)=0,"",IFERROR(X212/P212,0))</f>
        <v/>
      </c>
      <c r="Z212" s="19">
        <f>IF(COUNT(C212:O212)=0,"",IFERROR(H212/D212*1000,0))</f>
        <v/>
      </c>
      <c r="AA212" s="18">
        <f>IF(COUNT(C212:O212)=0,"",IFERROR(I212/H212,0))</f>
        <v/>
      </c>
      <c r="AB212" s="18">
        <f>IF(COUNT(C212:O212)=0,"",IFERROR(J212/I212,0))</f>
        <v/>
      </c>
      <c r="AC212" s="18">
        <f>IF(COUNT(C212:O212)=0,"",IFERROR(K212/J212,0))</f>
        <v/>
      </c>
      <c r="AD212" s="15">
        <f>IF(COUNT(C212:O212)=0,"",IFERROR(C212/K212,0))</f>
        <v/>
      </c>
      <c r="AE212" s="18">
        <f>IF(COUNT(C212:O212)=0,"",IFERROR(L212/K212,0))</f>
        <v/>
      </c>
      <c r="AF212" s="18">
        <f>IF(COUNT(C212:O212)=0,"",IFERROR(M212/L212,0))</f>
        <v/>
      </c>
      <c r="AG212" s="17">
        <f>IF(COUNT(C212:O212)=0,"",IFERROR(M212/H212,0))</f>
        <v/>
      </c>
      <c r="AH212" s="15">
        <f>IF(COUNT(C212:O212)=0,"",IFERROR(C212/M212,0))</f>
        <v/>
      </c>
      <c r="AI212" s="20">
        <f>IF(COUNT(C212:O212)=0,"",IFERROR(M212*Config!$C$7+N212*Config!$C$8,0))</f>
        <v/>
      </c>
      <c r="AJ212" s="20">
        <f>IF(COUNT(C212:O212)=0,"",IFERROR(IF(O212&gt;0,O212,AI212*Config!$C$9),0))</f>
        <v/>
      </c>
      <c r="AK212" s="20">
        <f>IF(COUNT(C212:O212)=0,"",IFERROR(AJ212*(1-Config!$C$10-Config!$C$11-Config!$C$12),0))</f>
        <v/>
      </c>
      <c r="AL212" s="20">
        <f>IF(COUNT(C212:O212)=0,"",IFERROR(AK212-C212-Config!$C$13,0))</f>
        <v/>
      </c>
      <c r="AM212" s="21">
        <f>IF(COUNT(C212:O212)=0,"",IFERROR(AK212/C212,0))</f>
        <v/>
      </c>
      <c r="AN212" s="21">
        <f>IF(COUNT(C212:O212)=0,"",IFERROR(AI212/C212,0))</f>
        <v/>
      </c>
      <c r="AO212" s="15">
        <f>IF(COUNT(C212:O212)=0,"",IFERROR(AL212/G212,0))</f>
        <v/>
      </c>
      <c r="AP212" s="21">
        <f>IF(COUNT(C212:O212)=0,"",IFERROR(AO212/U212,0))</f>
        <v/>
      </c>
      <c r="AQ212" s="15">
        <f>IF(COUNT(C212:O212)=0,"",IFERROR(AL212/H212,0))</f>
        <v/>
      </c>
    </row>
    <row r="213">
      <c r="A213" s="12">
        <f>Config!$C$6+207</f>
        <v/>
      </c>
      <c r="B213" s="13">
        <f>INT((A213-Config!$C$6)/7)+1</f>
        <v/>
      </c>
      <c r="C213" s="10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0" t="n"/>
      <c r="P213" s="15">
        <f>IF(COUNT(C213:O213)=0,"",IFERROR(C213/D213*1000,0))</f>
        <v/>
      </c>
      <c r="Q213" s="16">
        <f>IF(COUNT(C213:O213)=0,"",IFERROR(D213/E213,0))</f>
        <v/>
      </c>
      <c r="R213" s="17">
        <f>IF(COUNT(C213:O213)=0,"",IFERROR(F213/D213,0))</f>
        <v/>
      </c>
      <c r="S213" s="15">
        <f>IF(COUNT(C213:O213)=0,"",IFERROR(C213/F213,0))</f>
        <v/>
      </c>
      <c r="T213" s="18">
        <f>IF(COUNT(C213:O213)=0,"",IFERROR(G213/F213,0))</f>
        <v/>
      </c>
      <c r="U213" s="15">
        <f>IF(COUNT(C213:O213)=0,"",IFERROR(C213/G213,0))</f>
        <v/>
      </c>
      <c r="V213" s="19">
        <f>IF(COUNT(C213:O213)=0,"",IFERROR(G213/D213*1000,0))</f>
        <v/>
      </c>
      <c r="W213" s="18">
        <f>IF(COUNT(C213:O213)=0,"",IFERROR(H213/G213,0))</f>
        <v/>
      </c>
      <c r="X213" s="15">
        <f>IF(COUNT(C213:O213)=0,"",IFERROR(C213/H213,0))</f>
        <v/>
      </c>
      <c r="Y213" s="18">
        <f>IF(COUNT(C213:O213)=0,"",IFERROR(X213/P213,0))</f>
        <v/>
      </c>
      <c r="Z213" s="19">
        <f>IF(COUNT(C213:O213)=0,"",IFERROR(H213/D213*1000,0))</f>
        <v/>
      </c>
      <c r="AA213" s="18">
        <f>IF(COUNT(C213:O213)=0,"",IFERROR(I213/H213,0))</f>
        <v/>
      </c>
      <c r="AB213" s="18">
        <f>IF(COUNT(C213:O213)=0,"",IFERROR(J213/I213,0))</f>
        <v/>
      </c>
      <c r="AC213" s="18">
        <f>IF(COUNT(C213:O213)=0,"",IFERROR(K213/J213,0))</f>
        <v/>
      </c>
      <c r="AD213" s="15">
        <f>IF(COUNT(C213:O213)=0,"",IFERROR(C213/K213,0))</f>
        <v/>
      </c>
      <c r="AE213" s="18">
        <f>IF(COUNT(C213:O213)=0,"",IFERROR(L213/K213,0))</f>
        <v/>
      </c>
      <c r="AF213" s="18">
        <f>IF(COUNT(C213:O213)=0,"",IFERROR(M213/L213,0))</f>
        <v/>
      </c>
      <c r="AG213" s="17">
        <f>IF(COUNT(C213:O213)=0,"",IFERROR(M213/H213,0))</f>
        <v/>
      </c>
      <c r="AH213" s="15">
        <f>IF(COUNT(C213:O213)=0,"",IFERROR(C213/M213,0))</f>
        <v/>
      </c>
      <c r="AI213" s="20">
        <f>IF(COUNT(C213:O213)=0,"",IFERROR(M213*Config!$C$7+N213*Config!$C$8,0))</f>
        <v/>
      </c>
      <c r="AJ213" s="20">
        <f>IF(COUNT(C213:O213)=0,"",IFERROR(IF(O213&gt;0,O213,AI213*Config!$C$9),0))</f>
        <v/>
      </c>
      <c r="AK213" s="20">
        <f>IF(COUNT(C213:O213)=0,"",IFERROR(AJ213*(1-Config!$C$10-Config!$C$11-Config!$C$12),0))</f>
        <v/>
      </c>
      <c r="AL213" s="20">
        <f>IF(COUNT(C213:O213)=0,"",IFERROR(AK213-C213-Config!$C$13,0))</f>
        <v/>
      </c>
      <c r="AM213" s="21">
        <f>IF(COUNT(C213:O213)=0,"",IFERROR(AK213/C213,0))</f>
        <v/>
      </c>
      <c r="AN213" s="21">
        <f>IF(COUNT(C213:O213)=0,"",IFERROR(AI213/C213,0))</f>
        <v/>
      </c>
      <c r="AO213" s="15">
        <f>IF(COUNT(C213:O213)=0,"",IFERROR(AL213/G213,0))</f>
        <v/>
      </c>
      <c r="AP213" s="21">
        <f>IF(COUNT(C213:O213)=0,"",IFERROR(AO213/U213,0))</f>
        <v/>
      </c>
      <c r="AQ213" s="15">
        <f>IF(COUNT(C213:O213)=0,"",IFERROR(AL213/H213,0))</f>
        <v/>
      </c>
    </row>
    <row r="214">
      <c r="A214" s="12">
        <f>Config!$C$6+208</f>
        <v/>
      </c>
      <c r="B214" s="13">
        <f>INT((A214-Config!$C$6)/7)+1</f>
        <v/>
      </c>
      <c r="C214" s="10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0" t="n"/>
      <c r="P214" s="15">
        <f>IF(COUNT(C214:O214)=0,"",IFERROR(C214/D214*1000,0))</f>
        <v/>
      </c>
      <c r="Q214" s="16">
        <f>IF(COUNT(C214:O214)=0,"",IFERROR(D214/E214,0))</f>
        <v/>
      </c>
      <c r="R214" s="17">
        <f>IF(COUNT(C214:O214)=0,"",IFERROR(F214/D214,0))</f>
        <v/>
      </c>
      <c r="S214" s="15">
        <f>IF(COUNT(C214:O214)=0,"",IFERROR(C214/F214,0))</f>
        <v/>
      </c>
      <c r="T214" s="18">
        <f>IF(COUNT(C214:O214)=0,"",IFERROR(G214/F214,0))</f>
        <v/>
      </c>
      <c r="U214" s="15">
        <f>IF(COUNT(C214:O214)=0,"",IFERROR(C214/G214,0))</f>
        <v/>
      </c>
      <c r="V214" s="19">
        <f>IF(COUNT(C214:O214)=0,"",IFERROR(G214/D214*1000,0))</f>
        <v/>
      </c>
      <c r="W214" s="18">
        <f>IF(COUNT(C214:O214)=0,"",IFERROR(H214/G214,0))</f>
        <v/>
      </c>
      <c r="X214" s="15">
        <f>IF(COUNT(C214:O214)=0,"",IFERROR(C214/H214,0))</f>
        <v/>
      </c>
      <c r="Y214" s="18">
        <f>IF(COUNT(C214:O214)=0,"",IFERROR(X214/P214,0))</f>
        <v/>
      </c>
      <c r="Z214" s="19">
        <f>IF(COUNT(C214:O214)=0,"",IFERROR(H214/D214*1000,0))</f>
        <v/>
      </c>
      <c r="AA214" s="18">
        <f>IF(COUNT(C214:O214)=0,"",IFERROR(I214/H214,0))</f>
        <v/>
      </c>
      <c r="AB214" s="18">
        <f>IF(COUNT(C214:O214)=0,"",IFERROR(J214/I214,0))</f>
        <v/>
      </c>
      <c r="AC214" s="18">
        <f>IF(COUNT(C214:O214)=0,"",IFERROR(K214/J214,0))</f>
        <v/>
      </c>
      <c r="AD214" s="15">
        <f>IF(COUNT(C214:O214)=0,"",IFERROR(C214/K214,0))</f>
        <v/>
      </c>
      <c r="AE214" s="18">
        <f>IF(COUNT(C214:O214)=0,"",IFERROR(L214/K214,0))</f>
        <v/>
      </c>
      <c r="AF214" s="18">
        <f>IF(COUNT(C214:O214)=0,"",IFERROR(M214/L214,0))</f>
        <v/>
      </c>
      <c r="AG214" s="17">
        <f>IF(COUNT(C214:O214)=0,"",IFERROR(M214/H214,0))</f>
        <v/>
      </c>
      <c r="AH214" s="15">
        <f>IF(COUNT(C214:O214)=0,"",IFERROR(C214/M214,0))</f>
        <v/>
      </c>
      <c r="AI214" s="20">
        <f>IF(COUNT(C214:O214)=0,"",IFERROR(M214*Config!$C$7+N214*Config!$C$8,0))</f>
        <v/>
      </c>
      <c r="AJ214" s="20">
        <f>IF(COUNT(C214:O214)=0,"",IFERROR(IF(O214&gt;0,O214,AI214*Config!$C$9),0))</f>
        <v/>
      </c>
      <c r="AK214" s="20">
        <f>IF(COUNT(C214:O214)=0,"",IFERROR(AJ214*(1-Config!$C$10-Config!$C$11-Config!$C$12),0))</f>
        <v/>
      </c>
      <c r="AL214" s="20">
        <f>IF(COUNT(C214:O214)=0,"",IFERROR(AK214-C214-Config!$C$13,0))</f>
        <v/>
      </c>
      <c r="AM214" s="21">
        <f>IF(COUNT(C214:O214)=0,"",IFERROR(AK214/C214,0))</f>
        <v/>
      </c>
      <c r="AN214" s="21">
        <f>IF(COUNT(C214:O214)=0,"",IFERROR(AI214/C214,0))</f>
        <v/>
      </c>
      <c r="AO214" s="15">
        <f>IF(COUNT(C214:O214)=0,"",IFERROR(AL214/G214,0))</f>
        <v/>
      </c>
      <c r="AP214" s="21">
        <f>IF(COUNT(C214:O214)=0,"",IFERROR(AO214/U214,0))</f>
        <v/>
      </c>
      <c r="AQ214" s="15">
        <f>IF(COUNT(C214:O214)=0,"",IFERROR(AL214/H214,0))</f>
        <v/>
      </c>
    </row>
    <row r="215">
      <c r="A215" s="12">
        <f>Config!$C$6+209</f>
        <v/>
      </c>
      <c r="B215" s="13">
        <f>INT((A215-Config!$C$6)/7)+1</f>
        <v/>
      </c>
      <c r="C215" s="10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0" t="n"/>
      <c r="P215" s="15">
        <f>IF(COUNT(C215:O215)=0,"",IFERROR(C215/D215*1000,0))</f>
        <v/>
      </c>
      <c r="Q215" s="16">
        <f>IF(COUNT(C215:O215)=0,"",IFERROR(D215/E215,0))</f>
        <v/>
      </c>
      <c r="R215" s="17">
        <f>IF(COUNT(C215:O215)=0,"",IFERROR(F215/D215,0))</f>
        <v/>
      </c>
      <c r="S215" s="15">
        <f>IF(COUNT(C215:O215)=0,"",IFERROR(C215/F215,0))</f>
        <v/>
      </c>
      <c r="T215" s="18">
        <f>IF(COUNT(C215:O215)=0,"",IFERROR(G215/F215,0))</f>
        <v/>
      </c>
      <c r="U215" s="15">
        <f>IF(COUNT(C215:O215)=0,"",IFERROR(C215/G215,0))</f>
        <v/>
      </c>
      <c r="V215" s="19">
        <f>IF(COUNT(C215:O215)=0,"",IFERROR(G215/D215*1000,0))</f>
        <v/>
      </c>
      <c r="W215" s="18">
        <f>IF(COUNT(C215:O215)=0,"",IFERROR(H215/G215,0))</f>
        <v/>
      </c>
      <c r="X215" s="15">
        <f>IF(COUNT(C215:O215)=0,"",IFERROR(C215/H215,0))</f>
        <v/>
      </c>
      <c r="Y215" s="18">
        <f>IF(COUNT(C215:O215)=0,"",IFERROR(X215/P215,0))</f>
        <v/>
      </c>
      <c r="Z215" s="19">
        <f>IF(COUNT(C215:O215)=0,"",IFERROR(H215/D215*1000,0))</f>
        <v/>
      </c>
      <c r="AA215" s="18">
        <f>IF(COUNT(C215:O215)=0,"",IFERROR(I215/H215,0))</f>
        <v/>
      </c>
      <c r="AB215" s="18">
        <f>IF(COUNT(C215:O215)=0,"",IFERROR(J215/I215,0))</f>
        <v/>
      </c>
      <c r="AC215" s="18">
        <f>IF(COUNT(C215:O215)=0,"",IFERROR(K215/J215,0))</f>
        <v/>
      </c>
      <c r="AD215" s="15">
        <f>IF(COUNT(C215:O215)=0,"",IFERROR(C215/K215,0))</f>
        <v/>
      </c>
      <c r="AE215" s="18">
        <f>IF(COUNT(C215:O215)=0,"",IFERROR(L215/K215,0))</f>
        <v/>
      </c>
      <c r="AF215" s="18">
        <f>IF(COUNT(C215:O215)=0,"",IFERROR(M215/L215,0))</f>
        <v/>
      </c>
      <c r="AG215" s="17">
        <f>IF(COUNT(C215:O215)=0,"",IFERROR(M215/H215,0))</f>
        <v/>
      </c>
      <c r="AH215" s="15">
        <f>IF(COUNT(C215:O215)=0,"",IFERROR(C215/M215,0))</f>
        <v/>
      </c>
      <c r="AI215" s="20">
        <f>IF(COUNT(C215:O215)=0,"",IFERROR(M215*Config!$C$7+N215*Config!$C$8,0))</f>
        <v/>
      </c>
      <c r="AJ215" s="20">
        <f>IF(COUNT(C215:O215)=0,"",IFERROR(IF(O215&gt;0,O215,AI215*Config!$C$9),0))</f>
        <v/>
      </c>
      <c r="AK215" s="20">
        <f>IF(COUNT(C215:O215)=0,"",IFERROR(AJ215*(1-Config!$C$10-Config!$C$11-Config!$C$12),0))</f>
        <v/>
      </c>
      <c r="AL215" s="20">
        <f>IF(COUNT(C215:O215)=0,"",IFERROR(AK215-C215-Config!$C$13,0))</f>
        <v/>
      </c>
      <c r="AM215" s="21">
        <f>IF(COUNT(C215:O215)=0,"",IFERROR(AK215/C215,0))</f>
        <v/>
      </c>
      <c r="AN215" s="21">
        <f>IF(COUNT(C215:O215)=0,"",IFERROR(AI215/C215,0))</f>
        <v/>
      </c>
      <c r="AO215" s="15">
        <f>IF(COUNT(C215:O215)=0,"",IFERROR(AL215/G215,0))</f>
        <v/>
      </c>
      <c r="AP215" s="21">
        <f>IF(COUNT(C215:O215)=0,"",IFERROR(AO215/U215,0))</f>
        <v/>
      </c>
      <c r="AQ215" s="15">
        <f>IF(COUNT(C215:O215)=0,"",IFERROR(AL215/H215,0))</f>
        <v/>
      </c>
    </row>
    <row r="216">
      <c r="A216" s="12">
        <f>Config!$C$6+210</f>
        <v/>
      </c>
      <c r="B216" s="13">
        <f>INT((A216-Config!$C$6)/7)+1</f>
        <v/>
      </c>
      <c r="C216" s="10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0" t="n"/>
      <c r="P216" s="15">
        <f>IF(COUNT(C216:O216)=0,"",IFERROR(C216/D216*1000,0))</f>
        <v/>
      </c>
      <c r="Q216" s="16">
        <f>IF(COUNT(C216:O216)=0,"",IFERROR(D216/E216,0))</f>
        <v/>
      </c>
      <c r="R216" s="17">
        <f>IF(COUNT(C216:O216)=0,"",IFERROR(F216/D216,0))</f>
        <v/>
      </c>
      <c r="S216" s="15">
        <f>IF(COUNT(C216:O216)=0,"",IFERROR(C216/F216,0))</f>
        <v/>
      </c>
      <c r="T216" s="18">
        <f>IF(COUNT(C216:O216)=0,"",IFERROR(G216/F216,0))</f>
        <v/>
      </c>
      <c r="U216" s="15">
        <f>IF(COUNT(C216:O216)=0,"",IFERROR(C216/G216,0))</f>
        <v/>
      </c>
      <c r="V216" s="19">
        <f>IF(COUNT(C216:O216)=0,"",IFERROR(G216/D216*1000,0))</f>
        <v/>
      </c>
      <c r="W216" s="18">
        <f>IF(COUNT(C216:O216)=0,"",IFERROR(H216/G216,0))</f>
        <v/>
      </c>
      <c r="X216" s="15">
        <f>IF(COUNT(C216:O216)=0,"",IFERROR(C216/H216,0))</f>
        <v/>
      </c>
      <c r="Y216" s="18">
        <f>IF(COUNT(C216:O216)=0,"",IFERROR(X216/P216,0))</f>
        <v/>
      </c>
      <c r="Z216" s="19">
        <f>IF(COUNT(C216:O216)=0,"",IFERROR(H216/D216*1000,0))</f>
        <v/>
      </c>
      <c r="AA216" s="18">
        <f>IF(COUNT(C216:O216)=0,"",IFERROR(I216/H216,0))</f>
        <v/>
      </c>
      <c r="AB216" s="18">
        <f>IF(COUNT(C216:O216)=0,"",IFERROR(J216/I216,0))</f>
        <v/>
      </c>
      <c r="AC216" s="18">
        <f>IF(COUNT(C216:O216)=0,"",IFERROR(K216/J216,0))</f>
        <v/>
      </c>
      <c r="AD216" s="15">
        <f>IF(COUNT(C216:O216)=0,"",IFERROR(C216/K216,0))</f>
        <v/>
      </c>
      <c r="AE216" s="18">
        <f>IF(COUNT(C216:O216)=0,"",IFERROR(L216/K216,0))</f>
        <v/>
      </c>
      <c r="AF216" s="18">
        <f>IF(COUNT(C216:O216)=0,"",IFERROR(M216/L216,0))</f>
        <v/>
      </c>
      <c r="AG216" s="17">
        <f>IF(COUNT(C216:O216)=0,"",IFERROR(M216/H216,0))</f>
        <v/>
      </c>
      <c r="AH216" s="15">
        <f>IF(COUNT(C216:O216)=0,"",IFERROR(C216/M216,0))</f>
        <v/>
      </c>
      <c r="AI216" s="20">
        <f>IF(COUNT(C216:O216)=0,"",IFERROR(M216*Config!$C$7+N216*Config!$C$8,0))</f>
        <v/>
      </c>
      <c r="AJ216" s="20">
        <f>IF(COUNT(C216:O216)=0,"",IFERROR(IF(O216&gt;0,O216,AI216*Config!$C$9),0))</f>
        <v/>
      </c>
      <c r="AK216" s="20">
        <f>IF(COUNT(C216:O216)=0,"",IFERROR(AJ216*(1-Config!$C$10-Config!$C$11-Config!$C$12),0))</f>
        <v/>
      </c>
      <c r="AL216" s="20">
        <f>IF(COUNT(C216:O216)=0,"",IFERROR(AK216-C216-Config!$C$13,0))</f>
        <v/>
      </c>
      <c r="AM216" s="21">
        <f>IF(COUNT(C216:O216)=0,"",IFERROR(AK216/C216,0))</f>
        <v/>
      </c>
      <c r="AN216" s="21">
        <f>IF(COUNT(C216:O216)=0,"",IFERROR(AI216/C216,0))</f>
        <v/>
      </c>
      <c r="AO216" s="15">
        <f>IF(COUNT(C216:O216)=0,"",IFERROR(AL216/G216,0))</f>
        <v/>
      </c>
      <c r="AP216" s="21">
        <f>IF(COUNT(C216:O216)=0,"",IFERROR(AO216/U216,0))</f>
        <v/>
      </c>
      <c r="AQ216" s="15">
        <f>IF(COUNT(C216:O216)=0,"",IFERROR(AL216/H216,0))</f>
        <v/>
      </c>
    </row>
    <row r="217">
      <c r="A217" s="12">
        <f>Config!$C$6+211</f>
        <v/>
      </c>
      <c r="B217" s="13">
        <f>INT((A217-Config!$C$6)/7)+1</f>
        <v/>
      </c>
      <c r="C217" s="10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0" t="n"/>
      <c r="P217" s="15">
        <f>IF(COUNT(C217:O217)=0,"",IFERROR(C217/D217*1000,0))</f>
        <v/>
      </c>
      <c r="Q217" s="16">
        <f>IF(COUNT(C217:O217)=0,"",IFERROR(D217/E217,0))</f>
        <v/>
      </c>
      <c r="R217" s="17">
        <f>IF(COUNT(C217:O217)=0,"",IFERROR(F217/D217,0))</f>
        <v/>
      </c>
      <c r="S217" s="15">
        <f>IF(COUNT(C217:O217)=0,"",IFERROR(C217/F217,0))</f>
        <v/>
      </c>
      <c r="T217" s="18">
        <f>IF(COUNT(C217:O217)=0,"",IFERROR(G217/F217,0))</f>
        <v/>
      </c>
      <c r="U217" s="15">
        <f>IF(COUNT(C217:O217)=0,"",IFERROR(C217/G217,0))</f>
        <v/>
      </c>
      <c r="V217" s="19">
        <f>IF(COUNT(C217:O217)=0,"",IFERROR(G217/D217*1000,0))</f>
        <v/>
      </c>
      <c r="W217" s="18">
        <f>IF(COUNT(C217:O217)=0,"",IFERROR(H217/G217,0))</f>
        <v/>
      </c>
      <c r="X217" s="15">
        <f>IF(COUNT(C217:O217)=0,"",IFERROR(C217/H217,0))</f>
        <v/>
      </c>
      <c r="Y217" s="18">
        <f>IF(COUNT(C217:O217)=0,"",IFERROR(X217/P217,0))</f>
        <v/>
      </c>
      <c r="Z217" s="19">
        <f>IF(COUNT(C217:O217)=0,"",IFERROR(H217/D217*1000,0))</f>
        <v/>
      </c>
      <c r="AA217" s="18">
        <f>IF(COUNT(C217:O217)=0,"",IFERROR(I217/H217,0))</f>
        <v/>
      </c>
      <c r="AB217" s="18">
        <f>IF(COUNT(C217:O217)=0,"",IFERROR(J217/I217,0))</f>
        <v/>
      </c>
      <c r="AC217" s="18">
        <f>IF(COUNT(C217:O217)=0,"",IFERROR(K217/J217,0))</f>
        <v/>
      </c>
      <c r="AD217" s="15">
        <f>IF(COUNT(C217:O217)=0,"",IFERROR(C217/K217,0))</f>
        <v/>
      </c>
      <c r="AE217" s="18">
        <f>IF(COUNT(C217:O217)=0,"",IFERROR(L217/K217,0))</f>
        <v/>
      </c>
      <c r="AF217" s="18">
        <f>IF(COUNT(C217:O217)=0,"",IFERROR(M217/L217,0))</f>
        <v/>
      </c>
      <c r="AG217" s="17">
        <f>IF(COUNT(C217:O217)=0,"",IFERROR(M217/H217,0))</f>
        <v/>
      </c>
      <c r="AH217" s="15">
        <f>IF(COUNT(C217:O217)=0,"",IFERROR(C217/M217,0))</f>
        <v/>
      </c>
      <c r="AI217" s="20">
        <f>IF(COUNT(C217:O217)=0,"",IFERROR(M217*Config!$C$7+N217*Config!$C$8,0))</f>
        <v/>
      </c>
      <c r="AJ217" s="20">
        <f>IF(COUNT(C217:O217)=0,"",IFERROR(IF(O217&gt;0,O217,AI217*Config!$C$9),0))</f>
        <v/>
      </c>
      <c r="AK217" s="20">
        <f>IF(COUNT(C217:O217)=0,"",IFERROR(AJ217*(1-Config!$C$10-Config!$C$11-Config!$C$12),0))</f>
        <v/>
      </c>
      <c r="AL217" s="20">
        <f>IF(COUNT(C217:O217)=0,"",IFERROR(AK217-C217-Config!$C$13,0))</f>
        <v/>
      </c>
      <c r="AM217" s="21">
        <f>IF(COUNT(C217:O217)=0,"",IFERROR(AK217/C217,0))</f>
        <v/>
      </c>
      <c r="AN217" s="21">
        <f>IF(COUNT(C217:O217)=0,"",IFERROR(AI217/C217,0))</f>
        <v/>
      </c>
      <c r="AO217" s="15">
        <f>IF(COUNT(C217:O217)=0,"",IFERROR(AL217/G217,0))</f>
        <v/>
      </c>
      <c r="AP217" s="21">
        <f>IF(COUNT(C217:O217)=0,"",IFERROR(AO217/U217,0))</f>
        <v/>
      </c>
      <c r="AQ217" s="15">
        <f>IF(COUNT(C217:O217)=0,"",IFERROR(AL217/H217,0))</f>
        <v/>
      </c>
    </row>
    <row r="218">
      <c r="A218" s="12">
        <f>Config!$C$6+212</f>
        <v/>
      </c>
      <c r="B218" s="13">
        <f>INT((A218-Config!$C$6)/7)+1</f>
        <v/>
      </c>
      <c r="C218" s="10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0" t="n"/>
      <c r="P218" s="15">
        <f>IF(COUNT(C218:O218)=0,"",IFERROR(C218/D218*1000,0))</f>
        <v/>
      </c>
      <c r="Q218" s="16">
        <f>IF(COUNT(C218:O218)=0,"",IFERROR(D218/E218,0))</f>
        <v/>
      </c>
      <c r="R218" s="17">
        <f>IF(COUNT(C218:O218)=0,"",IFERROR(F218/D218,0))</f>
        <v/>
      </c>
      <c r="S218" s="15">
        <f>IF(COUNT(C218:O218)=0,"",IFERROR(C218/F218,0))</f>
        <v/>
      </c>
      <c r="T218" s="18">
        <f>IF(COUNT(C218:O218)=0,"",IFERROR(G218/F218,0))</f>
        <v/>
      </c>
      <c r="U218" s="15">
        <f>IF(COUNT(C218:O218)=0,"",IFERROR(C218/G218,0))</f>
        <v/>
      </c>
      <c r="V218" s="19">
        <f>IF(COUNT(C218:O218)=0,"",IFERROR(G218/D218*1000,0))</f>
        <v/>
      </c>
      <c r="W218" s="18">
        <f>IF(COUNT(C218:O218)=0,"",IFERROR(H218/G218,0))</f>
        <v/>
      </c>
      <c r="X218" s="15">
        <f>IF(COUNT(C218:O218)=0,"",IFERROR(C218/H218,0))</f>
        <v/>
      </c>
      <c r="Y218" s="18">
        <f>IF(COUNT(C218:O218)=0,"",IFERROR(X218/P218,0))</f>
        <v/>
      </c>
      <c r="Z218" s="19">
        <f>IF(COUNT(C218:O218)=0,"",IFERROR(H218/D218*1000,0))</f>
        <v/>
      </c>
      <c r="AA218" s="18">
        <f>IF(COUNT(C218:O218)=0,"",IFERROR(I218/H218,0))</f>
        <v/>
      </c>
      <c r="AB218" s="18">
        <f>IF(COUNT(C218:O218)=0,"",IFERROR(J218/I218,0))</f>
        <v/>
      </c>
      <c r="AC218" s="18">
        <f>IF(COUNT(C218:O218)=0,"",IFERROR(K218/J218,0))</f>
        <v/>
      </c>
      <c r="AD218" s="15">
        <f>IF(COUNT(C218:O218)=0,"",IFERROR(C218/K218,0))</f>
        <v/>
      </c>
      <c r="AE218" s="18">
        <f>IF(COUNT(C218:O218)=0,"",IFERROR(L218/K218,0))</f>
        <v/>
      </c>
      <c r="AF218" s="18">
        <f>IF(COUNT(C218:O218)=0,"",IFERROR(M218/L218,0))</f>
        <v/>
      </c>
      <c r="AG218" s="17">
        <f>IF(COUNT(C218:O218)=0,"",IFERROR(M218/H218,0))</f>
        <v/>
      </c>
      <c r="AH218" s="15">
        <f>IF(COUNT(C218:O218)=0,"",IFERROR(C218/M218,0))</f>
        <v/>
      </c>
      <c r="AI218" s="20">
        <f>IF(COUNT(C218:O218)=0,"",IFERROR(M218*Config!$C$7+N218*Config!$C$8,0))</f>
        <v/>
      </c>
      <c r="AJ218" s="20">
        <f>IF(COUNT(C218:O218)=0,"",IFERROR(IF(O218&gt;0,O218,AI218*Config!$C$9),0))</f>
        <v/>
      </c>
      <c r="AK218" s="20">
        <f>IF(COUNT(C218:O218)=0,"",IFERROR(AJ218*(1-Config!$C$10-Config!$C$11-Config!$C$12),0))</f>
        <v/>
      </c>
      <c r="AL218" s="20">
        <f>IF(COUNT(C218:O218)=0,"",IFERROR(AK218-C218-Config!$C$13,0))</f>
        <v/>
      </c>
      <c r="AM218" s="21">
        <f>IF(COUNT(C218:O218)=0,"",IFERROR(AK218/C218,0))</f>
        <v/>
      </c>
      <c r="AN218" s="21">
        <f>IF(COUNT(C218:O218)=0,"",IFERROR(AI218/C218,0))</f>
        <v/>
      </c>
      <c r="AO218" s="15">
        <f>IF(COUNT(C218:O218)=0,"",IFERROR(AL218/G218,0))</f>
        <v/>
      </c>
      <c r="AP218" s="21">
        <f>IF(COUNT(C218:O218)=0,"",IFERROR(AO218/U218,0))</f>
        <v/>
      </c>
      <c r="AQ218" s="15">
        <f>IF(COUNT(C218:O218)=0,"",IFERROR(AL218/H218,0))</f>
        <v/>
      </c>
    </row>
    <row r="219">
      <c r="A219" s="12">
        <f>Config!$C$6+213</f>
        <v/>
      </c>
      <c r="B219" s="13">
        <f>INT((A219-Config!$C$6)/7)+1</f>
        <v/>
      </c>
      <c r="C219" s="10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0" t="n"/>
      <c r="P219" s="15">
        <f>IF(COUNT(C219:O219)=0,"",IFERROR(C219/D219*1000,0))</f>
        <v/>
      </c>
      <c r="Q219" s="16">
        <f>IF(COUNT(C219:O219)=0,"",IFERROR(D219/E219,0))</f>
        <v/>
      </c>
      <c r="R219" s="17">
        <f>IF(COUNT(C219:O219)=0,"",IFERROR(F219/D219,0))</f>
        <v/>
      </c>
      <c r="S219" s="15">
        <f>IF(COUNT(C219:O219)=0,"",IFERROR(C219/F219,0))</f>
        <v/>
      </c>
      <c r="T219" s="18">
        <f>IF(COUNT(C219:O219)=0,"",IFERROR(G219/F219,0))</f>
        <v/>
      </c>
      <c r="U219" s="15">
        <f>IF(COUNT(C219:O219)=0,"",IFERROR(C219/G219,0))</f>
        <v/>
      </c>
      <c r="V219" s="19">
        <f>IF(COUNT(C219:O219)=0,"",IFERROR(G219/D219*1000,0))</f>
        <v/>
      </c>
      <c r="W219" s="18">
        <f>IF(COUNT(C219:O219)=0,"",IFERROR(H219/G219,0))</f>
        <v/>
      </c>
      <c r="X219" s="15">
        <f>IF(COUNT(C219:O219)=0,"",IFERROR(C219/H219,0))</f>
        <v/>
      </c>
      <c r="Y219" s="18">
        <f>IF(COUNT(C219:O219)=0,"",IFERROR(X219/P219,0))</f>
        <v/>
      </c>
      <c r="Z219" s="19">
        <f>IF(COUNT(C219:O219)=0,"",IFERROR(H219/D219*1000,0))</f>
        <v/>
      </c>
      <c r="AA219" s="18">
        <f>IF(COUNT(C219:O219)=0,"",IFERROR(I219/H219,0))</f>
        <v/>
      </c>
      <c r="AB219" s="18">
        <f>IF(COUNT(C219:O219)=0,"",IFERROR(J219/I219,0))</f>
        <v/>
      </c>
      <c r="AC219" s="18">
        <f>IF(COUNT(C219:O219)=0,"",IFERROR(K219/J219,0))</f>
        <v/>
      </c>
      <c r="AD219" s="15">
        <f>IF(COUNT(C219:O219)=0,"",IFERROR(C219/K219,0))</f>
        <v/>
      </c>
      <c r="AE219" s="18">
        <f>IF(COUNT(C219:O219)=0,"",IFERROR(L219/K219,0))</f>
        <v/>
      </c>
      <c r="AF219" s="18">
        <f>IF(COUNT(C219:O219)=0,"",IFERROR(M219/L219,0))</f>
        <v/>
      </c>
      <c r="AG219" s="17">
        <f>IF(COUNT(C219:O219)=0,"",IFERROR(M219/H219,0))</f>
        <v/>
      </c>
      <c r="AH219" s="15">
        <f>IF(COUNT(C219:O219)=0,"",IFERROR(C219/M219,0))</f>
        <v/>
      </c>
      <c r="AI219" s="20">
        <f>IF(COUNT(C219:O219)=0,"",IFERROR(M219*Config!$C$7+N219*Config!$C$8,0))</f>
        <v/>
      </c>
      <c r="AJ219" s="20">
        <f>IF(COUNT(C219:O219)=0,"",IFERROR(IF(O219&gt;0,O219,AI219*Config!$C$9),0))</f>
        <v/>
      </c>
      <c r="AK219" s="20">
        <f>IF(COUNT(C219:O219)=0,"",IFERROR(AJ219*(1-Config!$C$10-Config!$C$11-Config!$C$12),0))</f>
        <v/>
      </c>
      <c r="AL219" s="20">
        <f>IF(COUNT(C219:O219)=0,"",IFERROR(AK219-C219-Config!$C$13,0))</f>
        <v/>
      </c>
      <c r="AM219" s="21">
        <f>IF(COUNT(C219:O219)=0,"",IFERROR(AK219/C219,0))</f>
        <v/>
      </c>
      <c r="AN219" s="21">
        <f>IF(COUNT(C219:O219)=0,"",IFERROR(AI219/C219,0))</f>
        <v/>
      </c>
      <c r="AO219" s="15">
        <f>IF(COUNT(C219:O219)=0,"",IFERROR(AL219/G219,0))</f>
        <v/>
      </c>
      <c r="AP219" s="21">
        <f>IF(COUNT(C219:O219)=0,"",IFERROR(AO219/U219,0))</f>
        <v/>
      </c>
      <c r="AQ219" s="15">
        <f>IF(COUNT(C219:O219)=0,"",IFERROR(AL219/H219,0))</f>
        <v/>
      </c>
    </row>
    <row r="220">
      <c r="A220" s="12">
        <f>Config!$C$6+214</f>
        <v/>
      </c>
      <c r="B220" s="13">
        <f>INT((A220-Config!$C$6)/7)+1</f>
        <v/>
      </c>
      <c r="C220" s="10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0" t="n"/>
      <c r="P220" s="15">
        <f>IF(COUNT(C220:O220)=0,"",IFERROR(C220/D220*1000,0))</f>
        <v/>
      </c>
      <c r="Q220" s="16">
        <f>IF(COUNT(C220:O220)=0,"",IFERROR(D220/E220,0))</f>
        <v/>
      </c>
      <c r="R220" s="17">
        <f>IF(COUNT(C220:O220)=0,"",IFERROR(F220/D220,0))</f>
        <v/>
      </c>
      <c r="S220" s="15">
        <f>IF(COUNT(C220:O220)=0,"",IFERROR(C220/F220,0))</f>
        <v/>
      </c>
      <c r="T220" s="18">
        <f>IF(COUNT(C220:O220)=0,"",IFERROR(G220/F220,0))</f>
        <v/>
      </c>
      <c r="U220" s="15">
        <f>IF(COUNT(C220:O220)=0,"",IFERROR(C220/G220,0))</f>
        <v/>
      </c>
      <c r="V220" s="19">
        <f>IF(COUNT(C220:O220)=0,"",IFERROR(G220/D220*1000,0))</f>
        <v/>
      </c>
      <c r="W220" s="18">
        <f>IF(COUNT(C220:O220)=0,"",IFERROR(H220/G220,0))</f>
        <v/>
      </c>
      <c r="X220" s="15">
        <f>IF(COUNT(C220:O220)=0,"",IFERROR(C220/H220,0))</f>
        <v/>
      </c>
      <c r="Y220" s="18">
        <f>IF(COUNT(C220:O220)=0,"",IFERROR(X220/P220,0))</f>
        <v/>
      </c>
      <c r="Z220" s="19">
        <f>IF(COUNT(C220:O220)=0,"",IFERROR(H220/D220*1000,0))</f>
        <v/>
      </c>
      <c r="AA220" s="18">
        <f>IF(COUNT(C220:O220)=0,"",IFERROR(I220/H220,0))</f>
        <v/>
      </c>
      <c r="AB220" s="18">
        <f>IF(COUNT(C220:O220)=0,"",IFERROR(J220/I220,0))</f>
        <v/>
      </c>
      <c r="AC220" s="18">
        <f>IF(COUNT(C220:O220)=0,"",IFERROR(K220/J220,0))</f>
        <v/>
      </c>
      <c r="AD220" s="15">
        <f>IF(COUNT(C220:O220)=0,"",IFERROR(C220/K220,0))</f>
        <v/>
      </c>
      <c r="AE220" s="18">
        <f>IF(COUNT(C220:O220)=0,"",IFERROR(L220/K220,0))</f>
        <v/>
      </c>
      <c r="AF220" s="18">
        <f>IF(COUNT(C220:O220)=0,"",IFERROR(M220/L220,0))</f>
        <v/>
      </c>
      <c r="AG220" s="17">
        <f>IF(COUNT(C220:O220)=0,"",IFERROR(M220/H220,0))</f>
        <v/>
      </c>
      <c r="AH220" s="15">
        <f>IF(COUNT(C220:O220)=0,"",IFERROR(C220/M220,0))</f>
        <v/>
      </c>
      <c r="AI220" s="20">
        <f>IF(COUNT(C220:O220)=0,"",IFERROR(M220*Config!$C$7+N220*Config!$C$8,0))</f>
        <v/>
      </c>
      <c r="AJ220" s="20">
        <f>IF(COUNT(C220:O220)=0,"",IFERROR(IF(O220&gt;0,O220,AI220*Config!$C$9),0))</f>
        <v/>
      </c>
      <c r="AK220" s="20">
        <f>IF(COUNT(C220:O220)=0,"",IFERROR(AJ220*(1-Config!$C$10-Config!$C$11-Config!$C$12),0))</f>
        <v/>
      </c>
      <c r="AL220" s="20">
        <f>IF(COUNT(C220:O220)=0,"",IFERROR(AK220-C220-Config!$C$13,0))</f>
        <v/>
      </c>
      <c r="AM220" s="21">
        <f>IF(COUNT(C220:O220)=0,"",IFERROR(AK220/C220,0))</f>
        <v/>
      </c>
      <c r="AN220" s="21">
        <f>IF(COUNT(C220:O220)=0,"",IFERROR(AI220/C220,0))</f>
        <v/>
      </c>
      <c r="AO220" s="15">
        <f>IF(COUNT(C220:O220)=0,"",IFERROR(AL220/G220,0))</f>
        <v/>
      </c>
      <c r="AP220" s="21">
        <f>IF(COUNT(C220:O220)=0,"",IFERROR(AO220/U220,0))</f>
        <v/>
      </c>
      <c r="AQ220" s="15">
        <f>IF(COUNT(C220:O220)=0,"",IFERROR(AL220/H220,0))</f>
        <v/>
      </c>
    </row>
    <row r="221">
      <c r="A221" s="12">
        <f>Config!$C$6+215</f>
        <v/>
      </c>
      <c r="B221" s="13">
        <f>INT((A221-Config!$C$6)/7)+1</f>
        <v/>
      </c>
      <c r="C221" s="10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0" t="n"/>
      <c r="P221" s="15">
        <f>IF(COUNT(C221:O221)=0,"",IFERROR(C221/D221*1000,0))</f>
        <v/>
      </c>
      <c r="Q221" s="16">
        <f>IF(COUNT(C221:O221)=0,"",IFERROR(D221/E221,0))</f>
        <v/>
      </c>
      <c r="R221" s="17">
        <f>IF(COUNT(C221:O221)=0,"",IFERROR(F221/D221,0))</f>
        <v/>
      </c>
      <c r="S221" s="15">
        <f>IF(COUNT(C221:O221)=0,"",IFERROR(C221/F221,0))</f>
        <v/>
      </c>
      <c r="T221" s="18">
        <f>IF(COUNT(C221:O221)=0,"",IFERROR(G221/F221,0))</f>
        <v/>
      </c>
      <c r="U221" s="15">
        <f>IF(COUNT(C221:O221)=0,"",IFERROR(C221/G221,0))</f>
        <v/>
      </c>
      <c r="V221" s="19">
        <f>IF(COUNT(C221:O221)=0,"",IFERROR(G221/D221*1000,0))</f>
        <v/>
      </c>
      <c r="W221" s="18">
        <f>IF(COUNT(C221:O221)=0,"",IFERROR(H221/G221,0))</f>
        <v/>
      </c>
      <c r="X221" s="15">
        <f>IF(COUNT(C221:O221)=0,"",IFERROR(C221/H221,0))</f>
        <v/>
      </c>
      <c r="Y221" s="18">
        <f>IF(COUNT(C221:O221)=0,"",IFERROR(X221/P221,0))</f>
        <v/>
      </c>
      <c r="Z221" s="19">
        <f>IF(COUNT(C221:O221)=0,"",IFERROR(H221/D221*1000,0))</f>
        <v/>
      </c>
      <c r="AA221" s="18">
        <f>IF(COUNT(C221:O221)=0,"",IFERROR(I221/H221,0))</f>
        <v/>
      </c>
      <c r="AB221" s="18">
        <f>IF(COUNT(C221:O221)=0,"",IFERROR(J221/I221,0))</f>
        <v/>
      </c>
      <c r="AC221" s="18">
        <f>IF(COUNT(C221:O221)=0,"",IFERROR(K221/J221,0))</f>
        <v/>
      </c>
      <c r="AD221" s="15">
        <f>IF(COUNT(C221:O221)=0,"",IFERROR(C221/K221,0))</f>
        <v/>
      </c>
      <c r="AE221" s="18">
        <f>IF(COUNT(C221:O221)=0,"",IFERROR(L221/K221,0))</f>
        <v/>
      </c>
      <c r="AF221" s="18">
        <f>IF(COUNT(C221:O221)=0,"",IFERROR(M221/L221,0))</f>
        <v/>
      </c>
      <c r="AG221" s="17">
        <f>IF(COUNT(C221:O221)=0,"",IFERROR(M221/H221,0))</f>
        <v/>
      </c>
      <c r="AH221" s="15">
        <f>IF(COUNT(C221:O221)=0,"",IFERROR(C221/M221,0))</f>
        <v/>
      </c>
      <c r="AI221" s="20">
        <f>IF(COUNT(C221:O221)=0,"",IFERROR(M221*Config!$C$7+N221*Config!$C$8,0))</f>
        <v/>
      </c>
      <c r="AJ221" s="20">
        <f>IF(COUNT(C221:O221)=0,"",IFERROR(IF(O221&gt;0,O221,AI221*Config!$C$9),0))</f>
        <v/>
      </c>
      <c r="AK221" s="20">
        <f>IF(COUNT(C221:O221)=0,"",IFERROR(AJ221*(1-Config!$C$10-Config!$C$11-Config!$C$12),0))</f>
        <v/>
      </c>
      <c r="AL221" s="20">
        <f>IF(COUNT(C221:O221)=0,"",IFERROR(AK221-C221-Config!$C$13,0))</f>
        <v/>
      </c>
      <c r="AM221" s="21">
        <f>IF(COUNT(C221:O221)=0,"",IFERROR(AK221/C221,0))</f>
        <v/>
      </c>
      <c r="AN221" s="21">
        <f>IF(COUNT(C221:O221)=0,"",IFERROR(AI221/C221,0))</f>
        <v/>
      </c>
      <c r="AO221" s="15">
        <f>IF(COUNT(C221:O221)=0,"",IFERROR(AL221/G221,0))</f>
        <v/>
      </c>
      <c r="AP221" s="21">
        <f>IF(COUNT(C221:O221)=0,"",IFERROR(AO221/U221,0))</f>
        <v/>
      </c>
      <c r="AQ221" s="15">
        <f>IF(COUNT(C221:O221)=0,"",IFERROR(AL221/H221,0))</f>
        <v/>
      </c>
    </row>
    <row r="222">
      <c r="A222" s="12">
        <f>Config!$C$6+216</f>
        <v/>
      </c>
      <c r="B222" s="13">
        <f>INT((A222-Config!$C$6)/7)+1</f>
        <v/>
      </c>
      <c r="C222" s="10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0" t="n"/>
      <c r="P222" s="15">
        <f>IF(COUNT(C222:O222)=0,"",IFERROR(C222/D222*1000,0))</f>
        <v/>
      </c>
      <c r="Q222" s="16">
        <f>IF(COUNT(C222:O222)=0,"",IFERROR(D222/E222,0))</f>
        <v/>
      </c>
      <c r="R222" s="17">
        <f>IF(COUNT(C222:O222)=0,"",IFERROR(F222/D222,0))</f>
        <v/>
      </c>
      <c r="S222" s="15">
        <f>IF(COUNT(C222:O222)=0,"",IFERROR(C222/F222,0))</f>
        <v/>
      </c>
      <c r="T222" s="18">
        <f>IF(COUNT(C222:O222)=0,"",IFERROR(G222/F222,0))</f>
        <v/>
      </c>
      <c r="U222" s="15">
        <f>IF(COUNT(C222:O222)=0,"",IFERROR(C222/G222,0))</f>
        <v/>
      </c>
      <c r="V222" s="19">
        <f>IF(COUNT(C222:O222)=0,"",IFERROR(G222/D222*1000,0))</f>
        <v/>
      </c>
      <c r="W222" s="18">
        <f>IF(COUNT(C222:O222)=0,"",IFERROR(H222/G222,0))</f>
        <v/>
      </c>
      <c r="X222" s="15">
        <f>IF(COUNT(C222:O222)=0,"",IFERROR(C222/H222,0))</f>
        <v/>
      </c>
      <c r="Y222" s="18">
        <f>IF(COUNT(C222:O222)=0,"",IFERROR(X222/P222,0))</f>
        <v/>
      </c>
      <c r="Z222" s="19">
        <f>IF(COUNT(C222:O222)=0,"",IFERROR(H222/D222*1000,0))</f>
        <v/>
      </c>
      <c r="AA222" s="18">
        <f>IF(COUNT(C222:O222)=0,"",IFERROR(I222/H222,0))</f>
        <v/>
      </c>
      <c r="AB222" s="18">
        <f>IF(COUNT(C222:O222)=0,"",IFERROR(J222/I222,0))</f>
        <v/>
      </c>
      <c r="AC222" s="18">
        <f>IF(COUNT(C222:O222)=0,"",IFERROR(K222/J222,0))</f>
        <v/>
      </c>
      <c r="AD222" s="15">
        <f>IF(COUNT(C222:O222)=0,"",IFERROR(C222/K222,0))</f>
        <v/>
      </c>
      <c r="AE222" s="18">
        <f>IF(COUNT(C222:O222)=0,"",IFERROR(L222/K222,0))</f>
        <v/>
      </c>
      <c r="AF222" s="18">
        <f>IF(COUNT(C222:O222)=0,"",IFERROR(M222/L222,0))</f>
        <v/>
      </c>
      <c r="AG222" s="17">
        <f>IF(COUNT(C222:O222)=0,"",IFERROR(M222/H222,0))</f>
        <v/>
      </c>
      <c r="AH222" s="15">
        <f>IF(COUNT(C222:O222)=0,"",IFERROR(C222/M222,0))</f>
        <v/>
      </c>
      <c r="AI222" s="20">
        <f>IF(COUNT(C222:O222)=0,"",IFERROR(M222*Config!$C$7+N222*Config!$C$8,0))</f>
        <v/>
      </c>
      <c r="AJ222" s="20">
        <f>IF(COUNT(C222:O222)=0,"",IFERROR(IF(O222&gt;0,O222,AI222*Config!$C$9),0))</f>
        <v/>
      </c>
      <c r="AK222" s="20">
        <f>IF(COUNT(C222:O222)=0,"",IFERROR(AJ222*(1-Config!$C$10-Config!$C$11-Config!$C$12),0))</f>
        <v/>
      </c>
      <c r="AL222" s="20">
        <f>IF(COUNT(C222:O222)=0,"",IFERROR(AK222-C222-Config!$C$13,0))</f>
        <v/>
      </c>
      <c r="AM222" s="21">
        <f>IF(COUNT(C222:O222)=0,"",IFERROR(AK222/C222,0))</f>
        <v/>
      </c>
      <c r="AN222" s="21">
        <f>IF(COUNT(C222:O222)=0,"",IFERROR(AI222/C222,0))</f>
        <v/>
      </c>
      <c r="AO222" s="15">
        <f>IF(COUNT(C222:O222)=0,"",IFERROR(AL222/G222,0))</f>
        <v/>
      </c>
      <c r="AP222" s="21">
        <f>IF(COUNT(C222:O222)=0,"",IFERROR(AO222/U222,0))</f>
        <v/>
      </c>
      <c r="AQ222" s="15">
        <f>IF(COUNT(C222:O222)=0,"",IFERROR(AL222/H222,0))</f>
        <v/>
      </c>
    </row>
    <row r="223">
      <c r="A223" s="12">
        <f>Config!$C$6+217</f>
        <v/>
      </c>
      <c r="B223" s="13">
        <f>INT((A223-Config!$C$6)/7)+1</f>
        <v/>
      </c>
      <c r="C223" s="10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0" t="n"/>
      <c r="P223" s="15">
        <f>IF(COUNT(C223:O223)=0,"",IFERROR(C223/D223*1000,0))</f>
        <v/>
      </c>
      <c r="Q223" s="16">
        <f>IF(COUNT(C223:O223)=0,"",IFERROR(D223/E223,0))</f>
        <v/>
      </c>
      <c r="R223" s="17">
        <f>IF(COUNT(C223:O223)=0,"",IFERROR(F223/D223,0))</f>
        <v/>
      </c>
      <c r="S223" s="15">
        <f>IF(COUNT(C223:O223)=0,"",IFERROR(C223/F223,0))</f>
        <v/>
      </c>
      <c r="T223" s="18">
        <f>IF(COUNT(C223:O223)=0,"",IFERROR(G223/F223,0))</f>
        <v/>
      </c>
      <c r="U223" s="15">
        <f>IF(COUNT(C223:O223)=0,"",IFERROR(C223/G223,0))</f>
        <v/>
      </c>
      <c r="V223" s="19">
        <f>IF(COUNT(C223:O223)=0,"",IFERROR(G223/D223*1000,0))</f>
        <v/>
      </c>
      <c r="W223" s="18">
        <f>IF(COUNT(C223:O223)=0,"",IFERROR(H223/G223,0))</f>
        <v/>
      </c>
      <c r="X223" s="15">
        <f>IF(COUNT(C223:O223)=0,"",IFERROR(C223/H223,0))</f>
        <v/>
      </c>
      <c r="Y223" s="18">
        <f>IF(COUNT(C223:O223)=0,"",IFERROR(X223/P223,0))</f>
        <v/>
      </c>
      <c r="Z223" s="19">
        <f>IF(COUNT(C223:O223)=0,"",IFERROR(H223/D223*1000,0))</f>
        <v/>
      </c>
      <c r="AA223" s="18">
        <f>IF(COUNT(C223:O223)=0,"",IFERROR(I223/H223,0))</f>
        <v/>
      </c>
      <c r="AB223" s="18">
        <f>IF(COUNT(C223:O223)=0,"",IFERROR(J223/I223,0))</f>
        <v/>
      </c>
      <c r="AC223" s="18">
        <f>IF(COUNT(C223:O223)=0,"",IFERROR(K223/J223,0))</f>
        <v/>
      </c>
      <c r="AD223" s="15">
        <f>IF(COUNT(C223:O223)=0,"",IFERROR(C223/K223,0))</f>
        <v/>
      </c>
      <c r="AE223" s="18">
        <f>IF(COUNT(C223:O223)=0,"",IFERROR(L223/K223,0))</f>
        <v/>
      </c>
      <c r="AF223" s="18">
        <f>IF(COUNT(C223:O223)=0,"",IFERROR(M223/L223,0))</f>
        <v/>
      </c>
      <c r="AG223" s="17">
        <f>IF(COUNT(C223:O223)=0,"",IFERROR(M223/H223,0))</f>
        <v/>
      </c>
      <c r="AH223" s="15">
        <f>IF(COUNT(C223:O223)=0,"",IFERROR(C223/M223,0))</f>
        <v/>
      </c>
      <c r="AI223" s="20">
        <f>IF(COUNT(C223:O223)=0,"",IFERROR(M223*Config!$C$7+N223*Config!$C$8,0))</f>
        <v/>
      </c>
      <c r="AJ223" s="20">
        <f>IF(COUNT(C223:O223)=0,"",IFERROR(IF(O223&gt;0,O223,AI223*Config!$C$9),0))</f>
        <v/>
      </c>
      <c r="AK223" s="20">
        <f>IF(COUNT(C223:O223)=0,"",IFERROR(AJ223*(1-Config!$C$10-Config!$C$11-Config!$C$12),0))</f>
        <v/>
      </c>
      <c r="AL223" s="20">
        <f>IF(COUNT(C223:O223)=0,"",IFERROR(AK223-C223-Config!$C$13,0))</f>
        <v/>
      </c>
      <c r="AM223" s="21">
        <f>IF(COUNT(C223:O223)=0,"",IFERROR(AK223/C223,0))</f>
        <v/>
      </c>
      <c r="AN223" s="21">
        <f>IF(COUNT(C223:O223)=0,"",IFERROR(AI223/C223,0))</f>
        <v/>
      </c>
      <c r="AO223" s="15">
        <f>IF(COUNT(C223:O223)=0,"",IFERROR(AL223/G223,0))</f>
        <v/>
      </c>
      <c r="AP223" s="21">
        <f>IF(COUNT(C223:O223)=0,"",IFERROR(AO223/U223,0))</f>
        <v/>
      </c>
      <c r="AQ223" s="15">
        <f>IF(COUNT(C223:O223)=0,"",IFERROR(AL223/H223,0))</f>
        <v/>
      </c>
    </row>
    <row r="224">
      <c r="A224" s="12">
        <f>Config!$C$6+218</f>
        <v/>
      </c>
      <c r="B224" s="13">
        <f>INT((A224-Config!$C$6)/7)+1</f>
        <v/>
      </c>
      <c r="C224" s="10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0" t="n"/>
      <c r="P224" s="15">
        <f>IF(COUNT(C224:O224)=0,"",IFERROR(C224/D224*1000,0))</f>
        <v/>
      </c>
      <c r="Q224" s="16">
        <f>IF(COUNT(C224:O224)=0,"",IFERROR(D224/E224,0))</f>
        <v/>
      </c>
      <c r="R224" s="17">
        <f>IF(COUNT(C224:O224)=0,"",IFERROR(F224/D224,0))</f>
        <v/>
      </c>
      <c r="S224" s="15">
        <f>IF(COUNT(C224:O224)=0,"",IFERROR(C224/F224,0))</f>
        <v/>
      </c>
      <c r="T224" s="18">
        <f>IF(COUNT(C224:O224)=0,"",IFERROR(G224/F224,0))</f>
        <v/>
      </c>
      <c r="U224" s="15">
        <f>IF(COUNT(C224:O224)=0,"",IFERROR(C224/G224,0))</f>
        <v/>
      </c>
      <c r="V224" s="19">
        <f>IF(COUNT(C224:O224)=0,"",IFERROR(G224/D224*1000,0))</f>
        <v/>
      </c>
      <c r="W224" s="18">
        <f>IF(COUNT(C224:O224)=0,"",IFERROR(H224/G224,0))</f>
        <v/>
      </c>
      <c r="X224" s="15">
        <f>IF(COUNT(C224:O224)=0,"",IFERROR(C224/H224,0))</f>
        <v/>
      </c>
      <c r="Y224" s="18">
        <f>IF(COUNT(C224:O224)=0,"",IFERROR(X224/P224,0))</f>
        <v/>
      </c>
      <c r="Z224" s="19">
        <f>IF(COUNT(C224:O224)=0,"",IFERROR(H224/D224*1000,0))</f>
        <v/>
      </c>
      <c r="AA224" s="18">
        <f>IF(COUNT(C224:O224)=0,"",IFERROR(I224/H224,0))</f>
        <v/>
      </c>
      <c r="AB224" s="18">
        <f>IF(COUNT(C224:O224)=0,"",IFERROR(J224/I224,0))</f>
        <v/>
      </c>
      <c r="AC224" s="18">
        <f>IF(COUNT(C224:O224)=0,"",IFERROR(K224/J224,0))</f>
        <v/>
      </c>
      <c r="AD224" s="15">
        <f>IF(COUNT(C224:O224)=0,"",IFERROR(C224/K224,0))</f>
        <v/>
      </c>
      <c r="AE224" s="18">
        <f>IF(COUNT(C224:O224)=0,"",IFERROR(L224/K224,0))</f>
        <v/>
      </c>
      <c r="AF224" s="18">
        <f>IF(COUNT(C224:O224)=0,"",IFERROR(M224/L224,0))</f>
        <v/>
      </c>
      <c r="AG224" s="17">
        <f>IF(COUNT(C224:O224)=0,"",IFERROR(M224/H224,0))</f>
        <v/>
      </c>
      <c r="AH224" s="15">
        <f>IF(COUNT(C224:O224)=0,"",IFERROR(C224/M224,0))</f>
        <v/>
      </c>
      <c r="AI224" s="20">
        <f>IF(COUNT(C224:O224)=0,"",IFERROR(M224*Config!$C$7+N224*Config!$C$8,0))</f>
        <v/>
      </c>
      <c r="AJ224" s="20">
        <f>IF(COUNT(C224:O224)=0,"",IFERROR(IF(O224&gt;0,O224,AI224*Config!$C$9),0))</f>
        <v/>
      </c>
      <c r="AK224" s="20">
        <f>IF(COUNT(C224:O224)=0,"",IFERROR(AJ224*(1-Config!$C$10-Config!$C$11-Config!$C$12),0))</f>
        <v/>
      </c>
      <c r="AL224" s="20">
        <f>IF(COUNT(C224:O224)=0,"",IFERROR(AK224-C224-Config!$C$13,0))</f>
        <v/>
      </c>
      <c r="AM224" s="21">
        <f>IF(COUNT(C224:O224)=0,"",IFERROR(AK224/C224,0))</f>
        <v/>
      </c>
      <c r="AN224" s="21">
        <f>IF(COUNT(C224:O224)=0,"",IFERROR(AI224/C224,0))</f>
        <v/>
      </c>
      <c r="AO224" s="15">
        <f>IF(COUNT(C224:O224)=0,"",IFERROR(AL224/G224,0))</f>
        <v/>
      </c>
      <c r="AP224" s="21">
        <f>IF(COUNT(C224:O224)=0,"",IFERROR(AO224/U224,0))</f>
        <v/>
      </c>
      <c r="AQ224" s="15">
        <f>IF(COUNT(C224:O224)=0,"",IFERROR(AL224/H224,0))</f>
        <v/>
      </c>
    </row>
    <row r="225">
      <c r="A225" s="12">
        <f>Config!$C$6+219</f>
        <v/>
      </c>
      <c r="B225" s="13">
        <f>INT((A225-Config!$C$6)/7)+1</f>
        <v/>
      </c>
      <c r="C225" s="10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0" t="n"/>
      <c r="P225" s="15">
        <f>IF(COUNT(C225:O225)=0,"",IFERROR(C225/D225*1000,0))</f>
        <v/>
      </c>
      <c r="Q225" s="16">
        <f>IF(COUNT(C225:O225)=0,"",IFERROR(D225/E225,0))</f>
        <v/>
      </c>
      <c r="R225" s="17">
        <f>IF(COUNT(C225:O225)=0,"",IFERROR(F225/D225,0))</f>
        <v/>
      </c>
      <c r="S225" s="15">
        <f>IF(COUNT(C225:O225)=0,"",IFERROR(C225/F225,0))</f>
        <v/>
      </c>
      <c r="T225" s="18">
        <f>IF(COUNT(C225:O225)=0,"",IFERROR(G225/F225,0))</f>
        <v/>
      </c>
      <c r="U225" s="15">
        <f>IF(COUNT(C225:O225)=0,"",IFERROR(C225/G225,0))</f>
        <v/>
      </c>
      <c r="V225" s="19">
        <f>IF(COUNT(C225:O225)=0,"",IFERROR(G225/D225*1000,0))</f>
        <v/>
      </c>
      <c r="W225" s="18">
        <f>IF(COUNT(C225:O225)=0,"",IFERROR(H225/G225,0))</f>
        <v/>
      </c>
      <c r="X225" s="15">
        <f>IF(COUNT(C225:O225)=0,"",IFERROR(C225/H225,0))</f>
        <v/>
      </c>
      <c r="Y225" s="18">
        <f>IF(COUNT(C225:O225)=0,"",IFERROR(X225/P225,0))</f>
        <v/>
      </c>
      <c r="Z225" s="19">
        <f>IF(COUNT(C225:O225)=0,"",IFERROR(H225/D225*1000,0))</f>
        <v/>
      </c>
      <c r="AA225" s="18">
        <f>IF(COUNT(C225:O225)=0,"",IFERROR(I225/H225,0))</f>
        <v/>
      </c>
      <c r="AB225" s="18">
        <f>IF(COUNT(C225:O225)=0,"",IFERROR(J225/I225,0))</f>
        <v/>
      </c>
      <c r="AC225" s="18">
        <f>IF(COUNT(C225:O225)=0,"",IFERROR(K225/J225,0))</f>
        <v/>
      </c>
      <c r="AD225" s="15">
        <f>IF(COUNT(C225:O225)=0,"",IFERROR(C225/K225,0))</f>
        <v/>
      </c>
      <c r="AE225" s="18">
        <f>IF(COUNT(C225:O225)=0,"",IFERROR(L225/K225,0))</f>
        <v/>
      </c>
      <c r="AF225" s="18">
        <f>IF(COUNT(C225:O225)=0,"",IFERROR(M225/L225,0))</f>
        <v/>
      </c>
      <c r="AG225" s="17">
        <f>IF(COUNT(C225:O225)=0,"",IFERROR(M225/H225,0))</f>
        <v/>
      </c>
      <c r="AH225" s="15">
        <f>IF(COUNT(C225:O225)=0,"",IFERROR(C225/M225,0))</f>
        <v/>
      </c>
      <c r="AI225" s="20">
        <f>IF(COUNT(C225:O225)=0,"",IFERROR(M225*Config!$C$7+N225*Config!$C$8,0))</f>
        <v/>
      </c>
      <c r="AJ225" s="20">
        <f>IF(COUNT(C225:O225)=0,"",IFERROR(IF(O225&gt;0,O225,AI225*Config!$C$9),0))</f>
        <v/>
      </c>
      <c r="AK225" s="20">
        <f>IF(COUNT(C225:O225)=0,"",IFERROR(AJ225*(1-Config!$C$10-Config!$C$11-Config!$C$12),0))</f>
        <v/>
      </c>
      <c r="AL225" s="20">
        <f>IF(COUNT(C225:O225)=0,"",IFERROR(AK225-C225-Config!$C$13,0))</f>
        <v/>
      </c>
      <c r="AM225" s="21">
        <f>IF(COUNT(C225:O225)=0,"",IFERROR(AK225/C225,0))</f>
        <v/>
      </c>
      <c r="AN225" s="21">
        <f>IF(COUNT(C225:O225)=0,"",IFERROR(AI225/C225,0))</f>
        <v/>
      </c>
      <c r="AO225" s="15">
        <f>IF(COUNT(C225:O225)=0,"",IFERROR(AL225/G225,0))</f>
        <v/>
      </c>
      <c r="AP225" s="21">
        <f>IF(COUNT(C225:O225)=0,"",IFERROR(AO225/U225,0))</f>
        <v/>
      </c>
      <c r="AQ225" s="15">
        <f>IF(COUNT(C225:O225)=0,"",IFERROR(AL225/H225,0))</f>
        <v/>
      </c>
    </row>
    <row r="226">
      <c r="A226" s="12">
        <f>Config!$C$6+220</f>
        <v/>
      </c>
      <c r="B226" s="13">
        <f>INT((A226-Config!$C$6)/7)+1</f>
        <v/>
      </c>
      <c r="C226" s="10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0" t="n"/>
      <c r="P226" s="15">
        <f>IF(COUNT(C226:O226)=0,"",IFERROR(C226/D226*1000,0))</f>
        <v/>
      </c>
      <c r="Q226" s="16">
        <f>IF(COUNT(C226:O226)=0,"",IFERROR(D226/E226,0))</f>
        <v/>
      </c>
      <c r="R226" s="17">
        <f>IF(COUNT(C226:O226)=0,"",IFERROR(F226/D226,0))</f>
        <v/>
      </c>
      <c r="S226" s="15">
        <f>IF(COUNT(C226:O226)=0,"",IFERROR(C226/F226,0))</f>
        <v/>
      </c>
      <c r="T226" s="18">
        <f>IF(COUNT(C226:O226)=0,"",IFERROR(G226/F226,0))</f>
        <v/>
      </c>
      <c r="U226" s="15">
        <f>IF(COUNT(C226:O226)=0,"",IFERROR(C226/G226,0))</f>
        <v/>
      </c>
      <c r="V226" s="19">
        <f>IF(COUNT(C226:O226)=0,"",IFERROR(G226/D226*1000,0))</f>
        <v/>
      </c>
      <c r="W226" s="18">
        <f>IF(COUNT(C226:O226)=0,"",IFERROR(H226/G226,0))</f>
        <v/>
      </c>
      <c r="X226" s="15">
        <f>IF(COUNT(C226:O226)=0,"",IFERROR(C226/H226,0))</f>
        <v/>
      </c>
      <c r="Y226" s="18">
        <f>IF(COUNT(C226:O226)=0,"",IFERROR(X226/P226,0))</f>
        <v/>
      </c>
      <c r="Z226" s="19">
        <f>IF(COUNT(C226:O226)=0,"",IFERROR(H226/D226*1000,0))</f>
        <v/>
      </c>
      <c r="AA226" s="18">
        <f>IF(COUNT(C226:O226)=0,"",IFERROR(I226/H226,0))</f>
        <v/>
      </c>
      <c r="AB226" s="18">
        <f>IF(COUNT(C226:O226)=0,"",IFERROR(J226/I226,0))</f>
        <v/>
      </c>
      <c r="AC226" s="18">
        <f>IF(COUNT(C226:O226)=0,"",IFERROR(K226/J226,0))</f>
        <v/>
      </c>
      <c r="AD226" s="15">
        <f>IF(COUNT(C226:O226)=0,"",IFERROR(C226/K226,0))</f>
        <v/>
      </c>
      <c r="AE226" s="18">
        <f>IF(COUNT(C226:O226)=0,"",IFERROR(L226/K226,0))</f>
        <v/>
      </c>
      <c r="AF226" s="18">
        <f>IF(COUNT(C226:O226)=0,"",IFERROR(M226/L226,0))</f>
        <v/>
      </c>
      <c r="AG226" s="17">
        <f>IF(COUNT(C226:O226)=0,"",IFERROR(M226/H226,0))</f>
        <v/>
      </c>
      <c r="AH226" s="15">
        <f>IF(COUNT(C226:O226)=0,"",IFERROR(C226/M226,0))</f>
        <v/>
      </c>
      <c r="AI226" s="20">
        <f>IF(COUNT(C226:O226)=0,"",IFERROR(M226*Config!$C$7+N226*Config!$C$8,0))</f>
        <v/>
      </c>
      <c r="AJ226" s="20">
        <f>IF(COUNT(C226:O226)=0,"",IFERROR(IF(O226&gt;0,O226,AI226*Config!$C$9),0))</f>
        <v/>
      </c>
      <c r="AK226" s="20">
        <f>IF(COUNT(C226:O226)=0,"",IFERROR(AJ226*(1-Config!$C$10-Config!$C$11-Config!$C$12),0))</f>
        <v/>
      </c>
      <c r="AL226" s="20">
        <f>IF(COUNT(C226:O226)=0,"",IFERROR(AK226-C226-Config!$C$13,0))</f>
        <v/>
      </c>
      <c r="AM226" s="21">
        <f>IF(COUNT(C226:O226)=0,"",IFERROR(AK226/C226,0))</f>
        <v/>
      </c>
      <c r="AN226" s="21">
        <f>IF(COUNT(C226:O226)=0,"",IFERROR(AI226/C226,0))</f>
        <v/>
      </c>
      <c r="AO226" s="15">
        <f>IF(COUNT(C226:O226)=0,"",IFERROR(AL226/G226,0))</f>
        <v/>
      </c>
      <c r="AP226" s="21">
        <f>IF(COUNT(C226:O226)=0,"",IFERROR(AO226/U226,0))</f>
        <v/>
      </c>
      <c r="AQ226" s="15">
        <f>IF(COUNT(C226:O226)=0,"",IFERROR(AL226/H226,0))</f>
        <v/>
      </c>
    </row>
    <row r="227">
      <c r="A227" s="12">
        <f>Config!$C$6+221</f>
        <v/>
      </c>
      <c r="B227" s="13">
        <f>INT((A227-Config!$C$6)/7)+1</f>
        <v/>
      </c>
      <c r="C227" s="10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0" t="n"/>
      <c r="P227" s="15">
        <f>IF(COUNT(C227:O227)=0,"",IFERROR(C227/D227*1000,0))</f>
        <v/>
      </c>
      <c r="Q227" s="16">
        <f>IF(COUNT(C227:O227)=0,"",IFERROR(D227/E227,0))</f>
        <v/>
      </c>
      <c r="R227" s="17">
        <f>IF(COUNT(C227:O227)=0,"",IFERROR(F227/D227,0))</f>
        <v/>
      </c>
      <c r="S227" s="15">
        <f>IF(COUNT(C227:O227)=0,"",IFERROR(C227/F227,0))</f>
        <v/>
      </c>
      <c r="T227" s="18">
        <f>IF(COUNT(C227:O227)=0,"",IFERROR(G227/F227,0))</f>
        <v/>
      </c>
      <c r="U227" s="15">
        <f>IF(COUNT(C227:O227)=0,"",IFERROR(C227/G227,0))</f>
        <v/>
      </c>
      <c r="V227" s="19">
        <f>IF(COUNT(C227:O227)=0,"",IFERROR(G227/D227*1000,0))</f>
        <v/>
      </c>
      <c r="W227" s="18">
        <f>IF(COUNT(C227:O227)=0,"",IFERROR(H227/G227,0))</f>
        <v/>
      </c>
      <c r="X227" s="15">
        <f>IF(COUNT(C227:O227)=0,"",IFERROR(C227/H227,0))</f>
        <v/>
      </c>
      <c r="Y227" s="18">
        <f>IF(COUNT(C227:O227)=0,"",IFERROR(X227/P227,0))</f>
        <v/>
      </c>
      <c r="Z227" s="19">
        <f>IF(COUNT(C227:O227)=0,"",IFERROR(H227/D227*1000,0))</f>
        <v/>
      </c>
      <c r="AA227" s="18">
        <f>IF(COUNT(C227:O227)=0,"",IFERROR(I227/H227,0))</f>
        <v/>
      </c>
      <c r="AB227" s="18">
        <f>IF(COUNT(C227:O227)=0,"",IFERROR(J227/I227,0))</f>
        <v/>
      </c>
      <c r="AC227" s="18">
        <f>IF(COUNT(C227:O227)=0,"",IFERROR(K227/J227,0))</f>
        <v/>
      </c>
      <c r="AD227" s="15">
        <f>IF(COUNT(C227:O227)=0,"",IFERROR(C227/K227,0))</f>
        <v/>
      </c>
      <c r="AE227" s="18">
        <f>IF(COUNT(C227:O227)=0,"",IFERROR(L227/K227,0))</f>
        <v/>
      </c>
      <c r="AF227" s="18">
        <f>IF(COUNT(C227:O227)=0,"",IFERROR(M227/L227,0))</f>
        <v/>
      </c>
      <c r="AG227" s="17">
        <f>IF(COUNT(C227:O227)=0,"",IFERROR(M227/H227,0))</f>
        <v/>
      </c>
      <c r="AH227" s="15">
        <f>IF(COUNT(C227:O227)=0,"",IFERROR(C227/M227,0))</f>
        <v/>
      </c>
      <c r="AI227" s="20">
        <f>IF(COUNT(C227:O227)=0,"",IFERROR(M227*Config!$C$7+N227*Config!$C$8,0))</f>
        <v/>
      </c>
      <c r="AJ227" s="20">
        <f>IF(COUNT(C227:O227)=0,"",IFERROR(IF(O227&gt;0,O227,AI227*Config!$C$9),0))</f>
        <v/>
      </c>
      <c r="AK227" s="20">
        <f>IF(COUNT(C227:O227)=0,"",IFERROR(AJ227*(1-Config!$C$10-Config!$C$11-Config!$C$12),0))</f>
        <v/>
      </c>
      <c r="AL227" s="20">
        <f>IF(COUNT(C227:O227)=0,"",IFERROR(AK227-C227-Config!$C$13,0))</f>
        <v/>
      </c>
      <c r="AM227" s="21">
        <f>IF(COUNT(C227:O227)=0,"",IFERROR(AK227/C227,0))</f>
        <v/>
      </c>
      <c r="AN227" s="21">
        <f>IF(COUNT(C227:O227)=0,"",IFERROR(AI227/C227,0))</f>
        <v/>
      </c>
      <c r="AO227" s="15">
        <f>IF(COUNT(C227:O227)=0,"",IFERROR(AL227/G227,0))</f>
        <v/>
      </c>
      <c r="AP227" s="21">
        <f>IF(COUNT(C227:O227)=0,"",IFERROR(AO227/U227,0))</f>
        <v/>
      </c>
      <c r="AQ227" s="15">
        <f>IF(COUNT(C227:O227)=0,"",IFERROR(AL227/H227,0))</f>
        <v/>
      </c>
    </row>
    <row r="228">
      <c r="A228" s="12">
        <f>Config!$C$6+222</f>
        <v/>
      </c>
      <c r="B228" s="13">
        <f>INT((A228-Config!$C$6)/7)+1</f>
        <v/>
      </c>
      <c r="C228" s="10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0" t="n"/>
      <c r="P228" s="15">
        <f>IF(COUNT(C228:O228)=0,"",IFERROR(C228/D228*1000,0))</f>
        <v/>
      </c>
      <c r="Q228" s="16">
        <f>IF(COUNT(C228:O228)=0,"",IFERROR(D228/E228,0))</f>
        <v/>
      </c>
      <c r="R228" s="17">
        <f>IF(COUNT(C228:O228)=0,"",IFERROR(F228/D228,0))</f>
        <v/>
      </c>
      <c r="S228" s="15">
        <f>IF(COUNT(C228:O228)=0,"",IFERROR(C228/F228,0))</f>
        <v/>
      </c>
      <c r="T228" s="18">
        <f>IF(COUNT(C228:O228)=0,"",IFERROR(G228/F228,0))</f>
        <v/>
      </c>
      <c r="U228" s="15">
        <f>IF(COUNT(C228:O228)=0,"",IFERROR(C228/G228,0))</f>
        <v/>
      </c>
      <c r="V228" s="19">
        <f>IF(COUNT(C228:O228)=0,"",IFERROR(G228/D228*1000,0))</f>
        <v/>
      </c>
      <c r="W228" s="18">
        <f>IF(COUNT(C228:O228)=0,"",IFERROR(H228/G228,0))</f>
        <v/>
      </c>
      <c r="X228" s="15">
        <f>IF(COUNT(C228:O228)=0,"",IFERROR(C228/H228,0))</f>
        <v/>
      </c>
      <c r="Y228" s="18">
        <f>IF(COUNT(C228:O228)=0,"",IFERROR(X228/P228,0))</f>
        <v/>
      </c>
      <c r="Z228" s="19">
        <f>IF(COUNT(C228:O228)=0,"",IFERROR(H228/D228*1000,0))</f>
        <v/>
      </c>
      <c r="AA228" s="18">
        <f>IF(COUNT(C228:O228)=0,"",IFERROR(I228/H228,0))</f>
        <v/>
      </c>
      <c r="AB228" s="18">
        <f>IF(COUNT(C228:O228)=0,"",IFERROR(J228/I228,0))</f>
        <v/>
      </c>
      <c r="AC228" s="18">
        <f>IF(COUNT(C228:O228)=0,"",IFERROR(K228/J228,0))</f>
        <v/>
      </c>
      <c r="AD228" s="15">
        <f>IF(COUNT(C228:O228)=0,"",IFERROR(C228/K228,0))</f>
        <v/>
      </c>
      <c r="AE228" s="18">
        <f>IF(COUNT(C228:O228)=0,"",IFERROR(L228/K228,0))</f>
        <v/>
      </c>
      <c r="AF228" s="18">
        <f>IF(COUNT(C228:O228)=0,"",IFERROR(M228/L228,0))</f>
        <v/>
      </c>
      <c r="AG228" s="17">
        <f>IF(COUNT(C228:O228)=0,"",IFERROR(M228/H228,0))</f>
        <v/>
      </c>
      <c r="AH228" s="15">
        <f>IF(COUNT(C228:O228)=0,"",IFERROR(C228/M228,0))</f>
        <v/>
      </c>
      <c r="AI228" s="20">
        <f>IF(COUNT(C228:O228)=0,"",IFERROR(M228*Config!$C$7+N228*Config!$C$8,0))</f>
        <v/>
      </c>
      <c r="AJ228" s="20">
        <f>IF(COUNT(C228:O228)=0,"",IFERROR(IF(O228&gt;0,O228,AI228*Config!$C$9),0))</f>
        <v/>
      </c>
      <c r="AK228" s="20">
        <f>IF(COUNT(C228:O228)=0,"",IFERROR(AJ228*(1-Config!$C$10-Config!$C$11-Config!$C$12),0))</f>
        <v/>
      </c>
      <c r="AL228" s="20">
        <f>IF(COUNT(C228:O228)=0,"",IFERROR(AK228-C228-Config!$C$13,0))</f>
        <v/>
      </c>
      <c r="AM228" s="21">
        <f>IF(COUNT(C228:O228)=0,"",IFERROR(AK228/C228,0))</f>
        <v/>
      </c>
      <c r="AN228" s="21">
        <f>IF(COUNT(C228:O228)=0,"",IFERROR(AI228/C228,0))</f>
        <v/>
      </c>
      <c r="AO228" s="15">
        <f>IF(COUNT(C228:O228)=0,"",IFERROR(AL228/G228,0))</f>
        <v/>
      </c>
      <c r="AP228" s="21">
        <f>IF(COUNT(C228:O228)=0,"",IFERROR(AO228/U228,0))</f>
        <v/>
      </c>
      <c r="AQ228" s="15">
        <f>IF(COUNT(C228:O228)=0,"",IFERROR(AL228/H228,0))</f>
        <v/>
      </c>
    </row>
    <row r="229">
      <c r="A229" s="12">
        <f>Config!$C$6+223</f>
        <v/>
      </c>
      <c r="B229" s="13">
        <f>INT((A229-Config!$C$6)/7)+1</f>
        <v/>
      </c>
      <c r="C229" s="10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0" t="n"/>
      <c r="P229" s="15">
        <f>IF(COUNT(C229:O229)=0,"",IFERROR(C229/D229*1000,0))</f>
        <v/>
      </c>
      <c r="Q229" s="16">
        <f>IF(COUNT(C229:O229)=0,"",IFERROR(D229/E229,0))</f>
        <v/>
      </c>
      <c r="R229" s="17">
        <f>IF(COUNT(C229:O229)=0,"",IFERROR(F229/D229,0))</f>
        <v/>
      </c>
      <c r="S229" s="15">
        <f>IF(COUNT(C229:O229)=0,"",IFERROR(C229/F229,0))</f>
        <v/>
      </c>
      <c r="T229" s="18">
        <f>IF(COUNT(C229:O229)=0,"",IFERROR(G229/F229,0))</f>
        <v/>
      </c>
      <c r="U229" s="15">
        <f>IF(COUNT(C229:O229)=0,"",IFERROR(C229/G229,0))</f>
        <v/>
      </c>
      <c r="V229" s="19">
        <f>IF(COUNT(C229:O229)=0,"",IFERROR(G229/D229*1000,0))</f>
        <v/>
      </c>
      <c r="W229" s="18">
        <f>IF(COUNT(C229:O229)=0,"",IFERROR(H229/G229,0))</f>
        <v/>
      </c>
      <c r="X229" s="15">
        <f>IF(COUNT(C229:O229)=0,"",IFERROR(C229/H229,0))</f>
        <v/>
      </c>
      <c r="Y229" s="18">
        <f>IF(COUNT(C229:O229)=0,"",IFERROR(X229/P229,0))</f>
        <v/>
      </c>
      <c r="Z229" s="19">
        <f>IF(COUNT(C229:O229)=0,"",IFERROR(H229/D229*1000,0))</f>
        <v/>
      </c>
      <c r="AA229" s="18">
        <f>IF(COUNT(C229:O229)=0,"",IFERROR(I229/H229,0))</f>
        <v/>
      </c>
      <c r="AB229" s="18">
        <f>IF(COUNT(C229:O229)=0,"",IFERROR(J229/I229,0))</f>
        <v/>
      </c>
      <c r="AC229" s="18">
        <f>IF(COUNT(C229:O229)=0,"",IFERROR(K229/J229,0))</f>
        <v/>
      </c>
      <c r="AD229" s="15">
        <f>IF(COUNT(C229:O229)=0,"",IFERROR(C229/K229,0))</f>
        <v/>
      </c>
      <c r="AE229" s="18">
        <f>IF(COUNT(C229:O229)=0,"",IFERROR(L229/K229,0))</f>
        <v/>
      </c>
      <c r="AF229" s="18">
        <f>IF(COUNT(C229:O229)=0,"",IFERROR(M229/L229,0))</f>
        <v/>
      </c>
      <c r="AG229" s="17">
        <f>IF(COUNT(C229:O229)=0,"",IFERROR(M229/H229,0))</f>
        <v/>
      </c>
      <c r="AH229" s="15">
        <f>IF(COUNT(C229:O229)=0,"",IFERROR(C229/M229,0))</f>
        <v/>
      </c>
      <c r="AI229" s="20">
        <f>IF(COUNT(C229:O229)=0,"",IFERROR(M229*Config!$C$7+N229*Config!$C$8,0))</f>
        <v/>
      </c>
      <c r="AJ229" s="20">
        <f>IF(COUNT(C229:O229)=0,"",IFERROR(IF(O229&gt;0,O229,AI229*Config!$C$9),0))</f>
        <v/>
      </c>
      <c r="AK229" s="20">
        <f>IF(COUNT(C229:O229)=0,"",IFERROR(AJ229*(1-Config!$C$10-Config!$C$11-Config!$C$12),0))</f>
        <v/>
      </c>
      <c r="AL229" s="20">
        <f>IF(COUNT(C229:O229)=0,"",IFERROR(AK229-C229-Config!$C$13,0))</f>
        <v/>
      </c>
      <c r="AM229" s="21">
        <f>IF(COUNT(C229:O229)=0,"",IFERROR(AK229/C229,0))</f>
        <v/>
      </c>
      <c r="AN229" s="21">
        <f>IF(COUNT(C229:O229)=0,"",IFERROR(AI229/C229,0))</f>
        <v/>
      </c>
      <c r="AO229" s="15">
        <f>IF(COUNT(C229:O229)=0,"",IFERROR(AL229/G229,0))</f>
        <v/>
      </c>
      <c r="AP229" s="21">
        <f>IF(COUNT(C229:O229)=0,"",IFERROR(AO229/U229,0))</f>
        <v/>
      </c>
      <c r="AQ229" s="15">
        <f>IF(COUNT(C229:O229)=0,"",IFERROR(AL229/H229,0))</f>
        <v/>
      </c>
    </row>
    <row r="230">
      <c r="A230" s="12">
        <f>Config!$C$6+224</f>
        <v/>
      </c>
      <c r="B230" s="13">
        <f>INT((A230-Config!$C$6)/7)+1</f>
        <v/>
      </c>
      <c r="C230" s="10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0" t="n"/>
      <c r="P230" s="15">
        <f>IF(COUNT(C230:O230)=0,"",IFERROR(C230/D230*1000,0))</f>
        <v/>
      </c>
      <c r="Q230" s="16">
        <f>IF(COUNT(C230:O230)=0,"",IFERROR(D230/E230,0))</f>
        <v/>
      </c>
      <c r="R230" s="17">
        <f>IF(COUNT(C230:O230)=0,"",IFERROR(F230/D230,0))</f>
        <v/>
      </c>
      <c r="S230" s="15">
        <f>IF(COUNT(C230:O230)=0,"",IFERROR(C230/F230,0))</f>
        <v/>
      </c>
      <c r="T230" s="18">
        <f>IF(COUNT(C230:O230)=0,"",IFERROR(G230/F230,0))</f>
        <v/>
      </c>
      <c r="U230" s="15">
        <f>IF(COUNT(C230:O230)=0,"",IFERROR(C230/G230,0))</f>
        <v/>
      </c>
      <c r="V230" s="19">
        <f>IF(COUNT(C230:O230)=0,"",IFERROR(G230/D230*1000,0))</f>
        <v/>
      </c>
      <c r="W230" s="18">
        <f>IF(COUNT(C230:O230)=0,"",IFERROR(H230/G230,0))</f>
        <v/>
      </c>
      <c r="X230" s="15">
        <f>IF(COUNT(C230:O230)=0,"",IFERROR(C230/H230,0))</f>
        <v/>
      </c>
      <c r="Y230" s="18">
        <f>IF(COUNT(C230:O230)=0,"",IFERROR(X230/P230,0))</f>
        <v/>
      </c>
      <c r="Z230" s="19">
        <f>IF(COUNT(C230:O230)=0,"",IFERROR(H230/D230*1000,0))</f>
        <v/>
      </c>
      <c r="AA230" s="18">
        <f>IF(COUNT(C230:O230)=0,"",IFERROR(I230/H230,0))</f>
        <v/>
      </c>
      <c r="AB230" s="18">
        <f>IF(COUNT(C230:O230)=0,"",IFERROR(J230/I230,0))</f>
        <v/>
      </c>
      <c r="AC230" s="18">
        <f>IF(COUNT(C230:O230)=0,"",IFERROR(K230/J230,0))</f>
        <v/>
      </c>
      <c r="AD230" s="15">
        <f>IF(COUNT(C230:O230)=0,"",IFERROR(C230/K230,0))</f>
        <v/>
      </c>
      <c r="AE230" s="18">
        <f>IF(COUNT(C230:O230)=0,"",IFERROR(L230/K230,0))</f>
        <v/>
      </c>
      <c r="AF230" s="18">
        <f>IF(COUNT(C230:O230)=0,"",IFERROR(M230/L230,0))</f>
        <v/>
      </c>
      <c r="AG230" s="17">
        <f>IF(COUNT(C230:O230)=0,"",IFERROR(M230/H230,0))</f>
        <v/>
      </c>
      <c r="AH230" s="15">
        <f>IF(COUNT(C230:O230)=0,"",IFERROR(C230/M230,0))</f>
        <v/>
      </c>
      <c r="AI230" s="20">
        <f>IF(COUNT(C230:O230)=0,"",IFERROR(M230*Config!$C$7+N230*Config!$C$8,0))</f>
        <v/>
      </c>
      <c r="AJ230" s="20">
        <f>IF(COUNT(C230:O230)=0,"",IFERROR(IF(O230&gt;0,O230,AI230*Config!$C$9),0))</f>
        <v/>
      </c>
      <c r="AK230" s="20">
        <f>IF(COUNT(C230:O230)=0,"",IFERROR(AJ230*(1-Config!$C$10-Config!$C$11-Config!$C$12),0))</f>
        <v/>
      </c>
      <c r="AL230" s="20">
        <f>IF(COUNT(C230:O230)=0,"",IFERROR(AK230-C230-Config!$C$13,0))</f>
        <v/>
      </c>
      <c r="AM230" s="21">
        <f>IF(COUNT(C230:O230)=0,"",IFERROR(AK230/C230,0))</f>
        <v/>
      </c>
      <c r="AN230" s="21">
        <f>IF(COUNT(C230:O230)=0,"",IFERROR(AI230/C230,0))</f>
        <v/>
      </c>
      <c r="AO230" s="15">
        <f>IF(COUNT(C230:O230)=0,"",IFERROR(AL230/G230,0))</f>
        <v/>
      </c>
      <c r="AP230" s="21">
        <f>IF(COUNT(C230:O230)=0,"",IFERROR(AO230/U230,0))</f>
        <v/>
      </c>
      <c r="AQ230" s="15">
        <f>IF(COUNT(C230:O230)=0,"",IFERROR(AL230/H230,0))</f>
        <v/>
      </c>
    </row>
    <row r="231">
      <c r="A231" s="12">
        <f>Config!$C$6+225</f>
        <v/>
      </c>
      <c r="B231" s="13">
        <f>INT((A231-Config!$C$6)/7)+1</f>
        <v/>
      </c>
      <c r="C231" s="10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0" t="n"/>
      <c r="P231" s="15">
        <f>IF(COUNT(C231:O231)=0,"",IFERROR(C231/D231*1000,0))</f>
        <v/>
      </c>
      <c r="Q231" s="16">
        <f>IF(COUNT(C231:O231)=0,"",IFERROR(D231/E231,0))</f>
        <v/>
      </c>
      <c r="R231" s="17">
        <f>IF(COUNT(C231:O231)=0,"",IFERROR(F231/D231,0))</f>
        <v/>
      </c>
      <c r="S231" s="15">
        <f>IF(COUNT(C231:O231)=0,"",IFERROR(C231/F231,0))</f>
        <v/>
      </c>
      <c r="T231" s="18">
        <f>IF(COUNT(C231:O231)=0,"",IFERROR(G231/F231,0))</f>
        <v/>
      </c>
      <c r="U231" s="15">
        <f>IF(COUNT(C231:O231)=0,"",IFERROR(C231/G231,0))</f>
        <v/>
      </c>
      <c r="V231" s="19">
        <f>IF(COUNT(C231:O231)=0,"",IFERROR(G231/D231*1000,0))</f>
        <v/>
      </c>
      <c r="W231" s="18">
        <f>IF(COUNT(C231:O231)=0,"",IFERROR(H231/G231,0))</f>
        <v/>
      </c>
      <c r="X231" s="15">
        <f>IF(COUNT(C231:O231)=0,"",IFERROR(C231/H231,0))</f>
        <v/>
      </c>
      <c r="Y231" s="18">
        <f>IF(COUNT(C231:O231)=0,"",IFERROR(X231/P231,0))</f>
        <v/>
      </c>
      <c r="Z231" s="19">
        <f>IF(COUNT(C231:O231)=0,"",IFERROR(H231/D231*1000,0))</f>
        <v/>
      </c>
      <c r="AA231" s="18">
        <f>IF(COUNT(C231:O231)=0,"",IFERROR(I231/H231,0))</f>
        <v/>
      </c>
      <c r="AB231" s="18">
        <f>IF(COUNT(C231:O231)=0,"",IFERROR(J231/I231,0))</f>
        <v/>
      </c>
      <c r="AC231" s="18">
        <f>IF(COUNT(C231:O231)=0,"",IFERROR(K231/J231,0))</f>
        <v/>
      </c>
      <c r="AD231" s="15">
        <f>IF(COUNT(C231:O231)=0,"",IFERROR(C231/K231,0))</f>
        <v/>
      </c>
      <c r="AE231" s="18">
        <f>IF(COUNT(C231:O231)=0,"",IFERROR(L231/K231,0))</f>
        <v/>
      </c>
      <c r="AF231" s="18">
        <f>IF(COUNT(C231:O231)=0,"",IFERROR(M231/L231,0))</f>
        <v/>
      </c>
      <c r="AG231" s="17">
        <f>IF(COUNT(C231:O231)=0,"",IFERROR(M231/H231,0))</f>
        <v/>
      </c>
      <c r="AH231" s="15">
        <f>IF(COUNT(C231:O231)=0,"",IFERROR(C231/M231,0))</f>
        <v/>
      </c>
      <c r="AI231" s="20">
        <f>IF(COUNT(C231:O231)=0,"",IFERROR(M231*Config!$C$7+N231*Config!$C$8,0))</f>
        <v/>
      </c>
      <c r="AJ231" s="20">
        <f>IF(COUNT(C231:O231)=0,"",IFERROR(IF(O231&gt;0,O231,AI231*Config!$C$9),0))</f>
        <v/>
      </c>
      <c r="AK231" s="20">
        <f>IF(COUNT(C231:O231)=0,"",IFERROR(AJ231*(1-Config!$C$10-Config!$C$11-Config!$C$12),0))</f>
        <v/>
      </c>
      <c r="AL231" s="20">
        <f>IF(COUNT(C231:O231)=0,"",IFERROR(AK231-C231-Config!$C$13,0))</f>
        <v/>
      </c>
      <c r="AM231" s="21">
        <f>IF(COUNT(C231:O231)=0,"",IFERROR(AK231/C231,0))</f>
        <v/>
      </c>
      <c r="AN231" s="21">
        <f>IF(COUNT(C231:O231)=0,"",IFERROR(AI231/C231,0))</f>
        <v/>
      </c>
      <c r="AO231" s="15">
        <f>IF(COUNT(C231:O231)=0,"",IFERROR(AL231/G231,0))</f>
        <v/>
      </c>
      <c r="AP231" s="21">
        <f>IF(COUNT(C231:O231)=0,"",IFERROR(AO231/U231,0))</f>
        <v/>
      </c>
      <c r="AQ231" s="15">
        <f>IF(COUNT(C231:O231)=0,"",IFERROR(AL231/H231,0))</f>
        <v/>
      </c>
    </row>
    <row r="232">
      <c r="A232" s="12">
        <f>Config!$C$6+226</f>
        <v/>
      </c>
      <c r="B232" s="13">
        <f>INT((A232-Config!$C$6)/7)+1</f>
        <v/>
      </c>
      <c r="C232" s="10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0" t="n"/>
      <c r="P232" s="15">
        <f>IF(COUNT(C232:O232)=0,"",IFERROR(C232/D232*1000,0))</f>
        <v/>
      </c>
      <c r="Q232" s="16">
        <f>IF(COUNT(C232:O232)=0,"",IFERROR(D232/E232,0))</f>
        <v/>
      </c>
      <c r="R232" s="17">
        <f>IF(COUNT(C232:O232)=0,"",IFERROR(F232/D232,0))</f>
        <v/>
      </c>
      <c r="S232" s="15">
        <f>IF(COUNT(C232:O232)=0,"",IFERROR(C232/F232,0))</f>
        <v/>
      </c>
      <c r="T232" s="18">
        <f>IF(COUNT(C232:O232)=0,"",IFERROR(G232/F232,0))</f>
        <v/>
      </c>
      <c r="U232" s="15">
        <f>IF(COUNT(C232:O232)=0,"",IFERROR(C232/G232,0))</f>
        <v/>
      </c>
      <c r="V232" s="19">
        <f>IF(COUNT(C232:O232)=0,"",IFERROR(G232/D232*1000,0))</f>
        <v/>
      </c>
      <c r="W232" s="18">
        <f>IF(COUNT(C232:O232)=0,"",IFERROR(H232/G232,0))</f>
        <v/>
      </c>
      <c r="X232" s="15">
        <f>IF(COUNT(C232:O232)=0,"",IFERROR(C232/H232,0))</f>
        <v/>
      </c>
      <c r="Y232" s="18">
        <f>IF(COUNT(C232:O232)=0,"",IFERROR(X232/P232,0))</f>
        <v/>
      </c>
      <c r="Z232" s="19">
        <f>IF(COUNT(C232:O232)=0,"",IFERROR(H232/D232*1000,0))</f>
        <v/>
      </c>
      <c r="AA232" s="18">
        <f>IF(COUNT(C232:O232)=0,"",IFERROR(I232/H232,0))</f>
        <v/>
      </c>
      <c r="AB232" s="18">
        <f>IF(COUNT(C232:O232)=0,"",IFERROR(J232/I232,0))</f>
        <v/>
      </c>
      <c r="AC232" s="18">
        <f>IF(COUNT(C232:O232)=0,"",IFERROR(K232/J232,0))</f>
        <v/>
      </c>
      <c r="AD232" s="15">
        <f>IF(COUNT(C232:O232)=0,"",IFERROR(C232/K232,0))</f>
        <v/>
      </c>
      <c r="AE232" s="18">
        <f>IF(COUNT(C232:O232)=0,"",IFERROR(L232/K232,0))</f>
        <v/>
      </c>
      <c r="AF232" s="18">
        <f>IF(COUNT(C232:O232)=0,"",IFERROR(M232/L232,0))</f>
        <v/>
      </c>
      <c r="AG232" s="17">
        <f>IF(COUNT(C232:O232)=0,"",IFERROR(M232/H232,0))</f>
        <v/>
      </c>
      <c r="AH232" s="15">
        <f>IF(COUNT(C232:O232)=0,"",IFERROR(C232/M232,0))</f>
        <v/>
      </c>
      <c r="AI232" s="20">
        <f>IF(COUNT(C232:O232)=0,"",IFERROR(M232*Config!$C$7+N232*Config!$C$8,0))</f>
        <v/>
      </c>
      <c r="AJ232" s="20">
        <f>IF(COUNT(C232:O232)=0,"",IFERROR(IF(O232&gt;0,O232,AI232*Config!$C$9),0))</f>
        <v/>
      </c>
      <c r="AK232" s="20">
        <f>IF(COUNT(C232:O232)=0,"",IFERROR(AJ232*(1-Config!$C$10-Config!$C$11-Config!$C$12),0))</f>
        <v/>
      </c>
      <c r="AL232" s="20">
        <f>IF(COUNT(C232:O232)=0,"",IFERROR(AK232-C232-Config!$C$13,0))</f>
        <v/>
      </c>
      <c r="AM232" s="21">
        <f>IF(COUNT(C232:O232)=0,"",IFERROR(AK232/C232,0))</f>
        <v/>
      </c>
      <c r="AN232" s="21">
        <f>IF(COUNT(C232:O232)=0,"",IFERROR(AI232/C232,0))</f>
        <v/>
      </c>
      <c r="AO232" s="15">
        <f>IF(COUNT(C232:O232)=0,"",IFERROR(AL232/G232,0))</f>
        <v/>
      </c>
      <c r="AP232" s="21">
        <f>IF(COUNT(C232:O232)=0,"",IFERROR(AO232/U232,0))</f>
        <v/>
      </c>
      <c r="AQ232" s="15">
        <f>IF(COUNT(C232:O232)=0,"",IFERROR(AL232/H232,0))</f>
        <v/>
      </c>
    </row>
    <row r="233">
      <c r="A233" s="12">
        <f>Config!$C$6+227</f>
        <v/>
      </c>
      <c r="B233" s="13">
        <f>INT((A233-Config!$C$6)/7)+1</f>
        <v/>
      </c>
      <c r="C233" s="10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0" t="n"/>
      <c r="P233" s="15">
        <f>IF(COUNT(C233:O233)=0,"",IFERROR(C233/D233*1000,0))</f>
        <v/>
      </c>
      <c r="Q233" s="16">
        <f>IF(COUNT(C233:O233)=0,"",IFERROR(D233/E233,0))</f>
        <v/>
      </c>
      <c r="R233" s="17">
        <f>IF(COUNT(C233:O233)=0,"",IFERROR(F233/D233,0))</f>
        <v/>
      </c>
      <c r="S233" s="15">
        <f>IF(COUNT(C233:O233)=0,"",IFERROR(C233/F233,0))</f>
        <v/>
      </c>
      <c r="T233" s="18">
        <f>IF(COUNT(C233:O233)=0,"",IFERROR(G233/F233,0))</f>
        <v/>
      </c>
      <c r="U233" s="15">
        <f>IF(COUNT(C233:O233)=0,"",IFERROR(C233/G233,0))</f>
        <v/>
      </c>
      <c r="V233" s="19">
        <f>IF(COUNT(C233:O233)=0,"",IFERROR(G233/D233*1000,0))</f>
        <v/>
      </c>
      <c r="W233" s="18">
        <f>IF(COUNT(C233:O233)=0,"",IFERROR(H233/G233,0))</f>
        <v/>
      </c>
      <c r="X233" s="15">
        <f>IF(COUNT(C233:O233)=0,"",IFERROR(C233/H233,0))</f>
        <v/>
      </c>
      <c r="Y233" s="18">
        <f>IF(COUNT(C233:O233)=0,"",IFERROR(X233/P233,0))</f>
        <v/>
      </c>
      <c r="Z233" s="19">
        <f>IF(COUNT(C233:O233)=0,"",IFERROR(H233/D233*1000,0))</f>
        <v/>
      </c>
      <c r="AA233" s="18">
        <f>IF(COUNT(C233:O233)=0,"",IFERROR(I233/H233,0))</f>
        <v/>
      </c>
      <c r="AB233" s="18">
        <f>IF(COUNT(C233:O233)=0,"",IFERROR(J233/I233,0))</f>
        <v/>
      </c>
      <c r="AC233" s="18">
        <f>IF(COUNT(C233:O233)=0,"",IFERROR(K233/J233,0))</f>
        <v/>
      </c>
      <c r="AD233" s="15">
        <f>IF(COUNT(C233:O233)=0,"",IFERROR(C233/K233,0))</f>
        <v/>
      </c>
      <c r="AE233" s="18">
        <f>IF(COUNT(C233:O233)=0,"",IFERROR(L233/K233,0))</f>
        <v/>
      </c>
      <c r="AF233" s="18">
        <f>IF(COUNT(C233:O233)=0,"",IFERROR(M233/L233,0))</f>
        <v/>
      </c>
      <c r="AG233" s="17">
        <f>IF(COUNT(C233:O233)=0,"",IFERROR(M233/H233,0))</f>
        <v/>
      </c>
      <c r="AH233" s="15">
        <f>IF(COUNT(C233:O233)=0,"",IFERROR(C233/M233,0))</f>
        <v/>
      </c>
      <c r="AI233" s="20">
        <f>IF(COUNT(C233:O233)=0,"",IFERROR(M233*Config!$C$7+N233*Config!$C$8,0))</f>
        <v/>
      </c>
      <c r="AJ233" s="20">
        <f>IF(COUNT(C233:O233)=0,"",IFERROR(IF(O233&gt;0,O233,AI233*Config!$C$9),0))</f>
        <v/>
      </c>
      <c r="AK233" s="20">
        <f>IF(COUNT(C233:O233)=0,"",IFERROR(AJ233*(1-Config!$C$10-Config!$C$11-Config!$C$12),0))</f>
        <v/>
      </c>
      <c r="AL233" s="20">
        <f>IF(COUNT(C233:O233)=0,"",IFERROR(AK233-C233-Config!$C$13,0))</f>
        <v/>
      </c>
      <c r="AM233" s="21">
        <f>IF(COUNT(C233:O233)=0,"",IFERROR(AK233/C233,0))</f>
        <v/>
      </c>
      <c r="AN233" s="21">
        <f>IF(COUNT(C233:O233)=0,"",IFERROR(AI233/C233,0))</f>
        <v/>
      </c>
      <c r="AO233" s="15">
        <f>IF(COUNT(C233:O233)=0,"",IFERROR(AL233/G233,0))</f>
        <v/>
      </c>
      <c r="AP233" s="21">
        <f>IF(COUNT(C233:O233)=0,"",IFERROR(AO233/U233,0))</f>
        <v/>
      </c>
      <c r="AQ233" s="15">
        <f>IF(COUNT(C233:O233)=0,"",IFERROR(AL233/H233,0))</f>
        <v/>
      </c>
    </row>
    <row r="234">
      <c r="A234" s="12">
        <f>Config!$C$6+228</f>
        <v/>
      </c>
      <c r="B234" s="13">
        <f>INT((A234-Config!$C$6)/7)+1</f>
        <v/>
      </c>
      <c r="C234" s="10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0" t="n"/>
      <c r="P234" s="15">
        <f>IF(COUNT(C234:O234)=0,"",IFERROR(C234/D234*1000,0))</f>
        <v/>
      </c>
      <c r="Q234" s="16">
        <f>IF(COUNT(C234:O234)=0,"",IFERROR(D234/E234,0))</f>
        <v/>
      </c>
      <c r="R234" s="17">
        <f>IF(COUNT(C234:O234)=0,"",IFERROR(F234/D234,0))</f>
        <v/>
      </c>
      <c r="S234" s="15">
        <f>IF(COUNT(C234:O234)=0,"",IFERROR(C234/F234,0))</f>
        <v/>
      </c>
      <c r="T234" s="18">
        <f>IF(COUNT(C234:O234)=0,"",IFERROR(G234/F234,0))</f>
        <v/>
      </c>
      <c r="U234" s="15">
        <f>IF(COUNT(C234:O234)=0,"",IFERROR(C234/G234,0))</f>
        <v/>
      </c>
      <c r="V234" s="19">
        <f>IF(COUNT(C234:O234)=0,"",IFERROR(G234/D234*1000,0))</f>
        <v/>
      </c>
      <c r="W234" s="18">
        <f>IF(COUNT(C234:O234)=0,"",IFERROR(H234/G234,0))</f>
        <v/>
      </c>
      <c r="X234" s="15">
        <f>IF(COUNT(C234:O234)=0,"",IFERROR(C234/H234,0))</f>
        <v/>
      </c>
      <c r="Y234" s="18">
        <f>IF(COUNT(C234:O234)=0,"",IFERROR(X234/P234,0))</f>
        <v/>
      </c>
      <c r="Z234" s="19">
        <f>IF(COUNT(C234:O234)=0,"",IFERROR(H234/D234*1000,0))</f>
        <v/>
      </c>
      <c r="AA234" s="18">
        <f>IF(COUNT(C234:O234)=0,"",IFERROR(I234/H234,0))</f>
        <v/>
      </c>
      <c r="AB234" s="18">
        <f>IF(COUNT(C234:O234)=0,"",IFERROR(J234/I234,0))</f>
        <v/>
      </c>
      <c r="AC234" s="18">
        <f>IF(COUNT(C234:O234)=0,"",IFERROR(K234/J234,0))</f>
        <v/>
      </c>
      <c r="AD234" s="15">
        <f>IF(COUNT(C234:O234)=0,"",IFERROR(C234/K234,0))</f>
        <v/>
      </c>
      <c r="AE234" s="18">
        <f>IF(COUNT(C234:O234)=0,"",IFERROR(L234/K234,0))</f>
        <v/>
      </c>
      <c r="AF234" s="18">
        <f>IF(COUNT(C234:O234)=0,"",IFERROR(M234/L234,0))</f>
        <v/>
      </c>
      <c r="AG234" s="17">
        <f>IF(COUNT(C234:O234)=0,"",IFERROR(M234/H234,0))</f>
        <v/>
      </c>
      <c r="AH234" s="15">
        <f>IF(COUNT(C234:O234)=0,"",IFERROR(C234/M234,0))</f>
        <v/>
      </c>
      <c r="AI234" s="20">
        <f>IF(COUNT(C234:O234)=0,"",IFERROR(M234*Config!$C$7+N234*Config!$C$8,0))</f>
        <v/>
      </c>
      <c r="AJ234" s="20">
        <f>IF(COUNT(C234:O234)=0,"",IFERROR(IF(O234&gt;0,O234,AI234*Config!$C$9),0))</f>
        <v/>
      </c>
      <c r="AK234" s="20">
        <f>IF(COUNT(C234:O234)=0,"",IFERROR(AJ234*(1-Config!$C$10-Config!$C$11-Config!$C$12),0))</f>
        <v/>
      </c>
      <c r="AL234" s="20">
        <f>IF(COUNT(C234:O234)=0,"",IFERROR(AK234-C234-Config!$C$13,0))</f>
        <v/>
      </c>
      <c r="AM234" s="21">
        <f>IF(COUNT(C234:O234)=0,"",IFERROR(AK234/C234,0))</f>
        <v/>
      </c>
      <c r="AN234" s="21">
        <f>IF(COUNT(C234:O234)=0,"",IFERROR(AI234/C234,0))</f>
        <v/>
      </c>
      <c r="AO234" s="15">
        <f>IF(COUNT(C234:O234)=0,"",IFERROR(AL234/G234,0))</f>
        <v/>
      </c>
      <c r="AP234" s="21">
        <f>IF(COUNT(C234:O234)=0,"",IFERROR(AO234/U234,0))</f>
        <v/>
      </c>
      <c r="AQ234" s="15">
        <f>IF(COUNT(C234:O234)=0,"",IFERROR(AL234/H234,0))</f>
        <v/>
      </c>
    </row>
    <row r="235">
      <c r="A235" s="12">
        <f>Config!$C$6+229</f>
        <v/>
      </c>
      <c r="B235" s="13">
        <f>INT((A235-Config!$C$6)/7)+1</f>
        <v/>
      </c>
      <c r="C235" s="10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0" t="n"/>
      <c r="P235" s="15">
        <f>IF(COUNT(C235:O235)=0,"",IFERROR(C235/D235*1000,0))</f>
        <v/>
      </c>
      <c r="Q235" s="16">
        <f>IF(COUNT(C235:O235)=0,"",IFERROR(D235/E235,0))</f>
        <v/>
      </c>
      <c r="R235" s="17">
        <f>IF(COUNT(C235:O235)=0,"",IFERROR(F235/D235,0))</f>
        <v/>
      </c>
      <c r="S235" s="15">
        <f>IF(COUNT(C235:O235)=0,"",IFERROR(C235/F235,0))</f>
        <v/>
      </c>
      <c r="T235" s="18">
        <f>IF(COUNT(C235:O235)=0,"",IFERROR(G235/F235,0))</f>
        <v/>
      </c>
      <c r="U235" s="15">
        <f>IF(COUNT(C235:O235)=0,"",IFERROR(C235/G235,0))</f>
        <v/>
      </c>
      <c r="V235" s="19">
        <f>IF(COUNT(C235:O235)=0,"",IFERROR(G235/D235*1000,0))</f>
        <v/>
      </c>
      <c r="W235" s="18">
        <f>IF(COUNT(C235:O235)=0,"",IFERROR(H235/G235,0))</f>
        <v/>
      </c>
      <c r="X235" s="15">
        <f>IF(COUNT(C235:O235)=0,"",IFERROR(C235/H235,0))</f>
        <v/>
      </c>
      <c r="Y235" s="18">
        <f>IF(COUNT(C235:O235)=0,"",IFERROR(X235/P235,0))</f>
        <v/>
      </c>
      <c r="Z235" s="19">
        <f>IF(COUNT(C235:O235)=0,"",IFERROR(H235/D235*1000,0))</f>
        <v/>
      </c>
      <c r="AA235" s="18">
        <f>IF(COUNT(C235:O235)=0,"",IFERROR(I235/H235,0))</f>
        <v/>
      </c>
      <c r="AB235" s="18">
        <f>IF(COUNT(C235:O235)=0,"",IFERROR(J235/I235,0))</f>
        <v/>
      </c>
      <c r="AC235" s="18">
        <f>IF(COUNT(C235:O235)=0,"",IFERROR(K235/J235,0))</f>
        <v/>
      </c>
      <c r="AD235" s="15">
        <f>IF(COUNT(C235:O235)=0,"",IFERROR(C235/K235,0))</f>
        <v/>
      </c>
      <c r="AE235" s="18">
        <f>IF(COUNT(C235:O235)=0,"",IFERROR(L235/K235,0))</f>
        <v/>
      </c>
      <c r="AF235" s="18">
        <f>IF(COUNT(C235:O235)=0,"",IFERROR(M235/L235,0))</f>
        <v/>
      </c>
      <c r="AG235" s="17">
        <f>IF(COUNT(C235:O235)=0,"",IFERROR(M235/H235,0))</f>
        <v/>
      </c>
      <c r="AH235" s="15">
        <f>IF(COUNT(C235:O235)=0,"",IFERROR(C235/M235,0))</f>
        <v/>
      </c>
      <c r="AI235" s="20">
        <f>IF(COUNT(C235:O235)=0,"",IFERROR(M235*Config!$C$7+N235*Config!$C$8,0))</f>
        <v/>
      </c>
      <c r="AJ235" s="20">
        <f>IF(COUNT(C235:O235)=0,"",IFERROR(IF(O235&gt;0,O235,AI235*Config!$C$9),0))</f>
        <v/>
      </c>
      <c r="AK235" s="20">
        <f>IF(COUNT(C235:O235)=0,"",IFERROR(AJ235*(1-Config!$C$10-Config!$C$11-Config!$C$12),0))</f>
        <v/>
      </c>
      <c r="AL235" s="20">
        <f>IF(COUNT(C235:O235)=0,"",IFERROR(AK235-C235-Config!$C$13,0))</f>
        <v/>
      </c>
      <c r="AM235" s="21">
        <f>IF(COUNT(C235:O235)=0,"",IFERROR(AK235/C235,0))</f>
        <v/>
      </c>
      <c r="AN235" s="21">
        <f>IF(COUNT(C235:O235)=0,"",IFERROR(AI235/C235,0))</f>
        <v/>
      </c>
      <c r="AO235" s="15">
        <f>IF(COUNT(C235:O235)=0,"",IFERROR(AL235/G235,0))</f>
        <v/>
      </c>
      <c r="AP235" s="21">
        <f>IF(COUNT(C235:O235)=0,"",IFERROR(AO235/U235,0))</f>
        <v/>
      </c>
      <c r="AQ235" s="15">
        <f>IF(COUNT(C235:O235)=0,"",IFERROR(AL235/H235,0))</f>
        <v/>
      </c>
    </row>
    <row r="236">
      <c r="A236" s="12">
        <f>Config!$C$6+230</f>
        <v/>
      </c>
      <c r="B236" s="13">
        <f>INT((A236-Config!$C$6)/7)+1</f>
        <v/>
      </c>
      <c r="C236" s="10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0" t="n"/>
      <c r="P236" s="15">
        <f>IF(COUNT(C236:O236)=0,"",IFERROR(C236/D236*1000,0))</f>
        <v/>
      </c>
      <c r="Q236" s="16">
        <f>IF(COUNT(C236:O236)=0,"",IFERROR(D236/E236,0))</f>
        <v/>
      </c>
      <c r="R236" s="17">
        <f>IF(COUNT(C236:O236)=0,"",IFERROR(F236/D236,0))</f>
        <v/>
      </c>
      <c r="S236" s="15">
        <f>IF(COUNT(C236:O236)=0,"",IFERROR(C236/F236,0))</f>
        <v/>
      </c>
      <c r="T236" s="18">
        <f>IF(COUNT(C236:O236)=0,"",IFERROR(G236/F236,0))</f>
        <v/>
      </c>
      <c r="U236" s="15">
        <f>IF(COUNT(C236:O236)=0,"",IFERROR(C236/G236,0))</f>
        <v/>
      </c>
      <c r="V236" s="19">
        <f>IF(COUNT(C236:O236)=0,"",IFERROR(G236/D236*1000,0))</f>
        <v/>
      </c>
      <c r="W236" s="18">
        <f>IF(COUNT(C236:O236)=0,"",IFERROR(H236/G236,0))</f>
        <v/>
      </c>
      <c r="X236" s="15">
        <f>IF(COUNT(C236:O236)=0,"",IFERROR(C236/H236,0))</f>
        <v/>
      </c>
      <c r="Y236" s="18">
        <f>IF(COUNT(C236:O236)=0,"",IFERROR(X236/P236,0))</f>
        <v/>
      </c>
      <c r="Z236" s="19">
        <f>IF(COUNT(C236:O236)=0,"",IFERROR(H236/D236*1000,0))</f>
        <v/>
      </c>
      <c r="AA236" s="18">
        <f>IF(COUNT(C236:O236)=0,"",IFERROR(I236/H236,0))</f>
        <v/>
      </c>
      <c r="AB236" s="18">
        <f>IF(COUNT(C236:O236)=0,"",IFERROR(J236/I236,0))</f>
        <v/>
      </c>
      <c r="AC236" s="18">
        <f>IF(COUNT(C236:O236)=0,"",IFERROR(K236/J236,0))</f>
        <v/>
      </c>
      <c r="AD236" s="15">
        <f>IF(COUNT(C236:O236)=0,"",IFERROR(C236/K236,0))</f>
        <v/>
      </c>
      <c r="AE236" s="18">
        <f>IF(COUNT(C236:O236)=0,"",IFERROR(L236/K236,0))</f>
        <v/>
      </c>
      <c r="AF236" s="18">
        <f>IF(COUNT(C236:O236)=0,"",IFERROR(M236/L236,0))</f>
        <v/>
      </c>
      <c r="AG236" s="17">
        <f>IF(COUNT(C236:O236)=0,"",IFERROR(M236/H236,0))</f>
        <v/>
      </c>
      <c r="AH236" s="15">
        <f>IF(COUNT(C236:O236)=0,"",IFERROR(C236/M236,0))</f>
        <v/>
      </c>
      <c r="AI236" s="20">
        <f>IF(COUNT(C236:O236)=0,"",IFERROR(M236*Config!$C$7+N236*Config!$C$8,0))</f>
        <v/>
      </c>
      <c r="AJ236" s="20">
        <f>IF(COUNT(C236:O236)=0,"",IFERROR(IF(O236&gt;0,O236,AI236*Config!$C$9),0))</f>
        <v/>
      </c>
      <c r="AK236" s="20">
        <f>IF(COUNT(C236:O236)=0,"",IFERROR(AJ236*(1-Config!$C$10-Config!$C$11-Config!$C$12),0))</f>
        <v/>
      </c>
      <c r="AL236" s="20">
        <f>IF(COUNT(C236:O236)=0,"",IFERROR(AK236-C236-Config!$C$13,0))</f>
        <v/>
      </c>
      <c r="AM236" s="21">
        <f>IF(COUNT(C236:O236)=0,"",IFERROR(AK236/C236,0))</f>
        <v/>
      </c>
      <c r="AN236" s="21">
        <f>IF(COUNT(C236:O236)=0,"",IFERROR(AI236/C236,0))</f>
        <v/>
      </c>
      <c r="AO236" s="15">
        <f>IF(COUNT(C236:O236)=0,"",IFERROR(AL236/G236,0))</f>
        <v/>
      </c>
      <c r="AP236" s="21">
        <f>IF(COUNT(C236:O236)=0,"",IFERROR(AO236/U236,0))</f>
        <v/>
      </c>
      <c r="AQ236" s="15">
        <f>IF(COUNT(C236:O236)=0,"",IFERROR(AL236/H236,0))</f>
        <v/>
      </c>
    </row>
    <row r="237">
      <c r="A237" s="12">
        <f>Config!$C$6+231</f>
        <v/>
      </c>
      <c r="B237" s="13">
        <f>INT((A237-Config!$C$6)/7)+1</f>
        <v/>
      </c>
      <c r="C237" s="10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0" t="n"/>
      <c r="P237" s="15">
        <f>IF(COUNT(C237:O237)=0,"",IFERROR(C237/D237*1000,0))</f>
        <v/>
      </c>
      <c r="Q237" s="16">
        <f>IF(COUNT(C237:O237)=0,"",IFERROR(D237/E237,0))</f>
        <v/>
      </c>
      <c r="R237" s="17">
        <f>IF(COUNT(C237:O237)=0,"",IFERROR(F237/D237,0))</f>
        <v/>
      </c>
      <c r="S237" s="15">
        <f>IF(COUNT(C237:O237)=0,"",IFERROR(C237/F237,0))</f>
        <v/>
      </c>
      <c r="T237" s="18">
        <f>IF(COUNT(C237:O237)=0,"",IFERROR(G237/F237,0))</f>
        <v/>
      </c>
      <c r="U237" s="15">
        <f>IF(COUNT(C237:O237)=0,"",IFERROR(C237/G237,0))</f>
        <v/>
      </c>
      <c r="V237" s="19">
        <f>IF(COUNT(C237:O237)=0,"",IFERROR(G237/D237*1000,0))</f>
        <v/>
      </c>
      <c r="W237" s="18">
        <f>IF(COUNT(C237:O237)=0,"",IFERROR(H237/G237,0))</f>
        <v/>
      </c>
      <c r="X237" s="15">
        <f>IF(COUNT(C237:O237)=0,"",IFERROR(C237/H237,0))</f>
        <v/>
      </c>
      <c r="Y237" s="18">
        <f>IF(COUNT(C237:O237)=0,"",IFERROR(X237/P237,0))</f>
        <v/>
      </c>
      <c r="Z237" s="19">
        <f>IF(COUNT(C237:O237)=0,"",IFERROR(H237/D237*1000,0))</f>
        <v/>
      </c>
      <c r="AA237" s="18">
        <f>IF(COUNT(C237:O237)=0,"",IFERROR(I237/H237,0))</f>
        <v/>
      </c>
      <c r="AB237" s="18">
        <f>IF(COUNT(C237:O237)=0,"",IFERROR(J237/I237,0))</f>
        <v/>
      </c>
      <c r="AC237" s="18">
        <f>IF(COUNT(C237:O237)=0,"",IFERROR(K237/J237,0))</f>
        <v/>
      </c>
      <c r="AD237" s="15">
        <f>IF(COUNT(C237:O237)=0,"",IFERROR(C237/K237,0))</f>
        <v/>
      </c>
      <c r="AE237" s="18">
        <f>IF(COUNT(C237:O237)=0,"",IFERROR(L237/K237,0))</f>
        <v/>
      </c>
      <c r="AF237" s="18">
        <f>IF(COUNT(C237:O237)=0,"",IFERROR(M237/L237,0))</f>
        <v/>
      </c>
      <c r="AG237" s="17">
        <f>IF(COUNT(C237:O237)=0,"",IFERROR(M237/H237,0))</f>
        <v/>
      </c>
      <c r="AH237" s="15">
        <f>IF(COUNT(C237:O237)=0,"",IFERROR(C237/M237,0))</f>
        <v/>
      </c>
      <c r="AI237" s="20">
        <f>IF(COUNT(C237:O237)=0,"",IFERROR(M237*Config!$C$7+N237*Config!$C$8,0))</f>
        <v/>
      </c>
      <c r="AJ237" s="20">
        <f>IF(COUNT(C237:O237)=0,"",IFERROR(IF(O237&gt;0,O237,AI237*Config!$C$9),0))</f>
        <v/>
      </c>
      <c r="AK237" s="20">
        <f>IF(COUNT(C237:O237)=0,"",IFERROR(AJ237*(1-Config!$C$10-Config!$C$11-Config!$C$12),0))</f>
        <v/>
      </c>
      <c r="AL237" s="20">
        <f>IF(COUNT(C237:O237)=0,"",IFERROR(AK237-C237-Config!$C$13,0))</f>
        <v/>
      </c>
      <c r="AM237" s="21">
        <f>IF(COUNT(C237:O237)=0,"",IFERROR(AK237/C237,0))</f>
        <v/>
      </c>
      <c r="AN237" s="21">
        <f>IF(COUNT(C237:O237)=0,"",IFERROR(AI237/C237,0))</f>
        <v/>
      </c>
      <c r="AO237" s="15">
        <f>IF(COUNT(C237:O237)=0,"",IFERROR(AL237/G237,0))</f>
        <v/>
      </c>
      <c r="AP237" s="21">
        <f>IF(COUNT(C237:O237)=0,"",IFERROR(AO237/U237,0))</f>
        <v/>
      </c>
      <c r="AQ237" s="15">
        <f>IF(COUNT(C237:O237)=0,"",IFERROR(AL237/H237,0))</f>
        <v/>
      </c>
    </row>
    <row r="238">
      <c r="A238" s="12">
        <f>Config!$C$6+232</f>
        <v/>
      </c>
      <c r="B238" s="13">
        <f>INT((A238-Config!$C$6)/7)+1</f>
        <v/>
      </c>
      <c r="C238" s="10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0" t="n"/>
      <c r="P238" s="15">
        <f>IF(COUNT(C238:O238)=0,"",IFERROR(C238/D238*1000,0))</f>
        <v/>
      </c>
      <c r="Q238" s="16">
        <f>IF(COUNT(C238:O238)=0,"",IFERROR(D238/E238,0))</f>
        <v/>
      </c>
      <c r="R238" s="17">
        <f>IF(COUNT(C238:O238)=0,"",IFERROR(F238/D238,0))</f>
        <v/>
      </c>
      <c r="S238" s="15">
        <f>IF(COUNT(C238:O238)=0,"",IFERROR(C238/F238,0))</f>
        <v/>
      </c>
      <c r="T238" s="18">
        <f>IF(COUNT(C238:O238)=0,"",IFERROR(G238/F238,0))</f>
        <v/>
      </c>
      <c r="U238" s="15">
        <f>IF(COUNT(C238:O238)=0,"",IFERROR(C238/G238,0))</f>
        <v/>
      </c>
      <c r="V238" s="19">
        <f>IF(COUNT(C238:O238)=0,"",IFERROR(G238/D238*1000,0))</f>
        <v/>
      </c>
      <c r="W238" s="18">
        <f>IF(COUNT(C238:O238)=0,"",IFERROR(H238/G238,0))</f>
        <v/>
      </c>
      <c r="X238" s="15">
        <f>IF(COUNT(C238:O238)=0,"",IFERROR(C238/H238,0))</f>
        <v/>
      </c>
      <c r="Y238" s="18">
        <f>IF(COUNT(C238:O238)=0,"",IFERROR(X238/P238,0))</f>
        <v/>
      </c>
      <c r="Z238" s="19">
        <f>IF(COUNT(C238:O238)=0,"",IFERROR(H238/D238*1000,0))</f>
        <v/>
      </c>
      <c r="AA238" s="18">
        <f>IF(COUNT(C238:O238)=0,"",IFERROR(I238/H238,0))</f>
        <v/>
      </c>
      <c r="AB238" s="18">
        <f>IF(COUNT(C238:O238)=0,"",IFERROR(J238/I238,0))</f>
        <v/>
      </c>
      <c r="AC238" s="18">
        <f>IF(COUNT(C238:O238)=0,"",IFERROR(K238/J238,0))</f>
        <v/>
      </c>
      <c r="AD238" s="15">
        <f>IF(COUNT(C238:O238)=0,"",IFERROR(C238/K238,0))</f>
        <v/>
      </c>
      <c r="AE238" s="18">
        <f>IF(COUNT(C238:O238)=0,"",IFERROR(L238/K238,0))</f>
        <v/>
      </c>
      <c r="AF238" s="18">
        <f>IF(COUNT(C238:O238)=0,"",IFERROR(M238/L238,0))</f>
        <v/>
      </c>
      <c r="AG238" s="17">
        <f>IF(COUNT(C238:O238)=0,"",IFERROR(M238/H238,0))</f>
        <v/>
      </c>
      <c r="AH238" s="15">
        <f>IF(COUNT(C238:O238)=0,"",IFERROR(C238/M238,0))</f>
        <v/>
      </c>
      <c r="AI238" s="20">
        <f>IF(COUNT(C238:O238)=0,"",IFERROR(M238*Config!$C$7+N238*Config!$C$8,0))</f>
        <v/>
      </c>
      <c r="AJ238" s="20">
        <f>IF(COUNT(C238:O238)=0,"",IFERROR(IF(O238&gt;0,O238,AI238*Config!$C$9),0))</f>
        <v/>
      </c>
      <c r="AK238" s="20">
        <f>IF(COUNT(C238:O238)=0,"",IFERROR(AJ238*(1-Config!$C$10-Config!$C$11-Config!$C$12),0))</f>
        <v/>
      </c>
      <c r="AL238" s="20">
        <f>IF(COUNT(C238:O238)=0,"",IFERROR(AK238-C238-Config!$C$13,0))</f>
        <v/>
      </c>
      <c r="AM238" s="21">
        <f>IF(COUNT(C238:O238)=0,"",IFERROR(AK238/C238,0))</f>
        <v/>
      </c>
      <c r="AN238" s="21">
        <f>IF(COUNT(C238:O238)=0,"",IFERROR(AI238/C238,0))</f>
        <v/>
      </c>
      <c r="AO238" s="15">
        <f>IF(COUNT(C238:O238)=0,"",IFERROR(AL238/G238,0))</f>
        <v/>
      </c>
      <c r="AP238" s="21">
        <f>IF(COUNT(C238:O238)=0,"",IFERROR(AO238/U238,0))</f>
        <v/>
      </c>
      <c r="AQ238" s="15">
        <f>IF(COUNT(C238:O238)=0,"",IFERROR(AL238/H238,0))</f>
        <v/>
      </c>
    </row>
    <row r="239">
      <c r="A239" s="12">
        <f>Config!$C$6+233</f>
        <v/>
      </c>
      <c r="B239" s="13">
        <f>INT((A239-Config!$C$6)/7)+1</f>
        <v/>
      </c>
      <c r="C239" s="10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0" t="n"/>
      <c r="P239" s="15">
        <f>IF(COUNT(C239:O239)=0,"",IFERROR(C239/D239*1000,0))</f>
        <v/>
      </c>
      <c r="Q239" s="16">
        <f>IF(COUNT(C239:O239)=0,"",IFERROR(D239/E239,0))</f>
        <v/>
      </c>
      <c r="R239" s="17">
        <f>IF(COUNT(C239:O239)=0,"",IFERROR(F239/D239,0))</f>
        <v/>
      </c>
      <c r="S239" s="15">
        <f>IF(COUNT(C239:O239)=0,"",IFERROR(C239/F239,0))</f>
        <v/>
      </c>
      <c r="T239" s="18">
        <f>IF(COUNT(C239:O239)=0,"",IFERROR(G239/F239,0))</f>
        <v/>
      </c>
      <c r="U239" s="15">
        <f>IF(COUNT(C239:O239)=0,"",IFERROR(C239/G239,0))</f>
        <v/>
      </c>
      <c r="V239" s="19">
        <f>IF(COUNT(C239:O239)=0,"",IFERROR(G239/D239*1000,0))</f>
        <v/>
      </c>
      <c r="W239" s="18">
        <f>IF(COUNT(C239:O239)=0,"",IFERROR(H239/G239,0))</f>
        <v/>
      </c>
      <c r="X239" s="15">
        <f>IF(COUNT(C239:O239)=0,"",IFERROR(C239/H239,0))</f>
        <v/>
      </c>
      <c r="Y239" s="18">
        <f>IF(COUNT(C239:O239)=0,"",IFERROR(X239/P239,0))</f>
        <v/>
      </c>
      <c r="Z239" s="19">
        <f>IF(COUNT(C239:O239)=0,"",IFERROR(H239/D239*1000,0))</f>
        <v/>
      </c>
      <c r="AA239" s="18">
        <f>IF(COUNT(C239:O239)=0,"",IFERROR(I239/H239,0))</f>
        <v/>
      </c>
      <c r="AB239" s="18">
        <f>IF(COUNT(C239:O239)=0,"",IFERROR(J239/I239,0))</f>
        <v/>
      </c>
      <c r="AC239" s="18">
        <f>IF(COUNT(C239:O239)=0,"",IFERROR(K239/J239,0))</f>
        <v/>
      </c>
      <c r="AD239" s="15">
        <f>IF(COUNT(C239:O239)=0,"",IFERROR(C239/K239,0))</f>
        <v/>
      </c>
      <c r="AE239" s="18">
        <f>IF(COUNT(C239:O239)=0,"",IFERROR(L239/K239,0))</f>
        <v/>
      </c>
      <c r="AF239" s="18">
        <f>IF(COUNT(C239:O239)=0,"",IFERROR(M239/L239,0))</f>
        <v/>
      </c>
      <c r="AG239" s="17">
        <f>IF(COUNT(C239:O239)=0,"",IFERROR(M239/H239,0))</f>
        <v/>
      </c>
      <c r="AH239" s="15">
        <f>IF(COUNT(C239:O239)=0,"",IFERROR(C239/M239,0))</f>
        <v/>
      </c>
      <c r="AI239" s="20">
        <f>IF(COUNT(C239:O239)=0,"",IFERROR(M239*Config!$C$7+N239*Config!$C$8,0))</f>
        <v/>
      </c>
      <c r="AJ239" s="20">
        <f>IF(COUNT(C239:O239)=0,"",IFERROR(IF(O239&gt;0,O239,AI239*Config!$C$9),0))</f>
        <v/>
      </c>
      <c r="AK239" s="20">
        <f>IF(COUNT(C239:O239)=0,"",IFERROR(AJ239*(1-Config!$C$10-Config!$C$11-Config!$C$12),0))</f>
        <v/>
      </c>
      <c r="AL239" s="20">
        <f>IF(COUNT(C239:O239)=0,"",IFERROR(AK239-C239-Config!$C$13,0))</f>
        <v/>
      </c>
      <c r="AM239" s="21">
        <f>IF(COUNT(C239:O239)=0,"",IFERROR(AK239/C239,0))</f>
        <v/>
      </c>
      <c r="AN239" s="21">
        <f>IF(COUNT(C239:O239)=0,"",IFERROR(AI239/C239,0))</f>
        <v/>
      </c>
      <c r="AO239" s="15">
        <f>IF(COUNT(C239:O239)=0,"",IFERROR(AL239/G239,0))</f>
        <v/>
      </c>
      <c r="AP239" s="21">
        <f>IF(COUNT(C239:O239)=0,"",IFERROR(AO239/U239,0))</f>
        <v/>
      </c>
      <c r="AQ239" s="15">
        <f>IF(COUNT(C239:O239)=0,"",IFERROR(AL239/H239,0))</f>
        <v/>
      </c>
    </row>
    <row r="240">
      <c r="A240" s="12">
        <f>Config!$C$6+234</f>
        <v/>
      </c>
      <c r="B240" s="13">
        <f>INT((A240-Config!$C$6)/7)+1</f>
        <v/>
      </c>
      <c r="C240" s="10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0" t="n"/>
      <c r="P240" s="15">
        <f>IF(COUNT(C240:O240)=0,"",IFERROR(C240/D240*1000,0))</f>
        <v/>
      </c>
      <c r="Q240" s="16">
        <f>IF(COUNT(C240:O240)=0,"",IFERROR(D240/E240,0))</f>
        <v/>
      </c>
      <c r="R240" s="17">
        <f>IF(COUNT(C240:O240)=0,"",IFERROR(F240/D240,0))</f>
        <v/>
      </c>
      <c r="S240" s="15">
        <f>IF(COUNT(C240:O240)=0,"",IFERROR(C240/F240,0))</f>
        <v/>
      </c>
      <c r="T240" s="18">
        <f>IF(COUNT(C240:O240)=0,"",IFERROR(G240/F240,0))</f>
        <v/>
      </c>
      <c r="U240" s="15">
        <f>IF(COUNT(C240:O240)=0,"",IFERROR(C240/G240,0))</f>
        <v/>
      </c>
      <c r="V240" s="19">
        <f>IF(COUNT(C240:O240)=0,"",IFERROR(G240/D240*1000,0))</f>
        <v/>
      </c>
      <c r="W240" s="18">
        <f>IF(COUNT(C240:O240)=0,"",IFERROR(H240/G240,0))</f>
        <v/>
      </c>
      <c r="X240" s="15">
        <f>IF(COUNT(C240:O240)=0,"",IFERROR(C240/H240,0))</f>
        <v/>
      </c>
      <c r="Y240" s="18">
        <f>IF(COUNT(C240:O240)=0,"",IFERROR(X240/P240,0))</f>
        <v/>
      </c>
      <c r="Z240" s="19">
        <f>IF(COUNT(C240:O240)=0,"",IFERROR(H240/D240*1000,0))</f>
        <v/>
      </c>
      <c r="AA240" s="18">
        <f>IF(COUNT(C240:O240)=0,"",IFERROR(I240/H240,0))</f>
        <v/>
      </c>
      <c r="AB240" s="18">
        <f>IF(COUNT(C240:O240)=0,"",IFERROR(J240/I240,0))</f>
        <v/>
      </c>
      <c r="AC240" s="18">
        <f>IF(COUNT(C240:O240)=0,"",IFERROR(K240/J240,0))</f>
        <v/>
      </c>
      <c r="AD240" s="15">
        <f>IF(COUNT(C240:O240)=0,"",IFERROR(C240/K240,0))</f>
        <v/>
      </c>
      <c r="AE240" s="18">
        <f>IF(COUNT(C240:O240)=0,"",IFERROR(L240/K240,0))</f>
        <v/>
      </c>
      <c r="AF240" s="18">
        <f>IF(COUNT(C240:O240)=0,"",IFERROR(M240/L240,0))</f>
        <v/>
      </c>
      <c r="AG240" s="17">
        <f>IF(COUNT(C240:O240)=0,"",IFERROR(M240/H240,0))</f>
        <v/>
      </c>
      <c r="AH240" s="15">
        <f>IF(COUNT(C240:O240)=0,"",IFERROR(C240/M240,0))</f>
        <v/>
      </c>
      <c r="AI240" s="20">
        <f>IF(COUNT(C240:O240)=0,"",IFERROR(M240*Config!$C$7+N240*Config!$C$8,0))</f>
        <v/>
      </c>
      <c r="AJ240" s="20">
        <f>IF(COUNT(C240:O240)=0,"",IFERROR(IF(O240&gt;0,O240,AI240*Config!$C$9),0))</f>
        <v/>
      </c>
      <c r="AK240" s="20">
        <f>IF(COUNT(C240:O240)=0,"",IFERROR(AJ240*(1-Config!$C$10-Config!$C$11-Config!$C$12),0))</f>
        <v/>
      </c>
      <c r="AL240" s="20">
        <f>IF(COUNT(C240:O240)=0,"",IFERROR(AK240-C240-Config!$C$13,0))</f>
        <v/>
      </c>
      <c r="AM240" s="21">
        <f>IF(COUNT(C240:O240)=0,"",IFERROR(AK240/C240,0))</f>
        <v/>
      </c>
      <c r="AN240" s="21">
        <f>IF(COUNT(C240:O240)=0,"",IFERROR(AI240/C240,0))</f>
        <v/>
      </c>
      <c r="AO240" s="15">
        <f>IF(COUNT(C240:O240)=0,"",IFERROR(AL240/G240,0))</f>
        <v/>
      </c>
      <c r="AP240" s="21">
        <f>IF(COUNT(C240:O240)=0,"",IFERROR(AO240/U240,0))</f>
        <v/>
      </c>
      <c r="AQ240" s="15">
        <f>IF(COUNT(C240:O240)=0,"",IFERROR(AL240/H240,0))</f>
        <v/>
      </c>
    </row>
    <row r="241">
      <c r="A241" s="12">
        <f>Config!$C$6+235</f>
        <v/>
      </c>
      <c r="B241" s="13">
        <f>INT((A241-Config!$C$6)/7)+1</f>
        <v/>
      </c>
      <c r="C241" s="10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0" t="n"/>
      <c r="P241" s="15">
        <f>IF(COUNT(C241:O241)=0,"",IFERROR(C241/D241*1000,0))</f>
        <v/>
      </c>
      <c r="Q241" s="16">
        <f>IF(COUNT(C241:O241)=0,"",IFERROR(D241/E241,0))</f>
        <v/>
      </c>
      <c r="R241" s="17">
        <f>IF(COUNT(C241:O241)=0,"",IFERROR(F241/D241,0))</f>
        <v/>
      </c>
      <c r="S241" s="15">
        <f>IF(COUNT(C241:O241)=0,"",IFERROR(C241/F241,0))</f>
        <v/>
      </c>
      <c r="T241" s="18">
        <f>IF(COUNT(C241:O241)=0,"",IFERROR(G241/F241,0))</f>
        <v/>
      </c>
      <c r="U241" s="15">
        <f>IF(COUNT(C241:O241)=0,"",IFERROR(C241/G241,0))</f>
        <v/>
      </c>
      <c r="V241" s="19">
        <f>IF(COUNT(C241:O241)=0,"",IFERROR(G241/D241*1000,0))</f>
        <v/>
      </c>
      <c r="W241" s="18">
        <f>IF(COUNT(C241:O241)=0,"",IFERROR(H241/G241,0))</f>
        <v/>
      </c>
      <c r="X241" s="15">
        <f>IF(COUNT(C241:O241)=0,"",IFERROR(C241/H241,0))</f>
        <v/>
      </c>
      <c r="Y241" s="18">
        <f>IF(COUNT(C241:O241)=0,"",IFERROR(X241/P241,0))</f>
        <v/>
      </c>
      <c r="Z241" s="19">
        <f>IF(COUNT(C241:O241)=0,"",IFERROR(H241/D241*1000,0))</f>
        <v/>
      </c>
      <c r="AA241" s="18">
        <f>IF(COUNT(C241:O241)=0,"",IFERROR(I241/H241,0))</f>
        <v/>
      </c>
      <c r="AB241" s="18">
        <f>IF(COUNT(C241:O241)=0,"",IFERROR(J241/I241,0))</f>
        <v/>
      </c>
      <c r="AC241" s="18">
        <f>IF(COUNT(C241:O241)=0,"",IFERROR(K241/J241,0))</f>
        <v/>
      </c>
      <c r="AD241" s="15">
        <f>IF(COUNT(C241:O241)=0,"",IFERROR(C241/K241,0))</f>
        <v/>
      </c>
      <c r="AE241" s="18">
        <f>IF(COUNT(C241:O241)=0,"",IFERROR(L241/K241,0))</f>
        <v/>
      </c>
      <c r="AF241" s="18">
        <f>IF(COUNT(C241:O241)=0,"",IFERROR(M241/L241,0))</f>
        <v/>
      </c>
      <c r="AG241" s="17">
        <f>IF(COUNT(C241:O241)=0,"",IFERROR(M241/H241,0))</f>
        <v/>
      </c>
      <c r="AH241" s="15">
        <f>IF(COUNT(C241:O241)=0,"",IFERROR(C241/M241,0))</f>
        <v/>
      </c>
      <c r="AI241" s="20">
        <f>IF(COUNT(C241:O241)=0,"",IFERROR(M241*Config!$C$7+N241*Config!$C$8,0))</f>
        <v/>
      </c>
      <c r="AJ241" s="20">
        <f>IF(COUNT(C241:O241)=0,"",IFERROR(IF(O241&gt;0,O241,AI241*Config!$C$9),0))</f>
        <v/>
      </c>
      <c r="AK241" s="20">
        <f>IF(COUNT(C241:O241)=0,"",IFERROR(AJ241*(1-Config!$C$10-Config!$C$11-Config!$C$12),0))</f>
        <v/>
      </c>
      <c r="AL241" s="20">
        <f>IF(COUNT(C241:O241)=0,"",IFERROR(AK241-C241-Config!$C$13,0))</f>
        <v/>
      </c>
      <c r="AM241" s="21">
        <f>IF(COUNT(C241:O241)=0,"",IFERROR(AK241/C241,0))</f>
        <v/>
      </c>
      <c r="AN241" s="21">
        <f>IF(COUNT(C241:O241)=0,"",IFERROR(AI241/C241,0))</f>
        <v/>
      </c>
      <c r="AO241" s="15">
        <f>IF(COUNT(C241:O241)=0,"",IFERROR(AL241/G241,0))</f>
        <v/>
      </c>
      <c r="AP241" s="21">
        <f>IF(COUNT(C241:O241)=0,"",IFERROR(AO241/U241,0))</f>
        <v/>
      </c>
      <c r="AQ241" s="15">
        <f>IF(COUNT(C241:O241)=0,"",IFERROR(AL241/H241,0))</f>
        <v/>
      </c>
    </row>
    <row r="242">
      <c r="A242" s="12">
        <f>Config!$C$6+236</f>
        <v/>
      </c>
      <c r="B242" s="13">
        <f>INT((A242-Config!$C$6)/7)+1</f>
        <v/>
      </c>
      <c r="C242" s="10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0" t="n"/>
      <c r="P242" s="15">
        <f>IF(COUNT(C242:O242)=0,"",IFERROR(C242/D242*1000,0))</f>
        <v/>
      </c>
      <c r="Q242" s="16">
        <f>IF(COUNT(C242:O242)=0,"",IFERROR(D242/E242,0))</f>
        <v/>
      </c>
      <c r="R242" s="17">
        <f>IF(COUNT(C242:O242)=0,"",IFERROR(F242/D242,0))</f>
        <v/>
      </c>
      <c r="S242" s="15">
        <f>IF(COUNT(C242:O242)=0,"",IFERROR(C242/F242,0))</f>
        <v/>
      </c>
      <c r="T242" s="18">
        <f>IF(COUNT(C242:O242)=0,"",IFERROR(G242/F242,0))</f>
        <v/>
      </c>
      <c r="U242" s="15">
        <f>IF(COUNT(C242:O242)=0,"",IFERROR(C242/G242,0))</f>
        <v/>
      </c>
      <c r="V242" s="19">
        <f>IF(COUNT(C242:O242)=0,"",IFERROR(G242/D242*1000,0))</f>
        <v/>
      </c>
      <c r="W242" s="18">
        <f>IF(COUNT(C242:O242)=0,"",IFERROR(H242/G242,0))</f>
        <v/>
      </c>
      <c r="X242" s="15">
        <f>IF(COUNT(C242:O242)=0,"",IFERROR(C242/H242,0))</f>
        <v/>
      </c>
      <c r="Y242" s="18">
        <f>IF(COUNT(C242:O242)=0,"",IFERROR(X242/P242,0))</f>
        <v/>
      </c>
      <c r="Z242" s="19">
        <f>IF(COUNT(C242:O242)=0,"",IFERROR(H242/D242*1000,0))</f>
        <v/>
      </c>
      <c r="AA242" s="18">
        <f>IF(COUNT(C242:O242)=0,"",IFERROR(I242/H242,0))</f>
        <v/>
      </c>
      <c r="AB242" s="18">
        <f>IF(COUNT(C242:O242)=0,"",IFERROR(J242/I242,0))</f>
        <v/>
      </c>
      <c r="AC242" s="18">
        <f>IF(COUNT(C242:O242)=0,"",IFERROR(K242/J242,0))</f>
        <v/>
      </c>
      <c r="AD242" s="15">
        <f>IF(COUNT(C242:O242)=0,"",IFERROR(C242/K242,0))</f>
        <v/>
      </c>
      <c r="AE242" s="18">
        <f>IF(COUNT(C242:O242)=0,"",IFERROR(L242/K242,0))</f>
        <v/>
      </c>
      <c r="AF242" s="18">
        <f>IF(COUNT(C242:O242)=0,"",IFERROR(M242/L242,0))</f>
        <v/>
      </c>
      <c r="AG242" s="17">
        <f>IF(COUNT(C242:O242)=0,"",IFERROR(M242/H242,0))</f>
        <v/>
      </c>
      <c r="AH242" s="15">
        <f>IF(COUNT(C242:O242)=0,"",IFERROR(C242/M242,0))</f>
        <v/>
      </c>
      <c r="AI242" s="20">
        <f>IF(COUNT(C242:O242)=0,"",IFERROR(M242*Config!$C$7+N242*Config!$C$8,0))</f>
        <v/>
      </c>
      <c r="AJ242" s="20">
        <f>IF(COUNT(C242:O242)=0,"",IFERROR(IF(O242&gt;0,O242,AI242*Config!$C$9),0))</f>
        <v/>
      </c>
      <c r="AK242" s="20">
        <f>IF(COUNT(C242:O242)=0,"",IFERROR(AJ242*(1-Config!$C$10-Config!$C$11-Config!$C$12),0))</f>
        <v/>
      </c>
      <c r="AL242" s="20">
        <f>IF(COUNT(C242:O242)=0,"",IFERROR(AK242-C242-Config!$C$13,0))</f>
        <v/>
      </c>
      <c r="AM242" s="21">
        <f>IF(COUNT(C242:O242)=0,"",IFERROR(AK242/C242,0))</f>
        <v/>
      </c>
      <c r="AN242" s="21">
        <f>IF(COUNT(C242:O242)=0,"",IFERROR(AI242/C242,0))</f>
        <v/>
      </c>
      <c r="AO242" s="15">
        <f>IF(COUNT(C242:O242)=0,"",IFERROR(AL242/G242,0))</f>
        <v/>
      </c>
      <c r="AP242" s="21">
        <f>IF(COUNT(C242:O242)=0,"",IFERROR(AO242/U242,0))</f>
        <v/>
      </c>
      <c r="AQ242" s="15">
        <f>IF(COUNT(C242:O242)=0,"",IFERROR(AL242/H242,0))</f>
        <v/>
      </c>
    </row>
    <row r="243">
      <c r="A243" s="12">
        <f>Config!$C$6+237</f>
        <v/>
      </c>
      <c r="B243" s="13">
        <f>INT((A243-Config!$C$6)/7)+1</f>
        <v/>
      </c>
      <c r="C243" s="10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0" t="n"/>
      <c r="P243" s="15">
        <f>IF(COUNT(C243:O243)=0,"",IFERROR(C243/D243*1000,0))</f>
        <v/>
      </c>
      <c r="Q243" s="16">
        <f>IF(COUNT(C243:O243)=0,"",IFERROR(D243/E243,0))</f>
        <v/>
      </c>
      <c r="R243" s="17">
        <f>IF(COUNT(C243:O243)=0,"",IFERROR(F243/D243,0))</f>
        <v/>
      </c>
      <c r="S243" s="15">
        <f>IF(COUNT(C243:O243)=0,"",IFERROR(C243/F243,0))</f>
        <v/>
      </c>
      <c r="T243" s="18">
        <f>IF(COUNT(C243:O243)=0,"",IFERROR(G243/F243,0))</f>
        <v/>
      </c>
      <c r="U243" s="15">
        <f>IF(COUNT(C243:O243)=0,"",IFERROR(C243/G243,0))</f>
        <v/>
      </c>
      <c r="V243" s="19">
        <f>IF(COUNT(C243:O243)=0,"",IFERROR(G243/D243*1000,0))</f>
        <v/>
      </c>
      <c r="W243" s="18">
        <f>IF(COUNT(C243:O243)=0,"",IFERROR(H243/G243,0))</f>
        <v/>
      </c>
      <c r="X243" s="15">
        <f>IF(COUNT(C243:O243)=0,"",IFERROR(C243/H243,0))</f>
        <v/>
      </c>
      <c r="Y243" s="18">
        <f>IF(COUNT(C243:O243)=0,"",IFERROR(X243/P243,0))</f>
        <v/>
      </c>
      <c r="Z243" s="19">
        <f>IF(COUNT(C243:O243)=0,"",IFERROR(H243/D243*1000,0))</f>
        <v/>
      </c>
      <c r="AA243" s="18">
        <f>IF(COUNT(C243:O243)=0,"",IFERROR(I243/H243,0))</f>
        <v/>
      </c>
      <c r="AB243" s="18">
        <f>IF(COUNT(C243:O243)=0,"",IFERROR(J243/I243,0))</f>
        <v/>
      </c>
      <c r="AC243" s="18">
        <f>IF(COUNT(C243:O243)=0,"",IFERROR(K243/J243,0))</f>
        <v/>
      </c>
      <c r="AD243" s="15">
        <f>IF(COUNT(C243:O243)=0,"",IFERROR(C243/K243,0))</f>
        <v/>
      </c>
      <c r="AE243" s="18">
        <f>IF(COUNT(C243:O243)=0,"",IFERROR(L243/K243,0))</f>
        <v/>
      </c>
      <c r="AF243" s="18">
        <f>IF(COUNT(C243:O243)=0,"",IFERROR(M243/L243,0))</f>
        <v/>
      </c>
      <c r="AG243" s="17">
        <f>IF(COUNT(C243:O243)=0,"",IFERROR(M243/H243,0))</f>
        <v/>
      </c>
      <c r="AH243" s="15">
        <f>IF(COUNT(C243:O243)=0,"",IFERROR(C243/M243,0))</f>
        <v/>
      </c>
      <c r="AI243" s="20">
        <f>IF(COUNT(C243:O243)=0,"",IFERROR(M243*Config!$C$7+N243*Config!$C$8,0))</f>
        <v/>
      </c>
      <c r="AJ243" s="20">
        <f>IF(COUNT(C243:O243)=0,"",IFERROR(IF(O243&gt;0,O243,AI243*Config!$C$9),0))</f>
        <v/>
      </c>
      <c r="AK243" s="20">
        <f>IF(COUNT(C243:O243)=0,"",IFERROR(AJ243*(1-Config!$C$10-Config!$C$11-Config!$C$12),0))</f>
        <v/>
      </c>
      <c r="AL243" s="20">
        <f>IF(COUNT(C243:O243)=0,"",IFERROR(AK243-C243-Config!$C$13,0))</f>
        <v/>
      </c>
      <c r="AM243" s="21">
        <f>IF(COUNT(C243:O243)=0,"",IFERROR(AK243/C243,0))</f>
        <v/>
      </c>
      <c r="AN243" s="21">
        <f>IF(COUNT(C243:O243)=0,"",IFERROR(AI243/C243,0))</f>
        <v/>
      </c>
      <c r="AO243" s="15">
        <f>IF(COUNT(C243:O243)=0,"",IFERROR(AL243/G243,0))</f>
        <v/>
      </c>
      <c r="AP243" s="21">
        <f>IF(COUNT(C243:O243)=0,"",IFERROR(AO243/U243,0))</f>
        <v/>
      </c>
      <c r="AQ243" s="15">
        <f>IF(COUNT(C243:O243)=0,"",IFERROR(AL243/H243,0))</f>
        <v/>
      </c>
    </row>
    <row r="244">
      <c r="A244" s="12">
        <f>Config!$C$6+238</f>
        <v/>
      </c>
      <c r="B244" s="13">
        <f>INT((A244-Config!$C$6)/7)+1</f>
        <v/>
      </c>
      <c r="C244" s="10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0" t="n"/>
      <c r="P244" s="15">
        <f>IF(COUNT(C244:O244)=0,"",IFERROR(C244/D244*1000,0))</f>
        <v/>
      </c>
      <c r="Q244" s="16">
        <f>IF(COUNT(C244:O244)=0,"",IFERROR(D244/E244,0))</f>
        <v/>
      </c>
      <c r="R244" s="17">
        <f>IF(COUNT(C244:O244)=0,"",IFERROR(F244/D244,0))</f>
        <v/>
      </c>
      <c r="S244" s="15">
        <f>IF(COUNT(C244:O244)=0,"",IFERROR(C244/F244,0))</f>
        <v/>
      </c>
      <c r="T244" s="18">
        <f>IF(COUNT(C244:O244)=0,"",IFERROR(G244/F244,0))</f>
        <v/>
      </c>
      <c r="U244" s="15">
        <f>IF(COUNT(C244:O244)=0,"",IFERROR(C244/G244,0))</f>
        <v/>
      </c>
      <c r="V244" s="19">
        <f>IF(COUNT(C244:O244)=0,"",IFERROR(G244/D244*1000,0))</f>
        <v/>
      </c>
      <c r="W244" s="18">
        <f>IF(COUNT(C244:O244)=0,"",IFERROR(H244/G244,0))</f>
        <v/>
      </c>
      <c r="X244" s="15">
        <f>IF(COUNT(C244:O244)=0,"",IFERROR(C244/H244,0))</f>
        <v/>
      </c>
      <c r="Y244" s="18">
        <f>IF(COUNT(C244:O244)=0,"",IFERROR(X244/P244,0))</f>
        <v/>
      </c>
      <c r="Z244" s="19">
        <f>IF(COUNT(C244:O244)=0,"",IFERROR(H244/D244*1000,0))</f>
        <v/>
      </c>
      <c r="AA244" s="18">
        <f>IF(COUNT(C244:O244)=0,"",IFERROR(I244/H244,0))</f>
        <v/>
      </c>
      <c r="AB244" s="18">
        <f>IF(COUNT(C244:O244)=0,"",IFERROR(J244/I244,0))</f>
        <v/>
      </c>
      <c r="AC244" s="18">
        <f>IF(COUNT(C244:O244)=0,"",IFERROR(K244/J244,0))</f>
        <v/>
      </c>
      <c r="AD244" s="15">
        <f>IF(COUNT(C244:O244)=0,"",IFERROR(C244/K244,0))</f>
        <v/>
      </c>
      <c r="AE244" s="18">
        <f>IF(COUNT(C244:O244)=0,"",IFERROR(L244/K244,0))</f>
        <v/>
      </c>
      <c r="AF244" s="18">
        <f>IF(COUNT(C244:O244)=0,"",IFERROR(M244/L244,0))</f>
        <v/>
      </c>
      <c r="AG244" s="17">
        <f>IF(COUNT(C244:O244)=0,"",IFERROR(M244/H244,0))</f>
        <v/>
      </c>
      <c r="AH244" s="15">
        <f>IF(COUNT(C244:O244)=0,"",IFERROR(C244/M244,0))</f>
        <v/>
      </c>
      <c r="AI244" s="20">
        <f>IF(COUNT(C244:O244)=0,"",IFERROR(M244*Config!$C$7+N244*Config!$C$8,0))</f>
        <v/>
      </c>
      <c r="AJ244" s="20">
        <f>IF(COUNT(C244:O244)=0,"",IFERROR(IF(O244&gt;0,O244,AI244*Config!$C$9),0))</f>
        <v/>
      </c>
      <c r="AK244" s="20">
        <f>IF(COUNT(C244:O244)=0,"",IFERROR(AJ244*(1-Config!$C$10-Config!$C$11-Config!$C$12),0))</f>
        <v/>
      </c>
      <c r="AL244" s="20">
        <f>IF(COUNT(C244:O244)=0,"",IFERROR(AK244-C244-Config!$C$13,0))</f>
        <v/>
      </c>
      <c r="AM244" s="21">
        <f>IF(COUNT(C244:O244)=0,"",IFERROR(AK244/C244,0))</f>
        <v/>
      </c>
      <c r="AN244" s="21">
        <f>IF(COUNT(C244:O244)=0,"",IFERROR(AI244/C244,0))</f>
        <v/>
      </c>
      <c r="AO244" s="15">
        <f>IF(COUNT(C244:O244)=0,"",IFERROR(AL244/G244,0))</f>
        <v/>
      </c>
      <c r="AP244" s="21">
        <f>IF(COUNT(C244:O244)=0,"",IFERROR(AO244/U244,0))</f>
        <v/>
      </c>
      <c r="AQ244" s="15">
        <f>IF(COUNT(C244:O244)=0,"",IFERROR(AL244/H244,0))</f>
        <v/>
      </c>
    </row>
    <row r="245">
      <c r="A245" s="12">
        <f>Config!$C$6+239</f>
        <v/>
      </c>
      <c r="B245" s="13">
        <f>INT((A245-Config!$C$6)/7)+1</f>
        <v/>
      </c>
      <c r="C245" s="10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0" t="n"/>
      <c r="P245" s="15">
        <f>IF(COUNT(C245:O245)=0,"",IFERROR(C245/D245*1000,0))</f>
        <v/>
      </c>
      <c r="Q245" s="16">
        <f>IF(COUNT(C245:O245)=0,"",IFERROR(D245/E245,0))</f>
        <v/>
      </c>
      <c r="R245" s="17">
        <f>IF(COUNT(C245:O245)=0,"",IFERROR(F245/D245,0))</f>
        <v/>
      </c>
      <c r="S245" s="15">
        <f>IF(COUNT(C245:O245)=0,"",IFERROR(C245/F245,0))</f>
        <v/>
      </c>
      <c r="T245" s="18">
        <f>IF(COUNT(C245:O245)=0,"",IFERROR(G245/F245,0))</f>
        <v/>
      </c>
      <c r="U245" s="15">
        <f>IF(COUNT(C245:O245)=0,"",IFERROR(C245/G245,0))</f>
        <v/>
      </c>
      <c r="V245" s="19">
        <f>IF(COUNT(C245:O245)=0,"",IFERROR(G245/D245*1000,0))</f>
        <v/>
      </c>
      <c r="W245" s="18">
        <f>IF(COUNT(C245:O245)=0,"",IFERROR(H245/G245,0))</f>
        <v/>
      </c>
      <c r="X245" s="15">
        <f>IF(COUNT(C245:O245)=0,"",IFERROR(C245/H245,0))</f>
        <v/>
      </c>
      <c r="Y245" s="18">
        <f>IF(COUNT(C245:O245)=0,"",IFERROR(X245/P245,0))</f>
        <v/>
      </c>
      <c r="Z245" s="19">
        <f>IF(COUNT(C245:O245)=0,"",IFERROR(H245/D245*1000,0))</f>
        <v/>
      </c>
      <c r="AA245" s="18">
        <f>IF(COUNT(C245:O245)=0,"",IFERROR(I245/H245,0))</f>
        <v/>
      </c>
      <c r="AB245" s="18">
        <f>IF(COUNT(C245:O245)=0,"",IFERROR(J245/I245,0))</f>
        <v/>
      </c>
      <c r="AC245" s="18">
        <f>IF(COUNT(C245:O245)=0,"",IFERROR(K245/J245,0))</f>
        <v/>
      </c>
      <c r="AD245" s="15">
        <f>IF(COUNT(C245:O245)=0,"",IFERROR(C245/K245,0))</f>
        <v/>
      </c>
      <c r="AE245" s="18">
        <f>IF(COUNT(C245:O245)=0,"",IFERROR(L245/K245,0))</f>
        <v/>
      </c>
      <c r="AF245" s="18">
        <f>IF(COUNT(C245:O245)=0,"",IFERROR(M245/L245,0))</f>
        <v/>
      </c>
      <c r="AG245" s="17">
        <f>IF(COUNT(C245:O245)=0,"",IFERROR(M245/H245,0))</f>
        <v/>
      </c>
      <c r="AH245" s="15">
        <f>IF(COUNT(C245:O245)=0,"",IFERROR(C245/M245,0))</f>
        <v/>
      </c>
      <c r="AI245" s="20">
        <f>IF(COUNT(C245:O245)=0,"",IFERROR(M245*Config!$C$7+N245*Config!$C$8,0))</f>
        <v/>
      </c>
      <c r="AJ245" s="20">
        <f>IF(COUNT(C245:O245)=0,"",IFERROR(IF(O245&gt;0,O245,AI245*Config!$C$9),0))</f>
        <v/>
      </c>
      <c r="AK245" s="20">
        <f>IF(COUNT(C245:O245)=0,"",IFERROR(AJ245*(1-Config!$C$10-Config!$C$11-Config!$C$12),0))</f>
        <v/>
      </c>
      <c r="AL245" s="20">
        <f>IF(COUNT(C245:O245)=0,"",IFERROR(AK245-C245-Config!$C$13,0))</f>
        <v/>
      </c>
      <c r="AM245" s="21">
        <f>IF(COUNT(C245:O245)=0,"",IFERROR(AK245/C245,0))</f>
        <v/>
      </c>
      <c r="AN245" s="21">
        <f>IF(COUNT(C245:O245)=0,"",IFERROR(AI245/C245,0))</f>
        <v/>
      </c>
      <c r="AO245" s="15">
        <f>IF(COUNT(C245:O245)=0,"",IFERROR(AL245/G245,0))</f>
        <v/>
      </c>
      <c r="AP245" s="21">
        <f>IF(COUNT(C245:O245)=0,"",IFERROR(AO245/U245,0))</f>
        <v/>
      </c>
      <c r="AQ245" s="15">
        <f>IF(COUNT(C245:O245)=0,"",IFERROR(AL245/H245,0))</f>
        <v/>
      </c>
    </row>
    <row r="246">
      <c r="A246" s="12">
        <f>Config!$C$6+240</f>
        <v/>
      </c>
      <c r="B246" s="13">
        <f>INT((A246-Config!$C$6)/7)+1</f>
        <v/>
      </c>
      <c r="C246" s="10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0" t="n"/>
      <c r="P246" s="15">
        <f>IF(COUNT(C246:O246)=0,"",IFERROR(C246/D246*1000,0))</f>
        <v/>
      </c>
      <c r="Q246" s="16">
        <f>IF(COUNT(C246:O246)=0,"",IFERROR(D246/E246,0))</f>
        <v/>
      </c>
      <c r="R246" s="17">
        <f>IF(COUNT(C246:O246)=0,"",IFERROR(F246/D246,0))</f>
        <v/>
      </c>
      <c r="S246" s="15">
        <f>IF(COUNT(C246:O246)=0,"",IFERROR(C246/F246,0))</f>
        <v/>
      </c>
      <c r="T246" s="18">
        <f>IF(COUNT(C246:O246)=0,"",IFERROR(G246/F246,0))</f>
        <v/>
      </c>
      <c r="U246" s="15">
        <f>IF(COUNT(C246:O246)=0,"",IFERROR(C246/G246,0))</f>
        <v/>
      </c>
      <c r="V246" s="19">
        <f>IF(COUNT(C246:O246)=0,"",IFERROR(G246/D246*1000,0))</f>
        <v/>
      </c>
      <c r="W246" s="18">
        <f>IF(COUNT(C246:O246)=0,"",IFERROR(H246/G246,0))</f>
        <v/>
      </c>
      <c r="X246" s="15">
        <f>IF(COUNT(C246:O246)=0,"",IFERROR(C246/H246,0))</f>
        <v/>
      </c>
      <c r="Y246" s="18">
        <f>IF(COUNT(C246:O246)=0,"",IFERROR(X246/P246,0))</f>
        <v/>
      </c>
      <c r="Z246" s="19">
        <f>IF(COUNT(C246:O246)=0,"",IFERROR(H246/D246*1000,0))</f>
        <v/>
      </c>
      <c r="AA246" s="18">
        <f>IF(COUNT(C246:O246)=0,"",IFERROR(I246/H246,0))</f>
        <v/>
      </c>
      <c r="AB246" s="18">
        <f>IF(COUNT(C246:O246)=0,"",IFERROR(J246/I246,0))</f>
        <v/>
      </c>
      <c r="AC246" s="18">
        <f>IF(COUNT(C246:O246)=0,"",IFERROR(K246/J246,0))</f>
        <v/>
      </c>
      <c r="AD246" s="15">
        <f>IF(COUNT(C246:O246)=0,"",IFERROR(C246/K246,0))</f>
        <v/>
      </c>
      <c r="AE246" s="18">
        <f>IF(COUNT(C246:O246)=0,"",IFERROR(L246/K246,0))</f>
        <v/>
      </c>
      <c r="AF246" s="18">
        <f>IF(COUNT(C246:O246)=0,"",IFERROR(M246/L246,0))</f>
        <v/>
      </c>
      <c r="AG246" s="17">
        <f>IF(COUNT(C246:O246)=0,"",IFERROR(M246/H246,0))</f>
        <v/>
      </c>
      <c r="AH246" s="15">
        <f>IF(COUNT(C246:O246)=0,"",IFERROR(C246/M246,0))</f>
        <v/>
      </c>
      <c r="AI246" s="20">
        <f>IF(COUNT(C246:O246)=0,"",IFERROR(M246*Config!$C$7+N246*Config!$C$8,0))</f>
        <v/>
      </c>
      <c r="AJ246" s="20">
        <f>IF(COUNT(C246:O246)=0,"",IFERROR(IF(O246&gt;0,O246,AI246*Config!$C$9),0))</f>
        <v/>
      </c>
      <c r="AK246" s="20">
        <f>IF(COUNT(C246:O246)=0,"",IFERROR(AJ246*(1-Config!$C$10-Config!$C$11-Config!$C$12),0))</f>
        <v/>
      </c>
      <c r="AL246" s="20">
        <f>IF(COUNT(C246:O246)=0,"",IFERROR(AK246-C246-Config!$C$13,0))</f>
        <v/>
      </c>
      <c r="AM246" s="21">
        <f>IF(COUNT(C246:O246)=0,"",IFERROR(AK246/C246,0))</f>
        <v/>
      </c>
      <c r="AN246" s="21">
        <f>IF(COUNT(C246:O246)=0,"",IFERROR(AI246/C246,0))</f>
        <v/>
      </c>
      <c r="AO246" s="15">
        <f>IF(COUNT(C246:O246)=0,"",IFERROR(AL246/G246,0))</f>
        <v/>
      </c>
      <c r="AP246" s="21">
        <f>IF(COUNT(C246:O246)=0,"",IFERROR(AO246/U246,0))</f>
        <v/>
      </c>
      <c r="AQ246" s="15">
        <f>IF(COUNT(C246:O246)=0,"",IFERROR(AL246/H246,0))</f>
        <v/>
      </c>
    </row>
    <row r="247">
      <c r="A247" s="12">
        <f>Config!$C$6+241</f>
        <v/>
      </c>
      <c r="B247" s="13">
        <f>INT((A247-Config!$C$6)/7)+1</f>
        <v/>
      </c>
      <c r="C247" s="10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0" t="n"/>
      <c r="P247" s="15">
        <f>IF(COUNT(C247:O247)=0,"",IFERROR(C247/D247*1000,0))</f>
        <v/>
      </c>
      <c r="Q247" s="16">
        <f>IF(COUNT(C247:O247)=0,"",IFERROR(D247/E247,0))</f>
        <v/>
      </c>
      <c r="R247" s="17">
        <f>IF(COUNT(C247:O247)=0,"",IFERROR(F247/D247,0))</f>
        <v/>
      </c>
      <c r="S247" s="15">
        <f>IF(COUNT(C247:O247)=0,"",IFERROR(C247/F247,0))</f>
        <v/>
      </c>
      <c r="T247" s="18">
        <f>IF(COUNT(C247:O247)=0,"",IFERROR(G247/F247,0))</f>
        <v/>
      </c>
      <c r="U247" s="15">
        <f>IF(COUNT(C247:O247)=0,"",IFERROR(C247/G247,0))</f>
        <v/>
      </c>
      <c r="V247" s="19">
        <f>IF(COUNT(C247:O247)=0,"",IFERROR(G247/D247*1000,0))</f>
        <v/>
      </c>
      <c r="W247" s="18">
        <f>IF(COUNT(C247:O247)=0,"",IFERROR(H247/G247,0))</f>
        <v/>
      </c>
      <c r="X247" s="15">
        <f>IF(COUNT(C247:O247)=0,"",IFERROR(C247/H247,0))</f>
        <v/>
      </c>
      <c r="Y247" s="18">
        <f>IF(COUNT(C247:O247)=0,"",IFERROR(X247/P247,0))</f>
        <v/>
      </c>
      <c r="Z247" s="19">
        <f>IF(COUNT(C247:O247)=0,"",IFERROR(H247/D247*1000,0))</f>
        <v/>
      </c>
      <c r="AA247" s="18">
        <f>IF(COUNT(C247:O247)=0,"",IFERROR(I247/H247,0))</f>
        <v/>
      </c>
      <c r="AB247" s="18">
        <f>IF(COUNT(C247:O247)=0,"",IFERROR(J247/I247,0))</f>
        <v/>
      </c>
      <c r="AC247" s="18">
        <f>IF(COUNT(C247:O247)=0,"",IFERROR(K247/J247,0))</f>
        <v/>
      </c>
      <c r="AD247" s="15">
        <f>IF(COUNT(C247:O247)=0,"",IFERROR(C247/K247,0))</f>
        <v/>
      </c>
      <c r="AE247" s="18">
        <f>IF(COUNT(C247:O247)=0,"",IFERROR(L247/K247,0))</f>
        <v/>
      </c>
      <c r="AF247" s="18">
        <f>IF(COUNT(C247:O247)=0,"",IFERROR(M247/L247,0))</f>
        <v/>
      </c>
      <c r="AG247" s="17">
        <f>IF(COUNT(C247:O247)=0,"",IFERROR(M247/H247,0))</f>
        <v/>
      </c>
      <c r="AH247" s="15">
        <f>IF(COUNT(C247:O247)=0,"",IFERROR(C247/M247,0))</f>
        <v/>
      </c>
      <c r="AI247" s="20">
        <f>IF(COUNT(C247:O247)=0,"",IFERROR(M247*Config!$C$7+N247*Config!$C$8,0))</f>
        <v/>
      </c>
      <c r="AJ247" s="20">
        <f>IF(COUNT(C247:O247)=0,"",IFERROR(IF(O247&gt;0,O247,AI247*Config!$C$9),0))</f>
        <v/>
      </c>
      <c r="AK247" s="20">
        <f>IF(COUNT(C247:O247)=0,"",IFERROR(AJ247*(1-Config!$C$10-Config!$C$11-Config!$C$12),0))</f>
        <v/>
      </c>
      <c r="AL247" s="20">
        <f>IF(COUNT(C247:O247)=0,"",IFERROR(AK247-C247-Config!$C$13,0))</f>
        <v/>
      </c>
      <c r="AM247" s="21">
        <f>IF(COUNT(C247:O247)=0,"",IFERROR(AK247/C247,0))</f>
        <v/>
      </c>
      <c r="AN247" s="21">
        <f>IF(COUNT(C247:O247)=0,"",IFERROR(AI247/C247,0))</f>
        <v/>
      </c>
      <c r="AO247" s="15">
        <f>IF(COUNT(C247:O247)=0,"",IFERROR(AL247/G247,0))</f>
        <v/>
      </c>
      <c r="AP247" s="21">
        <f>IF(COUNT(C247:O247)=0,"",IFERROR(AO247/U247,0))</f>
        <v/>
      </c>
      <c r="AQ247" s="15">
        <f>IF(COUNT(C247:O247)=0,"",IFERROR(AL247/H247,0))</f>
        <v/>
      </c>
    </row>
    <row r="248">
      <c r="A248" s="12">
        <f>Config!$C$6+242</f>
        <v/>
      </c>
      <c r="B248" s="13">
        <f>INT((A248-Config!$C$6)/7)+1</f>
        <v/>
      </c>
      <c r="C248" s="10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0" t="n"/>
      <c r="P248" s="15">
        <f>IF(COUNT(C248:O248)=0,"",IFERROR(C248/D248*1000,0))</f>
        <v/>
      </c>
      <c r="Q248" s="16">
        <f>IF(COUNT(C248:O248)=0,"",IFERROR(D248/E248,0))</f>
        <v/>
      </c>
      <c r="R248" s="17">
        <f>IF(COUNT(C248:O248)=0,"",IFERROR(F248/D248,0))</f>
        <v/>
      </c>
      <c r="S248" s="15">
        <f>IF(COUNT(C248:O248)=0,"",IFERROR(C248/F248,0))</f>
        <v/>
      </c>
      <c r="T248" s="18">
        <f>IF(COUNT(C248:O248)=0,"",IFERROR(G248/F248,0))</f>
        <v/>
      </c>
      <c r="U248" s="15">
        <f>IF(COUNT(C248:O248)=0,"",IFERROR(C248/G248,0))</f>
        <v/>
      </c>
      <c r="V248" s="19">
        <f>IF(COUNT(C248:O248)=0,"",IFERROR(G248/D248*1000,0))</f>
        <v/>
      </c>
      <c r="W248" s="18">
        <f>IF(COUNT(C248:O248)=0,"",IFERROR(H248/G248,0))</f>
        <v/>
      </c>
      <c r="X248" s="15">
        <f>IF(COUNT(C248:O248)=0,"",IFERROR(C248/H248,0))</f>
        <v/>
      </c>
      <c r="Y248" s="18">
        <f>IF(COUNT(C248:O248)=0,"",IFERROR(X248/P248,0))</f>
        <v/>
      </c>
      <c r="Z248" s="19">
        <f>IF(COUNT(C248:O248)=0,"",IFERROR(H248/D248*1000,0))</f>
        <v/>
      </c>
      <c r="AA248" s="18">
        <f>IF(COUNT(C248:O248)=0,"",IFERROR(I248/H248,0))</f>
        <v/>
      </c>
      <c r="AB248" s="18">
        <f>IF(COUNT(C248:O248)=0,"",IFERROR(J248/I248,0))</f>
        <v/>
      </c>
      <c r="AC248" s="18">
        <f>IF(COUNT(C248:O248)=0,"",IFERROR(K248/J248,0))</f>
        <v/>
      </c>
      <c r="AD248" s="15">
        <f>IF(COUNT(C248:O248)=0,"",IFERROR(C248/K248,0))</f>
        <v/>
      </c>
      <c r="AE248" s="18">
        <f>IF(COUNT(C248:O248)=0,"",IFERROR(L248/K248,0))</f>
        <v/>
      </c>
      <c r="AF248" s="18">
        <f>IF(COUNT(C248:O248)=0,"",IFERROR(M248/L248,0))</f>
        <v/>
      </c>
      <c r="AG248" s="17">
        <f>IF(COUNT(C248:O248)=0,"",IFERROR(M248/H248,0))</f>
        <v/>
      </c>
      <c r="AH248" s="15">
        <f>IF(COUNT(C248:O248)=0,"",IFERROR(C248/M248,0))</f>
        <v/>
      </c>
      <c r="AI248" s="20">
        <f>IF(COUNT(C248:O248)=0,"",IFERROR(M248*Config!$C$7+N248*Config!$C$8,0))</f>
        <v/>
      </c>
      <c r="AJ248" s="20">
        <f>IF(COUNT(C248:O248)=0,"",IFERROR(IF(O248&gt;0,O248,AI248*Config!$C$9),0))</f>
        <v/>
      </c>
      <c r="AK248" s="20">
        <f>IF(COUNT(C248:O248)=0,"",IFERROR(AJ248*(1-Config!$C$10-Config!$C$11-Config!$C$12),0))</f>
        <v/>
      </c>
      <c r="AL248" s="20">
        <f>IF(COUNT(C248:O248)=0,"",IFERROR(AK248-C248-Config!$C$13,0))</f>
        <v/>
      </c>
      <c r="AM248" s="21">
        <f>IF(COUNT(C248:O248)=0,"",IFERROR(AK248/C248,0))</f>
        <v/>
      </c>
      <c r="AN248" s="21">
        <f>IF(COUNT(C248:O248)=0,"",IFERROR(AI248/C248,0))</f>
        <v/>
      </c>
      <c r="AO248" s="15">
        <f>IF(COUNT(C248:O248)=0,"",IFERROR(AL248/G248,0))</f>
        <v/>
      </c>
      <c r="AP248" s="21">
        <f>IF(COUNT(C248:O248)=0,"",IFERROR(AO248/U248,0))</f>
        <v/>
      </c>
      <c r="AQ248" s="15">
        <f>IF(COUNT(C248:O248)=0,"",IFERROR(AL248/H248,0))</f>
        <v/>
      </c>
    </row>
    <row r="249">
      <c r="A249" s="12">
        <f>Config!$C$6+243</f>
        <v/>
      </c>
      <c r="B249" s="13">
        <f>INT((A249-Config!$C$6)/7)+1</f>
        <v/>
      </c>
      <c r="C249" s="10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0" t="n"/>
      <c r="P249" s="15">
        <f>IF(COUNT(C249:O249)=0,"",IFERROR(C249/D249*1000,0))</f>
        <v/>
      </c>
      <c r="Q249" s="16">
        <f>IF(COUNT(C249:O249)=0,"",IFERROR(D249/E249,0))</f>
        <v/>
      </c>
      <c r="R249" s="17">
        <f>IF(COUNT(C249:O249)=0,"",IFERROR(F249/D249,0))</f>
        <v/>
      </c>
      <c r="S249" s="15">
        <f>IF(COUNT(C249:O249)=0,"",IFERROR(C249/F249,0))</f>
        <v/>
      </c>
      <c r="T249" s="18">
        <f>IF(COUNT(C249:O249)=0,"",IFERROR(G249/F249,0))</f>
        <v/>
      </c>
      <c r="U249" s="15">
        <f>IF(COUNT(C249:O249)=0,"",IFERROR(C249/G249,0))</f>
        <v/>
      </c>
      <c r="V249" s="19">
        <f>IF(COUNT(C249:O249)=0,"",IFERROR(G249/D249*1000,0))</f>
        <v/>
      </c>
      <c r="W249" s="18">
        <f>IF(COUNT(C249:O249)=0,"",IFERROR(H249/G249,0))</f>
        <v/>
      </c>
      <c r="X249" s="15">
        <f>IF(COUNT(C249:O249)=0,"",IFERROR(C249/H249,0))</f>
        <v/>
      </c>
      <c r="Y249" s="18">
        <f>IF(COUNT(C249:O249)=0,"",IFERROR(X249/P249,0))</f>
        <v/>
      </c>
      <c r="Z249" s="19">
        <f>IF(COUNT(C249:O249)=0,"",IFERROR(H249/D249*1000,0))</f>
        <v/>
      </c>
      <c r="AA249" s="18">
        <f>IF(COUNT(C249:O249)=0,"",IFERROR(I249/H249,0))</f>
        <v/>
      </c>
      <c r="AB249" s="18">
        <f>IF(COUNT(C249:O249)=0,"",IFERROR(J249/I249,0))</f>
        <v/>
      </c>
      <c r="AC249" s="18">
        <f>IF(COUNT(C249:O249)=0,"",IFERROR(K249/J249,0))</f>
        <v/>
      </c>
      <c r="AD249" s="15">
        <f>IF(COUNT(C249:O249)=0,"",IFERROR(C249/K249,0))</f>
        <v/>
      </c>
      <c r="AE249" s="18">
        <f>IF(COUNT(C249:O249)=0,"",IFERROR(L249/K249,0))</f>
        <v/>
      </c>
      <c r="AF249" s="18">
        <f>IF(COUNT(C249:O249)=0,"",IFERROR(M249/L249,0))</f>
        <v/>
      </c>
      <c r="AG249" s="17">
        <f>IF(COUNT(C249:O249)=0,"",IFERROR(M249/H249,0))</f>
        <v/>
      </c>
      <c r="AH249" s="15">
        <f>IF(COUNT(C249:O249)=0,"",IFERROR(C249/M249,0))</f>
        <v/>
      </c>
      <c r="AI249" s="20">
        <f>IF(COUNT(C249:O249)=0,"",IFERROR(M249*Config!$C$7+N249*Config!$C$8,0))</f>
        <v/>
      </c>
      <c r="AJ249" s="20">
        <f>IF(COUNT(C249:O249)=0,"",IFERROR(IF(O249&gt;0,O249,AI249*Config!$C$9),0))</f>
        <v/>
      </c>
      <c r="AK249" s="20">
        <f>IF(COUNT(C249:O249)=0,"",IFERROR(AJ249*(1-Config!$C$10-Config!$C$11-Config!$C$12),0))</f>
        <v/>
      </c>
      <c r="AL249" s="20">
        <f>IF(COUNT(C249:O249)=0,"",IFERROR(AK249-C249-Config!$C$13,0))</f>
        <v/>
      </c>
      <c r="AM249" s="21">
        <f>IF(COUNT(C249:O249)=0,"",IFERROR(AK249/C249,0))</f>
        <v/>
      </c>
      <c r="AN249" s="21">
        <f>IF(COUNT(C249:O249)=0,"",IFERROR(AI249/C249,0))</f>
        <v/>
      </c>
      <c r="AO249" s="15">
        <f>IF(COUNT(C249:O249)=0,"",IFERROR(AL249/G249,0))</f>
        <v/>
      </c>
      <c r="AP249" s="21">
        <f>IF(COUNT(C249:O249)=0,"",IFERROR(AO249/U249,0))</f>
        <v/>
      </c>
      <c r="AQ249" s="15">
        <f>IF(COUNT(C249:O249)=0,"",IFERROR(AL249/H249,0))</f>
        <v/>
      </c>
    </row>
    <row r="250">
      <c r="A250" s="12">
        <f>Config!$C$6+244</f>
        <v/>
      </c>
      <c r="B250" s="13">
        <f>INT((A250-Config!$C$6)/7)+1</f>
        <v/>
      </c>
      <c r="C250" s="10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0" t="n"/>
      <c r="P250" s="15">
        <f>IF(COUNT(C250:O250)=0,"",IFERROR(C250/D250*1000,0))</f>
        <v/>
      </c>
      <c r="Q250" s="16">
        <f>IF(COUNT(C250:O250)=0,"",IFERROR(D250/E250,0))</f>
        <v/>
      </c>
      <c r="R250" s="17">
        <f>IF(COUNT(C250:O250)=0,"",IFERROR(F250/D250,0))</f>
        <v/>
      </c>
      <c r="S250" s="15">
        <f>IF(COUNT(C250:O250)=0,"",IFERROR(C250/F250,0))</f>
        <v/>
      </c>
      <c r="T250" s="18">
        <f>IF(COUNT(C250:O250)=0,"",IFERROR(G250/F250,0))</f>
        <v/>
      </c>
      <c r="U250" s="15">
        <f>IF(COUNT(C250:O250)=0,"",IFERROR(C250/G250,0))</f>
        <v/>
      </c>
      <c r="V250" s="19">
        <f>IF(COUNT(C250:O250)=0,"",IFERROR(G250/D250*1000,0))</f>
        <v/>
      </c>
      <c r="W250" s="18">
        <f>IF(COUNT(C250:O250)=0,"",IFERROR(H250/G250,0))</f>
        <v/>
      </c>
      <c r="X250" s="15">
        <f>IF(COUNT(C250:O250)=0,"",IFERROR(C250/H250,0))</f>
        <v/>
      </c>
      <c r="Y250" s="18">
        <f>IF(COUNT(C250:O250)=0,"",IFERROR(X250/P250,0))</f>
        <v/>
      </c>
      <c r="Z250" s="19">
        <f>IF(COUNT(C250:O250)=0,"",IFERROR(H250/D250*1000,0))</f>
        <v/>
      </c>
      <c r="AA250" s="18">
        <f>IF(COUNT(C250:O250)=0,"",IFERROR(I250/H250,0))</f>
        <v/>
      </c>
      <c r="AB250" s="18">
        <f>IF(COUNT(C250:O250)=0,"",IFERROR(J250/I250,0))</f>
        <v/>
      </c>
      <c r="AC250" s="18">
        <f>IF(COUNT(C250:O250)=0,"",IFERROR(K250/J250,0))</f>
        <v/>
      </c>
      <c r="AD250" s="15">
        <f>IF(COUNT(C250:O250)=0,"",IFERROR(C250/K250,0))</f>
        <v/>
      </c>
      <c r="AE250" s="18">
        <f>IF(COUNT(C250:O250)=0,"",IFERROR(L250/K250,0))</f>
        <v/>
      </c>
      <c r="AF250" s="18">
        <f>IF(COUNT(C250:O250)=0,"",IFERROR(M250/L250,0))</f>
        <v/>
      </c>
      <c r="AG250" s="17">
        <f>IF(COUNT(C250:O250)=0,"",IFERROR(M250/H250,0))</f>
        <v/>
      </c>
      <c r="AH250" s="15">
        <f>IF(COUNT(C250:O250)=0,"",IFERROR(C250/M250,0))</f>
        <v/>
      </c>
      <c r="AI250" s="20">
        <f>IF(COUNT(C250:O250)=0,"",IFERROR(M250*Config!$C$7+N250*Config!$C$8,0))</f>
        <v/>
      </c>
      <c r="AJ250" s="20">
        <f>IF(COUNT(C250:O250)=0,"",IFERROR(IF(O250&gt;0,O250,AI250*Config!$C$9),0))</f>
        <v/>
      </c>
      <c r="AK250" s="20">
        <f>IF(COUNT(C250:O250)=0,"",IFERROR(AJ250*(1-Config!$C$10-Config!$C$11-Config!$C$12),0))</f>
        <v/>
      </c>
      <c r="AL250" s="20">
        <f>IF(COUNT(C250:O250)=0,"",IFERROR(AK250-C250-Config!$C$13,0))</f>
        <v/>
      </c>
      <c r="AM250" s="21">
        <f>IF(COUNT(C250:O250)=0,"",IFERROR(AK250/C250,0))</f>
        <v/>
      </c>
      <c r="AN250" s="21">
        <f>IF(COUNT(C250:O250)=0,"",IFERROR(AI250/C250,0))</f>
        <v/>
      </c>
      <c r="AO250" s="15">
        <f>IF(COUNT(C250:O250)=0,"",IFERROR(AL250/G250,0))</f>
        <v/>
      </c>
      <c r="AP250" s="21">
        <f>IF(COUNT(C250:O250)=0,"",IFERROR(AO250/U250,0))</f>
        <v/>
      </c>
      <c r="AQ250" s="15">
        <f>IF(COUNT(C250:O250)=0,"",IFERROR(AL250/H250,0))</f>
        <v/>
      </c>
    </row>
    <row r="251">
      <c r="A251" s="12">
        <f>Config!$C$6+245</f>
        <v/>
      </c>
      <c r="B251" s="13">
        <f>INT((A251-Config!$C$6)/7)+1</f>
        <v/>
      </c>
      <c r="C251" s="10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0" t="n"/>
      <c r="P251" s="15">
        <f>IF(COUNT(C251:O251)=0,"",IFERROR(C251/D251*1000,0))</f>
        <v/>
      </c>
      <c r="Q251" s="16">
        <f>IF(COUNT(C251:O251)=0,"",IFERROR(D251/E251,0))</f>
        <v/>
      </c>
      <c r="R251" s="17">
        <f>IF(COUNT(C251:O251)=0,"",IFERROR(F251/D251,0))</f>
        <v/>
      </c>
      <c r="S251" s="15">
        <f>IF(COUNT(C251:O251)=0,"",IFERROR(C251/F251,0))</f>
        <v/>
      </c>
      <c r="T251" s="18">
        <f>IF(COUNT(C251:O251)=0,"",IFERROR(G251/F251,0))</f>
        <v/>
      </c>
      <c r="U251" s="15">
        <f>IF(COUNT(C251:O251)=0,"",IFERROR(C251/G251,0))</f>
        <v/>
      </c>
      <c r="V251" s="19">
        <f>IF(COUNT(C251:O251)=0,"",IFERROR(G251/D251*1000,0))</f>
        <v/>
      </c>
      <c r="W251" s="18">
        <f>IF(COUNT(C251:O251)=0,"",IFERROR(H251/G251,0))</f>
        <v/>
      </c>
      <c r="X251" s="15">
        <f>IF(COUNT(C251:O251)=0,"",IFERROR(C251/H251,0))</f>
        <v/>
      </c>
      <c r="Y251" s="18">
        <f>IF(COUNT(C251:O251)=0,"",IFERROR(X251/P251,0))</f>
        <v/>
      </c>
      <c r="Z251" s="19">
        <f>IF(COUNT(C251:O251)=0,"",IFERROR(H251/D251*1000,0))</f>
        <v/>
      </c>
      <c r="AA251" s="18">
        <f>IF(COUNT(C251:O251)=0,"",IFERROR(I251/H251,0))</f>
        <v/>
      </c>
      <c r="AB251" s="18">
        <f>IF(COUNT(C251:O251)=0,"",IFERROR(J251/I251,0))</f>
        <v/>
      </c>
      <c r="AC251" s="18">
        <f>IF(COUNT(C251:O251)=0,"",IFERROR(K251/J251,0))</f>
        <v/>
      </c>
      <c r="AD251" s="15">
        <f>IF(COUNT(C251:O251)=0,"",IFERROR(C251/K251,0))</f>
        <v/>
      </c>
      <c r="AE251" s="18">
        <f>IF(COUNT(C251:O251)=0,"",IFERROR(L251/K251,0))</f>
        <v/>
      </c>
      <c r="AF251" s="18">
        <f>IF(COUNT(C251:O251)=0,"",IFERROR(M251/L251,0))</f>
        <v/>
      </c>
      <c r="AG251" s="17">
        <f>IF(COUNT(C251:O251)=0,"",IFERROR(M251/H251,0))</f>
        <v/>
      </c>
      <c r="AH251" s="15">
        <f>IF(COUNT(C251:O251)=0,"",IFERROR(C251/M251,0))</f>
        <v/>
      </c>
      <c r="AI251" s="20">
        <f>IF(COUNT(C251:O251)=0,"",IFERROR(M251*Config!$C$7+N251*Config!$C$8,0))</f>
        <v/>
      </c>
      <c r="AJ251" s="20">
        <f>IF(COUNT(C251:O251)=0,"",IFERROR(IF(O251&gt;0,O251,AI251*Config!$C$9),0))</f>
        <v/>
      </c>
      <c r="AK251" s="20">
        <f>IF(COUNT(C251:O251)=0,"",IFERROR(AJ251*(1-Config!$C$10-Config!$C$11-Config!$C$12),0))</f>
        <v/>
      </c>
      <c r="AL251" s="20">
        <f>IF(COUNT(C251:O251)=0,"",IFERROR(AK251-C251-Config!$C$13,0))</f>
        <v/>
      </c>
      <c r="AM251" s="21">
        <f>IF(COUNT(C251:O251)=0,"",IFERROR(AK251/C251,0))</f>
        <v/>
      </c>
      <c r="AN251" s="21">
        <f>IF(COUNT(C251:O251)=0,"",IFERROR(AI251/C251,0))</f>
        <v/>
      </c>
      <c r="AO251" s="15">
        <f>IF(COUNT(C251:O251)=0,"",IFERROR(AL251/G251,0))</f>
        <v/>
      </c>
      <c r="AP251" s="21">
        <f>IF(COUNT(C251:O251)=0,"",IFERROR(AO251/U251,0))</f>
        <v/>
      </c>
      <c r="AQ251" s="15">
        <f>IF(COUNT(C251:O251)=0,"",IFERROR(AL251/H251,0))</f>
        <v/>
      </c>
    </row>
    <row r="252">
      <c r="A252" s="12">
        <f>Config!$C$6+246</f>
        <v/>
      </c>
      <c r="B252" s="13">
        <f>INT((A252-Config!$C$6)/7)+1</f>
        <v/>
      </c>
      <c r="C252" s="10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0" t="n"/>
      <c r="P252" s="15">
        <f>IF(COUNT(C252:O252)=0,"",IFERROR(C252/D252*1000,0))</f>
        <v/>
      </c>
      <c r="Q252" s="16">
        <f>IF(COUNT(C252:O252)=0,"",IFERROR(D252/E252,0))</f>
        <v/>
      </c>
      <c r="R252" s="17">
        <f>IF(COUNT(C252:O252)=0,"",IFERROR(F252/D252,0))</f>
        <v/>
      </c>
      <c r="S252" s="15">
        <f>IF(COUNT(C252:O252)=0,"",IFERROR(C252/F252,0))</f>
        <v/>
      </c>
      <c r="T252" s="18">
        <f>IF(COUNT(C252:O252)=0,"",IFERROR(G252/F252,0))</f>
        <v/>
      </c>
      <c r="U252" s="15">
        <f>IF(COUNT(C252:O252)=0,"",IFERROR(C252/G252,0))</f>
        <v/>
      </c>
      <c r="V252" s="19">
        <f>IF(COUNT(C252:O252)=0,"",IFERROR(G252/D252*1000,0))</f>
        <v/>
      </c>
      <c r="W252" s="18">
        <f>IF(COUNT(C252:O252)=0,"",IFERROR(H252/G252,0))</f>
        <v/>
      </c>
      <c r="X252" s="15">
        <f>IF(COUNT(C252:O252)=0,"",IFERROR(C252/H252,0))</f>
        <v/>
      </c>
      <c r="Y252" s="18">
        <f>IF(COUNT(C252:O252)=0,"",IFERROR(X252/P252,0))</f>
        <v/>
      </c>
      <c r="Z252" s="19">
        <f>IF(COUNT(C252:O252)=0,"",IFERROR(H252/D252*1000,0))</f>
        <v/>
      </c>
      <c r="AA252" s="18">
        <f>IF(COUNT(C252:O252)=0,"",IFERROR(I252/H252,0))</f>
        <v/>
      </c>
      <c r="AB252" s="18">
        <f>IF(COUNT(C252:O252)=0,"",IFERROR(J252/I252,0))</f>
        <v/>
      </c>
      <c r="AC252" s="18">
        <f>IF(COUNT(C252:O252)=0,"",IFERROR(K252/J252,0))</f>
        <v/>
      </c>
      <c r="AD252" s="15">
        <f>IF(COUNT(C252:O252)=0,"",IFERROR(C252/K252,0))</f>
        <v/>
      </c>
      <c r="AE252" s="18">
        <f>IF(COUNT(C252:O252)=0,"",IFERROR(L252/K252,0))</f>
        <v/>
      </c>
      <c r="AF252" s="18">
        <f>IF(COUNT(C252:O252)=0,"",IFERROR(M252/L252,0))</f>
        <v/>
      </c>
      <c r="AG252" s="17">
        <f>IF(COUNT(C252:O252)=0,"",IFERROR(M252/H252,0))</f>
        <v/>
      </c>
      <c r="AH252" s="15">
        <f>IF(COUNT(C252:O252)=0,"",IFERROR(C252/M252,0))</f>
        <v/>
      </c>
      <c r="AI252" s="20">
        <f>IF(COUNT(C252:O252)=0,"",IFERROR(M252*Config!$C$7+N252*Config!$C$8,0))</f>
        <v/>
      </c>
      <c r="AJ252" s="20">
        <f>IF(COUNT(C252:O252)=0,"",IFERROR(IF(O252&gt;0,O252,AI252*Config!$C$9),0))</f>
        <v/>
      </c>
      <c r="AK252" s="20">
        <f>IF(COUNT(C252:O252)=0,"",IFERROR(AJ252*(1-Config!$C$10-Config!$C$11-Config!$C$12),0))</f>
        <v/>
      </c>
      <c r="AL252" s="20">
        <f>IF(COUNT(C252:O252)=0,"",IFERROR(AK252-C252-Config!$C$13,0))</f>
        <v/>
      </c>
      <c r="AM252" s="21">
        <f>IF(COUNT(C252:O252)=0,"",IFERROR(AK252/C252,0))</f>
        <v/>
      </c>
      <c r="AN252" s="21">
        <f>IF(COUNT(C252:O252)=0,"",IFERROR(AI252/C252,0))</f>
        <v/>
      </c>
      <c r="AO252" s="15">
        <f>IF(COUNT(C252:O252)=0,"",IFERROR(AL252/G252,0))</f>
        <v/>
      </c>
      <c r="AP252" s="21">
        <f>IF(COUNT(C252:O252)=0,"",IFERROR(AO252/U252,0))</f>
        <v/>
      </c>
      <c r="AQ252" s="15">
        <f>IF(COUNT(C252:O252)=0,"",IFERROR(AL252/H252,0))</f>
        <v/>
      </c>
    </row>
    <row r="253">
      <c r="A253" s="12">
        <f>Config!$C$6+247</f>
        <v/>
      </c>
      <c r="B253" s="13">
        <f>INT((A253-Config!$C$6)/7)+1</f>
        <v/>
      </c>
      <c r="C253" s="10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0" t="n"/>
      <c r="P253" s="15">
        <f>IF(COUNT(C253:O253)=0,"",IFERROR(C253/D253*1000,0))</f>
        <v/>
      </c>
      <c r="Q253" s="16">
        <f>IF(COUNT(C253:O253)=0,"",IFERROR(D253/E253,0))</f>
        <v/>
      </c>
      <c r="R253" s="17">
        <f>IF(COUNT(C253:O253)=0,"",IFERROR(F253/D253,0))</f>
        <v/>
      </c>
      <c r="S253" s="15">
        <f>IF(COUNT(C253:O253)=0,"",IFERROR(C253/F253,0))</f>
        <v/>
      </c>
      <c r="T253" s="18">
        <f>IF(COUNT(C253:O253)=0,"",IFERROR(G253/F253,0))</f>
        <v/>
      </c>
      <c r="U253" s="15">
        <f>IF(COUNT(C253:O253)=0,"",IFERROR(C253/G253,0))</f>
        <v/>
      </c>
      <c r="V253" s="19">
        <f>IF(COUNT(C253:O253)=0,"",IFERROR(G253/D253*1000,0))</f>
        <v/>
      </c>
      <c r="W253" s="18">
        <f>IF(COUNT(C253:O253)=0,"",IFERROR(H253/G253,0))</f>
        <v/>
      </c>
      <c r="X253" s="15">
        <f>IF(COUNT(C253:O253)=0,"",IFERROR(C253/H253,0))</f>
        <v/>
      </c>
      <c r="Y253" s="18">
        <f>IF(COUNT(C253:O253)=0,"",IFERROR(X253/P253,0))</f>
        <v/>
      </c>
      <c r="Z253" s="19">
        <f>IF(COUNT(C253:O253)=0,"",IFERROR(H253/D253*1000,0))</f>
        <v/>
      </c>
      <c r="AA253" s="18">
        <f>IF(COUNT(C253:O253)=0,"",IFERROR(I253/H253,0))</f>
        <v/>
      </c>
      <c r="AB253" s="18">
        <f>IF(COUNT(C253:O253)=0,"",IFERROR(J253/I253,0))</f>
        <v/>
      </c>
      <c r="AC253" s="18">
        <f>IF(COUNT(C253:O253)=0,"",IFERROR(K253/J253,0))</f>
        <v/>
      </c>
      <c r="AD253" s="15">
        <f>IF(COUNT(C253:O253)=0,"",IFERROR(C253/K253,0))</f>
        <v/>
      </c>
      <c r="AE253" s="18">
        <f>IF(COUNT(C253:O253)=0,"",IFERROR(L253/K253,0))</f>
        <v/>
      </c>
      <c r="AF253" s="18">
        <f>IF(COUNT(C253:O253)=0,"",IFERROR(M253/L253,0))</f>
        <v/>
      </c>
      <c r="AG253" s="17">
        <f>IF(COUNT(C253:O253)=0,"",IFERROR(M253/H253,0))</f>
        <v/>
      </c>
      <c r="AH253" s="15">
        <f>IF(COUNT(C253:O253)=0,"",IFERROR(C253/M253,0))</f>
        <v/>
      </c>
      <c r="AI253" s="20">
        <f>IF(COUNT(C253:O253)=0,"",IFERROR(M253*Config!$C$7+N253*Config!$C$8,0))</f>
        <v/>
      </c>
      <c r="AJ253" s="20">
        <f>IF(COUNT(C253:O253)=0,"",IFERROR(IF(O253&gt;0,O253,AI253*Config!$C$9),0))</f>
        <v/>
      </c>
      <c r="AK253" s="20">
        <f>IF(COUNT(C253:O253)=0,"",IFERROR(AJ253*(1-Config!$C$10-Config!$C$11-Config!$C$12),0))</f>
        <v/>
      </c>
      <c r="AL253" s="20">
        <f>IF(COUNT(C253:O253)=0,"",IFERROR(AK253-C253-Config!$C$13,0))</f>
        <v/>
      </c>
      <c r="AM253" s="21">
        <f>IF(COUNT(C253:O253)=0,"",IFERROR(AK253/C253,0))</f>
        <v/>
      </c>
      <c r="AN253" s="21">
        <f>IF(COUNT(C253:O253)=0,"",IFERROR(AI253/C253,0))</f>
        <v/>
      </c>
      <c r="AO253" s="15">
        <f>IF(COUNT(C253:O253)=0,"",IFERROR(AL253/G253,0))</f>
        <v/>
      </c>
      <c r="AP253" s="21">
        <f>IF(COUNT(C253:O253)=0,"",IFERROR(AO253/U253,0))</f>
        <v/>
      </c>
      <c r="AQ253" s="15">
        <f>IF(COUNT(C253:O253)=0,"",IFERROR(AL253/H253,0))</f>
        <v/>
      </c>
    </row>
    <row r="254">
      <c r="A254" s="12">
        <f>Config!$C$6+248</f>
        <v/>
      </c>
      <c r="B254" s="13">
        <f>INT((A254-Config!$C$6)/7)+1</f>
        <v/>
      </c>
      <c r="C254" s="10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0" t="n"/>
      <c r="P254" s="15">
        <f>IF(COUNT(C254:O254)=0,"",IFERROR(C254/D254*1000,0))</f>
        <v/>
      </c>
      <c r="Q254" s="16">
        <f>IF(COUNT(C254:O254)=0,"",IFERROR(D254/E254,0))</f>
        <v/>
      </c>
      <c r="R254" s="17">
        <f>IF(COUNT(C254:O254)=0,"",IFERROR(F254/D254,0))</f>
        <v/>
      </c>
      <c r="S254" s="15">
        <f>IF(COUNT(C254:O254)=0,"",IFERROR(C254/F254,0))</f>
        <v/>
      </c>
      <c r="T254" s="18">
        <f>IF(COUNT(C254:O254)=0,"",IFERROR(G254/F254,0))</f>
        <v/>
      </c>
      <c r="U254" s="15">
        <f>IF(COUNT(C254:O254)=0,"",IFERROR(C254/G254,0))</f>
        <v/>
      </c>
      <c r="V254" s="19">
        <f>IF(COUNT(C254:O254)=0,"",IFERROR(G254/D254*1000,0))</f>
        <v/>
      </c>
      <c r="W254" s="18">
        <f>IF(COUNT(C254:O254)=0,"",IFERROR(H254/G254,0))</f>
        <v/>
      </c>
      <c r="X254" s="15">
        <f>IF(COUNT(C254:O254)=0,"",IFERROR(C254/H254,0))</f>
        <v/>
      </c>
      <c r="Y254" s="18">
        <f>IF(COUNT(C254:O254)=0,"",IFERROR(X254/P254,0))</f>
        <v/>
      </c>
      <c r="Z254" s="19">
        <f>IF(COUNT(C254:O254)=0,"",IFERROR(H254/D254*1000,0))</f>
        <v/>
      </c>
      <c r="AA254" s="18">
        <f>IF(COUNT(C254:O254)=0,"",IFERROR(I254/H254,0))</f>
        <v/>
      </c>
      <c r="AB254" s="18">
        <f>IF(COUNT(C254:O254)=0,"",IFERROR(J254/I254,0))</f>
        <v/>
      </c>
      <c r="AC254" s="18">
        <f>IF(COUNT(C254:O254)=0,"",IFERROR(K254/J254,0))</f>
        <v/>
      </c>
      <c r="AD254" s="15">
        <f>IF(COUNT(C254:O254)=0,"",IFERROR(C254/K254,0))</f>
        <v/>
      </c>
      <c r="AE254" s="18">
        <f>IF(COUNT(C254:O254)=0,"",IFERROR(L254/K254,0))</f>
        <v/>
      </c>
      <c r="AF254" s="18">
        <f>IF(COUNT(C254:O254)=0,"",IFERROR(M254/L254,0))</f>
        <v/>
      </c>
      <c r="AG254" s="17">
        <f>IF(COUNT(C254:O254)=0,"",IFERROR(M254/H254,0))</f>
        <v/>
      </c>
      <c r="AH254" s="15">
        <f>IF(COUNT(C254:O254)=0,"",IFERROR(C254/M254,0))</f>
        <v/>
      </c>
      <c r="AI254" s="20">
        <f>IF(COUNT(C254:O254)=0,"",IFERROR(M254*Config!$C$7+N254*Config!$C$8,0))</f>
        <v/>
      </c>
      <c r="AJ254" s="20">
        <f>IF(COUNT(C254:O254)=0,"",IFERROR(IF(O254&gt;0,O254,AI254*Config!$C$9),0))</f>
        <v/>
      </c>
      <c r="AK254" s="20">
        <f>IF(COUNT(C254:O254)=0,"",IFERROR(AJ254*(1-Config!$C$10-Config!$C$11-Config!$C$12),0))</f>
        <v/>
      </c>
      <c r="AL254" s="20">
        <f>IF(COUNT(C254:O254)=0,"",IFERROR(AK254-C254-Config!$C$13,0))</f>
        <v/>
      </c>
      <c r="AM254" s="21">
        <f>IF(COUNT(C254:O254)=0,"",IFERROR(AK254/C254,0))</f>
        <v/>
      </c>
      <c r="AN254" s="21">
        <f>IF(COUNT(C254:O254)=0,"",IFERROR(AI254/C254,0))</f>
        <v/>
      </c>
      <c r="AO254" s="15">
        <f>IF(COUNT(C254:O254)=0,"",IFERROR(AL254/G254,0))</f>
        <v/>
      </c>
      <c r="AP254" s="21">
        <f>IF(COUNT(C254:O254)=0,"",IFERROR(AO254/U254,0))</f>
        <v/>
      </c>
      <c r="AQ254" s="15">
        <f>IF(COUNT(C254:O254)=0,"",IFERROR(AL254/H254,0))</f>
        <v/>
      </c>
    </row>
    <row r="255">
      <c r="A255" s="12">
        <f>Config!$C$6+249</f>
        <v/>
      </c>
      <c r="B255" s="13">
        <f>INT((A255-Config!$C$6)/7)+1</f>
        <v/>
      </c>
      <c r="C255" s="10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0" t="n"/>
      <c r="P255" s="15">
        <f>IF(COUNT(C255:O255)=0,"",IFERROR(C255/D255*1000,0))</f>
        <v/>
      </c>
      <c r="Q255" s="16">
        <f>IF(COUNT(C255:O255)=0,"",IFERROR(D255/E255,0))</f>
        <v/>
      </c>
      <c r="R255" s="17">
        <f>IF(COUNT(C255:O255)=0,"",IFERROR(F255/D255,0))</f>
        <v/>
      </c>
      <c r="S255" s="15">
        <f>IF(COUNT(C255:O255)=0,"",IFERROR(C255/F255,0))</f>
        <v/>
      </c>
      <c r="T255" s="18">
        <f>IF(COUNT(C255:O255)=0,"",IFERROR(G255/F255,0))</f>
        <v/>
      </c>
      <c r="U255" s="15">
        <f>IF(COUNT(C255:O255)=0,"",IFERROR(C255/G255,0))</f>
        <v/>
      </c>
      <c r="V255" s="19">
        <f>IF(COUNT(C255:O255)=0,"",IFERROR(G255/D255*1000,0))</f>
        <v/>
      </c>
      <c r="W255" s="18">
        <f>IF(COUNT(C255:O255)=0,"",IFERROR(H255/G255,0))</f>
        <v/>
      </c>
      <c r="X255" s="15">
        <f>IF(COUNT(C255:O255)=0,"",IFERROR(C255/H255,0))</f>
        <v/>
      </c>
      <c r="Y255" s="18">
        <f>IF(COUNT(C255:O255)=0,"",IFERROR(X255/P255,0))</f>
        <v/>
      </c>
      <c r="Z255" s="19">
        <f>IF(COUNT(C255:O255)=0,"",IFERROR(H255/D255*1000,0))</f>
        <v/>
      </c>
      <c r="AA255" s="18">
        <f>IF(COUNT(C255:O255)=0,"",IFERROR(I255/H255,0))</f>
        <v/>
      </c>
      <c r="AB255" s="18">
        <f>IF(COUNT(C255:O255)=0,"",IFERROR(J255/I255,0))</f>
        <v/>
      </c>
      <c r="AC255" s="18">
        <f>IF(COUNT(C255:O255)=0,"",IFERROR(K255/J255,0))</f>
        <v/>
      </c>
      <c r="AD255" s="15">
        <f>IF(COUNT(C255:O255)=0,"",IFERROR(C255/K255,0))</f>
        <v/>
      </c>
      <c r="AE255" s="18">
        <f>IF(COUNT(C255:O255)=0,"",IFERROR(L255/K255,0))</f>
        <v/>
      </c>
      <c r="AF255" s="18">
        <f>IF(COUNT(C255:O255)=0,"",IFERROR(M255/L255,0))</f>
        <v/>
      </c>
      <c r="AG255" s="17">
        <f>IF(COUNT(C255:O255)=0,"",IFERROR(M255/H255,0))</f>
        <v/>
      </c>
      <c r="AH255" s="15">
        <f>IF(COUNT(C255:O255)=0,"",IFERROR(C255/M255,0))</f>
        <v/>
      </c>
      <c r="AI255" s="20">
        <f>IF(COUNT(C255:O255)=0,"",IFERROR(M255*Config!$C$7+N255*Config!$C$8,0))</f>
        <v/>
      </c>
      <c r="AJ255" s="20">
        <f>IF(COUNT(C255:O255)=0,"",IFERROR(IF(O255&gt;0,O255,AI255*Config!$C$9),0))</f>
        <v/>
      </c>
      <c r="AK255" s="20">
        <f>IF(COUNT(C255:O255)=0,"",IFERROR(AJ255*(1-Config!$C$10-Config!$C$11-Config!$C$12),0))</f>
        <v/>
      </c>
      <c r="AL255" s="20">
        <f>IF(COUNT(C255:O255)=0,"",IFERROR(AK255-C255-Config!$C$13,0))</f>
        <v/>
      </c>
      <c r="AM255" s="21">
        <f>IF(COUNT(C255:O255)=0,"",IFERROR(AK255/C255,0))</f>
        <v/>
      </c>
      <c r="AN255" s="21">
        <f>IF(COUNT(C255:O255)=0,"",IFERROR(AI255/C255,0))</f>
        <v/>
      </c>
      <c r="AO255" s="15">
        <f>IF(COUNT(C255:O255)=0,"",IFERROR(AL255/G255,0))</f>
        <v/>
      </c>
      <c r="AP255" s="21">
        <f>IF(COUNT(C255:O255)=0,"",IFERROR(AO255/U255,0))</f>
        <v/>
      </c>
      <c r="AQ255" s="15">
        <f>IF(COUNT(C255:O255)=0,"",IFERROR(AL255/H255,0))</f>
        <v/>
      </c>
    </row>
    <row r="256">
      <c r="A256" s="12">
        <f>Config!$C$6+250</f>
        <v/>
      </c>
      <c r="B256" s="13">
        <f>INT((A256-Config!$C$6)/7)+1</f>
        <v/>
      </c>
      <c r="C256" s="10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0" t="n"/>
      <c r="P256" s="15">
        <f>IF(COUNT(C256:O256)=0,"",IFERROR(C256/D256*1000,0))</f>
        <v/>
      </c>
      <c r="Q256" s="16">
        <f>IF(COUNT(C256:O256)=0,"",IFERROR(D256/E256,0))</f>
        <v/>
      </c>
      <c r="R256" s="17">
        <f>IF(COUNT(C256:O256)=0,"",IFERROR(F256/D256,0))</f>
        <v/>
      </c>
      <c r="S256" s="15">
        <f>IF(COUNT(C256:O256)=0,"",IFERROR(C256/F256,0))</f>
        <v/>
      </c>
      <c r="T256" s="18">
        <f>IF(COUNT(C256:O256)=0,"",IFERROR(G256/F256,0))</f>
        <v/>
      </c>
      <c r="U256" s="15">
        <f>IF(COUNT(C256:O256)=0,"",IFERROR(C256/G256,0))</f>
        <v/>
      </c>
      <c r="V256" s="19">
        <f>IF(COUNT(C256:O256)=0,"",IFERROR(G256/D256*1000,0))</f>
        <v/>
      </c>
      <c r="W256" s="18">
        <f>IF(COUNT(C256:O256)=0,"",IFERROR(H256/G256,0))</f>
        <v/>
      </c>
      <c r="X256" s="15">
        <f>IF(COUNT(C256:O256)=0,"",IFERROR(C256/H256,0))</f>
        <v/>
      </c>
      <c r="Y256" s="18">
        <f>IF(COUNT(C256:O256)=0,"",IFERROR(X256/P256,0))</f>
        <v/>
      </c>
      <c r="Z256" s="19">
        <f>IF(COUNT(C256:O256)=0,"",IFERROR(H256/D256*1000,0))</f>
        <v/>
      </c>
      <c r="AA256" s="18">
        <f>IF(COUNT(C256:O256)=0,"",IFERROR(I256/H256,0))</f>
        <v/>
      </c>
      <c r="AB256" s="18">
        <f>IF(COUNT(C256:O256)=0,"",IFERROR(J256/I256,0))</f>
        <v/>
      </c>
      <c r="AC256" s="18">
        <f>IF(COUNT(C256:O256)=0,"",IFERROR(K256/J256,0))</f>
        <v/>
      </c>
      <c r="AD256" s="15">
        <f>IF(COUNT(C256:O256)=0,"",IFERROR(C256/K256,0))</f>
        <v/>
      </c>
      <c r="AE256" s="18">
        <f>IF(COUNT(C256:O256)=0,"",IFERROR(L256/K256,0))</f>
        <v/>
      </c>
      <c r="AF256" s="18">
        <f>IF(COUNT(C256:O256)=0,"",IFERROR(M256/L256,0))</f>
        <v/>
      </c>
      <c r="AG256" s="17">
        <f>IF(COUNT(C256:O256)=0,"",IFERROR(M256/H256,0))</f>
        <v/>
      </c>
      <c r="AH256" s="15">
        <f>IF(COUNT(C256:O256)=0,"",IFERROR(C256/M256,0))</f>
        <v/>
      </c>
      <c r="AI256" s="20">
        <f>IF(COUNT(C256:O256)=0,"",IFERROR(M256*Config!$C$7+N256*Config!$C$8,0))</f>
        <v/>
      </c>
      <c r="AJ256" s="20">
        <f>IF(COUNT(C256:O256)=0,"",IFERROR(IF(O256&gt;0,O256,AI256*Config!$C$9),0))</f>
        <v/>
      </c>
      <c r="AK256" s="20">
        <f>IF(COUNT(C256:O256)=0,"",IFERROR(AJ256*(1-Config!$C$10-Config!$C$11-Config!$C$12),0))</f>
        <v/>
      </c>
      <c r="AL256" s="20">
        <f>IF(COUNT(C256:O256)=0,"",IFERROR(AK256-C256-Config!$C$13,0))</f>
        <v/>
      </c>
      <c r="AM256" s="21">
        <f>IF(COUNT(C256:O256)=0,"",IFERROR(AK256/C256,0))</f>
        <v/>
      </c>
      <c r="AN256" s="21">
        <f>IF(COUNT(C256:O256)=0,"",IFERROR(AI256/C256,0))</f>
        <v/>
      </c>
      <c r="AO256" s="15">
        <f>IF(COUNT(C256:O256)=0,"",IFERROR(AL256/G256,0))</f>
        <v/>
      </c>
      <c r="AP256" s="21">
        <f>IF(COUNT(C256:O256)=0,"",IFERROR(AO256/U256,0))</f>
        <v/>
      </c>
      <c r="AQ256" s="15">
        <f>IF(COUNT(C256:O256)=0,"",IFERROR(AL256/H256,0))</f>
        <v/>
      </c>
    </row>
    <row r="257">
      <c r="A257" s="12">
        <f>Config!$C$6+251</f>
        <v/>
      </c>
      <c r="B257" s="13">
        <f>INT((A257-Config!$C$6)/7)+1</f>
        <v/>
      </c>
      <c r="C257" s="10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0" t="n"/>
      <c r="P257" s="15">
        <f>IF(COUNT(C257:O257)=0,"",IFERROR(C257/D257*1000,0))</f>
        <v/>
      </c>
      <c r="Q257" s="16">
        <f>IF(COUNT(C257:O257)=0,"",IFERROR(D257/E257,0))</f>
        <v/>
      </c>
      <c r="R257" s="17">
        <f>IF(COUNT(C257:O257)=0,"",IFERROR(F257/D257,0))</f>
        <v/>
      </c>
      <c r="S257" s="15">
        <f>IF(COUNT(C257:O257)=0,"",IFERROR(C257/F257,0))</f>
        <v/>
      </c>
      <c r="T257" s="18">
        <f>IF(COUNT(C257:O257)=0,"",IFERROR(G257/F257,0))</f>
        <v/>
      </c>
      <c r="U257" s="15">
        <f>IF(COUNT(C257:O257)=0,"",IFERROR(C257/G257,0))</f>
        <v/>
      </c>
      <c r="V257" s="19">
        <f>IF(COUNT(C257:O257)=0,"",IFERROR(G257/D257*1000,0))</f>
        <v/>
      </c>
      <c r="W257" s="18">
        <f>IF(COUNT(C257:O257)=0,"",IFERROR(H257/G257,0))</f>
        <v/>
      </c>
      <c r="X257" s="15">
        <f>IF(COUNT(C257:O257)=0,"",IFERROR(C257/H257,0))</f>
        <v/>
      </c>
      <c r="Y257" s="18">
        <f>IF(COUNT(C257:O257)=0,"",IFERROR(X257/P257,0))</f>
        <v/>
      </c>
      <c r="Z257" s="19">
        <f>IF(COUNT(C257:O257)=0,"",IFERROR(H257/D257*1000,0))</f>
        <v/>
      </c>
      <c r="AA257" s="18">
        <f>IF(COUNT(C257:O257)=0,"",IFERROR(I257/H257,0))</f>
        <v/>
      </c>
      <c r="AB257" s="18">
        <f>IF(COUNT(C257:O257)=0,"",IFERROR(J257/I257,0))</f>
        <v/>
      </c>
      <c r="AC257" s="18">
        <f>IF(COUNT(C257:O257)=0,"",IFERROR(K257/J257,0))</f>
        <v/>
      </c>
      <c r="AD257" s="15">
        <f>IF(COUNT(C257:O257)=0,"",IFERROR(C257/K257,0))</f>
        <v/>
      </c>
      <c r="AE257" s="18">
        <f>IF(COUNT(C257:O257)=0,"",IFERROR(L257/K257,0))</f>
        <v/>
      </c>
      <c r="AF257" s="18">
        <f>IF(COUNT(C257:O257)=0,"",IFERROR(M257/L257,0))</f>
        <v/>
      </c>
      <c r="AG257" s="17">
        <f>IF(COUNT(C257:O257)=0,"",IFERROR(M257/H257,0))</f>
        <v/>
      </c>
      <c r="AH257" s="15">
        <f>IF(COUNT(C257:O257)=0,"",IFERROR(C257/M257,0))</f>
        <v/>
      </c>
      <c r="AI257" s="20">
        <f>IF(COUNT(C257:O257)=0,"",IFERROR(M257*Config!$C$7+N257*Config!$C$8,0))</f>
        <v/>
      </c>
      <c r="AJ257" s="20">
        <f>IF(COUNT(C257:O257)=0,"",IFERROR(IF(O257&gt;0,O257,AI257*Config!$C$9),0))</f>
        <v/>
      </c>
      <c r="AK257" s="20">
        <f>IF(COUNT(C257:O257)=0,"",IFERROR(AJ257*(1-Config!$C$10-Config!$C$11-Config!$C$12),0))</f>
        <v/>
      </c>
      <c r="AL257" s="20">
        <f>IF(COUNT(C257:O257)=0,"",IFERROR(AK257-C257-Config!$C$13,0))</f>
        <v/>
      </c>
      <c r="AM257" s="21">
        <f>IF(COUNT(C257:O257)=0,"",IFERROR(AK257/C257,0))</f>
        <v/>
      </c>
      <c r="AN257" s="21">
        <f>IF(COUNT(C257:O257)=0,"",IFERROR(AI257/C257,0))</f>
        <v/>
      </c>
      <c r="AO257" s="15">
        <f>IF(COUNT(C257:O257)=0,"",IFERROR(AL257/G257,0))</f>
        <v/>
      </c>
      <c r="AP257" s="21">
        <f>IF(COUNT(C257:O257)=0,"",IFERROR(AO257/U257,0))</f>
        <v/>
      </c>
      <c r="AQ257" s="15">
        <f>IF(COUNT(C257:O257)=0,"",IFERROR(AL257/H257,0))</f>
        <v/>
      </c>
    </row>
    <row r="258">
      <c r="A258" s="12">
        <f>Config!$C$6+252</f>
        <v/>
      </c>
      <c r="B258" s="13">
        <f>INT((A258-Config!$C$6)/7)+1</f>
        <v/>
      </c>
      <c r="C258" s="10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0" t="n"/>
      <c r="P258" s="15">
        <f>IF(COUNT(C258:O258)=0,"",IFERROR(C258/D258*1000,0))</f>
        <v/>
      </c>
      <c r="Q258" s="16">
        <f>IF(COUNT(C258:O258)=0,"",IFERROR(D258/E258,0))</f>
        <v/>
      </c>
      <c r="R258" s="17">
        <f>IF(COUNT(C258:O258)=0,"",IFERROR(F258/D258,0))</f>
        <v/>
      </c>
      <c r="S258" s="15">
        <f>IF(COUNT(C258:O258)=0,"",IFERROR(C258/F258,0))</f>
        <v/>
      </c>
      <c r="T258" s="18">
        <f>IF(COUNT(C258:O258)=0,"",IFERROR(G258/F258,0))</f>
        <v/>
      </c>
      <c r="U258" s="15">
        <f>IF(COUNT(C258:O258)=0,"",IFERROR(C258/G258,0))</f>
        <v/>
      </c>
      <c r="V258" s="19">
        <f>IF(COUNT(C258:O258)=0,"",IFERROR(G258/D258*1000,0))</f>
        <v/>
      </c>
      <c r="W258" s="18">
        <f>IF(COUNT(C258:O258)=0,"",IFERROR(H258/G258,0))</f>
        <v/>
      </c>
      <c r="X258" s="15">
        <f>IF(COUNT(C258:O258)=0,"",IFERROR(C258/H258,0))</f>
        <v/>
      </c>
      <c r="Y258" s="18">
        <f>IF(COUNT(C258:O258)=0,"",IFERROR(X258/P258,0))</f>
        <v/>
      </c>
      <c r="Z258" s="19">
        <f>IF(COUNT(C258:O258)=0,"",IFERROR(H258/D258*1000,0))</f>
        <v/>
      </c>
      <c r="AA258" s="18">
        <f>IF(COUNT(C258:O258)=0,"",IFERROR(I258/H258,0))</f>
        <v/>
      </c>
      <c r="AB258" s="18">
        <f>IF(COUNT(C258:O258)=0,"",IFERROR(J258/I258,0))</f>
        <v/>
      </c>
      <c r="AC258" s="18">
        <f>IF(COUNT(C258:O258)=0,"",IFERROR(K258/J258,0))</f>
        <v/>
      </c>
      <c r="AD258" s="15">
        <f>IF(COUNT(C258:O258)=0,"",IFERROR(C258/K258,0))</f>
        <v/>
      </c>
      <c r="AE258" s="18">
        <f>IF(COUNT(C258:O258)=0,"",IFERROR(L258/K258,0))</f>
        <v/>
      </c>
      <c r="AF258" s="18">
        <f>IF(COUNT(C258:O258)=0,"",IFERROR(M258/L258,0))</f>
        <v/>
      </c>
      <c r="AG258" s="17">
        <f>IF(COUNT(C258:O258)=0,"",IFERROR(M258/H258,0))</f>
        <v/>
      </c>
      <c r="AH258" s="15">
        <f>IF(COUNT(C258:O258)=0,"",IFERROR(C258/M258,0))</f>
        <v/>
      </c>
      <c r="AI258" s="20">
        <f>IF(COUNT(C258:O258)=0,"",IFERROR(M258*Config!$C$7+N258*Config!$C$8,0))</f>
        <v/>
      </c>
      <c r="AJ258" s="20">
        <f>IF(COUNT(C258:O258)=0,"",IFERROR(IF(O258&gt;0,O258,AI258*Config!$C$9),0))</f>
        <v/>
      </c>
      <c r="AK258" s="20">
        <f>IF(COUNT(C258:O258)=0,"",IFERROR(AJ258*(1-Config!$C$10-Config!$C$11-Config!$C$12),0))</f>
        <v/>
      </c>
      <c r="AL258" s="20">
        <f>IF(COUNT(C258:O258)=0,"",IFERROR(AK258-C258-Config!$C$13,0))</f>
        <v/>
      </c>
      <c r="AM258" s="21">
        <f>IF(COUNT(C258:O258)=0,"",IFERROR(AK258/C258,0))</f>
        <v/>
      </c>
      <c r="AN258" s="21">
        <f>IF(COUNT(C258:O258)=0,"",IFERROR(AI258/C258,0))</f>
        <v/>
      </c>
      <c r="AO258" s="15">
        <f>IF(COUNT(C258:O258)=0,"",IFERROR(AL258/G258,0))</f>
        <v/>
      </c>
      <c r="AP258" s="21">
        <f>IF(COUNT(C258:O258)=0,"",IFERROR(AO258/U258,0))</f>
        <v/>
      </c>
      <c r="AQ258" s="15">
        <f>IF(COUNT(C258:O258)=0,"",IFERROR(AL258/H258,0))</f>
        <v/>
      </c>
    </row>
    <row r="259">
      <c r="A259" s="12">
        <f>Config!$C$6+253</f>
        <v/>
      </c>
      <c r="B259" s="13">
        <f>INT((A259-Config!$C$6)/7)+1</f>
        <v/>
      </c>
      <c r="C259" s="10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0" t="n"/>
      <c r="P259" s="15">
        <f>IF(COUNT(C259:O259)=0,"",IFERROR(C259/D259*1000,0))</f>
        <v/>
      </c>
      <c r="Q259" s="16">
        <f>IF(COUNT(C259:O259)=0,"",IFERROR(D259/E259,0))</f>
        <v/>
      </c>
      <c r="R259" s="17">
        <f>IF(COUNT(C259:O259)=0,"",IFERROR(F259/D259,0))</f>
        <v/>
      </c>
      <c r="S259" s="15">
        <f>IF(COUNT(C259:O259)=0,"",IFERROR(C259/F259,0))</f>
        <v/>
      </c>
      <c r="T259" s="18">
        <f>IF(COUNT(C259:O259)=0,"",IFERROR(G259/F259,0))</f>
        <v/>
      </c>
      <c r="U259" s="15">
        <f>IF(COUNT(C259:O259)=0,"",IFERROR(C259/G259,0))</f>
        <v/>
      </c>
      <c r="V259" s="19">
        <f>IF(COUNT(C259:O259)=0,"",IFERROR(G259/D259*1000,0))</f>
        <v/>
      </c>
      <c r="W259" s="18">
        <f>IF(COUNT(C259:O259)=0,"",IFERROR(H259/G259,0))</f>
        <v/>
      </c>
      <c r="X259" s="15">
        <f>IF(COUNT(C259:O259)=0,"",IFERROR(C259/H259,0))</f>
        <v/>
      </c>
      <c r="Y259" s="18">
        <f>IF(COUNT(C259:O259)=0,"",IFERROR(X259/P259,0))</f>
        <v/>
      </c>
      <c r="Z259" s="19">
        <f>IF(COUNT(C259:O259)=0,"",IFERROR(H259/D259*1000,0))</f>
        <v/>
      </c>
      <c r="AA259" s="18">
        <f>IF(COUNT(C259:O259)=0,"",IFERROR(I259/H259,0))</f>
        <v/>
      </c>
      <c r="AB259" s="18">
        <f>IF(COUNT(C259:O259)=0,"",IFERROR(J259/I259,0))</f>
        <v/>
      </c>
      <c r="AC259" s="18">
        <f>IF(COUNT(C259:O259)=0,"",IFERROR(K259/J259,0))</f>
        <v/>
      </c>
      <c r="AD259" s="15">
        <f>IF(COUNT(C259:O259)=0,"",IFERROR(C259/K259,0))</f>
        <v/>
      </c>
      <c r="AE259" s="18">
        <f>IF(COUNT(C259:O259)=0,"",IFERROR(L259/K259,0))</f>
        <v/>
      </c>
      <c r="AF259" s="18">
        <f>IF(COUNT(C259:O259)=0,"",IFERROR(M259/L259,0))</f>
        <v/>
      </c>
      <c r="AG259" s="17">
        <f>IF(COUNT(C259:O259)=0,"",IFERROR(M259/H259,0))</f>
        <v/>
      </c>
      <c r="AH259" s="15">
        <f>IF(COUNT(C259:O259)=0,"",IFERROR(C259/M259,0))</f>
        <v/>
      </c>
      <c r="AI259" s="20">
        <f>IF(COUNT(C259:O259)=0,"",IFERROR(M259*Config!$C$7+N259*Config!$C$8,0))</f>
        <v/>
      </c>
      <c r="AJ259" s="20">
        <f>IF(COUNT(C259:O259)=0,"",IFERROR(IF(O259&gt;0,O259,AI259*Config!$C$9),0))</f>
        <v/>
      </c>
      <c r="AK259" s="20">
        <f>IF(COUNT(C259:O259)=0,"",IFERROR(AJ259*(1-Config!$C$10-Config!$C$11-Config!$C$12),0))</f>
        <v/>
      </c>
      <c r="AL259" s="20">
        <f>IF(COUNT(C259:O259)=0,"",IFERROR(AK259-C259-Config!$C$13,0))</f>
        <v/>
      </c>
      <c r="AM259" s="21">
        <f>IF(COUNT(C259:O259)=0,"",IFERROR(AK259/C259,0))</f>
        <v/>
      </c>
      <c r="AN259" s="21">
        <f>IF(COUNT(C259:O259)=0,"",IFERROR(AI259/C259,0))</f>
        <v/>
      </c>
      <c r="AO259" s="15">
        <f>IF(COUNT(C259:O259)=0,"",IFERROR(AL259/G259,0))</f>
        <v/>
      </c>
      <c r="AP259" s="21">
        <f>IF(COUNT(C259:O259)=0,"",IFERROR(AO259/U259,0))</f>
        <v/>
      </c>
      <c r="AQ259" s="15">
        <f>IF(COUNT(C259:O259)=0,"",IFERROR(AL259/H259,0))</f>
        <v/>
      </c>
    </row>
    <row r="260">
      <c r="A260" s="12">
        <f>Config!$C$6+254</f>
        <v/>
      </c>
      <c r="B260" s="13">
        <f>INT((A260-Config!$C$6)/7)+1</f>
        <v/>
      </c>
      <c r="C260" s="10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0" t="n"/>
      <c r="P260" s="15">
        <f>IF(COUNT(C260:O260)=0,"",IFERROR(C260/D260*1000,0))</f>
        <v/>
      </c>
      <c r="Q260" s="16">
        <f>IF(COUNT(C260:O260)=0,"",IFERROR(D260/E260,0))</f>
        <v/>
      </c>
      <c r="R260" s="17">
        <f>IF(COUNT(C260:O260)=0,"",IFERROR(F260/D260,0))</f>
        <v/>
      </c>
      <c r="S260" s="15">
        <f>IF(COUNT(C260:O260)=0,"",IFERROR(C260/F260,0))</f>
        <v/>
      </c>
      <c r="T260" s="18">
        <f>IF(COUNT(C260:O260)=0,"",IFERROR(G260/F260,0))</f>
        <v/>
      </c>
      <c r="U260" s="15">
        <f>IF(COUNT(C260:O260)=0,"",IFERROR(C260/G260,0))</f>
        <v/>
      </c>
      <c r="V260" s="19">
        <f>IF(COUNT(C260:O260)=0,"",IFERROR(G260/D260*1000,0))</f>
        <v/>
      </c>
      <c r="W260" s="18">
        <f>IF(COUNT(C260:O260)=0,"",IFERROR(H260/G260,0))</f>
        <v/>
      </c>
      <c r="X260" s="15">
        <f>IF(COUNT(C260:O260)=0,"",IFERROR(C260/H260,0))</f>
        <v/>
      </c>
      <c r="Y260" s="18">
        <f>IF(COUNT(C260:O260)=0,"",IFERROR(X260/P260,0))</f>
        <v/>
      </c>
      <c r="Z260" s="19">
        <f>IF(COUNT(C260:O260)=0,"",IFERROR(H260/D260*1000,0))</f>
        <v/>
      </c>
      <c r="AA260" s="18">
        <f>IF(COUNT(C260:O260)=0,"",IFERROR(I260/H260,0))</f>
        <v/>
      </c>
      <c r="AB260" s="18">
        <f>IF(COUNT(C260:O260)=0,"",IFERROR(J260/I260,0))</f>
        <v/>
      </c>
      <c r="AC260" s="18">
        <f>IF(COUNT(C260:O260)=0,"",IFERROR(K260/J260,0))</f>
        <v/>
      </c>
      <c r="AD260" s="15">
        <f>IF(COUNT(C260:O260)=0,"",IFERROR(C260/K260,0))</f>
        <v/>
      </c>
      <c r="AE260" s="18">
        <f>IF(COUNT(C260:O260)=0,"",IFERROR(L260/K260,0))</f>
        <v/>
      </c>
      <c r="AF260" s="18">
        <f>IF(COUNT(C260:O260)=0,"",IFERROR(M260/L260,0))</f>
        <v/>
      </c>
      <c r="AG260" s="17">
        <f>IF(COUNT(C260:O260)=0,"",IFERROR(M260/H260,0))</f>
        <v/>
      </c>
      <c r="AH260" s="15">
        <f>IF(COUNT(C260:O260)=0,"",IFERROR(C260/M260,0))</f>
        <v/>
      </c>
      <c r="AI260" s="20">
        <f>IF(COUNT(C260:O260)=0,"",IFERROR(M260*Config!$C$7+N260*Config!$C$8,0))</f>
        <v/>
      </c>
      <c r="AJ260" s="20">
        <f>IF(COUNT(C260:O260)=0,"",IFERROR(IF(O260&gt;0,O260,AI260*Config!$C$9),0))</f>
        <v/>
      </c>
      <c r="AK260" s="20">
        <f>IF(COUNT(C260:O260)=0,"",IFERROR(AJ260*(1-Config!$C$10-Config!$C$11-Config!$C$12),0))</f>
        <v/>
      </c>
      <c r="AL260" s="20">
        <f>IF(COUNT(C260:O260)=0,"",IFERROR(AK260-C260-Config!$C$13,0))</f>
        <v/>
      </c>
      <c r="AM260" s="21">
        <f>IF(COUNT(C260:O260)=0,"",IFERROR(AK260/C260,0))</f>
        <v/>
      </c>
      <c r="AN260" s="21">
        <f>IF(COUNT(C260:O260)=0,"",IFERROR(AI260/C260,0))</f>
        <v/>
      </c>
      <c r="AO260" s="15">
        <f>IF(COUNT(C260:O260)=0,"",IFERROR(AL260/G260,0))</f>
        <v/>
      </c>
      <c r="AP260" s="21">
        <f>IF(COUNT(C260:O260)=0,"",IFERROR(AO260/U260,0))</f>
        <v/>
      </c>
      <c r="AQ260" s="15">
        <f>IF(COUNT(C260:O260)=0,"",IFERROR(AL260/H260,0))</f>
        <v/>
      </c>
    </row>
    <row r="261">
      <c r="A261" s="12">
        <f>Config!$C$6+255</f>
        <v/>
      </c>
      <c r="B261" s="13">
        <f>INT((A261-Config!$C$6)/7)+1</f>
        <v/>
      </c>
      <c r="C261" s="10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0" t="n"/>
      <c r="P261" s="15">
        <f>IF(COUNT(C261:O261)=0,"",IFERROR(C261/D261*1000,0))</f>
        <v/>
      </c>
      <c r="Q261" s="16">
        <f>IF(COUNT(C261:O261)=0,"",IFERROR(D261/E261,0))</f>
        <v/>
      </c>
      <c r="R261" s="17">
        <f>IF(COUNT(C261:O261)=0,"",IFERROR(F261/D261,0))</f>
        <v/>
      </c>
      <c r="S261" s="15">
        <f>IF(COUNT(C261:O261)=0,"",IFERROR(C261/F261,0))</f>
        <v/>
      </c>
      <c r="T261" s="18">
        <f>IF(COUNT(C261:O261)=0,"",IFERROR(G261/F261,0))</f>
        <v/>
      </c>
      <c r="U261" s="15">
        <f>IF(COUNT(C261:O261)=0,"",IFERROR(C261/G261,0))</f>
        <v/>
      </c>
      <c r="V261" s="19">
        <f>IF(COUNT(C261:O261)=0,"",IFERROR(G261/D261*1000,0))</f>
        <v/>
      </c>
      <c r="W261" s="18">
        <f>IF(COUNT(C261:O261)=0,"",IFERROR(H261/G261,0))</f>
        <v/>
      </c>
      <c r="X261" s="15">
        <f>IF(COUNT(C261:O261)=0,"",IFERROR(C261/H261,0))</f>
        <v/>
      </c>
      <c r="Y261" s="18">
        <f>IF(COUNT(C261:O261)=0,"",IFERROR(X261/P261,0))</f>
        <v/>
      </c>
      <c r="Z261" s="19">
        <f>IF(COUNT(C261:O261)=0,"",IFERROR(H261/D261*1000,0))</f>
        <v/>
      </c>
      <c r="AA261" s="18">
        <f>IF(COUNT(C261:O261)=0,"",IFERROR(I261/H261,0))</f>
        <v/>
      </c>
      <c r="AB261" s="18">
        <f>IF(COUNT(C261:O261)=0,"",IFERROR(J261/I261,0))</f>
        <v/>
      </c>
      <c r="AC261" s="18">
        <f>IF(COUNT(C261:O261)=0,"",IFERROR(K261/J261,0))</f>
        <v/>
      </c>
      <c r="AD261" s="15">
        <f>IF(COUNT(C261:O261)=0,"",IFERROR(C261/K261,0))</f>
        <v/>
      </c>
      <c r="AE261" s="18">
        <f>IF(COUNT(C261:O261)=0,"",IFERROR(L261/K261,0))</f>
        <v/>
      </c>
      <c r="AF261" s="18">
        <f>IF(COUNT(C261:O261)=0,"",IFERROR(M261/L261,0))</f>
        <v/>
      </c>
      <c r="AG261" s="17">
        <f>IF(COUNT(C261:O261)=0,"",IFERROR(M261/H261,0))</f>
        <v/>
      </c>
      <c r="AH261" s="15">
        <f>IF(COUNT(C261:O261)=0,"",IFERROR(C261/M261,0))</f>
        <v/>
      </c>
      <c r="AI261" s="20">
        <f>IF(COUNT(C261:O261)=0,"",IFERROR(M261*Config!$C$7+N261*Config!$C$8,0))</f>
        <v/>
      </c>
      <c r="AJ261" s="20">
        <f>IF(COUNT(C261:O261)=0,"",IFERROR(IF(O261&gt;0,O261,AI261*Config!$C$9),0))</f>
        <v/>
      </c>
      <c r="AK261" s="20">
        <f>IF(COUNT(C261:O261)=0,"",IFERROR(AJ261*(1-Config!$C$10-Config!$C$11-Config!$C$12),0))</f>
        <v/>
      </c>
      <c r="AL261" s="20">
        <f>IF(COUNT(C261:O261)=0,"",IFERROR(AK261-C261-Config!$C$13,0))</f>
        <v/>
      </c>
      <c r="AM261" s="21">
        <f>IF(COUNT(C261:O261)=0,"",IFERROR(AK261/C261,0))</f>
        <v/>
      </c>
      <c r="AN261" s="21">
        <f>IF(COUNT(C261:O261)=0,"",IFERROR(AI261/C261,0))</f>
        <v/>
      </c>
      <c r="AO261" s="15">
        <f>IF(COUNT(C261:O261)=0,"",IFERROR(AL261/G261,0))</f>
        <v/>
      </c>
      <c r="AP261" s="21">
        <f>IF(COUNT(C261:O261)=0,"",IFERROR(AO261/U261,0))</f>
        <v/>
      </c>
      <c r="AQ261" s="15">
        <f>IF(COUNT(C261:O261)=0,"",IFERROR(AL261/H261,0))</f>
        <v/>
      </c>
    </row>
    <row r="262">
      <c r="A262" s="12">
        <f>Config!$C$6+256</f>
        <v/>
      </c>
      <c r="B262" s="13">
        <f>INT((A262-Config!$C$6)/7)+1</f>
        <v/>
      </c>
      <c r="C262" s="10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0" t="n"/>
      <c r="P262" s="15">
        <f>IF(COUNT(C262:O262)=0,"",IFERROR(C262/D262*1000,0))</f>
        <v/>
      </c>
      <c r="Q262" s="16">
        <f>IF(COUNT(C262:O262)=0,"",IFERROR(D262/E262,0))</f>
        <v/>
      </c>
      <c r="R262" s="17">
        <f>IF(COUNT(C262:O262)=0,"",IFERROR(F262/D262,0))</f>
        <v/>
      </c>
      <c r="S262" s="15">
        <f>IF(COUNT(C262:O262)=0,"",IFERROR(C262/F262,0))</f>
        <v/>
      </c>
      <c r="T262" s="18">
        <f>IF(COUNT(C262:O262)=0,"",IFERROR(G262/F262,0))</f>
        <v/>
      </c>
      <c r="U262" s="15">
        <f>IF(COUNT(C262:O262)=0,"",IFERROR(C262/G262,0))</f>
        <v/>
      </c>
      <c r="V262" s="19">
        <f>IF(COUNT(C262:O262)=0,"",IFERROR(G262/D262*1000,0))</f>
        <v/>
      </c>
      <c r="W262" s="18">
        <f>IF(COUNT(C262:O262)=0,"",IFERROR(H262/G262,0))</f>
        <v/>
      </c>
      <c r="X262" s="15">
        <f>IF(COUNT(C262:O262)=0,"",IFERROR(C262/H262,0))</f>
        <v/>
      </c>
      <c r="Y262" s="18">
        <f>IF(COUNT(C262:O262)=0,"",IFERROR(X262/P262,0))</f>
        <v/>
      </c>
      <c r="Z262" s="19">
        <f>IF(COUNT(C262:O262)=0,"",IFERROR(H262/D262*1000,0))</f>
        <v/>
      </c>
      <c r="AA262" s="18">
        <f>IF(COUNT(C262:O262)=0,"",IFERROR(I262/H262,0))</f>
        <v/>
      </c>
      <c r="AB262" s="18">
        <f>IF(COUNT(C262:O262)=0,"",IFERROR(J262/I262,0))</f>
        <v/>
      </c>
      <c r="AC262" s="18">
        <f>IF(COUNT(C262:O262)=0,"",IFERROR(K262/J262,0))</f>
        <v/>
      </c>
      <c r="AD262" s="15">
        <f>IF(COUNT(C262:O262)=0,"",IFERROR(C262/K262,0))</f>
        <v/>
      </c>
      <c r="AE262" s="18">
        <f>IF(COUNT(C262:O262)=0,"",IFERROR(L262/K262,0))</f>
        <v/>
      </c>
      <c r="AF262" s="18">
        <f>IF(COUNT(C262:O262)=0,"",IFERROR(M262/L262,0))</f>
        <v/>
      </c>
      <c r="AG262" s="17">
        <f>IF(COUNT(C262:O262)=0,"",IFERROR(M262/H262,0))</f>
        <v/>
      </c>
      <c r="AH262" s="15">
        <f>IF(COUNT(C262:O262)=0,"",IFERROR(C262/M262,0))</f>
        <v/>
      </c>
      <c r="AI262" s="20">
        <f>IF(COUNT(C262:O262)=0,"",IFERROR(M262*Config!$C$7+N262*Config!$C$8,0))</f>
        <v/>
      </c>
      <c r="AJ262" s="20">
        <f>IF(COUNT(C262:O262)=0,"",IFERROR(IF(O262&gt;0,O262,AI262*Config!$C$9),0))</f>
        <v/>
      </c>
      <c r="AK262" s="20">
        <f>IF(COUNT(C262:O262)=0,"",IFERROR(AJ262*(1-Config!$C$10-Config!$C$11-Config!$C$12),0))</f>
        <v/>
      </c>
      <c r="AL262" s="20">
        <f>IF(COUNT(C262:O262)=0,"",IFERROR(AK262-C262-Config!$C$13,0))</f>
        <v/>
      </c>
      <c r="AM262" s="21">
        <f>IF(COUNT(C262:O262)=0,"",IFERROR(AK262/C262,0))</f>
        <v/>
      </c>
      <c r="AN262" s="21">
        <f>IF(COUNT(C262:O262)=0,"",IFERROR(AI262/C262,0))</f>
        <v/>
      </c>
      <c r="AO262" s="15">
        <f>IF(COUNT(C262:O262)=0,"",IFERROR(AL262/G262,0))</f>
        <v/>
      </c>
      <c r="AP262" s="21">
        <f>IF(COUNT(C262:O262)=0,"",IFERROR(AO262/U262,0))</f>
        <v/>
      </c>
      <c r="AQ262" s="15">
        <f>IF(COUNT(C262:O262)=0,"",IFERROR(AL262/H262,0))</f>
        <v/>
      </c>
    </row>
    <row r="263">
      <c r="A263" s="12">
        <f>Config!$C$6+257</f>
        <v/>
      </c>
      <c r="B263" s="13">
        <f>INT((A263-Config!$C$6)/7)+1</f>
        <v/>
      </c>
      <c r="C263" s="10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0" t="n"/>
      <c r="P263" s="15">
        <f>IF(COUNT(C263:O263)=0,"",IFERROR(C263/D263*1000,0))</f>
        <v/>
      </c>
      <c r="Q263" s="16">
        <f>IF(COUNT(C263:O263)=0,"",IFERROR(D263/E263,0))</f>
        <v/>
      </c>
      <c r="R263" s="17">
        <f>IF(COUNT(C263:O263)=0,"",IFERROR(F263/D263,0))</f>
        <v/>
      </c>
      <c r="S263" s="15">
        <f>IF(COUNT(C263:O263)=0,"",IFERROR(C263/F263,0))</f>
        <v/>
      </c>
      <c r="T263" s="18">
        <f>IF(COUNT(C263:O263)=0,"",IFERROR(G263/F263,0))</f>
        <v/>
      </c>
      <c r="U263" s="15">
        <f>IF(COUNT(C263:O263)=0,"",IFERROR(C263/G263,0))</f>
        <v/>
      </c>
      <c r="V263" s="19">
        <f>IF(COUNT(C263:O263)=0,"",IFERROR(G263/D263*1000,0))</f>
        <v/>
      </c>
      <c r="W263" s="18">
        <f>IF(COUNT(C263:O263)=0,"",IFERROR(H263/G263,0))</f>
        <v/>
      </c>
      <c r="X263" s="15">
        <f>IF(COUNT(C263:O263)=0,"",IFERROR(C263/H263,0))</f>
        <v/>
      </c>
      <c r="Y263" s="18">
        <f>IF(COUNT(C263:O263)=0,"",IFERROR(X263/P263,0))</f>
        <v/>
      </c>
      <c r="Z263" s="19">
        <f>IF(COUNT(C263:O263)=0,"",IFERROR(H263/D263*1000,0))</f>
        <v/>
      </c>
      <c r="AA263" s="18">
        <f>IF(COUNT(C263:O263)=0,"",IFERROR(I263/H263,0))</f>
        <v/>
      </c>
      <c r="AB263" s="18">
        <f>IF(COUNT(C263:O263)=0,"",IFERROR(J263/I263,0))</f>
        <v/>
      </c>
      <c r="AC263" s="18">
        <f>IF(COUNT(C263:O263)=0,"",IFERROR(K263/J263,0))</f>
        <v/>
      </c>
      <c r="AD263" s="15">
        <f>IF(COUNT(C263:O263)=0,"",IFERROR(C263/K263,0))</f>
        <v/>
      </c>
      <c r="AE263" s="18">
        <f>IF(COUNT(C263:O263)=0,"",IFERROR(L263/K263,0))</f>
        <v/>
      </c>
      <c r="AF263" s="18">
        <f>IF(COUNT(C263:O263)=0,"",IFERROR(M263/L263,0))</f>
        <v/>
      </c>
      <c r="AG263" s="17">
        <f>IF(COUNT(C263:O263)=0,"",IFERROR(M263/H263,0))</f>
        <v/>
      </c>
      <c r="AH263" s="15">
        <f>IF(COUNT(C263:O263)=0,"",IFERROR(C263/M263,0))</f>
        <v/>
      </c>
      <c r="AI263" s="20">
        <f>IF(COUNT(C263:O263)=0,"",IFERROR(M263*Config!$C$7+N263*Config!$C$8,0))</f>
        <v/>
      </c>
      <c r="AJ263" s="20">
        <f>IF(COUNT(C263:O263)=0,"",IFERROR(IF(O263&gt;0,O263,AI263*Config!$C$9),0))</f>
        <v/>
      </c>
      <c r="AK263" s="20">
        <f>IF(COUNT(C263:O263)=0,"",IFERROR(AJ263*(1-Config!$C$10-Config!$C$11-Config!$C$12),0))</f>
        <v/>
      </c>
      <c r="AL263" s="20">
        <f>IF(COUNT(C263:O263)=0,"",IFERROR(AK263-C263-Config!$C$13,0))</f>
        <v/>
      </c>
      <c r="AM263" s="21">
        <f>IF(COUNT(C263:O263)=0,"",IFERROR(AK263/C263,0))</f>
        <v/>
      </c>
      <c r="AN263" s="21">
        <f>IF(COUNT(C263:O263)=0,"",IFERROR(AI263/C263,0))</f>
        <v/>
      </c>
      <c r="AO263" s="15">
        <f>IF(COUNT(C263:O263)=0,"",IFERROR(AL263/G263,0))</f>
        <v/>
      </c>
      <c r="AP263" s="21">
        <f>IF(COUNT(C263:O263)=0,"",IFERROR(AO263/U263,0))</f>
        <v/>
      </c>
      <c r="AQ263" s="15">
        <f>IF(COUNT(C263:O263)=0,"",IFERROR(AL263/H263,0))</f>
        <v/>
      </c>
    </row>
    <row r="264">
      <c r="A264" s="12">
        <f>Config!$C$6+258</f>
        <v/>
      </c>
      <c r="B264" s="13">
        <f>INT((A264-Config!$C$6)/7)+1</f>
        <v/>
      </c>
      <c r="C264" s="10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0" t="n"/>
      <c r="P264" s="15">
        <f>IF(COUNT(C264:O264)=0,"",IFERROR(C264/D264*1000,0))</f>
        <v/>
      </c>
      <c r="Q264" s="16">
        <f>IF(COUNT(C264:O264)=0,"",IFERROR(D264/E264,0))</f>
        <v/>
      </c>
      <c r="R264" s="17">
        <f>IF(COUNT(C264:O264)=0,"",IFERROR(F264/D264,0))</f>
        <v/>
      </c>
      <c r="S264" s="15">
        <f>IF(COUNT(C264:O264)=0,"",IFERROR(C264/F264,0))</f>
        <v/>
      </c>
      <c r="T264" s="18">
        <f>IF(COUNT(C264:O264)=0,"",IFERROR(G264/F264,0))</f>
        <v/>
      </c>
      <c r="U264" s="15">
        <f>IF(COUNT(C264:O264)=0,"",IFERROR(C264/G264,0))</f>
        <v/>
      </c>
      <c r="V264" s="19">
        <f>IF(COUNT(C264:O264)=0,"",IFERROR(G264/D264*1000,0))</f>
        <v/>
      </c>
      <c r="W264" s="18">
        <f>IF(COUNT(C264:O264)=0,"",IFERROR(H264/G264,0))</f>
        <v/>
      </c>
      <c r="X264" s="15">
        <f>IF(COUNT(C264:O264)=0,"",IFERROR(C264/H264,0))</f>
        <v/>
      </c>
      <c r="Y264" s="18">
        <f>IF(COUNT(C264:O264)=0,"",IFERROR(X264/P264,0))</f>
        <v/>
      </c>
      <c r="Z264" s="19">
        <f>IF(COUNT(C264:O264)=0,"",IFERROR(H264/D264*1000,0))</f>
        <v/>
      </c>
      <c r="AA264" s="18">
        <f>IF(COUNT(C264:O264)=0,"",IFERROR(I264/H264,0))</f>
        <v/>
      </c>
      <c r="AB264" s="18">
        <f>IF(COUNT(C264:O264)=0,"",IFERROR(J264/I264,0))</f>
        <v/>
      </c>
      <c r="AC264" s="18">
        <f>IF(COUNT(C264:O264)=0,"",IFERROR(K264/J264,0))</f>
        <v/>
      </c>
      <c r="AD264" s="15">
        <f>IF(COUNT(C264:O264)=0,"",IFERROR(C264/K264,0))</f>
        <v/>
      </c>
      <c r="AE264" s="18">
        <f>IF(COUNT(C264:O264)=0,"",IFERROR(L264/K264,0))</f>
        <v/>
      </c>
      <c r="AF264" s="18">
        <f>IF(COUNT(C264:O264)=0,"",IFERROR(M264/L264,0))</f>
        <v/>
      </c>
      <c r="AG264" s="17">
        <f>IF(COUNT(C264:O264)=0,"",IFERROR(M264/H264,0))</f>
        <v/>
      </c>
      <c r="AH264" s="15">
        <f>IF(COUNT(C264:O264)=0,"",IFERROR(C264/M264,0))</f>
        <v/>
      </c>
      <c r="AI264" s="20">
        <f>IF(COUNT(C264:O264)=0,"",IFERROR(M264*Config!$C$7+N264*Config!$C$8,0))</f>
        <v/>
      </c>
      <c r="AJ264" s="20">
        <f>IF(COUNT(C264:O264)=0,"",IFERROR(IF(O264&gt;0,O264,AI264*Config!$C$9),0))</f>
        <v/>
      </c>
      <c r="AK264" s="20">
        <f>IF(COUNT(C264:O264)=0,"",IFERROR(AJ264*(1-Config!$C$10-Config!$C$11-Config!$C$12),0))</f>
        <v/>
      </c>
      <c r="AL264" s="20">
        <f>IF(COUNT(C264:O264)=0,"",IFERROR(AK264-C264-Config!$C$13,0))</f>
        <v/>
      </c>
      <c r="AM264" s="21">
        <f>IF(COUNT(C264:O264)=0,"",IFERROR(AK264/C264,0))</f>
        <v/>
      </c>
      <c r="AN264" s="21">
        <f>IF(COUNT(C264:O264)=0,"",IFERROR(AI264/C264,0))</f>
        <v/>
      </c>
      <c r="AO264" s="15">
        <f>IF(COUNT(C264:O264)=0,"",IFERROR(AL264/G264,0))</f>
        <v/>
      </c>
      <c r="AP264" s="21">
        <f>IF(COUNT(C264:O264)=0,"",IFERROR(AO264/U264,0))</f>
        <v/>
      </c>
      <c r="AQ264" s="15">
        <f>IF(COUNT(C264:O264)=0,"",IFERROR(AL264/H264,0))</f>
        <v/>
      </c>
    </row>
    <row r="265">
      <c r="A265" s="12">
        <f>Config!$C$6+259</f>
        <v/>
      </c>
      <c r="B265" s="13">
        <f>INT((A265-Config!$C$6)/7)+1</f>
        <v/>
      </c>
      <c r="C265" s="10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0" t="n"/>
      <c r="P265" s="15">
        <f>IF(COUNT(C265:O265)=0,"",IFERROR(C265/D265*1000,0))</f>
        <v/>
      </c>
      <c r="Q265" s="16">
        <f>IF(COUNT(C265:O265)=0,"",IFERROR(D265/E265,0))</f>
        <v/>
      </c>
      <c r="R265" s="17">
        <f>IF(COUNT(C265:O265)=0,"",IFERROR(F265/D265,0))</f>
        <v/>
      </c>
      <c r="S265" s="15">
        <f>IF(COUNT(C265:O265)=0,"",IFERROR(C265/F265,0))</f>
        <v/>
      </c>
      <c r="T265" s="18">
        <f>IF(COUNT(C265:O265)=0,"",IFERROR(G265/F265,0))</f>
        <v/>
      </c>
      <c r="U265" s="15">
        <f>IF(COUNT(C265:O265)=0,"",IFERROR(C265/G265,0))</f>
        <v/>
      </c>
      <c r="V265" s="19">
        <f>IF(COUNT(C265:O265)=0,"",IFERROR(G265/D265*1000,0))</f>
        <v/>
      </c>
      <c r="W265" s="18">
        <f>IF(COUNT(C265:O265)=0,"",IFERROR(H265/G265,0))</f>
        <v/>
      </c>
      <c r="X265" s="15">
        <f>IF(COUNT(C265:O265)=0,"",IFERROR(C265/H265,0))</f>
        <v/>
      </c>
      <c r="Y265" s="18">
        <f>IF(COUNT(C265:O265)=0,"",IFERROR(X265/P265,0))</f>
        <v/>
      </c>
      <c r="Z265" s="19">
        <f>IF(COUNT(C265:O265)=0,"",IFERROR(H265/D265*1000,0))</f>
        <v/>
      </c>
      <c r="AA265" s="18">
        <f>IF(COUNT(C265:O265)=0,"",IFERROR(I265/H265,0))</f>
        <v/>
      </c>
      <c r="AB265" s="18">
        <f>IF(COUNT(C265:O265)=0,"",IFERROR(J265/I265,0))</f>
        <v/>
      </c>
      <c r="AC265" s="18">
        <f>IF(COUNT(C265:O265)=0,"",IFERROR(K265/J265,0))</f>
        <v/>
      </c>
      <c r="AD265" s="15">
        <f>IF(COUNT(C265:O265)=0,"",IFERROR(C265/K265,0))</f>
        <v/>
      </c>
      <c r="AE265" s="18">
        <f>IF(COUNT(C265:O265)=0,"",IFERROR(L265/K265,0))</f>
        <v/>
      </c>
      <c r="AF265" s="18">
        <f>IF(COUNT(C265:O265)=0,"",IFERROR(M265/L265,0))</f>
        <v/>
      </c>
      <c r="AG265" s="17">
        <f>IF(COUNT(C265:O265)=0,"",IFERROR(M265/H265,0))</f>
        <v/>
      </c>
      <c r="AH265" s="15">
        <f>IF(COUNT(C265:O265)=0,"",IFERROR(C265/M265,0))</f>
        <v/>
      </c>
      <c r="AI265" s="20">
        <f>IF(COUNT(C265:O265)=0,"",IFERROR(M265*Config!$C$7+N265*Config!$C$8,0))</f>
        <v/>
      </c>
      <c r="AJ265" s="20">
        <f>IF(COUNT(C265:O265)=0,"",IFERROR(IF(O265&gt;0,O265,AI265*Config!$C$9),0))</f>
        <v/>
      </c>
      <c r="AK265" s="20">
        <f>IF(COUNT(C265:O265)=0,"",IFERROR(AJ265*(1-Config!$C$10-Config!$C$11-Config!$C$12),0))</f>
        <v/>
      </c>
      <c r="AL265" s="20">
        <f>IF(COUNT(C265:O265)=0,"",IFERROR(AK265-C265-Config!$C$13,0))</f>
        <v/>
      </c>
      <c r="AM265" s="21">
        <f>IF(COUNT(C265:O265)=0,"",IFERROR(AK265/C265,0))</f>
        <v/>
      </c>
      <c r="AN265" s="21">
        <f>IF(COUNT(C265:O265)=0,"",IFERROR(AI265/C265,0))</f>
        <v/>
      </c>
      <c r="AO265" s="15">
        <f>IF(COUNT(C265:O265)=0,"",IFERROR(AL265/G265,0))</f>
        <v/>
      </c>
      <c r="AP265" s="21">
        <f>IF(COUNT(C265:O265)=0,"",IFERROR(AO265/U265,0))</f>
        <v/>
      </c>
      <c r="AQ265" s="15">
        <f>IF(COUNT(C265:O265)=0,"",IFERROR(AL265/H265,0))</f>
        <v/>
      </c>
    </row>
    <row r="266">
      <c r="A266" s="12">
        <f>Config!$C$6+260</f>
        <v/>
      </c>
      <c r="B266" s="13">
        <f>INT((A266-Config!$C$6)/7)+1</f>
        <v/>
      </c>
      <c r="C266" s="10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0" t="n"/>
      <c r="P266" s="15">
        <f>IF(COUNT(C266:O266)=0,"",IFERROR(C266/D266*1000,0))</f>
        <v/>
      </c>
      <c r="Q266" s="16">
        <f>IF(COUNT(C266:O266)=0,"",IFERROR(D266/E266,0))</f>
        <v/>
      </c>
      <c r="R266" s="17">
        <f>IF(COUNT(C266:O266)=0,"",IFERROR(F266/D266,0))</f>
        <v/>
      </c>
      <c r="S266" s="15">
        <f>IF(COUNT(C266:O266)=0,"",IFERROR(C266/F266,0))</f>
        <v/>
      </c>
      <c r="T266" s="18">
        <f>IF(COUNT(C266:O266)=0,"",IFERROR(G266/F266,0))</f>
        <v/>
      </c>
      <c r="U266" s="15">
        <f>IF(COUNT(C266:O266)=0,"",IFERROR(C266/G266,0))</f>
        <v/>
      </c>
      <c r="V266" s="19">
        <f>IF(COUNT(C266:O266)=0,"",IFERROR(G266/D266*1000,0))</f>
        <v/>
      </c>
      <c r="W266" s="18">
        <f>IF(COUNT(C266:O266)=0,"",IFERROR(H266/G266,0))</f>
        <v/>
      </c>
      <c r="X266" s="15">
        <f>IF(COUNT(C266:O266)=0,"",IFERROR(C266/H266,0))</f>
        <v/>
      </c>
      <c r="Y266" s="18">
        <f>IF(COUNT(C266:O266)=0,"",IFERROR(X266/P266,0))</f>
        <v/>
      </c>
      <c r="Z266" s="19">
        <f>IF(COUNT(C266:O266)=0,"",IFERROR(H266/D266*1000,0))</f>
        <v/>
      </c>
      <c r="AA266" s="18">
        <f>IF(COUNT(C266:O266)=0,"",IFERROR(I266/H266,0))</f>
        <v/>
      </c>
      <c r="AB266" s="18">
        <f>IF(COUNT(C266:O266)=0,"",IFERROR(J266/I266,0))</f>
        <v/>
      </c>
      <c r="AC266" s="18">
        <f>IF(COUNT(C266:O266)=0,"",IFERROR(K266/J266,0))</f>
        <v/>
      </c>
      <c r="AD266" s="15">
        <f>IF(COUNT(C266:O266)=0,"",IFERROR(C266/K266,0))</f>
        <v/>
      </c>
      <c r="AE266" s="18">
        <f>IF(COUNT(C266:O266)=0,"",IFERROR(L266/K266,0))</f>
        <v/>
      </c>
      <c r="AF266" s="18">
        <f>IF(COUNT(C266:O266)=0,"",IFERROR(M266/L266,0))</f>
        <v/>
      </c>
      <c r="AG266" s="17">
        <f>IF(COUNT(C266:O266)=0,"",IFERROR(M266/H266,0))</f>
        <v/>
      </c>
      <c r="AH266" s="15">
        <f>IF(COUNT(C266:O266)=0,"",IFERROR(C266/M266,0))</f>
        <v/>
      </c>
      <c r="AI266" s="20">
        <f>IF(COUNT(C266:O266)=0,"",IFERROR(M266*Config!$C$7+N266*Config!$C$8,0))</f>
        <v/>
      </c>
      <c r="AJ266" s="20">
        <f>IF(COUNT(C266:O266)=0,"",IFERROR(IF(O266&gt;0,O266,AI266*Config!$C$9),0))</f>
        <v/>
      </c>
      <c r="AK266" s="20">
        <f>IF(COUNT(C266:O266)=0,"",IFERROR(AJ266*(1-Config!$C$10-Config!$C$11-Config!$C$12),0))</f>
        <v/>
      </c>
      <c r="AL266" s="20">
        <f>IF(COUNT(C266:O266)=0,"",IFERROR(AK266-C266-Config!$C$13,0))</f>
        <v/>
      </c>
      <c r="AM266" s="21">
        <f>IF(COUNT(C266:O266)=0,"",IFERROR(AK266/C266,0))</f>
        <v/>
      </c>
      <c r="AN266" s="21">
        <f>IF(COUNT(C266:O266)=0,"",IFERROR(AI266/C266,0))</f>
        <v/>
      </c>
      <c r="AO266" s="15">
        <f>IF(COUNT(C266:O266)=0,"",IFERROR(AL266/G266,0))</f>
        <v/>
      </c>
      <c r="AP266" s="21">
        <f>IF(COUNT(C266:O266)=0,"",IFERROR(AO266/U266,0))</f>
        <v/>
      </c>
      <c r="AQ266" s="15">
        <f>IF(COUNT(C266:O266)=0,"",IFERROR(AL266/H266,0))</f>
        <v/>
      </c>
    </row>
    <row r="267">
      <c r="A267" s="12">
        <f>Config!$C$6+261</f>
        <v/>
      </c>
      <c r="B267" s="13">
        <f>INT((A267-Config!$C$6)/7)+1</f>
        <v/>
      </c>
      <c r="C267" s="10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0" t="n"/>
      <c r="P267" s="15">
        <f>IF(COUNT(C267:O267)=0,"",IFERROR(C267/D267*1000,0))</f>
        <v/>
      </c>
      <c r="Q267" s="16">
        <f>IF(COUNT(C267:O267)=0,"",IFERROR(D267/E267,0))</f>
        <v/>
      </c>
      <c r="R267" s="17">
        <f>IF(COUNT(C267:O267)=0,"",IFERROR(F267/D267,0))</f>
        <v/>
      </c>
      <c r="S267" s="15">
        <f>IF(COUNT(C267:O267)=0,"",IFERROR(C267/F267,0))</f>
        <v/>
      </c>
      <c r="T267" s="18">
        <f>IF(COUNT(C267:O267)=0,"",IFERROR(G267/F267,0))</f>
        <v/>
      </c>
      <c r="U267" s="15">
        <f>IF(COUNT(C267:O267)=0,"",IFERROR(C267/G267,0))</f>
        <v/>
      </c>
      <c r="V267" s="19">
        <f>IF(COUNT(C267:O267)=0,"",IFERROR(G267/D267*1000,0))</f>
        <v/>
      </c>
      <c r="W267" s="18">
        <f>IF(COUNT(C267:O267)=0,"",IFERROR(H267/G267,0))</f>
        <v/>
      </c>
      <c r="X267" s="15">
        <f>IF(COUNT(C267:O267)=0,"",IFERROR(C267/H267,0))</f>
        <v/>
      </c>
      <c r="Y267" s="18">
        <f>IF(COUNT(C267:O267)=0,"",IFERROR(X267/P267,0))</f>
        <v/>
      </c>
      <c r="Z267" s="19">
        <f>IF(COUNT(C267:O267)=0,"",IFERROR(H267/D267*1000,0))</f>
        <v/>
      </c>
      <c r="AA267" s="18">
        <f>IF(COUNT(C267:O267)=0,"",IFERROR(I267/H267,0))</f>
        <v/>
      </c>
      <c r="AB267" s="18">
        <f>IF(COUNT(C267:O267)=0,"",IFERROR(J267/I267,0))</f>
        <v/>
      </c>
      <c r="AC267" s="18">
        <f>IF(COUNT(C267:O267)=0,"",IFERROR(K267/J267,0))</f>
        <v/>
      </c>
      <c r="AD267" s="15">
        <f>IF(COUNT(C267:O267)=0,"",IFERROR(C267/K267,0))</f>
        <v/>
      </c>
      <c r="AE267" s="18">
        <f>IF(COUNT(C267:O267)=0,"",IFERROR(L267/K267,0))</f>
        <v/>
      </c>
      <c r="AF267" s="18">
        <f>IF(COUNT(C267:O267)=0,"",IFERROR(M267/L267,0))</f>
        <v/>
      </c>
      <c r="AG267" s="17">
        <f>IF(COUNT(C267:O267)=0,"",IFERROR(M267/H267,0))</f>
        <v/>
      </c>
      <c r="AH267" s="15">
        <f>IF(COUNT(C267:O267)=0,"",IFERROR(C267/M267,0))</f>
        <v/>
      </c>
      <c r="AI267" s="20">
        <f>IF(COUNT(C267:O267)=0,"",IFERROR(M267*Config!$C$7+N267*Config!$C$8,0))</f>
        <v/>
      </c>
      <c r="AJ267" s="20">
        <f>IF(COUNT(C267:O267)=0,"",IFERROR(IF(O267&gt;0,O267,AI267*Config!$C$9),0))</f>
        <v/>
      </c>
      <c r="AK267" s="20">
        <f>IF(COUNT(C267:O267)=0,"",IFERROR(AJ267*(1-Config!$C$10-Config!$C$11-Config!$C$12),0))</f>
        <v/>
      </c>
      <c r="AL267" s="20">
        <f>IF(COUNT(C267:O267)=0,"",IFERROR(AK267-C267-Config!$C$13,0))</f>
        <v/>
      </c>
      <c r="AM267" s="21">
        <f>IF(COUNT(C267:O267)=0,"",IFERROR(AK267/C267,0))</f>
        <v/>
      </c>
      <c r="AN267" s="21">
        <f>IF(COUNT(C267:O267)=0,"",IFERROR(AI267/C267,0))</f>
        <v/>
      </c>
      <c r="AO267" s="15">
        <f>IF(COUNT(C267:O267)=0,"",IFERROR(AL267/G267,0))</f>
        <v/>
      </c>
      <c r="AP267" s="21">
        <f>IF(COUNT(C267:O267)=0,"",IFERROR(AO267/U267,0))</f>
        <v/>
      </c>
      <c r="AQ267" s="15">
        <f>IF(COUNT(C267:O267)=0,"",IFERROR(AL267/H267,0))</f>
        <v/>
      </c>
    </row>
    <row r="268">
      <c r="A268" s="12">
        <f>Config!$C$6+262</f>
        <v/>
      </c>
      <c r="B268" s="13">
        <f>INT((A268-Config!$C$6)/7)+1</f>
        <v/>
      </c>
      <c r="C268" s="10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0" t="n"/>
      <c r="P268" s="15">
        <f>IF(COUNT(C268:O268)=0,"",IFERROR(C268/D268*1000,0))</f>
        <v/>
      </c>
      <c r="Q268" s="16">
        <f>IF(COUNT(C268:O268)=0,"",IFERROR(D268/E268,0))</f>
        <v/>
      </c>
      <c r="R268" s="17">
        <f>IF(COUNT(C268:O268)=0,"",IFERROR(F268/D268,0))</f>
        <v/>
      </c>
      <c r="S268" s="15">
        <f>IF(COUNT(C268:O268)=0,"",IFERROR(C268/F268,0))</f>
        <v/>
      </c>
      <c r="T268" s="18">
        <f>IF(COUNT(C268:O268)=0,"",IFERROR(G268/F268,0))</f>
        <v/>
      </c>
      <c r="U268" s="15">
        <f>IF(COUNT(C268:O268)=0,"",IFERROR(C268/G268,0))</f>
        <v/>
      </c>
      <c r="V268" s="19">
        <f>IF(COUNT(C268:O268)=0,"",IFERROR(G268/D268*1000,0))</f>
        <v/>
      </c>
      <c r="W268" s="18">
        <f>IF(COUNT(C268:O268)=0,"",IFERROR(H268/G268,0))</f>
        <v/>
      </c>
      <c r="X268" s="15">
        <f>IF(COUNT(C268:O268)=0,"",IFERROR(C268/H268,0))</f>
        <v/>
      </c>
      <c r="Y268" s="18">
        <f>IF(COUNT(C268:O268)=0,"",IFERROR(X268/P268,0))</f>
        <v/>
      </c>
      <c r="Z268" s="19">
        <f>IF(COUNT(C268:O268)=0,"",IFERROR(H268/D268*1000,0))</f>
        <v/>
      </c>
      <c r="AA268" s="18">
        <f>IF(COUNT(C268:O268)=0,"",IFERROR(I268/H268,0))</f>
        <v/>
      </c>
      <c r="AB268" s="18">
        <f>IF(COUNT(C268:O268)=0,"",IFERROR(J268/I268,0))</f>
        <v/>
      </c>
      <c r="AC268" s="18">
        <f>IF(COUNT(C268:O268)=0,"",IFERROR(K268/J268,0))</f>
        <v/>
      </c>
      <c r="AD268" s="15">
        <f>IF(COUNT(C268:O268)=0,"",IFERROR(C268/K268,0))</f>
        <v/>
      </c>
      <c r="AE268" s="18">
        <f>IF(COUNT(C268:O268)=0,"",IFERROR(L268/K268,0))</f>
        <v/>
      </c>
      <c r="AF268" s="18">
        <f>IF(COUNT(C268:O268)=0,"",IFERROR(M268/L268,0))</f>
        <v/>
      </c>
      <c r="AG268" s="17">
        <f>IF(COUNT(C268:O268)=0,"",IFERROR(M268/H268,0))</f>
        <v/>
      </c>
      <c r="AH268" s="15">
        <f>IF(COUNT(C268:O268)=0,"",IFERROR(C268/M268,0))</f>
        <v/>
      </c>
      <c r="AI268" s="20">
        <f>IF(COUNT(C268:O268)=0,"",IFERROR(M268*Config!$C$7+N268*Config!$C$8,0))</f>
        <v/>
      </c>
      <c r="AJ268" s="20">
        <f>IF(COUNT(C268:O268)=0,"",IFERROR(IF(O268&gt;0,O268,AI268*Config!$C$9),0))</f>
        <v/>
      </c>
      <c r="AK268" s="20">
        <f>IF(COUNT(C268:O268)=0,"",IFERROR(AJ268*(1-Config!$C$10-Config!$C$11-Config!$C$12),0))</f>
        <v/>
      </c>
      <c r="AL268" s="20">
        <f>IF(COUNT(C268:O268)=0,"",IFERROR(AK268-C268-Config!$C$13,0))</f>
        <v/>
      </c>
      <c r="AM268" s="21">
        <f>IF(COUNT(C268:O268)=0,"",IFERROR(AK268/C268,0))</f>
        <v/>
      </c>
      <c r="AN268" s="21">
        <f>IF(COUNT(C268:O268)=0,"",IFERROR(AI268/C268,0))</f>
        <v/>
      </c>
      <c r="AO268" s="15">
        <f>IF(COUNT(C268:O268)=0,"",IFERROR(AL268/G268,0))</f>
        <v/>
      </c>
      <c r="AP268" s="21">
        <f>IF(COUNT(C268:O268)=0,"",IFERROR(AO268/U268,0))</f>
        <v/>
      </c>
      <c r="AQ268" s="15">
        <f>IF(COUNT(C268:O268)=0,"",IFERROR(AL268/H268,0))</f>
        <v/>
      </c>
    </row>
    <row r="269">
      <c r="A269" s="12">
        <f>Config!$C$6+263</f>
        <v/>
      </c>
      <c r="B269" s="13">
        <f>INT((A269-Config!$C$6)/7)+1</f>
        <v/>
      </c>
      <c r="C269" s="10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0" t="n"/>
      <c r="P269" s="15">
        <f>IF(COUNT(C269:O269)=0,"",IFERROR(C269/D269*1000,0))</f>
        <v/>
      </c>
      <c r="Q269" s="16">
        <f>IF(COUNT(C269:O269)=0,"",IFERROR(D269/E269,0))</f>
        <v/>
      </c>
      <c r="R269" s="17">
        <f>IF(COUNT(C269:O269)=0,"",IFERROR(F269/D269,0))</f>
        <v/>
      </c>
      <c r="S269" s="15">
        <f>IF(COUNT(C269:O269)=0,"",IFERROR(C269/F269,0))</f>
        <v/>
      </c>
      <c r="T269" s="18">
        <f>IF(COUNT(C269:O269)=0,"",IFERROR(G269/F269,0))</f>
        <v/>
      </c>
      <c r="U269" s="15">
        <f>IF(COUNT(C269:O269)=0,"",IFERROR(C269/G269,0))</f>
        <v/>
      </c>
      <c r="V269" s="19">
        <f>IF(COUNT(C269:O269)=0,"",IFERROR(G269/D269*1000,0))</f>
        <v/>
      </c>
      <c r="W269" s="18">
        <f>IF(COUNT(C269:O269)=0,"",IFERROR(H269/G269,0))</f>
        <v/>
      </c>
      <c r="X269" s="15">
        <f>IF(COUNT(C269:O269)=0,"",IFERROR(C269/H269,0))</f>
        <v/>
      </c>
      <c r="Y269" s="18">
        <f>IF(COUNT(C269:O269)=0,"",IFERROR(X269/P269,0))</f>
        <v/>
      </c>
      <c r="Z269" s="19">
        <f>IF(COUNT(C269:O269)=0,"",IFERROR(H269/D269*1000,0))</f>
        <v/>
      </c>
      <c r="AA269" s="18">
        <f>IF(COUNT(C269:O269)=0,"",IFERROR(I269/H269,0))</f>
        <v/>
      </c>
      <c r="AB269" s="18">
        <f>IF(COUNT(C269:O269)=0,"",IFERROR(J269/I269,0))</f>
        <v/>
      </c>
      <c r="AC269" s="18">
        <f>IF(COUNT(C269:O269)=0,"",IFERROR(K269/J269,0))</f>
        <v/>
      </c>
      <c r="AD269" s="15">
        <f>IF(COUNT(C269:O269)=0,"",IFERROR(C269/K269,0))</f>
        <v/>
      </c>
      <c r="AE269" s="18">
        <f>IF(COUNT(C269:O269)=0,"",IFERROR(L269/K269,0))</f>
        <v/>
      </c>
      <c r="AF269" s="18">
        <f>IF(COUNT(C269:O269)=0,"",IFERROR(M269/L269,0))</f>
        <v/>
      </c>
      <c r="AG269" s="17">
        <f>IF(COUNT(C269:O269)=0,"",IFERROR(M269/H269,0))</f>
        <v/>
      </c>
      <c r="AH269" s="15">
        <f>IF(COUNT(C269:O269)=0,"",IFERROR(C269/M269,0))</f>
        <v/>
      </c>
      <c r="AI269" s="20">
        <f>IF(COUNT(C269:O269)=0,"",IFERROR(M269*Config!$C$7+N269*Config!$C$8,0))</f>
        <v/>
      </c>
      <c r="AJ269" s="20">
        <f>IF(COUNT(C269:O269)=0,"",IFERROR(IF(O269&gt;0,O269,AI269*Config!$C$9),0))</f>
        <v/>
      </c>
      <c r="AK269" s="20">
        <f>IF(COUNT(C269:O269)=0,"",IFERROR(AJ269*(1-Config!$C$10-Config!$C$11-Config!$C$12),0))</f>
        <v/>
      </c>
      <c r="AL269" s="20">
        <f>IF(COUNT(C269:O269)=0,"",IFERROR(AK269-C269-Config!$C$13,0))</f>
        <v/>
      </c>
      <c r="AM269" s="21">
        <f>IF(COUNT(C269:O269)=0,"",IFERROR(AK269/C269,0))</f>
        <v/>
      </c>
      <c r="AN269" s="21">
        <f>IF(COUNT(C269:O269)=0,"",IFERROR(AI269/C269,0))</f>
        <v/>
      </c>
      <c r="AO269" s="15">
        <f>IF(COUNT(C269:O269)=0,"",IFERROR(AL269/G269,0))</f>
        <v/>
      </c>
      <c r="AP269" s="21">
        <f>IF(COUNT(C269:O269)=0,"",IFERROR(AO269/U269,0))</f>
        <v/>
      </c>
      <c r="AQ269" s="15">
        <f>IF(COUNT(C269:O269)=0,"",IFERROR(AL269/H269,0))</f>
        <v/>
      </c>
    </row>
    <row r="270">
      <c r="A270" s="12">
        <f>Config!$C$6+264</f>
        <v/>
      </c>
      <c r="B270" s="13">
        <f>INT((A270-Config!$C$6)/7)+1</f>
        <v/>
      </c>
      <c r="C270" s="10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0" t="n"/>
      <c r="P270" s="15">
        <f>IF(COUNT(C270:O270)=0,"",IFERROR(C270/D270*1000,0))</f>
        <v/>
      </c>
      <c r="Q270" s="16">
        <f>IF(COUNT(C270:O270)=0,"",IFERROR(D270/E270,0))</f>
        <v/>
      </c>
      <c r="R270" s="17">
        <f>IF(COUNT(C270:O270)=0,"",IFERROR(F270/D270,0))</f>
        <v/>
      </c>
      <c r="S270" s="15">
        <f>IF(COUNT(C270:O270)=0,"",IFERROR(C270/F270,0))</f>
        <v/>
      </c>
      <c r="T270" s="18">
        <f>IF(COUNT(C270:O270)=0,"",IFERROR(G270/F270,0))</f>
        <v/>
      </c>
      <c r="U270" s="15">
        <f>IF(COUNT(C270:O270)=0,"",IFERROR(C270/G270,0))</f>
        <v/>
      </c>
      <c r="V270" s="19">
        <f>IF(COUNT(C270:O270)=0,"",IFERROR(G270/D270*1000,0))</f>
        <v/>
      </c>
      <c r="W270" s="18">
        <f>IF(COUNT(C270:O270)=0,"",IFERROR(H270/G270,0))</f>
        <v/>
      </c>
      <c r="X270" s="15">
        <f>IF(COUNT(C270:O270)=0,"",IFERROR(C270/H270,0))</f>
        <v/>
      </c>
      <c r="Y270" s="18">
        <f>IF(COUNT(C270:O270)=0,"",IFERROR(X270/P270,0))</f>
        <v/>
      </c>
      <c r="Z270" s="19">
        <f>IF(COUNT(C270:O270)=0,"",IFERROR(H270/D270*1000,0))</f>
        <v/>
      </c>
      <c r="AA270" s="18">
        <f>IF(COUNT(C270:O270)=0,"",IFERROR(I270/H270,0))</f>
        <v/>
      </c>
      <c r="AB270" s="18">
        <f>IF(COUNT(C270:O270)=0,"",IFERROR(J270/I270,0))</f>
        <v/>
      </c>
      <c r="AC270" s="18">
        <f>IF(COUNT(C270:O270)=0,"",IFERROR(K270/J270,0))</f>
        <v/>
      </c>
      <c r="AD270" s="15">
        <f>IF(COUNT(C270:O270)=0,"",IFERROR(C270/K270,0))</f>
        <v/>
      </c>
      <c r="AE270" s="18">
        <f>IF(COUNT(C270:O270)=0,"",IFERROR(L270/K270,0))</f>
        <v/>
      </c>
      <c r="AF270" s="18">
        <f>IF(COUNT(C270:O270)=0,"",IFERROR(M270/L270,0))</f>
        <v/>
      </c>
      <c r="AG270" s="17">
        <f>IF(COUNT(C270:O270)=0,"",IFERROR(M270/H270,0))</f>
        <v/>
      </c>
      <c r="AH270" s="15">
        <f>IF(COUNT(C270:O270)=0,"",IFERROR(C270/M270,0))</f>
        <v/>
      </c>
      <c r="AI270" s="20">
        <f>IF(COUNT(C270:O270)=0,"",IFERROR(M270*Config!$C$7+N270*Config!$C$8,0))</f>
        <v/>
      </c>
      <c r="AJ270" s="20">
        <f>IF(COUNT(C270:O270)=0,"",IFERROR(IF(O270&gt;0,O270,AI270*Config!$C$9),0))</f>
        <v/>
      </c>
      <c r="AK270" s="20">
        <f>IF(COUNT(C270:O270)=0,"",IFERROR(AJ270*(1-Config!$C$10-Config!$C$11-Config!$C$12),0))</f>
        <v/>
      </c>
      <c r="AL270" s="20">
        <f>IF(COUNT(C270:O270)=0,"",IFERROR(AK270-C270-Config!$C$13,0))</f>
        <v/>
      </c>
      <c r="AM270" s="21">
        <f>IF(COUNT(C270:O270)=0,"",IFERROR(AK270/C270,0))</f>
        <v/>
      </c>
      <c r="AN270" s="21">
        <f>IF(COUNT(C270:O270)=0,"",IFERROR(AI270/C270,0))</f>
        <v/>
      </c>
      <c r="AO270" s="15">
        <f>IF(COUNT(C270:O270)=0,"",IFERROR(AL270/G270,0))</f>
        <v/>
      </c>
      <c r="AP270" s="21">
        <f>IF(COUNT(C270:O270)=0,"",IFERROR(AO270/U270,0))</f>
        <v/>
      </c>
      <c r="AQ270" s="15">
        <f>IF(COUNT(C270:O270)=0,"",IFERROR(AL270/H270,0))</f>
        <v/>
      </c>
    </row>
    <row r="271">
      <c r="A271" s="12">
        <f>Config!$C$6+265</f>
        <v/>
      </c>
      <c r="B271" s="13">
        <f>INT((A271-Config!$C$6)/7)+1</f>
        <v/>
      </c>
      <c r="C271" s="10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0" t="n"/>
      <c r="P271" s="15">
        <f>IF(COUNT(C271:O271)=0,"",IFERROR(C271/D271*1000,0))</f>
        <v/>
      </c>
      <c r="Q271" s="16">
        <f>IF(COUNT(C271:O271)=0,"",IFERROR(D271/E271,0))</f>
        <v/>
      </c>
      <c r="R271" s="17">
        <f>IF(COUNT(C271:O271)=0,"",IFERROR(F271/D271,0))</f>
        <v/>
      </c>
      <c r="S271" s="15">
        <f>IF(COUNT(C271:O271)=0,"",IFERROR(C271/F271,0))</f>
        <v/>
      </c>
      <c r="T271" s="18">
        <f>IF(COUNT(C271:O271)=0,"",IFERROR(G271/F271,0))</f>
        <v/>
      </c>
      <c r="U271" s="15">
        <f>IF(COUNT(C271:O271)=0,"",IFERROR(C271/G271,0))</f>
        <v/>
      </c>
      <c r="V271" s="19">
        <f>IF(COUNT(C271:O271)=0,"",IFERROR(G271/D271*1000,0))</f>
        <v/>
      </c>
      <c r="W271" s="18">
        <f>IF(COUNT(C271:O271)=0,"",IFERROR(H271/G271,0))</f>
        <v/>
      </c>
      <c r="X271" s="15">
        <f>IF(COUNT(C271:O271)=0,"",IFERROR(C271/H271,0))</f>
        <v/>
      </c>
      <c r="Y271" s="18">
        <f>IF(COUNT(C271:O271)=0,"",IFERROR(X271/P271,0))</f>
        <v/>
      </c>
      <c r="Z271" s="19">
        <f>IF(COUNT(C271:O271)=0,"",IFERROR(H271/D271*1000,0))</f>
        <v/>
      </c>
      <c r="AA271" s="18">
        <f>IF(COUNT(C271:O271)=0,"",IFERROR(I271/H271,0))</f>
        <v/>
      </c>
      <c r="AB271" s="18">
        <f>IF(COUNT(C271:O271)=0,"",IFERROR(J271/I271,0))</f>
        <v/>
      </c>
      <c r="AC271" s="18">
        <f>IF(COUNT(C271:O271)=0,"",IFERROR(K271/J271,0))</f>
        <v/>
      </c>
      <c r="AD271" s="15">
        <f>IF(COUNT(C271:O271)=0,"",IFERROR(C271/K271,0))</f>
        <v/>
      </c>
      <c r="AE271" s="18">
        <f>IF(COUNT(C271:O271)=0,"",IFERROR(L271/K271,0))</f>
        <v/>
      </c>
      <c r="AF271" s="18">
        <f>IF(COUNT(C271:O271)=0,"",IFERROR(M271/L271,0))</f>
        <v/>
      </c>
      <c r="AG271" s="17">
        <f>IF(COUNT(C271:O271)=0,"",IFERROR(M271/H271,0))</f>
        <v/>
      </c>
      <c r="AH271" s="15">
        <f>IF(COUNT(C271:O271)=0,"",IFERROR(C271/M271,0))</f>
        <v/>
      </c>
      <c r="AI271" s="20">
        <f>IF(COUNT(C271:O271)=0,"",IFERROR(M271*Config!$C$7+N271*Config!$C$8,0))</f>
        <v/>
      </c>
      <c r="AJ271" s="20">
        <f>IF(COUNT(C271:O271)=0,"",IFERROR(IF(O271&gt;0,O271,AI271*Config!$C$9),0))</f>
        <v/>
      </c>
      <c r="AK271" s="20">
        <f>IF(COUNT(C271:O271)=0,"",IFERROR(AJ271*(1-Config!$C$10-Config!$C$11-Config!$C$12),0))</f>
        <v/>
      </c>
      <c r="AL271" s="20">
        <f>IF(COUNT(C271:O271)=0,"",IFERROR(AK271-C271-Config!$C$13,0))</f>
        <v/>
      </c>
      <c r="AM271" s="21">
        <f>IF(COUNT(C271:O271)=0,"",IFERROR(AK271/C271,0))</f>
        <v/>
      </c>
      <c r="AN271" s="21">
        <f>IF(COUNT(C271:O271)=0,"",IFERROR(AI271/C271,0))</f>
        <v/>
      </c>
      <c r="AO271" s="15">
        <f>IF(COUNT(C271:O271)=0,"",IFERROR(AL271/G271,0))</f>
        <v/>
      </c>
      <c r="AP271" s="21">
        <f>IF(COUNT(C271:O271)=0,"",IFERROR(AO271/U271,0))</f>
        <v/>
      </c>
      <c r="AQ271" s="15">
        <f>IF(COUNT(C271:O271)=0,"",IFERROR(AL271/H271,0))</f>
        <v/>
      </c>
    </row>
    <row r="272">
      <c r="A272" s="12">
        <f>Config!$C$6+266</f>
        <v/>
      </c>
      <c r="B272" s="13">
        <f>INT((A272-Config!$C$6)/7)+1</f>
        <v/>
      </c>
      <c r="C272" s="10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0" t="n"/>
      <c r="P272" s="15">
        <f>IF(COUNT(C272:O272)=0,"",IFERROR(C272/D272*1000,0))</f>
        <v/>
      </c>
      <c r="Q272" s="16">
        <f>IF(COUNT(C272:O272)=0,"",IFERROR(D272/E272,0))</f>
        <v/>
      </c>
      <c r="R272" s="17">
        <f>IF(COUNT(C272:O272)=0,"",IFERROR(F272/D272,0))</f>
        <v/>
      </c>
      <c r="S272" s="15">
        <f>IF(COUNT(C272:O272)=0,"",IFERROR(C272/F272,0))</f>
        <v/>
      </c>
      <c r="T272" s="18">
        <f>IF(COUNT(C272:O272)=0,"",IFERROR(G272/F272,0))</f>
        <v/>
      </c>
      <c r="U272" s="15">
        <f>IF(COUNT(C272:O272)=0,"",IFERROR(C272/G272,0))</f>
        <v/>
      </c>
      <c r="V272" s="19">
        <f>IF(COUNT(C272:O272)=0,"",IFERROR(G272/D272*1000,0))</f>
        <v/>
      </c>
      <c r="W272" s="18">
        <f>IF(COUNT(C272:O272)=0,"",IFERROR(H272/G272,0))</f>
        <v/>
      </c>
      <c r="X272" s="15">
        <f>IF(COUNT(C272:O272)=0,"",IFERROR(C272/H272,0))</f>
        <v/>
      </c>
      <c r="Y272" s="18">
        <f>IF(COUNT(C272:O272)=0,"",IFERROR(X272/P272,0))</f>
        <v/>
      </c>
      <c r="Z272" s="19">
        <f>IF(COUNT(C272:O272)=0,"",IFERROR(H272/D272*1000,0))</f>
        <v/>
      </c>
      <c r="AA272" s="18">
        <f>IF(COUNT(C272:O272)=0,"",IFERROR(I272/H272,0))</f>
        <v/>
      </c>
      <c r="AB272" s="18">
        <f>IF(COUNT(C272:O272)=0,"",IFERROR(J272/I272,0))</f>
        <v/>
      </c>
      <c r="AC272" s="18">
        <f>IF(COUNT(C272:O272)=0,"",IFERROR(K272/J272,0))</f>
        <v/>
      </c>
      <c r="AD272" s="15">
        <f>IF(COUNT(C272:O272)=0,"",IFERROR(C272/K272,0))</f>
        <v/>
      </c>
      <c r="AE272" s="18">
        <f>IF(COUNT(C272:O272)=0,"",IFERROR(L272/K272,0))</f>
        <v/>
      </c>
      <c r="AF272" s="18">
        <f>IF(COUNT(C272:O272)=0,"",IFERROR(M272/L272,0))</f>
        <v/>
      </c>
      <c r="AG272" s="17">
        <f>IF(COUNT(C272:O272)=0,"",IFERROR(M272/H272,0))</f>
        <v/>
      </c>
      <c r="AH272" s="15">
        <f>IF(COUNT(C272:O272)=0,"",IFERROR(C272/M272,0))</f>
        <v/>
      </c>
      <c r="AI272" s="20">
        <f>IF(COUNT(C272:O272)=0,"",IFERROR(M272*Config!$C$7+N272*Config!$C$8,0))</f>
        <v/>
      </c>
      <c r="AJ272" s="20">
        <f>IF(COUNT(C272:O272)=0,"",IFERROR(IF(O272&gt;0,O272,AI272*Config!$C$9),0))</f>
        <v/>
      </c>
      <c r="AK272" s="20">
        <f>IF(COUNT(C272:O272)=0,"",IFERROR(AJ272*(1-Config!$C$10-Config!$C$11-Config!$C$12),0))</f>
        <v/>
      </c>
      <c r="AL272" s="20">
        <f>IF(COUNT(C272:O272)=0,"",IFERROR(AK272-C272-Config!$C$13,0))</f>
        <v/>
      </c>
      <c r="AM272" s="21">
        <f>IF(COUNT(C272:O272)=0,"",IFERROR(AK272/C272,0))</f>
        <v/>
      </c>
      <c r="AN272" s="21">
        <f>IF(COUNT(C272:O272)=0,"",IFERROR(AI272/C272,0))</f>
        <v/>
      </c>
      <c r="AO272" s="15">
        <f>IF(COUNT(C272:O272)=0,"",IFERROR(AL272/G272,0))</f>
        <v/>
      </c>
      <c r="AP272" s="21">
        <f>IF(COUNT(C272:O272)=0,"",IFERROR(AO272/U272,0))</f>
        <v/>
      </c>
      <c r="AQ272" s="15">
        <f>IF(COUNT(C272:O272)=0,"",IFERROR(AL272/H272,0))</f>
        <v/>
      </c>
    </row>
    <row r="273">
      <c r="A273" s="12">
        <f>Config!$C$6+267</f>
        <v/>
      </c>
      <c r="B273" s="13">
        <f>INT((A273-Config!$C$6)/7)+1</f>
        <v/>
      </c>
      <c r="C273" s="10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0" t="n"/>
      <c r="P273" s="15">
        <f>IF(COUNT(C273:O273)=0,"",IFERROR(C273/D273*1000,0))</f>
        <v/>
      </c>
      <c r="Q273" s="16">
        <f>IF(COUNT(C273:O273)=0,"",IFERROR(D273/E273,0))</f>
        <v/>
      </c>
      <c r="R273" s="17">
        <f>IF(COUNT(C273:O273)=0,"",IFERROR(F273/D273,0))</f>
        <v/>
      </c>
      <c r="S273" s="15">
        <f>IF(COUNT(C273:O273)=0,"",IFERROR(C273/F273,0))</f>
        <v/>
      </c>
      <c r="T273" s="18">
        <f>IF(COUNT(C273:O273)=0,"",IFERROR(G273/F273,0))</f>
        <v/>
      </c>
      <c r="U273" s="15">
        <f>IF(COUNT(C273:O273)=0,"",IFERROR(C273/G273,0))</f>
        <v/>
      </c>
      <c r="V273" s="19">
        <f>IF(COUNT(C273:O273)=0,"",IFERROR(G273/D273*1000,0))</f>
        <v/>
      </c>
      <c r="W273" s="18">
        <f>IF(COUNT(C273:O273)=0,"",IFERROR(H273/G273,0))</f>
        <v/>
      </c>
      <c r="X273" s="15">
        <f>IF(COUNT(C273:O273)=0,"",IFERROR(C273/H273,0))</f>
        <v/>
      </c>
      <c r="Y273" s="18">
        <f>IF(COUNT(C273:O273)=0,"",IFERROR(X273/P273,0))</f>
        <v/>
      </c>
      <c r="Z273" s="19">
        <f>IF(COUNT(C273:O273)=0,"",IFERROR(H273/D273*1000,0))</f>
        <v/>
      </c>
      <c r="AA273" s="18">
        <f>IF(COUNT(C273:O273)=0,"",IFERROR(I273/H273,0))</f>
        <v/>
      </c>
      <c r="AB273" s="18">
        <f>IF(COUNT(C273:O273)=0,"",IFERROR(J273/I273,0))</f>
        <v/>
      </c>
      <c r="AC273" s="18">
        <f>IF(COUNT(C273:O273)=0,"",IFERROR(K273/J273,0))</f>
        <v/>
      </c>
      <c r="AD273" s="15">
        <f>IF(COUNT(C273:O273)=0,"",IFERROR(C273/K273,0))</f>
        <v/>
      </c>
      <c r="AE273" s="18">
        <f>IF(COUNT(C273:O273)=0,"",IFERROR(L273/K273,0))</f>
        <v/>
      </c>
      <c r="AF273" s="18">
        <f>IF(COUNT(C273:O273)=0,"",IFERROR(M273/L273,0))</f>
        <v/>
      </c>
      <c r="AG273" s="17">
        <f>IF(COUNT(C273:O273)=0,"",IFERROR(M273/H273,0))</f>
        <v/>
      </c>
      <c r="AH273" s="15">
        <f>IF(COUNT(C273:O273)=0,"",IFERROR(C273/M273,0))</f>
        <v/>
      </c>
      <c r="AI273" s="20">
        <f>IF(COUNT(C273:O273)=0,"",IFERROR(M273*Config!$C$7+N273*Config!$C$8,0))</f>
        <v/>
      </c>
      <c r="AJ273" s="20">
        <f>IF(COUNT(C273:O273)=0,"",IFERROR(IF(O273&gt;0,O273,AI273*Config!$C$9),0))</f>
        <v/>
      </c>
      <c r="AK273" s="20">
        <f>IF(COUNT(C273:O273)=0,"",IFERROR(AJ273*(1-Config!$C$10-Config!$C$11-Config!$C$12),0))</f>
        <v/>
      </c>
      <c r="AL273" s="20">
        <f>IF(COUNT(C273:O273)=0,"",IFERROR(AK273-C273-Config!$C$13,0))</f>
        <v/>
      </c>
      <c r="AM273" s="21">
        <f>IF(COUNT(C273:O273)=0,"",IFERROR(AK273/C273,0))</f>
        <v/>
      </c>
      <c r="AN273" s="21">
        <f>IF(COUNT(C273:O273)=0,"",IFERROR(AI273/C273,0))</f>
        <v/>
      </c>
      <c r="AO273" s="15">
        <f>IF(COUNT(C273:O273)=0,"",IFERROR(AL273/G273,0))</f>
        <v/>
      </c>
      <c r="AP273" s="21">
        <f>IF(COUNT(C273:O273)=0,"",IFERROR(AO273/U273,0))</f>
        <v/>
      </c>
      <c r="AQ273" s="15">
        <f>IF(COUNT(C273:O273)=0,"",IFERROR(AL273/H273,0))</f>
        <v/>
      </c>
    </row>
    <row r="274">
      <c r="A274" s="12">
        <f>Config!$C$6+268</f>
        <v/>
      </c>
      <c r="B274" s="13">
        <f>INT((A274-Config!$C$6)/7)+1</f>
        <v/>
      </c>
      <c r="C274" s="10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0" t="n"/>
      <c r="P274" s="15">
        <f>IF(COUNT(C274:O274)=0,"",IFERROR(C274/D274*1000,0))</f>
        <v/>
      </c>
      <c r="Q274" s="16">
        <f>IF(COUNT(C274:O274)=0,"",IFERROR(D274/E274,0))</f>
        <v/>
      </c>
      <c r="R274" s="17">
        <f>IF(COUNT(C274:O274)=0,"",IFERROR(F274/D274,0))</f>
        <v/>
      </c>
      <c r="S274" s="15">
        <f>IF(COUNT(C274:O274)=0,"",IFERROR(C274/F274,0))</f>
        <v/>
      </c>
      <c r="T274" s="18">
        <f>IF(COUNT(C274:O274)=0,"",IFERROR(G274/F274,0))</f>
        <v/>
      </c>
      <c r="U274" s="15">
        <f>IF(COUNT(C274:O274)=0,"",IFERROR(C274/G274,0))</f>
        <v/>
      </c>
      <c r="V274" s="19">
        <f>IF(COUNT(C274:O274)=0,"",IFERROR(G274/D274*1000,0))</f>
        <v/>
      </c>
      <c r="W274" s="18">
        <f>IF(COUNT(C274:O274)=0,"",IFERROR(H274/G274,0))</f>
        <v/>
      </c>
      <c r="X274" s="15">
        <f>IF(COUNT(C274:O274)=0,"",IFERROR(C274/H274,0))</f>
        <v/>
      </c>
      <c r="Y274" s="18">
        <f>IF(COUNT(C274:O274)=0,"",IFERROR(X274/P274,0))</f>
        <v/>
      </c>
      <c r="Z274" s="19">
        <f>IF(COUNT(C274:O274)=0,"",IFERROR(H274/D274*1000,0))</f>
        <v/>
      </c>
      <c r="AA274" s="18">
        <f>IF(COUNT(C274:O274)=0,"",IFERROR(I274/H274,0))</f>
        <v/>
      </c>
      <c r="AB274" s="18">
        <f>IF(COUNT(C274:O274)=0,"",IFERROR(J274/I274,0))</f>
        <v/>
      </c>
      <c r="AC274" s="18">
        <f>IF(COUNT(C274:O274)=0,"",IFERROR(K274/J274,0))</f>
        <v/>
      </c>
      <c r="AD274" s="15">
        <f>IF(COUNT(C274:O274)=0,"",IFERROR(C274/K274,0))</f>
        <v/>
      </c>
      <c r="AE274" s="18">
        <f>IF(COUNT(C274:O274)=0,"",IFERROR(L274/K274,0))</f>
        <v/>
      </c>
      <c r="AF274" s="18">
        <f>IF(COUNT(C274:O274)=0,"",IFERROR(M274/L274,0))</f>
        <v/>
      </c>
      <c r="AG274" s="17">
        <f>IF(COUNT(C274:O274)=0,"",IFERROR(M274/H274,0))</f>
        <v/>
      </c>
      <c r="AH274" s="15">
        <f>IF(COUNT(C274:O274)=0,"",IFERROR(C274/M274,0))</f>
        <v/>
      </c>
      <c r="AI274" s="20">
        <f>IF(COUNT(C274:O274)=0,"",IFERROR(M274*Config!$C$7+N274*Config!$C$8,0))</f>
        <v/>
      </c>
      <c r="AJ274" s="20">
        <f>IF(COUNT(C274:O274)=0,"",IFERROR(IF(O274&gt;0,O274,AI274*Config!$C$9),0))</f>
        <v/>
      </c>
      <c r="AK274" s="20">
        <f>IF(COUNT(C274:O274)=0,"",IFERROR(AJ274*(1-Config!$C$10-Config!$C$11-Config!$C$12),0))</f>
        <v/>
      </c>
      <c r="AL274" s="20">
        <f>IF(COUNT(C274:O274)=0,"",IFERROR(AK274-C274-Config!$C$13,0))</f>
        <v/>
      </c>
      <c r="AM274" s="21">
        <f>IF(COUNT(C274:O274)=0,"",IFERROR(AK274/C274,0))</f>
        <v/>
      </c>
      <c r="AN274" s="21">
        <f>IF(COUNT(C274:O274)=0,"",IFERROR(AI274/C274,0))</f>
        <v/>
      </c>
      <c r="AO274" s="15">
        <f>IF(COUNT(C274:O274)=0,"",IFERROR(AL274/G274,0))</f>
        <v/>
      </c>
      <c r="AP274" s="21">
        <f>IF(COUNT(C274:O274)=0,"",IFERROR(AO274/U274,0))</f>
        <v/>
      </c>
      <c r="AQ274" s="15">
        <f>IF(COUNT(C274:O274)=0,"",IFERROR(AL274/H274,0))</f>
        <v/>
      </c>
    </row>
    <row r="275">
      <c r="A275" s="12">
        <f>Config!$C$6+269</f>
        <v/>
      </c>
      <c r="B275" s="13">
        <f>INT((A275-Config!$C$6)/7)+1</f>
        <v/>
      </c>
      <c r="C275" s="10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0" t="n"/>
      <c r="P275" s="15">
        <f>IF(COUNT(C275:O275)=0,"",IFERROR(C275/D275*1000,0))</f>
        <v/>
      </c>
      <c r="Q275" s="16">
        <f>IF(COUNT(C275:O275)=0,"",IFERROR(D275/E275,0))</f>
        <v/>
      </c>
      <c r="R275" s="17">
        <f>IF(COUNT(C275:O275)=0,"",IFERROR(F275/D275,0))</f>
        <v/>
      </c>
      <c r="S275" s="15">
        <f>IF(COUNT(C275:O275)=0,"",IFERROR(C275/F275,0))</f>
        <v/>
      </c>
      <c r="T275" s="18">
        <f>IF(COUNT(C275:O275)=0,"",IFERROR(G275/F275,0))</f>
        <v/>
      </c>
      <c r="U275" s="15">
        <f>IF(COUNT(C275:O275)=0,"",IFERROR(C275/G275,0))</f>
        <v/>
      </c>
      <c r="V275" s="19">
        <f>IF(COUNT(C275:O275)=0,"",IFERROR(G275/D275*1000,0))</f>
        <v/>
      </c>
      <c r="W275" s="18">
        <f>IF(COUNT(C275:O275)=0,"",IFERROR(H275/G275,0))</f>
        <v/>
      </c>
      <c r="X275" s="15">
        <f>IF(COUNT(C275:O275)=0,"",IFERROR(C275/H275,0))</f>
        <v/>
      </c>
      <c r="Y275" s="18">
        <f>IF(COUNT(C275:O275)=0,"",IFERROR(X275/P275,0))</f>
        <v/>
      </c>
      <c r="Z275" s="19">
        <f>IF(COUNT(C275:O275)=0,"",IFERROR(H275/D275*1000,0))</f>
        <v/>
      </c>
      <c r="AA275" s="18">
        <f>IF(COUNT(C275:O275)=0,"",IFERROR(I275/H275,0))</f>
        <v/>
      </c>
      <c r="AB275" s="18">
        <f>IF(COUNT(C275:O275)=0,"",IFERROR(J275/I275,0))</f>
        <v/>
      </c>
      <c r="AC275" s="18">
        <f>IF(COUNT(C275:O275)=0,"",IFERROR(K275/J275,0))</f>
        <v/>
      </c>
      <c r="AD275" s="15">
        <f>IF(COUNT(C275:O275)=0,"",IFERROR(C275/K275,0))</f>
        <v/>
      </c>
      <c r="AE275" s="18">
        <f>IF(COUNT(C275:O275)=0,"",IFERROR(L275/K275,0))</f>
        <v/>
      </c>
      <c r="AF275" s="18">
        <f>IF(COUNT(C275:O275)=0,"",IFERROR(M275/L275,0))</f>
        <v/>
      </c>
      <c r="AG275" s="17">
        <f>IF(COUNT(C275:O275)=0,"",IFERROR(M275/H275,0))</f>
        <v/>
      </c>
      <c r="AH275" s="15">
        <f>IF(COUNT(C275:O275)=0,"",IFERROR(C275/M275,0))</f>
        <v/>
      </c>
      <c r="AI275" s="20">
        <f>IF(COUNT(C275:O275)=0,"",IFERROR(M275*Config!$C$7+N275*Config!$C$8,0))</f>
        <v/>
      </c>
      <c r="AJ275" s="20">
        <f>IF(COUNT(C275:O275)=0,"",IFERROR(IF(O275&gt;0,O275,AI275*Config!$C$9),0))</f>
        <v/>
      </c>
      <c r="AK275" s="20">
        <f>IF(COUNT(C275:O275)=0,"",IFERROR(AJ275*(1-Config!$C$10-Config!$C$11-Config!$C$12),0))</f>
        <v/>
      </c>
      <c r="AL275" s="20">
        <f>IF(COUNT(C275:O275)=0,"",IFERROR(AK275-C275-Config!$C$13,0))</f>
        <v/>
      </c>
      <c r="AM275" s="21">
        <f>IF(COUNT(C275:O275)=0,"",IFERROR(AK275/C275,0))</f>
        <v/>
      </c>
      <c r="AN275" s="21">
        <f>IF(COUNT(C275:O275)=0,"",IFERROR(AI275/C275,0))</f>
        <v/>
      </c>
      <c r="AO275" s="15">
        <f>IF(COUNT(C275:O275)=0,"",IFERROR(AL275/G275,0))</f>
        <v/>
      </c>
      <c r="AP275" s="21">
        <f>IF(COUNT(C275:O275)=0,"",IFERROR(AO275/U275,0))</f>
        <v/>
      </c>
      <c r="AQ275" s="15">
        <f>IF(COUNT(C275:O275)=0,"",IFERROR(AL275/H275,0))</f>
        <v/>
      </c>
    </row>
    <row r="276">
      <c r="A276" s="12">
        <f>Config!$C$6+270</f>
        <v/>
      </c>
      <c r="B276" s="13">
        <f>INT((A276-Config!$C$6)/7)+1</f>
        <v/>
      </c>
      <c r="C276" s="10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0" t="n"/>
      <c r="P276" s="15">
        <f>IF(COUNT(C276:O276)=0,"",IFERROR(C276/D276*1000,0))</f>
        <v/>
      </c>
      <c r="Q276" s="16">
        <f>IF(COUNT(C276:O276)=0,"",IFERROR(D276/E276,0))</f>
        <v/>
      </c>
      <c r="R276" s="17">
        <f>IF(COUNT(C276:O276)=0,"",IFERROR(F276/D276,0))</f>
        <v/>
      </c>
      <c r="S276" s="15">
        <f>IF(COUNT(C276:O276)=0,"",IFERROR(C276/F276,0))</f>
        <v/>
      </c>
      <c r="T276" s="18">
        <f>IF(COUNT(C276:O276)=0,"",IFERROR(G276/F276,0))</f>
        <v/>
      </c>
      <c r="U276" s="15">
        <f>IF(COUNT(C276:O276)=0,"",IFERROR(C276/G276,0))</f>
        <v/>
      </c>
      <c r="V276" s="19">
        <f>IF(COUNT(C276:O276)=0,"",IFERROR(G276/D276*1000,0))</f>
        <v/>
      </c>
      <c r="W276" s="18">
        <f>IF(COUNT(C276:O276)=0,"",IFERROR(H276/G276,0))</f>
        <v/>
      </c>
      <c r="X276" s="15">
        <f>IF(COUNT(C276:O276)=0,"",IFERROR(C276/H276,0))</f>
        <v/>
      </c>
      <c r="Y276" s="18">
        <f>IF(COUNT(C276:O276)=0,"",IFERROR(X276/P276,0))</f>
        <v/>
      </c>
      <c r="Z276" s="19">
        <f>IF(COUNT(C276:O276)=0,"",IFERROR(H276/D276*1000,0))</f>
        <v/>
      </c>
      <c r="AA276" s="18">
        <f>IF(COUNT(C276:O276)=0,"",IFERROR(I276/H276,0))</f>
        <v/>
      </c>
      <c r="AB276" s="18">
        <f>IF(COUNT(C276:O276)=0,"",IFERROR(J276/I276,0))</f>
        <v/>
      </c>
      <c r="AC276" s="18">
        <f>IF(COUNT(C276:O276)=0,"",IFERROR(K276/J276,0))</f>
        <v/>
      </c>
      <c r="AD276" s="15">
        <f>IF(COUNT(C276:O276)=0,"",IFERROR(C276/K276,0))</f>
        <v/>
      </c>
      <c r="AE276" s="18">
        <f>IF(COUNT(C276:O276)=0,"",IFERROR(L276/K276,0))</f>
        <v/>
      </c>
      <c r="AF276" s="18">
        <f>IF(COUNT(C276:O276)=0,"",IFERROR(M276/L276,0))</f>
        <v/>
      </c>
      <c r="AG276" s="17">
        <f>IF(COUNT(C276:O276)=0,"",IFERROR(M276/H276,0))</f>
        <v/>
      </c>
      <c r="AH276" s="15">
        <f>IF(COUNT(C276:O276)=0,"",IFERROR(C276/M276,0))</f>
        <v/>
      </c>
      <c r="AI276" s="20">
        <f>IF(COUNT(C276:O276)=0,"",IFERROR(M276*Config!$C$7+N276*Config!$C$8,0))</f>
        <v/>
      </c>
      <c r="AJ276" s="20">
        <f>IF(COUNT(C276:O276)=0,"",IFERROR(IF(O276&gt;0,O276,AI276*Config!$C$9),0))</f>
        <v/>
      </c>
      <c r="AK276" s="20">
        <f>IF(COUNT(C276:O276)=0,"",IFERROR(AJ276*(1-Config!$C$10-Config!$C$11-Config!$C$12),0))</f>
        <v/>
      </c>
      <c r="AL276" s="20">
        <f>IF(COUNT(C276:O276)=0,"",IFERROR(AK276-C276-Config!$C$13,0))</f>
        <v/>
      </c>
      <c r="AM276" s="21">
        <f>IF(COUNT(C276:O276)=0,"",IFERROR(AK276/C276,0))</f>
        <v/>
      </c>
      <c r="AN276" s="21">
        <f>IF(COUNT(C276:O276)=0,"",IFERROR(AI276/C276,0))</f>
        <v/>
      </c>
      <c r="AO276" s="15">
        <f>IF(COUNT(C276:O276)=0,"",IFERROR(AL276/G276,0))</f>
        <v/>
      </c>
      <c r="AP276" s="21">
        <f>IF(COUNT(C276:O276)=0,"",IFERROR(AO276/U276,0))</f>
        <v/>
      </c>
      <c r="AQ276" s="15">
        <f>IF(COUNT(C276:O276)=0,"",IFERROR(AL276/H276,0))</f>
        <v/>
      </c>
    </row>
    <row r="277">
      <c r="A277" s="12">
        <f>Config!$C$6+271</f>
        <v/>
      </c>
      <c r="B277" s="13">
        <f>INT((A277-Config!$C$6)/7)+1</f>
        <v/>
      </c>
      <c r="C277" s="10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0" t="n"/>
      <c r="P277" s="15">
        <f>IF(COUNT(C277:O277)=0,"",IFERROR(C277/D277*1000,0))</f>
        <v/>
      </c>
      <c r="Q277" s="16">
        <f>IF(COUNT(C277:O277)=0,"",IFERROR(D277/E277,0))</f>
        <v/>
      </c>
      <c r="R277" s="17">
        <f>IF(COUNT(C277:O277)=0,"",IFERROR(F277/D277,0))</f>
        <v/>
      </c>
      <c r="S277" s="15">
        <f>IF(COUNT(C277:O277)=0,"",IFERROR(C277/F277,0))</f>
        <v/>
      </c>
      <c r="T277" s="18">
        <f>IF(COUNT(C277:O277)=0,"",IFERROR(G277/F277,0))</f>
        <v/>
      </c>
      <c r="U277" s="15">
        <f>IF(COUNT(C277:O277)=0,"",IFERROR(C277/G277,0))</f>
        <v/>
      </c>
      <c r="V277" s="19">
        <f>IF(COUNT(C277:O277)=0,"",IFERROR(G277/D277*1000,0))</f>
        <v/>
      </c>
      <c r="W277" s="18">
        <f>IF(COUNT(C277:O277)=0,"",IFERROR(H277/G277,0))</f>
        <v/>
      </c>
      <c r="X277" s="15">
        <f>IF(COUNT(C277:O277)=0,"",IFERROR(C277/H277,0))</f>
        <v/>
      </c>
      <c r="Y277" s="18">
        <f>IF(COUNT(C277:O277)=0,"",IFERROR(X277/P277,0))</f>
        <v/>
      </c>
      <c r="Z277" s="19">
        <f>IF(COUNT(C277:O277)=0,"",IFERROR(H277/D277*1000,0))</f>
        <v/>
      </c>
      <c r="AA277" s="18">
        <f>IF(COUNT(C277:O277)=0,"",IFERROR(I277/H277,0))</f>
        <v/>
      </c>
      <c r="AB277" s="18">
        <f>IF(COUNT(C277:O277)=0,"",IFERROR(J277/I277,0))</f>
        <v/>
      </c>
      <c r="AC277" s="18">
        <f>IF(COUNT(C277:O277)=0,"",IFERROR(K277/J277,0))</f>
        <v/>
      </c>
      <c r="AD277" s="15">
        <f>IF(COUNT(C277:O277)=0,"",IFERROR(C277/K277,0))</f>
        <v/>
      </c>
      <c r="AE277" s="18">
        <f>IF(COUNT(C277:O277)=0,"",IFERROR(L277/K277,0))</f>
        <v/>
      </c>
      <c r="AF277" s="18">
        <f>IF(COUNT(C277:O277)=0,"",IFERROR(M277/L277,0))</f>
        <v/>
      </c>
      <c r="AG277" s="17">
        <f>IF(COUNT(C277:O277)=0,"",IFERROR(M277/H277,0))</f>
        <v/>
      </c>
      <c r="AH277" s="15">
        <f>IF(COUNT(C277:O277)=0,"",IFERROR(C277/M277,0))</f>
        <v/>
      </c>
      <c r="AI277" s="20">
        <f>IF(COUNT(C277:O277)=0,"",IFERROR(M277*Config!$C$7+N277*Config!$C$8,0))</f>
        <v/>
      </c>
      <c r="AJ277" s="20">
        <f>IF(COUNT(C277:O277)=0,"",IFERROR(IF(O277&gt;0,O277,AI277*Config!$C$9),0))</f>
        <v/>
      </c>
      <c r="AK277" s="20">
        <f>IF(COUNT(C277:O277)=0,"",IFERROR(AJ277*(1-Config!$C$10-Config!$C$11-Config!$C$12),0))</f>
        <v/>
      </c>
      <c r="AL277" s="20">
        <f>IF(COUNT(C277:O277)=0,"",IFERROR(AK277-C277-Config!$C$13,0))</f>
        <v/>
      </c>
      <c r="AM277" s="21">
        <f>IF(COUNT(C277:O277)=0,"",IFERROR(AK277/C277,0))</f>
        <v/>
      </c>
      <c r="AN277" s="21">
        <f>IF(COUNT(C277:O277)=0,"",IFERROR(AI277/C277,0))</f>
        <v/>
      </c>
      <c r="AO277" s="15">
        <f>IF(COUNT(C277:O277)=0,"",IFERROR(AL277/G277,0))</f>
        <v/>
      </c>
      <c r="AP277" s="21">
        <f>IF(COUNT(C277:O277)=0,"",IFERROR(AO277/U277,0))</f>
        <v/>
      </c>
      <c r="AQ277" s="15">
        <f>IF(COUNT(C277:O277)=0,"",IFERROR(AL277/H277,0))</f>
        <v/>
      </c>
    </row>
    <row r="278">
      <c r="A278" s="12">
        <f>Config!$C$6+272</f>
        <v/>
      </c>
      <c r="B278" s="13">
        <f>INT((A278-Config!$C$6)/7)+1</f>
        <v/>
      </c>
      <c r="C278" s="10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0" t="n"/>
      <c r="P278" s="15">
        <f>IF(COUNT(C278:O278)=0,"",IFERROR(C278/D278*1000,0))</f>
        <v/>
      </c>
      <c r="Q278" s="16">
        <f>IF(COUNT(C278:O278)=0,"",IFERROR(D278/E278,0))</f>
        <v/>
      </c>
      <c r="R278" s="17">
        <f>IF(COUNT(C278:O278)=0,"",IFERROR(F278/D278,0))</f>
        <v/>
      </c>
      <c r="S278" s="15">
        <f>IF(COUNT(C278:O278)=0,"",IFERROR(C278/F278,0))</f>
        <v/>
      </c>
      <c r="T278" s="18">
        <f>IF(COUNT(C278:O278)=0,"",IFERROR(G278/F278,0))</f>
        <v/>
      </c>
      <c r="U278" s="15">
        <f>IF(COUNT(C278:O278)=0,"",IFERROR(C278/G278,0))</f>
        <v/>
      </c>
      <c r="V278" s="19">
        <f>IF(COUNT(C278:O278)=0,"",IFERROR(G278/D278*1000,0))</f>
        <v/>
      </c>
      <c r="W278" s="18">
        <f>IF(COUNT(C278:O278)=0,"",IFERROR(H278/G278,0))</f>
        <v/>
      </c>
      <c r="X278" s="15">
        <f>IF(COUNT(C278:O278)=0,"",IFERROR(C278/H278,0))</f>
        <v/>
      </c>
      <c r="Y278" s="18">
        <f>IF(COUNT(C278:O278)=0,"",IFERROR(X278/P278,0))</f>
        <v/>
      </c>
      <c r="Z278" s="19">
        <f>IF(COUNT(C278:O278)=0,"",IFERROR(H278/D278*1000,0))</f>
        <v/>
      </c>
      <c r="AA278" s="18">
        <f>IF(COUNT(C278:O278)=0,"",IFERROR(I278/H278,0))</f>
        <v/>
      </c>
      <c r="AB278" s="18">
        <f>IF(COUNT(C278:O278)=0,"",IFERROR(J278/I278,0))</f>
        <v/>
      </c>
      <c r="AC278" s="18">
        <f>IF(COUNT(C278:O278)=0,"",IFERROR(K278/J278,0))</f>
        <v/>
      </c>
      <c r="AD278" s="15">
        <f>IF(COUNT(C278:O278)=0,"",IFERROR(C278/K278,0))</f>
        <v/>
      </c>
      <c r="AE278" s="18">
        <f>IF(COUNT(C278:O278)=0,"",IFERROR(L278/K278,0))</f>
        <v/>
      </c>
      <c r="AF278" s="18">
        <f>IF(COUNT(C278:O278)=0,"",IFERROR(M278/L278,0))</f>
        <v/>
      </c>
      <c r="AG278" s="17">
        <f>IF(COUNT(C278:O278)=0,"",IFERROR(M278/H278,0))</f>
        <v/>
      </c>
      <c r="AH278" s="15">
        <f>IF(COUNT(C278:O278)=0,"",IFERROR(C278/M278,0))</f>
        <v/>
      </c>
      <c r="AI278" s="20">
        <f>IF(COUNT(C278:O278)=0,"",IFERROR(M278*Config!$C$7+N278*Config!$C$8,0))</f>
        <v/>
      </c>
      <c r="AJ278" s="20">
        <f>IF(COUNT(C278:O278)=0,"",IFERROR(IF(O278&gt;0,O278,AI278*Config!$C$9),0))</f>
        <v/>
      </c>
      <c r="AK278" s="20">
        <f>IF(COUNT(C278:O278)=0,"",IFERROR(AJ278*(1-Config!$C$10-Config!$C$11-Config!$C$12),0))</f>
        <v/>
      </c>
      <c r="AL278" s="20">
        <f>IF(COUNT(C278:O278)=0,"",IFERROR(AK278-C278-Config!$C$13,0))</f>
        <v/>
      </c>
      <c r="AM278" s="21">
        <f>IF(COUNT(C278:O278)=0,"",IFERROR(AK278/C278,0))</f>
        <v/>
      </c>
      <c r="AN278" s="21">
        <f>IF(COUNT(C278:O278)=0,"",IFERROR(AI278/C278,0))</f>
        <v/>
      </c>
      <c r="AO278" s="15">
        <f>IF(COUNT(C278:O278)=0,"",IFERROR(AL278/G278,0))</f>
        <v/>
      </c>
      <c r="AP278" s="21">
        <f>IF(COUNT(C278:O278)=0,"",IFERROR(AO278/U278,0))</f>
        <v/>
      </c>
      <c r="AQ278" s="15">
        <f>IF(COUNT(C278:O278)=0,"",IFERROR(AL278/H278,0))</f>
        <v/>
      </c>
    </row>
    <row r="279">
      <c r="A279" s="12">
        <f>Config!$C$6+273</f>
        <v/>
      </c>
      <c r="B279" s="13">
        <f>INT((A279-Config!$C$6)/7)+1</f>
        <v/>
      </c>
      <c r="C279" s="10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0" t="n"/>
      <c r="P279" s="15">
        <f>IF(COUNT(C279:O279)=0,"",IFERROR(C279/D279*1000,0))</f>
        <v/>
      </c>
      <c r="Q279" s="16">
        <f>IF(COUNT(C279:O279)=0,"",IFERROR(D279/E279,0))</f>
        <v/>
      </c>
      <c r="R279" s="17">
        <f>IF(COUNT(C279:O279)=0,"",IFERROR(F279/D279,0))</f>
        <v/>
      </c>
      <c r="S279" s="15">
        <f>IF(COUNT(C279:O279)=0,"",IFERROR(C279/F279,0))</f>
        <v/>
      </c>
      <c r="T279" s="18">
        <f>IF(COUNT(C279:O279)=0,"",IFERROR(G279/F279,0))</f>
        <v/>
      </c>
      <c r="U279" s="15">
        <f>IF(COUNT(C279:O279)=0,"",IFERROR(C279/G279,0))</f>
        <v/>
      </c>
      <c r="V279" s="19">
        <f>IF(COUNT(C279:O279)=0,"",IFERROR(G279/D279*1000,0))</f>
        <v/>
      </c>
      <c r="W279" s="18">
        <f>IF(COUNT(C279:O279)=0,"",IFERROR(H279/G279,0))</f>
        <v/>
      </c>
      <c r="X279" s="15">
        <f>IF(COUNT(C279:O279)=0,"",IFERROR(C279/H279,0))</f>
        <v/>
      </c>
      <c r="Y279" s="18">
        <f>IF(COUNT(C279:O279)=0,"",IFERROR(X279/P279,0))</f>
        <v/>
      </c>
      <c r="Z279" s="19">
        <f>IF(COUNT(C279:O279)=0,"",IFERROR(H279/D279*1000,0))</f>
        <v/>
      </c>
      <c r="AA279" s="18">
        <f>IF(COUNT(C279:O279)=0,"",IFERROR(I279/H279,0))</f>
        <v/>
      </c>
      <c r="AB279" s="18">
        <f>IF(COUNT(C279:O279)=0,"",IFERROR(J279/I279,0))</f>
        <v/>
      </c>
      <c r="AC279" s="18">
        <f>IF(COUNT(C279:O279)=0,"",IFERROR(K279/J279,0))</f>
        <v/>
      </c>
      <c r="AD279" s="15">
        <f>IF(COUNT(C279:O279)=0,"",IFERROR(C279/K279,0))</f>
        <v/>
      </c>
      <c r="AE279" s="18">
        <f>IF(COUNT(C279:O279)=0,"",IFERROR(L279/K279,0))</f>
        <v/>
      </c>
      <c r="AF279" s="18">
        <f>IF(COUNT(C279:O279)=0,"",IFERROR(M279/L279,0))</f>
        <v/>
      </c>
      <c r="AG279" s="17">
        <f>IF(COUNT(C279:O279)=0,"",IFERROR(M279/H279,0))</f>
        <v/>
      </c>
      <c r="AH279" s="15">
        <f>IF(COUNT(C279:O279)=0,"",IFERROR(C279/M279,0))</f>
        <v/>
      </c>
      <c r="AI279" s="20">
        <f>IF(COUNT(C279:O279)=0,"",IFERROR(M279*Config!$C$7+N279*Config!$C$8,0))</f>
        <v/>
      </c>
      <c r="AJ279" s="20">
        <f>IF(COUNT(C279:O279)=0,"",IFERROR(IF(O279&gt;0,O279,AI279*Config!$C$9),0))</f>
        <v/>
      </c>
      <c r="AK279" s="20">
        <f>IF(COUNT(C279:O279)=0,"",IFERROR(AJ279*(1-Config!$C$10-Config!$C$11-Config!$C$12),0))</f>
        <v/>
      </c>
      <c r="AL279" s="20">
        <f>IF(COUNT(C279:O279)=0,"",IFERROR(AK279-C279-Config!$C$13,0))</f>
        <v/>
      </c>
      <c r="AM279" s="21">
        <f>IF(COUNT(C279:O279)=0,"",IFERROR(AK279/C279,0))</f>
        <v/>
      </c>
      <c r="AN279" s="21">
        <f>IF(COUNT(C279:O279)=0,"",IFERROR(AI279/C279,0))</f>
        <v/>
      </c>
      <c r="AO279" s="15">
        <f>IF(COUNT(C279:O279)=0,"",IFERROR(AL279/G279,0))</f>
        <v/>
      </c>
      <c r="AP279" s="21">
        <f>IF(COUNT(C279:O279)=0,"",IFERROR(AO279/U279,0))</f>
        <v/>
      </c>
      <c r="AQ279" s="15">
        <f>IF(COUNT(C279:O279)=0,"",IFERROR(AL279/H279,0))</f>
        <v/>
      </c>
    </row>
    <row r="280">
      <c r="A280" s="12">
        <f>Config!$C$6+274</f>
        <v/>
      </c>
      <c r="B280" s="13">
        <f>INT((A280-Config!$C$6)/7)+1</f>
        <v/>
      </c>
      <c r="C280" s="10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0" t="n"/>
      <c r="P280" s="15">
        <f>IF(COUNT(C280:O280)=0,"",IFERROR(C280/D280*1000,0))</f>
        <v/>
      </c>
      <c r="Q280" s="16">
        <f>IF(COUNT(C280:O280)=0,"",IFERROR(D280/E280,0))</f>
        <v/>
      </c>
      <c r="R280" s="17">
        <f>IF(COUNT(C280:O280)=0,"",IFERROR(F280/D280,0))</f>
        <v/>
      </c>
      <c r="S280" s="15">
        <f>IF(COUNT(C280:O280)=0,"",IFERROR(C280/F280,0))</f>
        <v/>
      </c>
      <c r="T280" s="18">
        <f>IF(COUNT(C280:O280)=0,"",IFERROR(G280/F280,0))</f>
        <v/>
      </c>
      <c r="U280" s="15">
        <f>IF(COUNT(C280:O280)=0,"",IFERROR(C280/G280,0))</f>
        <v/>
      </c>
      <c r="V280" s="19">
        <f>IF(COUNT(C280:O280)=0,"",IFERROR(G280/D280*1000,0))</f>
        <v/>
      </c>
      <c r="W280" s="18">
        <f>IF(COUNT(C280:O280)=0,"",IFERROR(H280/G280,0))</f>
        <v/>
      </c>
      <c r="X280" s="15">
        <f>IF(COUNT(C280:O280)=0,"",IFERROR(C280/H280,0))</f>
        <v/>
      </c>
      <c r="Y280" s="18">
        <f>IF(COUNT(C280:O280)=0,"",IFERROR(X280/P280,0))</f>
        <v/>
      </c>
      <c r="Z280" s="19">
        <f>IF(COUNT(C280:O280)=0,"",IFERROR(H280/D280*1000,0))</f>
        <v/>
      </c>
      <c r="AA280" s="18">
        <f>IF(COUNT(C280:O280)=0,"",IFERROR(I280/H280,0))</f>
        <v/>
      </c>
      <c r="AB280" s="18">
        <f>IF(COUNT(C280:O280)=0,"",IFERROR(J280/I280,0))</f>
        <v/>
      </c>
      <c r="AC280" s="18">
        <f>IF(COUNT(C280:O280)=0,"",IFERROR(K280/J280,0))</f>
        <v/>
      </c>
      <c r="AD280" s="15">
        <f>IF(COUNT(C280:O280)=0,"",IFERROR(C280/K280,0))</f>
        <v/>
      </c>
      <c r="AE280" s="18">
        <f>IF(COUNT(C280:O280)=0,"",IFERROR(L280/K280,0))</f>
        <v/>
      </c>
      <c r="AF280" s="18">
        <f>IF(COUNT(C280:O280)=0,"",IFERROR(M280/L280,0))</f>
        <v/>
      </c>
      <c r="AG280" s="17">
        <f>IF(COUNT(C280:O280)=0,"",IFERROR(M280/H280,0))</f>
        <v/>
      </c>
      <c r="AH280" s="15">
        <f>IF(COUNT(C280:O280)=0,"",IFERROR(C280/M280,0))</f>
        <v/>
      </c>
      <c r="AI280" s="20">
        <f>IF(COUNT(C280:O280)=0,"",IFERROR(M280*Config!$C$7+N280*Config!$C$8,0))</f>
        <v/>
      </c>
      <c r="AJ280" s="20">
        <f>IF(COUNT(C280:O280)=0,"",IFERROR(IF(O280&gt;0,O280,AI280*Config!$C$9),0))</f>
        <v/>
      </c>
      <c r="AK280" s="20">
        <f>IF(COUNT(C280:O280)=0,"",IFERROR(AJ280*(1-Config!$C$10-Config!$C$11-Config!$C$12),0))</f>
        <v/>
      </c>
      <c r="AL280" s="20">
        <f>IF(COUNT(C280:O280)=0,"",IFERROR(AK280-C280-Config!$C$13,0))</f>
        <v/>
      </c>
      <c r="AM280" s="21">
        <f>IF(COUNT(C280:O280)=0,"",IFERROR(AK280/C280,0))</f>
        <v/>
      </c>
      <c r="AN280" s="21">
        <f>IF(COUNT(C280:O280)=0,"",IFERROR(AI280/C280,0))</f>
        <v/>
      </c>
      <c r="AO280" s="15">
        <f>IF(COUNT(C280:O280)=0,"",IFERROR(AL280/G280,0))</f>
        <v/>
      </c>
      <c r="AP280" s="21">
        <f>IF(COUNT(C280:O280)=0,"",IFERROR(AO280/U280,0))</f>
        <v/>
      </c>
      <c r="AQ280" s="15">
        <f>IF(COUNT(C280:O280)=0,"",IFERROR(AL280/H280,0))</f>
        <v/>
      </c>
    </row>
    <row r="281">
      <c r="A281" s="12">
        <f>Config!$C$6+275</f>
        <v/>
      </c>
      <c r="B281" s="13">
        <f>INT((A281-Config!$C$6)/7)+1</f>
        <v/>
      </c>
      <c r="C281" s="10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0" t="n"/>
      <c r="P281" s="15">
        <f>IF(COUNT(C281:O281)=0,"",IFERROR(C281/D281*1000,0))</f>
        <v/>
      </c>
      <c r="Q281" s="16">
        <f>IF(COUNT(C281:O281)=0,"",IFERROR(D281/E281,0))</f>
        <v/>
      </c>
      <c r="R281" s="17">
        <f>IF(COUNT(C281:O281)=0,"",IFERROR(F281/D281,0))</f>
        <v/>
      </c>
      <c r="S281" s="15">
        <f>IF(COUNT(C281:O281)=0,"",IFERROR(C281/F281,0))</f>
        <v/>
      </c>
      <c r="T281" s="18">
        <f>IF(COUNT(C281:O281)=0,"",IFERROR(G281/F281,0))</f>
        <v/>
      </c>
      <c r="U281" s="15">
        <f>IF(COUNT(C281:O281)=0,"",IFERROR(C281/G281,0))</f>
        <v/>
      </c>
      <c r="V281" s="19">
        <f>IF(COUNT(C281:O281)=0,"",IFERROR(G281/D281*1000,0))</f>
        <v/>
      </c>
      <c r="W281" s="18">
        <f>IF(COUNT(C281:O281)=0,"",IFERROR(H281/G281,0))</f>
        <v/>
      </c>
      <c r="X281" s="15">
        <f>IF(COUNT(C281:O281)=0,"",IFERROR(C281/H281,0))</f>
        <v/>
      </c>
      <c r="Y281" s="18">
        <f>IF(COUNT(C281:O281)=0,"",IFERROR(X281/P281,0))</f>
        <v/>
      </c>
      <c r="Z281" s="19">
        <f>IF(COUNT(C281:O281)=0,"",IFERROR(H281/D281*1000,0))</f>
        <v/>
      </c>
      <c r="AA281" s="18">
        <f>IF(COUNT(C281:O281)=0,"",IFERROR(I281/H281,0))</f>
        <v/>
      </c>
      <c r="AB281" s="18">
        <f>IF(COUNT(C281:O281)=0,"",IFERROR(J281/I281,0))</f>
        <v/>
      </c>
      <c r="AC281" s="18">
        <f>IF(COUNT(C281:O281)=0,"",IFERROR(K281/J281,0))</f>
        <v/>
      </c>
      <c r="AD281" s="15">
        <f>IF(COUNT(C281:O281)=0,"",IFERROR(C281/K281,0))</f>
        <v/>
      </c>
      <c r="AE281" s="18">
        <f>IF(COUNT(C281:O281)=0,"",IFERROR(L281/K281,0))</f>
        <v/>
      </c>
      <c r="AF281" s="18">
        <f>IF(COUNT(C281:O281)=0,"",IFERROR(M281/L281,0))</f>
        <v/>
      </c>
      <c r="AG281" s="17">
        <f>IF(COUNT(C281:O281)=0,"",IFERROR(M281/H281,0))</f>
        <v/>
      </c>
      <c r="AH281" s="15">
        <f>IF(COUNT(C281:O281)=0,"",IFERROR(C281/M281,0))</f>
        <v/>
      </c>
      <c r="AI281" s="20">
        <f>IF(COUNT(C281:O281)=0,"",IFERROR(M281*Config!$C$7+N281*Config!$C$8,0))</f>
        <v/>
      </c>
      <c r="AJ281" s="20">
        <f>IF(COUNT(C281:O281)=0,"",IFERROR(IF(O281&gt;0,O281,AI281*Config!$C$9),0))</f>
        <v/>
      </c>
      <c r="AK281" s="20">
        <f>IF(COUNT(C281:O281)=0,"",IFERROR(AJ281*(1-Config!$C$10-Config!$C$11-Config!$C$12),0))</f>
        <v/>
      </c>
      <c r="AL281" s="20">
        <f>IF(COUNT(C281:O281)=0,"",IFERROR(AK281-C281-Config!$C$13,0))</f>
        <v/>
      </c>
      <c r="AM281" s="21">
        <f>IF(COUNT(C281:O281)=0,"",IFERROR(AK281/C281,0))</f>
        <v/>
      </c>
      <c r="AN281" s="21">
        <f>IF(COUNT(C281:O281)=0,"",IFERROR(AI281/C281,0))</f>
        <v/>
      </c>
      <c r="AO281" s="15">
        <f>IF(COUNT(C281:O281)=0,"",IFERROR(AL281/G281,0))</f>
        <v/>
      </c>
      <c r="AP281" s="21">
        <f>IF(COUNT(C281:O281)=0,"",IFERROR(AO281/U281,0))</f>
        <v/>
      </c>
      <c r="AQ281" s="15">
        <f>IF(COUNT(C281:O281)=0,"",IFERROR(AL281/H281,0))</f>
        <v/>
      </c>
    </row>
    <row r="282">
      <c r="A282" s="12">
        <f>Config!$C$6+276</f>
        <v/>
      </c>
      <c r="B282" s="13">
        <f>INT((A282-Config!$C$6)/7)+1</f>
        <v/>
      </c>
      <c r="C282" s="10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0" t="n"/>
      <c r="P282" s="15">
        <f>IF(COUNT(C282:O282)=0,"",IFERROR(C282/D282*1000,0))</f>
        <v/>
      </c>
      <c r="Q282" s="16">
        <f>IF(COUNT(C282:O282)=0,"",IFERROR(D282/E282,0))</f>
        <v/>
      </c>
      <c r="R282" s="17">
        <f>IF(COUNT(C282:O282)=0,"",IFERROR(F282/D282,0))</f>
        <v/>
      </c>
      <c r="S282" s="15">
        <f>IF(COUNT(C282:O282)=0,"",IFERROR(C282/F282,0))</f>
        <v/>
      </c>
      <c r="T282" s="18">
        <f>IF(COUNT(C282:O282)=0,"",IFERROR(G282/F282,0))</f>
        <v/>
      </c>
      <c r="U282" s="15">
        <f>IF(COUNT(C282:O282)=0,"",IFERROR(C282/G282,0))</f>
        <v/>
      </c>
      <c r="V282" s="19">
        <f>IF(COUNT(C282:O282)=0,"",IFERROR(G282/D282*1000,0))</f>
        <v/>
      </c>
      <c r="W282" s="18">
        <f>IF(COUNT(C282:O282)=0,"",IFERROR(H282/G282,0))</f>
        <v/>
      </c>
      <c r="X282" s="15">
        <f>IF(COUNT(C282:O282)=0,"",IFERROR(C282/H282,0))</f>
        <v/>
      </c>
      <c r="Y282" s="18">
        <f>IF(COUNT(C282:O282)=0,"",IFERROR(X282/P282,0))</f>
        <v/>
      </c>
      <c r="Z282" s="19">
        <f>IF(COUNT(C282:O282)=0,"",IFERROR(H282/D282*1000,0))</f>
        <v/>
      </c>
      <c r="AA282" s="18">
        <f>IF(COUNT(C282:O282)=0,"",IFERROR(I282/H282,0))</f>
        <v/>
      </c>
      <c r="AB282" s="18">
        <f>IF(COUNT(C282:O282)=0,"",IFERROR(J282/I282,0))</f>
        <v/>
      </c>
      <c r="AC282" s="18">
        <f>IF(COUNT(C282:O282)=0,"",IFERROR(K282/J282,0))</f>
        <v/>
      </c>
      <c r="AD282" s="15">
        <f>IF(COUNT(C282:O282)=0,"",IFERROR(C282/K282,0))</f>
        <v/>
      </c>
      <c r="AE282" s="18">
        <f>IF(COUNT(C282:O282)=0,"",IFERROR(L282/K282,0))</f>
        <v/>
      </c>
      <c r="AF282" s="18">
        <f>IF(COUNT(C282:O282)=0,"",IFERROR(M282/L282,0))</f>
        <v/>
      </c>
      <c r="AG282" s="17">
        <f>IF(COUNT(C282:O282)=0,"",IFERROR(M282/H282,0))</f>
        <v/>
      </c>
      <c r="AH282" s="15">
        <f>IF(COUNT(C282:O282)=0,"",IFERROR(C282/M282,0))</f>
        <v/>
      </c>
      <c r="AI282" s="20">
        <f>IF(COUNT(C282:O282)=0,"",IFERROR(M282*Config!$C$7+N282*Config!$C$8,0))</f>
        <v/>
      </c>
      <c r="AJ282" s="20">
        <f>IF(COUNT(C282:O282)=0,"",IFERROR(IF(O282&gt;0,O282,AI282*Config!$C$9),0))</f>
        <v/>
      </c>
      <c r="AK282" s="20">
        <f>IF(COUNT(C282:O282)=0,"",IFERROR(AJ282*(1-Config!$C$10-Config!$C$11-Config!$C$12),0))</f>
        <v/>
      </c>
      <c r="AL282" s="20">
        <f>IF(COUNT(C282:O282)=0,"",IFERROR(AK282-C282-Config!$C$13,0))</f>
        <v/>
      </c>
      <c r="AM282" s="21">
        <f>IF(COUNT(C282:O282)=0,"",IFERROR(AK282/C282,0))</f>
        <v/>
      </c>
      <c r="AN282" s="21">
        <f>IF(COUNT(C282:O282)=0,"",IFERROR(AI282/C282,0))</f>
        <v/>
      </c>
      <c r="AO282" s="15">
        <f>IF(COUNT(C282:O282)=0,"",IFERROR(AL282/G282,0))</f>
        <v/>
      </c>
      <c r="AP282" s="21">
        <f>IF(COUNT(C282:O282)=0,"",IFERROR(AO282/U282,0))</f>
        <v/>
      </c>
      <c r="AQ282" s="15">
        <f>IF(COUNT(C282:O282)=0,"",IFERROR(AL282/H282,0))</f>
        <v/>
      </c>
    </row>
    <row r="283">
      <c r="A283" s="12">
        <f>Config!$C$6+277</f>
        <v/>
      </c>
      <c r="B283" s="13">
        <f>INT((A283-Config!$C$6)/7)+1</f>
        <v/>
      </c>
      <c r="C283" s="10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0" t="n"/>
      <c r="P283" s="15">
        <f>IF(COUNT(C283:O283)=0,"",IFERROR(C283/D283*1000,0))</f>
        <v/>
      </c>
      <c r="Q283" s="16">
        <f>IF(COUNT(C283:O283)=0,"",IFERROR(D283/E283,0))</f>
        <v/>
      </c>
      <c r="R283" s="17">
        <f>IF(COUNT(C283:O283)=0,"",IFERROR(F283/D283,0))</f>
        <v/>
      </c>
      <c r="S283" s="15">
        <f>IF(COUNT(C283:O283)=0,"",IFERROR(C283/F283,0))</f>
        <v/>
      </c>
      <c r="T283" s="18">
        <f>IF(COUNT(C283:O283)=0,"",IFERROR(G283/F283,0))</f>
        <v/>
      </c>
      <c r="U283" s="15">
        <f>IF(COUNT(C283:O283)=0,"",IFERROR(C283/G283,0))</f>
        <v/>
      </c>
      <c r="V283" s="19">
        <f>IF(COUNT(C283:O283)=0,"",IFERROR(G283/D283*1000,0))</f>
        <v/>
      </c>
      <c r="W283" s="18">
        <f>IF(COUNT(C283:O283)=0,"",IFERROR(H283/G283,0))</f>
        <v/>
      </c>
      <c r="X283" s="15">
        <f>IF(COUNT(C283:O283)=0,"",IFERROR(C283/H283,0))</f>
        <v/>
      </c>
      <c r="Y283" s="18">
        <f>IF(COUNT(C283:O283)=0,"",IFERROR(X283/P283,0))</f>
        <v/>
      </c>
      <c r="Z283" s="19">
        <f>IF(COUNT(C283:O283)=0,"",IFERROR(H283/D283*1000,0))</f>
        <v/>
      </c>
      <c r="AA283" s="18">
        <f>IF(COUNT(C283:O283)=0,"",IFERROR(I283/H283,0))</f>
        <v/>
      </c>
      <c r="AB283" s="18">
        <f>IF(COUNT(C283:O283)=0,"",IFERROR(J283/I283,0))</f>
        <v/>
      </c>
      <c r="AC283" s="18">
        <f>IF(COUNT(C283:O283)=0,"",IFERROR(K283/J283,0))</f>
        <v/>
      </c>
      <c r="AD283" s="15">
        <f>IF(COUNT(C283:O283)=0,"",IFERROR(C283/K283,0))</f>
        <v/>
      </c>
      <c r="AE283" s="18">
        <f>IF(COUNT(C283:O283)=0,"",IFERROR(L283/K283,0))</f>
        <v/>
      </c>
      <c r="AF283" s="18">
        <f>IF(COUNT(C283:O283)=0,"",IFERROR(M283/L283,0))</f>
        <v/>
      </c>
      <c r="AG283" s="17">
        <f>IF(COUNT(C283:O283)=0,"",IFERROR(M283/H283,0))</f>
        <v/>
      </c>
      <c r="AH283" s="15">
        <f>IF(COUNT(C283:O283)=0,"",IFERROR(C283/M283,0))</f>
        <v/>
      </c>
      <c r="AI283" s="20">
        <f>IF(COUNT(C283:O283)=0,"",IFERROR(M283*Config!$C$7+N283*Config!$C$8,0))</f>
        <v/>
      </c>
      <c r="AJ283" s="20">
        <f>IF(COUNT(C283:O283)=0,"",IFERROR(IF(O283&gt;0,O283,AI283*Config!$C$9),0))</f>
        <v/>
      </c>
      <c r="AK283" s="20">
        <f>IF(COUNT(C283:O283)=0,"",IFERROR(AJ283*(1-Config!$C$10-Config!$C$11-Config!$C$12),0))</f>
        <v/>
      </c>
      <c r="AL283" s="20">
        <f>IF(COUNT(C283:O283)=0,"",IFERROR(AK283-C283-Config!$C$13,0))</f>
        <v/>
      </c>
      <c r="AM283" s="21">
        <f>IF(COUNT(C283:O283)=0,"",IFERROR(AK283/C283,0))</f>
        <v/>
      </c>
      <c r="AN283" s="21">
        <f>IF(COUNT(C283:O283)=0,"",IFERROR(AI283/C283,0))</f>
        <v/>
      </c>
      <c r="AO283" s="15">
        <f>IF(COUNT(C283:O283)=0,"",IFERROR(AL283/G283,0))</f>
        <v/>
      </c>
      <c r="AP283" s="21">
        <f>IF(COUNT(C283:O283)=0,"",IFERROR(AO283/U283,0))</f>
        <v/>
      </c>
      <c r="AQ283" s="15">
        <f>IF(COUNT(C283:O283)=0,"",IFERROR(AL283/H283,0))</f>
        <v/>
      </c>
    </row>
    <row r="284">
      <c r="A284" s="12">
        <f>Config!$C$6+278</f>
        <v/>
      </c>
      <c r="B284" s="13">
        <f>INT((A284-Config!$C$6)/7)+1</f>
        <v/>
      </c>
      <c r="C284" s="10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0" t="n"/>
      <c r="P284" s="15">
        <f>IF(COUNT(C284:O284)=0,"",IFERROR(C284/D284*1000,0))</f>
        <v/>
      </c>
      <c r="Q284" s="16">
        <f>IF(COUNT(C284:O284)=0,"",IFERROR(D284/E284,0))</f>
        <v/>
      </c>
      <c r="R284" s="17">
        <f>IF(COUNT(C284:O284)=0,"",IFERROR(F284/D284,0))</f>
        <v/>
      </c>
      <c r="S284" s="15">
        <f>IF(COUNT(C284:O284)=0,"",IFERROR(C284/F284,0))</f>
        <v/>
      </c>
      <c r="T284" s="18">
        <f>IF(COUNT(C284:O284)=0,"",IFERROR(G284/F284,0))</f>
        <v/>
      </c>
      <c r="U284" s="15">
        <f>IF(COUNT(C284:O284)=0,"",IFERROR(C284/G284,0))</f>
        <v/>
      </c>
      <c r="V284" s="19">
        <f>IF(COUNT(C284:O284)=0,"",IFERROR(G284/D284*1000,0))</f>
        <v/>
      </c>
      <c r="W284" s="18">
        <f>IF(COUNT(C284:O284)=0,"",IFERROR(H284/G284,0))</f>
        <v/>
      </c>
      <c r="X284" s="15">
        <f>IF(COUNT(C284:O284)=0,"",IFERROR(C284/H284,0))</f>
        <v/>
      </c>
      <c r="Y284" s="18">
        <f>IF(COUNT(C284:O284)=0,"",IFERROR(X284/P284,0))</f>
        <v/>
      </c>
      <c r="Z284" s="19">
        <f>IF(COUNT(C284:O284)=0,"",IFERROR(H284/D284*1000,0))</f>
        <v/>
      </c>
      <c r="AA284" s="18">
        <f>IF(COUNT(C284:O284)=0,"",IFERROR(I284/H284,0))</f>
        <v/>
      </c>
      <c r="AB284" s="18">
        <f>IF(COUNT(C284:O284)=0,"",IFERROR(J284/I284,0))</f>
        <v/>
      </c>
      <c r="AC284" s="18">
        <f>IF(COUNT(C284:O284)=0,"",IFERROR(K284/J284,0))</f>
        <v/>
      </c>
      <c r="AD284" s="15">
        <f>IF(COUNT(C284:O284)=0,"",IFERROR(C284/K284,0))</f>
        <v/>
      </c>
      <c r="AE284" s="18">
        <f>IF(COUNT(C284:O284)=0,"",IFERROR(L284/K284,0))</f>
        <v/>
      </c>
      <c r="AF284" s="18">
        <f>IF(COUNT(C284:O284)=0,"",IFERROR(M284/L284,0))</f>
        <v/>
      </c>
      <c r="AG284" s="17">
        <f>IF(COUNT(C284:O284)=0,"",IFERROR(M284/H284,0))</f>
        <v/>
      </c>
      <c r="AH284" s="15">
        <f>IF(COUNT(C284:O284)=0,"",IFERROR(C284/M284,0))</f>
        <v/>
      </c>
      <c r="AI284" s="20">
        <f>IF(COUNT(C284:O284)=0,"",IFERROR(M284*Config!$C$7+N284*Config!$C$8,0))</f>
        <v/>
      </c>
      <c r="AJ284" s="20">
        <f>IF(COUNT(C284:O284)=0,"",IFERROR(IF(O284&gt;0,O284,AI284*Config!$C$9),0))</f>
        <v/>
      </c>
      <c r="AK284" s="20">
        <f>IF(COUNT(C284:O284)=0,"",IFERROR(AJ284*(1-Config!$C$10-Config!$C$11-Config!$C$12),0))</f>
        <v/>
      </c>
      <c r="AL284" s="20">
        <f>IF(COUNT(C284:O284)=0,"",IFERROR(AK284-C284-Config!$C$13,0))</f>
        <v/>
      </c>
      <c r="AM284" s="21">
        <f>IF(COUNT(C284:O284)=0,"",IFERROR(AK284/C284,0))</f>
        <v/>
      </c>
      <c r="AN284" s="21">
        <f>IF(COUNT(C284:O284)=0,"",IFERROR(AI284/C284,0))</f>
        <v/>
      </c>
      <c r="AO284" s="15">
        <f>IF(COUNT(C284:O284)=0,"",IFERROR(AL284/G284,0))</f>
        <v/>
      </c>
      <c r="AP284" s="21">
        <f>IF(COUNT(C284:O284)=0,"",IFERROR(AO284/U284,0))</f>
        <v/>
      </c>
      <c r="AQ284" s="15">
        <f>IF(COUNT(C284:O284)=0,"",IFERROR(AL284/H284,0))</f>
        <v/>
      </c>
    </row>
    <row r="285">
      <c r="A285" s="12">
        <f>Config!$C$6+279</f>
        <v/>
      </c>
      <c r="B285" s="13">
        <f>INT((A285-Config!$C$6)/7)+1</f>
        <v/>
      </c>
      <c r="C285" s="10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0" t="n"/>
      <c r="P285" s="15">
        <f>IF(COUNT(C285:O285)=0,"",IFERROR(C285/D285*1000,0))</f>
        <v/>
      </c>
      <c r="Q285" s="16">
        <f>IF(COUNT(C285:O285)=0,"",IFERROR(D285/E285,0))</f>
        <v/>
      </c>
      <c r="R285" s="17">
        <f>IF(COUNT(C285:O285)=0,"",IFERROR(F285/D285,0))</f>
        <v/>
      </c>
      <c r="S285" s="15">
        <f>IF(COUNT(C285:O285)=0,"",IFERROR(C285/F285,0))</f>
        <v/>
      </c>
      <c r="T285" s="18">
        <f>IF(COUNT(C285:O285)=0,"",IFERROR(G285/F285,0))</f>
        <v/>
      </c>
      <c r="U285" s="15">
        <f>IF(COUNT(C285:O285)=0,"",IFERROR(C285/G285,0))</f>
        <v/>
      </c>
      <c r="V285" s="19">
        <f>IF(COUNT(C285:O285)=0,"",IFERROR(G285/D285*1000,0))</f>
        <v/>
      </c>
      <c r="W285" s="18">
        <f>IF(COUNT(C285:O285)=0,"",IFERROR(H285/G285,0))</f>
        <v/>
      </c>
      <c r="X285" s="15">
        <f>IF(COUNT(C285:O285)=0,"",IFERROR(C285/H285,0))</f>
        <v/>
      </c>
      <c r="Y285" s="18">
        <f>IF(COUNT(C285:O285)=0,"",IFERROR(X285/P285,0))</f>
        <v/>
      </c>
      <c r="Z285" s="19">
        <f>IF(COUNT(C285:O285)=0,"",IFERROR(H285/D285*1000,0))</f>
        <v/>
      </c>
      <c r="AA285" s="18">
        <f>IF(COUNT(C285:O285)=0,"",IFERROR(I285/H285,0))</f>
        <v/>
      </c>
      <c r="AB285" s="18">
        <f>IF(COUNT(C285:O285)=0,"",IFERROR(J285/I285,0))</f>
        <v/>
      </c>
      <c r="AC285" s="18">
        <f>IF(COUNT(C285:O285)=0,"",IFERROR(K285/J285,0))</f>
        <v/>
      </c>
      <c r="AD285" s="15">
        <f>IF(COUNT(C285:O285)=0,"",IFERROR(C285/K285,0))</f>
        <v/>
      </c>
      <c r="AE285" s="18">
        <f>IF(COUNT(C285:O285)=0,"",IFERROR(L285/K285,0))</f>
        <v/>
      </c>
      <c r="AF285" s="18">
        <f>IF(COUNT(C285:O285)=0,"",IFERROR(M285/L285,0))</f>
        <v/>
      </c>
      <c r="AG285" s="17">
        <f>IF(COUNT(C285:O285)=0,"",IFERROR(M285/H285,0))</f>
        <v/>
      </c>
      <c r="AH285" s="15">
        <f>IF(COUNT(C285:O285)=0,"",IFERROR(C285/M285,0))</f>
        <v/>
      </c>
      <c r="AI285" s="20">
        <f>IF(COUNT(C285:O285)=0,"",IFERROR(M285*Config!$C$7+N285*Config!$C$8,0))</f>
        <v/>
      </c>
      <c r="AJ285" s="20">
        <f>IF(COUNT(C285:O285)=0,"",IFERROR(IF(O285&gt;0,O285,AI285*Config!$C$9),0))</f>
        <v/>
      </c>
      <c r="AK285" s="20">
        <f>IF(COUNT(C285:O285)=0,"",IFERROR(AJ285*(1-Config!$C$10-Config!$C$11-Config!$C$12),0))</f>
        <v/>
      </c>
      <c r="AL285" s="20">
        <f>IF(COUNT(C285:O285)=0,"",IFERROR(AK285-C285-Config!$C$13,0))</f>
        <v/>
      </c>
      <c r="AM285" s="21">
        <f>IF(COUNT(C285:O285)=0,"",IFERROR(AK285/C285,0))</f>
        <v/>
      </c>
      <c r="AN285" s="21">
        <f>IF(COUNT(C285:O285)=0,"",IFERROR(AI285/C285,0))</f>
        <v/>
      </c>
      <c r="AO285" s="15">
        <f>IF(COUNT(C285:O285)=0,"",IFERROR(AL285/G285,0))</f>
        <v/>
      </c>
      <c r="AP285" s="21">
        <f>IF(COUNT(C285:O285)=0,"",IFERROR(AO285/U285,0))</f>
        <v/>
      </c>
      <c r="AQ285" s="15">
        <f>IF(COUNT(C285:O285)=0,"",IFERROR(AL285/H285,0))</f>
        <v/>
      </c>
    </row>
    <row r="286">
      <c r="A286" s="12">
        <f>Config!$C$6+280</f>
        <v/>
      </c>
      <c r="B286" s="13">
        <f>INT((A286-Config!$C$6)/7)+1</f>
        <v/>
      </c>
      <c r="C286" s="10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0" t="n"/>
      <c r="P286" s="15">
        <f>IF(COUNT(C286:O286)=0,"",IFERROR(C286/D286*1000,0))</f>
        <v/>
      </c>
      <c r="Q286" s="16">
        <f>IF(COUNT(C286:O286)=0,"",IFERROR(D286/E286,0))</f>
        <v/>
      </c>
      <c r="R286" s="17">
        <f>IF(COUNT(C286:O286)=0,"",IFERROR(F286/D286,0))</f>
        <v/>
      </c>
      <c r="S286" s="15">
        <f>IF(COUNT(C286:O286)=0,"",IFERROR(C286/F286,0))</f>
        <v/>
      </c>
      <c r="T286" s="18">
        <f>IF(COUNT(C286:O286)=0,"",IFERROR(G286/F286,0))</f>
        <v/>
      </c>
      <c r="U286" s="15">
        <f>IF(COUNT(C286:O286)=0,"",IFERROR(C286/G286,0))</f>
        <v/>
      </c>
      <c r="V286" s="19">
        <f>IF(COUNT(C286:O286)=0,"",IFERROR(G286/D286*1000,0))</f>
        <v/>
      </c>
      <c r="W286" s="18">
        <f>IF(COUNT(C286:O286)=0,"",IFERROR(H286/G286,0))</f>
        <v/>
      </c>
      <c r="X286" s="15">
        <f>IF(COUNT(C286:O286)=0,"",IFERROR(C286/H286,0))</f>
        <v/>
      </c>
      <c r="Y286" s="18">
        <f>IF(COUNT(C286:O286)=0,"",IFERROR(X286/P286,0))</f>
        <v/>
      </c>
      <c r="Z286" s="19">
        <f>IF(COUNT(C286:O286)=0,"",IFERROR(H286/D286*1000,0))</f>
        <v/>
      </c>
      <c r="AA286" s="18">
        <f>IF(COUNT(C286:O286)=0,"",IFERROR(I286/H286,0))</f>
        <v/>
      </c>
      <c r="AB286" s="18">
        <f>IF(COUNT(C286:O286)=0,"",IFERROR(J286/I286,0))</f>
        <v/>
      </c>
      <c r="AC286" s="18">
        <f>IF(COUNT(C286:O286)=0,"",IFERROR(K286/J286,0))</f>
        <v/>
      </c>
      <c r="AD286" s="15">
        <f>IF(COUNT(C286:O286)=0,"",IFERROR(C286/K286,0))</f>
        <v/>
      </c>
      <c r="AE286" s="18">
        <f>IF(COUNT(C286:O286)=0,"",IFERROR(L286/K286,0))</f>
        <v/>
      </c>
      <c r="AF286" s="18">
        <f>IF(COUNT(C286:O286)=0,"",IFERROR(M286/L286,0))</f>
        <v/>
      </c>
      <c r="AG286" s="17">
        <f>IF(COUNT(C286:O286)=0,"",IFERROR(M286/H286,0))</f>
        <v/>
      </c>
      <c r="AH286" s="15">
        <f>IF(COUNT(C286:O286)=0,"",IFERROR(C286/M286,0))</f>
        <v/>
      </c>
      <c r="AI286" s="20">
        <f>IF(COUNT(C286:O286)=0,"",IFERROR(M286*Config!$C$7+N286*Config!$C$8,0))</f>
        <v/>
      </c>
      <c r="AJ286" s="20">
        <f>IF(COUNT(C286:O286)=0,"",IFERROR(IF(O286&gt;0,O286,AI286*Config!$C$9),0))</f>
        <v/>
      </c>
      <c r="AK286" s="20">
        <f>IF(COUNT(C286:O286)=0,"",IFERROR(AJ286*(1-Config!$C$10-Config!$C$11-Config!$C$12),0))</f>
        <v/>
      </c>
      <c r="AL286" s="20">
        <f>IF(COUNT(C286:O286)=0,"",IFERROR(AK286-C286-Config!$C$13,0))</f>
        <v/>
      </c>
      <c r="AM286" s="21">
        <f>IF(COUNT(C286:O286)=0,"",IFERROR(AK286/C286,0))</f>
        <v/>
      </c>
      <c r="AN286" s="21">
        <f>IF(COUNT(C286:O286)=0,"",IFERROR(AI286/C286,0))</f>
        <v/>
      </c>
      <c r="AO286" s="15">
        <f>IF(COUNT(C286:O286)=0,"",IFERROR(AL286/G286,0))</f>
        <v/>
      </c>
      <c r="AP286" s="21">
        <f>IF(COUNT(C286:O286)=0,"",IFERROR(AO286/U286,0))</f>
        <v/>
      </c>
      <c r="AQ286" s="15">
        <f>IF(COUNT(C286:O286)=0,"",IFERROR(AL286/H286,0))</f>
        <v/>
      </c>
    </row>
    <row r="287">
      <c r="A287" s="12">
        <f>Config!$C$6+281</f>
        <v/>
      </c>
      <c r="B287" s="13">
        <f>INT((A287-Config!$C$6)/7)+1</f>
        <v/>
      </c>
      <c r="C287" s="10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0" t="n"/>
      <c r="P287" s="15">
        <f>IF(COUNT(C287:O287)=0,"",IFERROR(C287/D287*1000,0))</f>
        <v/>
      </c>
      <c r="Q287" s="16">
        <f>IF(COUNT(C287:O287)=0,"",IFERROR(D287/E287,0))</f>
        <v/>
      </c>
      <c r="R287" s="17">
        <f>IF(COUNT(C287:O287)=0,"",IFERROR(F287/D287,0))</f>
        <v/>
      </c>
      <c r="S287" s="15">
        <f>IF(COUNT(C287:O287)=0,"",IFERROR(C287/F287,0))</f>
        <v/>
      </c>
      <c r="T287" s="18">
        <f>IF(COUNT(C287:O287)=0,"",IFERROR(G287/F287,0))</f>
        <v/>
      </c>
      <c r="U287" s="15">
        <f>IF(COUNT(C287:O287)=0,"",IFERROR(C287/G287,0))</f>
        <v/>
      </c>
      <c r="V287" s="19">
        <f>IF(COUNT(C287:O287)=0,"",IFERROR(G287/D287*1000,0))</f>
        <v/>
      </c>
      <c r="W287" s="18">
        <f>IF(COUNT(C287:O287)=0,"",IFERROR(H287/G287,0))</f>
        <v/>
      </c>
      <c r="X287" s="15">
        <f>IF(COUNT(C287:O287)=0,"",IFERROR(C287/H287,0))</f>
        <v/>
      </c>
      <c r="Y287" s="18">
        <f>IF(COUNT(C287:O287)=0,"",IFERROR(X287/P287,0))</f>
        <v/>
      </c>
      <c r="Z287" s="19">
        <f>IF(COUNT(C287:O287)=0,"",IFERROR(H287/D287*1000,0))</f>
        <v/>
      </c>
      <c r="AA287" s="18">
        <f>IF(COUNT(C287:O287)=0,"",IFERROR(I287/H287,0))</f>
        <v/>
      </c>
      <c r="AB287" s="18">
        <f>IF(COUNT(C287:O287)=0,"",IFERROR(J287/I287,0))</f>
        <v/>
      </c>
      <c r="AC287" s="18">
        <f>IF(COUNT(C287:O287)=0,"",IFERROR(K287/J287,0))</f>
        <v/>
      </c>
      <c r="AD287" s="15">
        <f>IF(COUNT(C287:O287)=0,"",IFERROR(C287/K287,0))</f>
        <v/>
      </c>
      <c r="AE287" s="18">
        <f>IF(COUNT(C287:O287)=0,"",IFERROR(L287/K287,0))</f>
        <v/>
      </c>
      <c r="AF287" s="18">
        <f>IF(COUNT(C287:O287)=0,"",IFERROR(M287/L287,0))</f>
        <v/>
      </c>
      <c r="AG287" s="17">
        <f>IF(COUNT(C287:O287)=0,"",IFERROR(M287/H287,0))</f>
        <v/>
      </c>
      <c r="AH287" s="15">
        <f>IF(COUNT(C287:O287)=0,"",IFERROR(C287/M287,0))</f>
        <v/>
      </c>
      <c r="AI287" s="20">
        <f>IF(COUNT(C287:O287)=0,"",IFERROR(M287*Config!$C$7+N287*Config!$C$8,0))</f>
        <v/>
      </c>
      <c r="AJ287" s="20">
        <f>IF(COUNT(C287:O287)=0,"",IFERROR(IF(O287&gt;0,O287,AI287*Config!$C$9),0))</f>
        <v/>
      </c>
      <c r="AK287" s="20">
        <f>IF(COUNT(C287:O287)=0,"",IFERROR(AJ287*(1-Config!$C$10-Config!$C$11-Config!$C$12),0))</f>
        <v/>
      </c>
      <c r="AL287" s="20">
        <f>IF(COUNT(C287:O287)=0,"",IFERROR(AK287-C287-Config!$C$13,0))</f>
        <v/>
      </c>
      <c r="AM287" s="21">
        <f>IF(COUNT(C287:O287)=0,"",IFERROR(AK287/C287,0))</f>
        <v/>
      </c>
      <c r="AN287" s="21">
        <f>IF(COUNT(C287:O287)=0,"",IFERROR(AI287/C287,0))</f>
        <v/>
      </c>
      <c r="AO287" s="15">
        <f>IF(COUNT(C287:O287)=0,"",IFERROR(AL287/G287,0))</f>
        <v/>
      </c>
      <c r="AP287" s="21">
        <f>IF(COUNT(C287:O287)=0,"",IFERROR(AO287/U287,0))</f>
        <v/>
      </c>
      <c r="AQ287" s="15">
        <f>IF(COUNT(C287:O287)=0,"",IFERROR(AL287/H287,0))</f>
        <v/>
      </c>
    </row>
    <row r="288">
      <c r="A288" s="12">
        <f>Config!$C$6+282</f>
        <v/>
      </c>
      <c r="B288" s="13">
        <f>INT((A288-Config!$C$6)/7)+1</f>
        <v/>
      </c>
      <c r="C288" s="10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0" t="n"/>
      <c r="P288" s="15">
        <f>IF(COUNT(C288:O288)=0,"",IFERROR(C288/D288*1000,0))</f>
        <v/>
      </c>
      <c r="Q288" s="16">
        <f>IF(COUNT(C288:O288)=0,"",IFERROR(D288/E288,0))</f>
        <v/>
      </c>
      <c r="R288" s="17">
        <f>IF(COUNT(C288:O288)=0,"",IFERROR(F288/D288,0))</f>
        <v/>
      </c>
      <c r="S288" s="15">
        <f>IF(COUNT(C288:O288)=0,"",IFERROR(C288/F288,0))</f>
        <v/>
      </c>
      <c r="T288" s="18">
        <f>IF(COUNT(C288:O288)=0,"",IFERROR(G288/F288,0))</f>
        <v/>
      </c>
      <c r="U288" s="15">
        <f>IF(COUNT(C288:O288)=0,"",IFERROR(C288/G288,0))</f>
        <v/>
      </c>
      <c r="V288" s="19">
        <f>IF(COUNT(C288:O288)=0,"",IFERROR(G288/D288*1000,0))</f>
        <v/>
      </c>
      <c r="W288" s="18">
        <f>IF(COUNT(C288:O288)=0,"",IFERROR(H288/G288,0))</f>
        <v/>
      </c>
      <c r="X288" s="15">
        <f>IF(COUNT(C288:O288)=0,"",IFERROR(C288/H288,0))</f>
        <v/>
      </c>
      <c r="Y288" s="18">
        <f>IF(COUNT(C288:O288)=0,"",IFERROR(X288/P288,0))</f>
        <v/>
      </c>
      <c r="Z288" s="19">
        <f>IF(COUNT(C288:O288)=0,"",IFERROR(H288/D288*1000,0))</f>
        <v/>
      </c>
      <c r="AA288" s="18">
        <f>IF(COUNT(C288:O288)=0,"",IFERROR(I288/H288,0))</f>
        <v/>
      </c>
      <c r="AB288" s="18">
        <f>IF(COUNT(C288:O288)=0,"",IFERROR(J288/I288,0))</f>
        <v/>
      </c>
      <c r="AC288" s="18">
        <f>IF(COUNT(C288:O288)=0,"",IFERROR(K288/J288,0))</f>
        <v/>
      </c>
      <c r="AD288" s="15">
        <f>IF(COUNT(C288:O288)=0,"",IFERROR(C288/K288,0))</f>
        <v/>
      </c>
      <c r="AE288" s="18">
        <f>IF(COUNT(C288:O288)=0,"",IFERROR(L288/K288,0))</f>
        <v/>
      </c>
      <c r="AF288" s="18">
        <f>IF(COUNT(C288:O288)=0,"",IFERROR(M288/L288,0))</f>
        <v/>
      </c>
      <c r="AG288" s="17">
        <f>IF(COUNT(C288:O288)=0,"",IFERROR(M288/H288,0))</f>
        <v/>
      </c>
      <c r="AH288" s="15">
        <f>IF(COUNT(C288:O288)=0,"",IFERROR(C288/M288,0))</f>
        <v/>
      </c>
      <c r="AI288" s="20">
        <f>IF(COUNT(C288:O288)=0,"",IFERROR(M288*Config!$C$7+N288*Config!$C$8,0))</f>
        <v/>
      </c>
      <c r="AJ288" s="20">
        <f>IF(COUNT(C288:O288)=0,"",IFERROR(IF(O288&gt;0,O288,AI288*Config!$C$9),0))</f>
        <v/>
      </c>
      <c r="AK288" s="20">
        <f>IF(COUNT(C288:O288)=0,"",IFERROR(AJ288*(1-Config!$C$10-Config!$C$11-Config!$C$12),0))</f>
        <v/>
      </c>
      <c r="AL288" s="20">
        <f>IF(COUNT(C288:O288)=0,"",IFERROR(AK288-C288-Config!$C$13,0))</f>
        <v/>
      </c>
      <c r="AM288" s="21">
        <f>IF(COUNT(C288:O288)=0,"",IFERROR(AK288/C288,0))</f>
        <v/>
      </c>
      <c r="AN288" s="21">
        <f>IF(COUNT(C288:O288)=0,"",IFERROR(AI288/C288,0))</f>
        <v/>
      </c>
      <c r="AO288" s="15">
        <f>IF(COUNT(C288:O288)=0,"",IFERROR(AL288/G288,0))</f>
        <v/>
      </c>
      <c r="AP288" s="21">
        <f>IF(COUNT(C288:O288)=0,"",IFERROR(AO288/U288,0))</f>
        <v/>
      </c>
      <c r="AQ288" s="15">
        <f>IF(COUNT(C288:O288)=0,"",IFERROR(AL288/H288,0))</f>
        <v/>
      </c>
    </row>
    <row r="289">
      <c r="A289" s="12">
        <f>Config!$C$6+283</f>
        <v/>
      </c>
      <c r="B289" s="13">
        <f>INT((A289-Config!$C$6)/7)+1</f>
        <v/>
      </c>
      <c r="C289" s="10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0" t="n"/>
      <c r="P289" s="15">
        <f>IF(COUNT(C289:O289)=0,"",IFERROR(C289/D289*1000,0))</f>
        <v/>
      </c>
      <c r="Q289" s="16">
        <f>IF(COUNT(C289:O289)=0,"",IFERROR(D289/E289,0))</f>
        <v/>
      </c>
      <c r="R289" s="17">
        <f>IF(COUNT(C289:O289)=0,"",IFERROR(F289/D289,0))</f>
        <v/>
      </c>
      <c r="S289" s="15">
        <f>IF(COUNT(C289:O289)=0,"",IFERROR(C289/F289,0))</f>
        <v/>
      </c>
      <c r="T289" s="18">
        <f>IF(COUNT(C289:O289)=0,"",IFERROR(G289/F289,0))</f>
        <v/>
      </c>
      <c r="U289" s="15">
        <f>IF(COUNT(C289:O289)=0,"",IFERROR(C289/G289,0))</f>
        <v/>
      </c>
      <c r="V289" s="19">
        <f>IF(COUNT(C289:O289)=0,"",IFERROR(G289/D289*1000,0))</f>
        <v/>
      </c>
      <c r="W289" s="18">
        <f>IF(COUNT(C289:O289)=0,"",IFERROR(H289/G289,0))</f>
        <v/>
      </c>
      <c r="X289" s="15">
        <f>IF(COUNT(C289:O289)=0,"",IFERROR(C289/H289,0))</f>
        <v/>
      </c>
      <c r="Y289" s="18">
        <f>IF(COUNT(C289:O289)=0,"",IFERROR(X289/P289,0))</f>
        <v/>
      </c>
      <c r="Z289" s="19">
        <f>IF(COUNT(C289:O289)=0,"",IFERROR(H289/D289*1000,0))</f>
        <v/>
      </c>
      <c r="AA289" s="18">
        <f>IF(COUNT(C289:O289)=0,"",IFERROR(I289/H289,0))</f>
        <v/>
      </c>
      <c r="AB289" s="18">
        <f>IF(COUNT(C289:O289)=0,"",IFERROR(J289/I289,0))</f>
        <v/>
      </c>
      <c r="AC289" s="18">
        <f>IF(COUNT(C289:O289)=0,"",IFERROR(K289/J289,0))</f>
        <v/>
      </c>
      <c r="AD289" s="15">
        <f>IF(COUNT(C289:O289)=0,"",IFERROR(C289/K289,0))</f>
        <v/>
      </c>
      <c r="AE289" s="18">
        <f>IF(COUNT(C289:O289)=0,"",IFERROR(L289/K289,0))</f>
        <v/>
      </c>
      <c r="AF289" s="18">
        <f>IF(COUNT(C289:O289)=0,"",IFERROR(M289/L289,0))</f>
        <v/>
      </c>
      <c r="AG289" s="17">
        <f>IF(COUNT(C289:O289)=0,"",IFERROR(M289/H289,0))</f>
        <v/>
      </c>
      <c r="AH289" s="15">
        <f>IF(COUNT(C289:O289)=0,"",IFERROR(C289/M289,0))</f>
        <v/>
      </c>
      <c r="AI289" s="20">
        <f>IF(COUNT(C289:O289)=0,"",IFERROR(M289*Config!$C$7+N289*Config!$C$8,0))</f>
        <v/>
      </c>
      <c r="AJ289" s="20">
        <f>IF(COUNT(C289:O289)=0,"",IFERROR(IF(O289&gt;0,O289,AI289*Config!$C$9),0))</f>
        <v/>
      </c>
      <c r="AK289" s="20">
        <f>IF(COUNT(C289:O289)=0,"",IFERROR(AJ289*(1-Config!$C$10-Config!$C$11-Config!$C$12),0))</f>
        <v/>
      </c>
      <c r="AL289" s="20">
        <f>IF(COUNT(C289:O289)=0,"",IFERROR(AK289-C289-Config!$C$13,0))</f>
        <v/>
      </c>
      <c r="AM289" s="21">
        <f>IF(COUNT(C289:O289)=0,"",IFERROR(AK289/C289,0))</f>
        <v/>
      </c>
      <c r="AN289" s="21">
        <f>IF(COUNT(C289:O289)=0,"",IFERROR(AI289/C289,0))</f>
        <v/>
      </c>
      <c r="AO289" s="15">
        <f>IF(COUNT(C289:O289)=0,"",IFERROR(AL289/G289,0))</f>
        <v/>
      </c>
      <c r="AP289" s="21">
        <f>IF(COUNT(C289:O289)=0,"",IFERROR(AO289/U289,0))</f>
        <v/>
      </c>
      <c r="AQ289" s="15">
        <f>IF(COUNT(C289:O289)=0,"",IFERROR(AL289/H289,0))</f>
        <v/>
      </c>
    </row>
    <row r="290">
      <c r="A290" s="12">
        <f>Config!$C$6+284</f>
        <v/>
      </c>
      <c r="B290" s="13">
        <f>INT((A290-Config!$C$6)/7)+1</f>
        <v/>
      </c>
      <c r="C290" s="10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0" t="n"/>
      <c r="P290" s="15">
        <f>IF(COUNT(C290:O290)=0,"",IFERROR(C290/D290*1000,0))</f>
        <v/>
      </c>
      <c r="Q290" s="16">
        <f>IF(COUNT(C290:O290)=0,"",IFERROR(D290/E290,0))</f>
        <v/>
      </c>
      <c r="R290" s="17">
        <f>IF(COUNT(C290:O290)=0,"",IFERROR(F290/D290,0))</f>
        <v/>
      </c>
      <c r="S290" s="15">
        <f>IF(COUNT(C290:O290)=0,"",IFERROR(C290/F290,0))</f>
        <v/>
      </c>
      <c r="T290" s="18">
        <f>IF(COUNT(C290:O290)=0,"",IFERROR(G290/F290,0))</f>
        <v/>
      </c>
      <c r="U290" s="15">
        <f>IF(COUNT(C290:O290)=0,"",IFERROR(C290/G290,0))</f>
        <v/>
      </c>
      <c r="V290" s="19">
        <f>IF(COUNT(C290:O290)=0,"",IFERROR(G290/D290*1000,0))</f>
        <v/>
      </c>
      <c r="W290" s="18">
        <f>IF(COUNT(C290:O290)=0,"",IFERROR(H290/G290,0))</f>
        <v/>
      </c>
      <c r="X290" s="15">
        <f>IF(COUNT(C290:O290)=0,"",IFERROR(C290/H290,0))</f>
        <v/>
      </c>
      <c r="Y290" s="18">
        <f>IF(COUNT(C290:O290)=0,"",IFERROR(X290/P290,0))</f>
        <v/>
      </c>
      <c r="Z290" s="19">
        <f>IF(COUNT(C290:O290)=0,"",IFERROR(H290/D290*1000,0))</f>
        <v/>
      </c>
      <c r="AA290" s="18">
        <f>IF(COUNT(C290:O290)=0,"",IFERROR(I290/H290,0))</f>
        <v/>
      </c>
      <c r="AB290" s="18">
        <f>IF(COUNT(C290:O290)=0,"",IFERROR(J290/I290,0))</f>
        <v/>
      </c>
      <c r="AC290" s="18">
        <f>IF(COUNT(C290:O290)=0,"",IFERROR(K290/J290,0))</f>
        <v/>
      </c>
      <c r="AD290" s="15">
        <f>IF(COUNT(C290:O290)=0,"",IFERROR(C290/K290,0))</f>
        <v/>
      </c>
      <c r="AE290" s="18">
        <f>IF(COUNT(C290:O290)=0,"",IFERROR(L290/K290,0))</f>
        <v/>
      </c>
      <c r="AF290" s="18">
        <f>IF(COUNT(C290:O290)=0,"",IFERROR(M290/L290,0))</f>
        <v/>
      </c>
      <c r="AG290" s="17">
        <f>IF(COUNT(C290:O290)=0,"",IFERROR(M290/H290,0))</f>
        <v/>
      </c>
      <c r="AH290" s="15">
        <f>IF(COUNT(C290:O290)=0,"",IFERROR(C290/M290,0))</f>
        <v/>
      </c>
      <c r="AI290" s="20">
        <f>IF(COUNT(C290:O290)=0,"",IFERROR(M290*Config!$C$7+N290*Config!$C$8,0))</f>
        <v/>
      </c>
      <c r="AJ290" s="20">
        <f>IF(COUNT(C290:O290)=0,"",IFERROR(IF(O290&gt;0,O290,AI290*Config!$C$9),0))</f>
        <v/>
      </c>
      <c r="AK290" s="20">
        <f>IF(COUNT(C290:O290)=0,"",IFERROR(AJ290*(1-Config!$C$10-Config!$C$11-Config!$C$12),0))</f>
        <v/>
      </c>
      <c r="AL290" s="20">
        <f>IF(COUNT(C290:O290)=0,"",IFERROR(AK290-C290-Config!$C$13,0))</f>
        <v/>
      </c>
      <c r="AM290" s="21">
        <f>IF(COUNT(C290:O290)=0,"",IFERROR(AK290/C290,0))</f>
        <v/>
      </c>
      <c r="AN290" s="21">
        <f>IF(COUNT(C290:O290)=0,"",IFERROR(AI290/C290,0))</f>
        <v/>
      </c>
      <c r="AO290" s="15">
        <f>IF(COUNT(C290:O290)=0,"",IFERROR(AL290/G290,0))</f>
        <v/>
      </c>
      <c r="AP290" s="21">
        <f>IF(COUNT(C290:O290)=0,"",IFERROR(AO290/U290,0))</f>
        <v/>
      </c>
      <c r="AQ290" s="15">
        <f>IF(COUNT(C290:O290)=0,"",IFERROR(AL290/H290,0))</f>
        <v/>
      </c>
    </row>
    <row r="291">
      <c r="A291" s="12">
        <f>Config!$C$6+285</f>
        <v/>
      </c>
      <c r="B291" s="13">
        <f>INT((A291-Config!$C$6)/7)+1</f>
        <v/>
      </c>
      <c r="C291" s="10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0" t="n"/>
      <c r="P291" s="15">
        <f>IF(COUNT(C291:O291)=0,"",IFERROR(C291/D291*1000,0))</f>
        <v/>
      </c>
      <c r="Q291" s="16">
        <f>IF(COUNT(C291:O291)=0,"",IFERROR(D291/E291,0))</f>
        <v/>
      </c>
      <c r="R291" s="17">
        <f>IF(COUNT(C291:O291)=0,"",IFERROR(F291/D291,0))</f>
        <v/>
      </c>
      <c r="S291" s="15">
        <f>IF(COUNT(C291:O291)=0,"",IFERROR(C291/F291,0))</f>
        <v/>
      </c>
      <c r="T291" s="18">
        <f>IF(COUNT(C291:O291)=0,"",IFERROR(G291/F291,0))</f>
        <v/>
      </c>
      <c r="U291" s="15">
        <f>IF(COUNT(C291:O291)=0,"",IFERROR(C291/G291,0))</f>
        <v/>
      </c>
      <c r="V291" s="19">
        <f>IF(COUNT(C291:O291)=0,"",IFERROR(G291/D291*1000,0))</f>
        <v/>
      </c>
      <c r="W291" s="18">
        <f>IF(COUNT(C291:O291)=0,"",IFERROR(H291/G291,0))</f>
        <v/>
      </c>
      <c r="X291" s="15">
        <f>IF(COUNT(C291:O291)=0,"",IFERROR(C291/H291,0))</f>
        <v/>
      </c>
      <c r="Y291" s="18">
        <f>IF(COUNT(C291:O291)=0,"",IFERROR(X291/P291,0))</f>
        <v/>
      </c>
      <c r="Z291" s="19">
        <f>IF(COUNT(C291:O291)=0,"",IFERROR(H291/D291*1000,0))</f>
        <v/>
      </c>
      <c r="AA291" s="18">
        <f>IF(COUNT(C291:O291)=0,"",IFERROR(I291/H291,0))</f>
        <v/>
      </c>
      <c r="AB291" s="18">
        <f>IF(COUNT(C291:O291)=0,"",IFERROR(J291/I291,0))</f>
        <v/>
      </c>
      <c r="AC291" s="18">
        <f>IF(COUNT(C291:O291)=0,"",IFERROR(K291/J291,0))</f>
        <v/>
      </c>
      <c r="AD291" s="15">
        <f>IF(COUNT(C291:O291)=0,"",IFERROR(C291/K291,0))</f>
        <v/>
      </c>
      <c r="AE291" s="18">
        <f>IF(COUNT(C291:O291)=0,"",IFERROR(L291/K291,0))</f>
        <v/>
      </c>
      <c r="AF291" s="18">
        <f>IF(COUNT(C291:O291)=0,"",IFERROR(M291/L291,0))</f>
        <v/>
      </c>
      <c r="AG291" s="17">
        <f>IF(COUNT(C291:O291)=0,"",IFERROR(M291/H291,0))</f>
        <v/>
      </c>
      <c r="AH291" s="15">
        <f>IF(COUNT(C291:O291)=0,"",IFERROR(C291/M291,0))</f>
        <v/>
      </c>
      <c r="AI291" s="20">
        <f>IF(COUNT(C291:O291)=0,"",IFERROR(M291*Config!$C$7+N291*Config!$C$8,0))</f>
        <v/>
      </c>
      <c r="AJ291" s="20">
        <f>IF(COUNT(C291:O291)=0,"",IFERROR(IF(O291&gt;0,O291,AI291*Config!$C$9),0))</f>
        <v/>
      </c>
      <c r="AK291" s="20">
        <f>IF(COUNT(C291:O291)=0,"",IFERROR(AJ291*(1-Config!$C$10-Config!$C$11-Config!$C$12),0))</f>
        <v/>
      </c>
      <c r="AL291" s="20">
        <f>IF(COUNT(C291:O291)=0,"",IFERROR(AK291-C291-Config!$C$13,0))</f>
        <v/>
      </c>
      <c r="AM291" s="21">
        <f>IF(COUNT(C291:O291)=0,"",IFERROR(AK291/C291,0))</f>
        <v/>
      </c>
      <c r="AN291" s="21">
        <f>IF(COUNT(C291:O291)=0,"",IFERROR(AI291/C291,0))</f>
        <v/>
      </c>
      <c r="AO291" s="15">
        <f>IF(COUNT(C291:O291)=0,"",IFERROR(AL291/G291,0))</f>
        <v/>
      </c>
      <c r="AP291" s="21">
        <f>IF(COUNT(C291:O291)=0,"",IFERROR(AO291/U291,0))</f>
        <v/>
      </c>
      <c r="AQ291" s="15">
        <f>IF(COUNT(C291:O291)=0,"",IFERROR(AL291/H291,0))</f>
        <v/>
      </c>
    </row>
    <row r="292">
      <c r="A292" s="12">
        <f>Config!$C$6+286</f>
        <v/>
      </c>
      <c r="B292" s="13">
        <f>INT((A292-Config!$C$6)/7)+1</f>
        <v/>
      </c>
      <c r="C292" s="10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0" t="n"/>
      <c r="P292" s="15">
        <f>IF(COUNT(C292:O292)=0,"",IFERROR(C292/D292*1000,0))</f>
        <v/>
      </c>
      <c r="Q292" s="16">
        <f>IF(COUNT(C292:O292)=0,"",IFERROR(D292/E292,0))</f>
        <v/>
      </c>
      <c r="R292" s="17">
        <f>IF(COUNT(C292:O292)=0,"",IFERROR(F292/D292,0))</f>
        <v/>
      </c>
      <c r="S292" s="15">
        <f>IF(COUNT(C292:O292)=0,"",IFERROR(C292/F292,0))</f>
        <v/>
      </c>
      <c r="T292" s="18">
        <f>IF(COUNT(C292:O292)=0,"",IFERROR(G292/F292,0))</f>
        <v/>
      </c>
      <c r="U292" s="15">
        <f>IF(COUNT(C292:O292)=0,"",IFERROR(C292/G292,0))</f>
        <v/>
      </c>
      <c r="V292" s="19">
        <f>IF(COUNT(C292:O292)=0,"",IFERROR(G292/D292*1000,0))</f>
        <v/>
      </c>
      <c r="W292" s="18">
        <f>IF(COUNT(C292:O292)=0,"",IFERROR(H292/G292,0))</f>
        <v/>
      </c>
      <c r="X292" s="15">
        <f>IF(COUNT(C292:O292)=0,"",IFERROR(C292/H292,0))</f>
        <v/>
      </c>
      <c r="Y292" s="18">
        <f>IF(COUNT(C292:O292)=0,"",IFERROR(X292/P292,0))</f>
        <v/>
      </c>
      <c r="Z292" s="19">
        <f>IF(COUNT(C292:O292)=0,"",IFERROR(H292/D292*1000,0))</f>
        <v/>
      </c>
      <c r="AA292" s="18">
        <f>IF(COUNT(C292:O292)=0,"",IFERROR(I292/H292,0))</f>
        <v/>
      </c>
      <c r="AB292" s="18">
        <f>IF(COUNT(C292:O292)=0,"",IFERROR(J292/I292,0))</f>
        <v/>
      </c>
      <c r="AC292" s="18">
        <f>IF(COUNT(C292:O292)=0,"",IFERROR(K292/J292,0))</f>
        <v/>
      </c>
      <c r="AD292" s="15">
        <f>IF(COUNT(C292:O292)=0,"",IFERROR(C292/K292,0))</f>
        <v/>
      </c>
      <c r="AE292" s="18">
        <f>IF(COUNT(C292:O292)=0,"",IFERROR(L292/K292,0))</f>
        <v/>
      </c>
      <c r="AF292" s="18">
        <f>IF(COUNT(C292:O292)=0,"",IFERROR(M292/L292,0))</f>
        <v/>
      </c>
      <c r="AG292" s="17">
        <f>IF(COUNT(C292:O292)=0,"",IFERROR(M292/H292,0))</f>
        <v/>
      </c>
      <c r="AH292" s="15">
        <f>IF(COUNT(C292:O292)=0,"",IFERROR(C292/M292,0))</f>
        <v/>
      </c>
      <c r="AI292" s="20">
        <f>IF(COUNT(C292:O292)=0,"",IFERROR(M292*Config!$C$7+N292*Config!$C$8,0))</f>
        <v/>
      </c>
      <c r="AJ292" s="20">
        <f>IF(COUNT(C292:O292)=0,"",IFERROR(IF(O292&gt;0,O292,AI292*Config!$C$9),0))</f>
        <v/>
      </c>
      <c r="AK292" s="20">
        <f>IF(COUNT(C292:O292)=0,"",IFERROR(AJ292*(1-Config!$C$10-Config!$C$11-Config!$C$12),0))</f>
        <v/>
      </c>
      <c r="AL292" s="20">
        <f>IF(COUNT(C292:O292)=0,"",IFERROR(AK292-C292-Config!$C$13,0))</f>
        <v/>
      </c>
      <c r="AM292" s="21">
        <f>IF(COUNT(C292:O292)=0,"",IFERROR(AK292/C292,0))</f>
        <v/>
      </c>
      <c r="AN292" s="21">
        <f>IF(COUNT(C292:O292)=0,"",IFERROR(AI292/C292,0))</f>
        <v/>
      </c>
      <c r="AO292" s="15">
        <f>IF(COUNT(C292:O292)=0,"",IFERROR(AL292/G292,0))</f>
        <v/>
      </c>
      <c r="AP292" s="21">
        <f>IF(COUNT(C292:O292)=0,"",IFERROR(AO292/U292,0))</f>
        <v/>
      </c>
      <c r="AQ292" s="15">
        <f>IF(COUNT(C292:O292)=0,"",IFERROR(AL292/H292,0))</f>
        <v/>
      </c>
    </row>
    <row r="293">
      <c r="A293" s="12">
        <f>Config!$C$6+287</f>
        <v/>
      </c>
      <c r="B293" s="13">
        <f>INT((A293-Config!$C$6)/7)+1</f>
        <v/>
      </c>
      <c r="C293" s="10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0" t="n"/>
      <c r="P293" s="15">
        <f>IF(COUNT(C293:O293)=0,"",IFERROR(C293/D293*1000,0))</f>
        <v/>
      </c>
      <c r="Q293" s="16">
        <f>IF(COUNT(C293:O293)=0,"",IFERROR(D293/E293,0))</f>
        <v/>
      </c>
      <c r="R293" s="17">
        <f>IF(COUNT(C293:O293)=0,"",IFERROR(F293/D293,0))</f>
        <v/>
      </c>
      <c r="S293" s="15">
        <f>IF(COUNT(C293:O293)=0,"",IFERROR(C293/F293,0))</f>
        <v/>
      </c>
      <c r="T293" s="18">
        <f>IF(COUNT(C293:O293)=0,"",IFERROR(G293/F293,0))</f>
        <v/>
      </c>
      <c r="U293" s="15">
        <f>IF(COUNT(C293:O293)=0,"",IFERROR(C293/G293,0))</f>
        <v/>
      </c>
      <c r="V293" s="19">
        <f>IF(COUNT(C293:O293)=0,"",IFERROR(G293/D293*1000,0))</f>
        <v/>
      </c>
      <c r="W293" s="18">
        <f>IF(COUNT(C293:O293)=0,"",IFERROR(H293/G293,0))</f>
        <v/>
      </c>
      <c r="X293" s="15">
        <f>IF(COUNT(C293:O293)=0,"",IFERROR(C293/H293,0))</f>
        <v/>
      </c>
      <c r="Y293" s="18">
        <f>IF(COUNT(C293:O293)=0,"",IFERROR(X293/P293,0))</f>
        <v/>
      </c>
      <c r="Z293" s="19">
        <f>IF(COUNT(C293:O293)=0,"",IFERROR(H293/D293*1000,0))</f>
        <v/>
      </c>
      <c r="AA293" s="18">
        <f>IF(COUNT(C293:O293)=0,"",IFERROR(I293/H293,0))</f>
        <v/>
      </c>
      <c r="AB293" s="18">
        <f>IF(COUNT(C293:O293)=0,"",IFERROR(J293/I293,0))</f>
        <v/>
      </c>
      <c r="AC293" s="18">
        <f>IF(COUNT(C293:O293)=0,"",IFERROR(K293/J293,0))</f>
        <v/>
      </c>
      <c r="AD293" s="15">
        <f>IF(COUNT(C293:O293)=0,"",IFERROR(C293/K293,0))</f>
        <v/>
      </c>
      <c r="AE293" s="18">
        <f>IF(COUNT(C293:O293)=0,"",IFERROR(L293/K293,0))</f>
        <v/>
      </c>
      <c r="AF293" s="18">
        <f>IF(COUNT(C293:O293)=0,"",IFERROR(M293/L293,0))</f>
        <v/>
      </c>
      <c r="AG293" s="17">
        <f>IF(COUNT(C293:O293)=0,"",IFERROR(M293/H293,0))</f>
        <v/>
      </c>
      <c r="AH293" s="15">
        <f>IF(COUNT(C293:O293)=0,"",IFERROR(C293/M293,0))</f>
        <v/>
      </c>
      <c r="AI293" s="20">
        <f>IF(COUNT(C293:O293)=0,"",IFERROR(M293*Config!$C$7+N293*Config!$C$8,0))</f>
        <v/>
      </c>
      <c r="AJ293" s="20">
        <f>IF(COUNT(C293:O293)=0,"",IFERROR(IF(O293&gt;0,O293,AI293*Config!$C$9),0))</f>
        <v/>
      </c>
      <c r="AK293" s="20">
        <f>IF(COUNT(C293:O293)=0,"",IFERROR(AJ293*(1-Config!$C$10-Config!$C$11-Config!$C$12),0))</f>
        <v/>
      </c>
      <c r="AL293" s="20">
        <f>IF(COUNT(C293:O293)=0,"",IFERROR(AK293-C293-Config!$C$13,0))</f>
        <v/>
      </c>
      <c r="AM293" s="21">
        <f>IF(COUNT(C293:O293)=0,"",IFERROR(AK293/C293,0))</f>
        <v/>
      </c>
      <c r="AN293" s="21">
        <f>IF(COUNT(C293:O293)=0,"",IFERROR(AI293/C293,0))</f>
        <v/>
      </c>
      <c r="AO293" s="15">
        <f>IF(COUNT(C293:O293)=0,"",IFERROR(AL293/G293,0))</f>
        <v/>
      </c>
      <c r="AP293" s="21">
        <f>IF(COUNT(C293:O293)=0,"",IFERROR(AO293/U293,0))</f>
        <v/>
      </c>
      <c r="AQ293" s="15">
        <f>IF(COUNT(C293:O293)=0,"",IFERROR(AL293/H293,0))</f>
        <v/>
      </c>
    </row>
    <row r="294">
      <c r="A294" s="12">
        <f>Config!$C$6+288</f>
        <v/>
      </c>
      <c r="B294" s="13">
        <f>INT((A294-Config!$C$6)/7)+1</f>
        <v/>
      </c>
      <c r="C294" s="10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0" t="n"/>
      <c r="P294" s="15">
        <f>IF(COUNT(C294:O294)=0,"",IFERROR(C294/D294*1000,0))</f>
        <v/>
      </c>
      <c r="Q294" s="16">
        <f>IF(COUNT(C294:O294)=0,"",IFERROR(D294/E294,0))</f>
        <v/>
      </c>
      <c r="R294" s="17">
        <f>IF(COUNT(C294:O294)=0,"",IFERROR(F294/D294,0))</f>
        <v/>
      </c>
      <c r="S294" s="15">
        <f>IF(COUNT(C294:O294)=0,"",IFERROR(C294/F294,0))</f>
        <v/>
      </c>
      <c r="T294" s="18">
        <f>IF(COUNT(C294:O294)=0,"",IFERROR(G294/F294,0))</f>
        <v/>
      </c>
      <c r="U294" s="15">
        <f>IF(COUNT(C294:O294)=0,"",IFERROR(C294/G294,0))</f>
        <v/>
      </c>
      <c r="V294" s="19">
        <f>IF(COUNT(C294:O294)=0,"",IFERROR(G294/D294*1000,0))</f>
        <v/>
      </c>
      <c r="W294" s="18">
        <f>IF(COUNT(C294:O294)=0,"",IFERROR(H294/G294,0))</f>
        <v/>
      </c>
      <c r="X294" s="15">
        <f>IF(COUNT(C294:O294)=0,"",IFERROR(C294/H294,0))</f>
        <v/>
      </c>
      <c r="Y294" s="18">
        <f>IF(COUNT(C294:O294)=0,"",IFERROR(X294/P294,0))</f>
        <v/>
      </c>
      <c r="Z294" s="19">
        <f>IF(COUNT(C294:O294)=0,"",IFERROR(H294/D294*1000,0))</f>
        <v/>
      </c>
      <c r="AA294" s="18">
        <f>IF(COUNT(C294:O294)=0,"",IFERROR(I294/H294,0))</f>
        <v/>
      </c>
      <c r="AB294" s="18">
        <f>IF(COUNT(C294:O294)=0,"",IFERROR(J294/I294,0))</f>
        <v/>
      </c>
      <c r="AC294" s="18">
        <f>IF(COUNT(C294:O294)=0,"",IFERROR(K294/J294,0))</f>
        <v/>
      </c>
      <c r="AD294" s="15">
        <f>IF(COUNT(C294:O294)=0,"",IFERROR(C294/K294,0))</f>
        <v/>
      </c>
      <c r="AE294" s="18">
        <f>IF(COUNT(C294:O294)=0,"",IFERROR(L294/K294,0))</f>
        <v/>
      </c>
      <c r="AF294" s="18">
        <f>IF(COUNT(C294:O294)=0,"",IFERROR(M294/L294,0))</f>
        <v/>
      </c>
      <c r="AG294" s="17">
        <f>IF(COUNT(C294:O294)=0,"",IFERROR(M294/H294,0))</f>
        <v/>
      </c>
      <c r="AH294" s="15">
        <f>IF(COUNT(C294:O294)=0,"",IFERROR(C294/M294,0))</f>
        <v/>
      </c>
      <c r="AI294" s="20">
        <f>IF(COUNT(C294:O294)=0,"",IFERROR(M294*Config!$C$7+N294*Config!$C$8,0))</f>
        <v/>
      </c>
      <c r="AJ294" s="20">
        <f>IF(COUNT(C294:O294)=0,"",IFERROR(IF(O294&gt;0,O294,AI294*Config!$C$9),0))</f>
        <v/>
      </c>
      <c r="AK294" s="20">
        <f>IF(COUNT(C294:O294)=0,"",IFERROR(AJ294*(1-Config!$C$10-Config!$C$11-Config!$C$12),0))</f>
        <v/>
      </c>
      <c r="AL294" s="20">
        <f>IF(COUNT(C294:O294)=0,"",IFERROR(AK294-C294-Config!$C$13,0))</f>
        <v/>
      </c>
      <c r="AM294" s="21">
        <f>IF(COUNT(C294:O294)=0,"",IFERROR(AK294/C294,0))</f>
        <v/>
      </c>
      <c r="AN294" s="21">
        <f>IF(COUNT(C294:O294)=0,"",IFERROR(AI294/C294,0))</f>
        <v/>
      </c>
      <c r="AO294" s="15">
        <f>IF(COUNT(C294:O294)=0,"",IFERROR(AL294/G294,0))</f>
        <v/>
      </c>
      <c r="AP294" s="21">
        <f>IF(COUNT(C294:O294)=0,"",IFERROR(AO294/U294,0))</f>
        <v/>
      </c>
      <c r="AQ294" s="15">
        <f>IF(COUNT(C294:O294)=0,"",IFERROR(AL294/H294,0))</f>
        <v/>
      </c>
    </row>
    <row r="295">
      <c r="A295" s="12">
        <f>Config!$C$6+289</f>
        <v/>
      </c>
      <c r="B295" s="13">
        <f>INT((A295-Config!$C$6)/7)+1</f>
        <v/>
      </c>
      <c r="C295" s="10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0" t="n"/>
      <c r="P295" s="15">
        <f>IF(COUNT(C295:O295)=0,"",IFERROR(C295/D295*1000,0))</f>
        <v/>
      </c>
      <c r="Q295" s="16">
        <f>IF(COUNT(C295:O295)=0,"",IFERROR(D295/E295,0))</f>
        <v/>
      </c>
      <c r="R295" s="17">
        <f>IF(COUNT(C295:O295)=0,"",IFERROR(F295/D295,0))</f>
        <v/>
      </c>
      <c r="S295" s="15">
        <f>IF(COUNT(C295:O295)=0,"",IFERROR(C295/F295,0))</f>
        <v/>
      </c>
      <c r="T295" s="18">
        <f>IF(COUNT(C295:O295)=0,"",IFERROR(G295/F295,0))</f>
        <v/>
      </c>
      <c r="U295" s="15">
        <f>IF(COUNT(C295:O295)=0,"",IFERROR(C295/G295,0))</f>
        <v/>
      </c>
      <c r="V295" s="19">
        <f>IF(COUNT(C295:O295)=0,"",IFERROR(G295/D295*1000,0))</f>
        <v/>
      </c>
      <c r="W295" s="18">
        <f>IF(COUNT(C295:O295)=0,"",IFERROR(H295/G295,0))</f>
        <v/>
      </c>
      <c r="X295" s="15">
        <f>IF(COUNT(C295:O295)=0,"",IFERROR(C295/H295,0))</f>
        <v/>
      </c>
      <c r="Y295" s="18">
        <f>IF(COUNT(C295:O295)=0,"",IFERROR(X295/P295,0))</f>
        <v/>
      </c>
      <c r="Z295" s="19">
        <f>IF(COUNT(C295:O295)=0,"",IFERROR(H295/D295*1000,0))</f>
        <v/>
      </c>
      <c r="AA295" s="18">
        <f>IF(COUNT(C295:O295)=0,"",IFERROR(I295/H295,0))</f>
        <v/>
      </c>
      <c r="AB295" s="18">
        <f>IF(COUNT(C295:O295)=0,"",IFERROR(J295/I295,0))</f>
        <v/>
      </c>
      <c r="AC295" s="18">
        <f>IF(COUNT(C295:O295)=0,"",IFERROR(K295/J295,0))</f>
        <v/>
      </c>
      <c r="AD295" s="15">
        <f>IF(COUNT(C295:O295)=0,"",IFERROR(C295/K295,0))</f>
        <v/>
      </c>
      <c r="AE295" s="18">
        <f>IF(COUNT(C295:O295)=0,"",IFERROR(L295/K295,0))</f>
        <v/>
      </c>
      <c r="AF295" s="18">
        <f>IF(COUNT(C295:O295)=0,"",IFERROR(M295/L295,0))</f>
        <v/>
      </c>
      <c r="AG295" s="17">
        <f>IF(COUNT(C295:O295)=0,"",IFERROR(M295/H295,0))</f>
        <v/>
      </c>
      <c r="AH295" s="15">
        <f>IF(COUNT(C295:O295)=0,"",IFERROR(C295/M295,0))</f>
        <v/>
      </c>
      <c r="AI295" s="20">
        <f>IF(COUNT(C295:O295)=0,"",IFERROR(M295*Config!$C$7+N295*Config!$C$8,0))</f>
        <v/>
      </c>
      <c r="AJ295" s="20">
        <f>IF(COUNT(C295:O295)=0,"",IFERROR(IF(O295&gt;0,O295,AI295*Config!$C$9),0))</f>
        <v/>
      </c>
      <c r="AK295" s="20">
        <f>IF(COUNT(C295:O295)=0,"",IFERROR(AJ295*(1-Config!$C$10-Config!$C$11-Config!$C$12),0))</f>
        <v/>
      </c>
      <c r="AL295" s="20">
        <f>IF(COUNT(C295:O295)=0,"",IFERROR(AK295-C295-Config!$C$13,0))</f>
        <v/>
      </c>
      <c r="AM295" s="21">
        <f>IF(COUNT(C295:O295)=0,"",IFERROR(AK295/C295,0))</f>
        <v/>
      </c>
      <c r="AN295" s="21">
        <f>IF(COUNT(C295:O295)=0,"",IFERROR(AI295/C295,0))</f>
        <v/>
      </c>
      <c r="AO295" s="15">
        <f>IF(COUNT(C295:O295)=0,"",IFERROR(AL295/G295,0))</f>
        <v/>
      </c>
      <c r="AP295" s="21">
        <f>IF(COUNT(C295:O295)=0,"",IFERROR(AO295/U295,0))</f>
        <v/>
      </c>
      <c r="AQ295" s="15">
        <f>IF(COUNT(C295:O295)=0,"",IFERROR(AL295/H295,0))</f>
        <v/>
      </c>
    </row>
    <row r="296">
      <c r="A296" s="12">
        <f>Config!$C$6+290</f>
        <v/>
      </c>
      <c r="B296" s="13">
        <f>INT((A296-Config!$C$6)/7)+1</f>
        <v/>
      </c>
      <c r="C296" s="10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0" t="n"/>
      <c r="P296" s="15">
        <f>IF(COUNT(C296:O296)=0,"",IFERROR(C296/D296*1000,0))</f>
        <v/>
      </c>
      <c r="Q296" s="16">
        <f>IF(COUNT(C296:O296)=0,"",IFERROR(D296/E296,0))</f>
        <v/>
      </c>
      <c r="R296" s="17">
        <f>IF(COUNT(C296:O296)=0,"",IFERROR(F296/D296,0))</f>
        <v/>
      </c>
      <c r="S296" s="15">
        <f>IF(COUNT(C296:O296)=0,"",IFERROR(C296/F296,0))</f>
        <v/>
      </c>
      <c r="T296" s="18">
        <f>IF(COUNT(C296:O296)=0,"",IFERROR(G296/F296,0))</f>
        <v/>
      </c>
      <c r="U296" s="15">
        <f>IF(COUNT(C296:O296)=0,"",IFERROR(C296/G296,0))</f>
        <v/>
      </c>
      <c r="V296" s="19">
        <f>IF(COUNT(C296:O296)=0,"",IFERROR(G296/D296*1000,0))</f>
        <v/>
      </c>
      <c r="W296" s="18">
        <f>IF(COUNT(C296:O296)=0,"",IFERROR(H296/G296,0))</f>
        <v/>
      </c>
      <c r="X296" s="15">
        <f>IF(COUNT(C296:O296)=0,"",IFERROR(C296/H296,0))</f>
        <v/>
      </c>
      <c r="Y296" s="18">
        <f>IF(COUNT(C296:O296)=0,"",IFERROR(X296/P296,0))</f>
        <v/>
      </c>
      <c r="Z296" s="19">
        <f>IF(COUNT(C296:O296)=0,"",IFERROR(H296/D296*1000,0))</f>
        <v/>
      </c>
      <c r="AA296" s="18">
        <f>IF(COUNT(C296:O296)=0,"",IFERROR(I296/H296,0))</f>
        <v/>
      </c>
      <c r="AB296" s="18">
        <f>IF(COUNT(C296:O296)=0,"",IFERROR(J296/I296,0))</f>
        <v/>
      </c>
      <c r="AC296" s="18">
        <f>IF(COUNT(C296:O296)=0,"",IFERROR(K296/J296,0))</f>
        <v/>
      </c>
      <c r="AD296" s="15">
        <f>IF(COUNT(C296:O296)=0,"",IFERROR(C296/K296,0))</f>
        <v/>
      </c>
      <c r="AE296" s="18">
        <f>IF(COUNT(C296:O296)=0,"",IFERROR(L296/K296,0))</f>
        <v/>
      </c>
      <c r="AF296" s="18">
        <f>IF(COUNT(C296:O296)=0,"",IFERROR(M296/L296,0))</f>
        <v/>
      </c>
      <c r="AG296" s="17">
        <f>IF(COUNT(C296:O296)=0,"",IFERROR(M296/H296,0))</f>
        <v/>
      </c>
      <c r="AH296" s="15">
        <f>IF(COUNT(C296:O296)=0,"",IFERROR(C296/M296,0))</f>
        <v/>
      </c>
      <c r="AI296" s="20">
        <f>IF(COUNT(C296:O296)=0,"",IFERROR(M296*Config!$C$7+N296*Config!$C$8,0))</f>
        <v/>
      </c>
      <c r="AJ296" s="20">
        <f>IF(COUNT(C296:O296)=0,"",IFERROR(IF(O296&gt;0,O296,AI296*Config!$C$9),0))</f>
        <v/>
      </c>
      <c r="AK296" s="20">
        <f>IF(COUNT(C296:O296)=0,"",IFERROR(AJ296*(1-Config!$C$10-Config!$C$11-Config!$C$12),0))</f>
        <v/>
      </c>
      <c r="AL296" s="20">
        <f>IF(COUNT(C296:O296)=0,"",IFERROR(AK296-C296-Config!$C$13,0))</f>
        <v/>
      </c>
      <c r="AM296" s="21">
        <f>IF(COUNT(C296:O296)=0,"",IFERROR(AK296/C296,0))</f>
        <v/>
      </c>
      <c r="AN296" s="21">
        <f>IF(COUNT(C296:O296)=0,"",IFERROR(AI296/C296,0))</f>
        <v/>
      </c>
      <c r="AO296" s="15">
        <f>IF(COUNT(C296:O296)=0,"",IFERROR(AL296/G296,0))</f>
        <v/>
      </c>
      <c r="AP296" s="21">
        <f>IF(COUNT(C296:O296)=0,"",IFERROR(AO296/U296,0))</f>
        <v/>
      </c>
      <c r="AQ296" s="15">
        <f>IF(COUNT(C296:O296)=0,"",IFERROR(AL296/H296,0))</f>
        <v/>
      </c>
    </row>
    <row r="297">
      <c r="A297" s="12">
        <f>Config!$C$6+291</f>
        <v/>
      </c>
      <c r="B297" s="13">
        <f>INT((A297-Config!$C$6)/7)+1</f>
        <v/>
      </c>
      <c r="C297" s="10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0" t="n"/>
      <c r="P297" s="15">
        <f>IF(COUNT(C297:O297)=0,"",IFERROR(C297/D297*1000,0))</f>
        <v/>
      </c>
      <c r="Q297" s="16">
        <f>IF(COUNT(C297:O297)=0,"",IFERROR(D297/E297,0))</f>
        <v/>
      </c>
      <c r="R297" s="17">
        <f>IF(COUNT(C297:O297)=0,"",IFERROR(F297/D297,0))</f>
        <v/>
      </c>
      <c r="S297" s="15">
        <f>IF(COUNT(C297:O297)=0,"",IFERROR(C297/F297,0))</f>
        <v/>
      </c>
      <c r="T297" s="18">
        <f>IF(COUNT(C297:O297)=0,"",IFERROR(G297/F297,0))</f>
        <v/>
      </c>
      <c r="U297" s="15">
        <f>IF(COUNT(C297:O297)=0,"",IFERROR(C297/G297,0))</f>
        <v/>
      </c>
      <c r="V297" s="19">
        <f>IF(COUNT(C297:O297)=0,"",IFERROR(G297/D297*1000,0))</f>
        <v/>
      </c>
      <c r="W297" s="18">
        <f>IF(COUNT(C297:O297)=0,"",IFERROR(H297/G297,0))</f>
        <v/>
      </c>
      <c r="X297" s="15">
        <f>IF(COUNT(C297:O297)=0,"",IFERROR(C297/H297,0))</f>
        <v/>
      </c>
      <c r="Y297" s="18">
        <f>IF(COUNT(C297:O297)=0,"",IFERROR(X297/P297,0))</f>
        <v/>
      </c>
      <c r="Z297" s="19">
        <f>IF(COUNT(C297:O297)=0,"",IFERROR(H297/D297*1000,0))</f>
        <v/>
      </c>
      <c r="AA297" s="18">
        <f>IF(COUNT(C297:O297)=0,"",IFERROR(I297/H297,0))</f>
        <v/>
      </c>
      <c r="AB297" s="18">
        <f>IF(COUNT(C297:O297)=0,"",IFERROR(J297/I297,0))</f>
        <v/>
      </c>
      <c r="AC297" s="18">
        <f>IF(COUNT(C297:O297)=0,"",IFERROR(K297/J297,0))</f>
        <v/>
      </c>
      <c r="AD297" s="15">
        <f>IF(COUNT(C297:O297)=0,"",IFERROR(C297/K297,0))</f>
        <v/>
      </c>
      <c r="AE297" s="18">
        <f>IF(COUNT(C297:O297)=0,"",IFERROR(L297/K297,0))</f>
        <v/>
      </c>
      <c r="AF297" s="18">
        <f>IF(COUNT(C297:O297)=0,"",IFERROR(M297/L297,0))</f>
        <v/>
      </c>
      <c r="AG297" s="17">
        <f>IF(COUNT(C297:O297)=0,"",IFERROR(M297/H297,0))</f>
        <v/>
      </c>
      <c r="AH297" s="15">
        <f>IF(COUNT(C297:O297)=0,"",IFERROR(C297/M297,0))</f>
        <v/>
      </c>
      <c r="AI297" s="20">
        <f>IF(COUNT(C297:O297)=0,"",IFERROR(M297*Config!$C$7+N297*Config!$C$8,0))</f>
        <v/>
      </c>
      <c r="AJ297" s="20">
        <f>IF(COUNT(C297:O297)=0,"",IFERROR(IF(O297&gt;0,O297,AI297*Config!$C$9),0))</f>
        <v/>
      </c>
      <c r="AK297" s="20">
        <f>IF(COUNT(C297:O297)=0,"",IFERROR(AJ297*(1-Config!$C$10-Config!$C$11-Config!$C$12),0))</f>
        <v/>
      </c>
      <c r="AL297" s="20">
        <f>IF(COUNT(C297:O297)=0,"",IFERROR(AK297-C297-Config!$C$13,0))</f>
        <v/>
      </c>
      <c r="AM297" s="21">
        <f>IF(COUNT(C297:O297)=0,"",IFERROR(AK297/C297,0))</f>
        <v/>
      </c>
      <c r="AN297" s="21">
        <f>IF(COUNT(C297:O297)=0,"",IFERROR(AI297/C297,0))</f>
        <v/>
      </c>
      <c r="AO297" s="15">
        <f>IF(COUNT(C297:O297)=0,"",IFERROR(AL297/G297,0))</f>
        <v/>
      </c>
      <c r="AP297" s="21">
        <f>IF(COUNT(C297:O297)=0,"",IFERROR(AO297/U297,0))</f>
        <v/>
      </c>
      <c r="AQ297" s="15">
        <f>IF(COUNT(C297:O297)=0,"",IFERROR(AL297/H297,0))</f>
        <v/>
      </c>
    </row>
    <row r="298">
      <c r="A298" s="12">
        <f>Config!$C$6+292</f>
        <v/>
      </c>
      <c r="B298" s="13">
        <f>INT((A298-Config!$C$6)/7)+1</f>
        <v/>
      </c>
      <c r="C298" s="10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0" t="n"/>
      <c r="P298" s="15">
        <f>IF(COUNT(C298:O298)=0,"",IFERROR(C298/D298*1000,0))</f>
        <v/>
      </c>
      <c r="Q298" s="16">
        <f>IF(COUNT(C298:O298)=0,"",IFERROR(D298/E298,0))</f>
        <v/>
      </c>
      <c r="R298" s="17">
        <f>IF(COUNT(C298:O298)=0,"",IFERROR(F298/D298,0))</f>
        <v/>
      </c>
      <c r="S298" s="15">
        <f>IF(COUNT(C298:O298)=0,"",IFERROR(C298/F298,0))</f>
        <v/>
      </c>
      <c r="T298" s="18">
        <f>IF(COUNT(C298:O298)=0,"",IFERROR(G298/F298,0))</f>
        <v/>
      </c>
      <c r="U298" s="15">
        <f>IF(COUNT(C298:O298)=0,"",IFERROR(C298/G298,0))</f>
        <v/>
      </c>
      <c r="V298" s="19">
        <f>IF(COUNT(C298:O298)=0,"",IFERROR(G298/D298*1000,0))</f>
        <v/>
      </c>
      <c r="W298" s="18">
        <f>IF(COUNT(C298:O298)=0,"",IFERROR(H298/G298,0))</f>
        <v/>
      </c>
      <c r="X298" s="15">
        <f>IF(COUNT(C298:O298)=0,"",IFERROR(C298/H298,0))</f>
        <v/>
      </c>
      <c r="Y298" s="18">
        <f>IF(COUNT(C298:O298)=0,"",IFERROR(X298/P298,0))</f>
        <v/>
      </c>
      <c r="Z298" s="19">
        <f>IF(COUNT(C298:O298)=0,"",IFERROR(H298/D298*1000,0))</f>
        <v/>
      </c>
      <c r="AA298" s="18">
        <f>IF(COUNT(C298:O298)=0,"",IFERROR(I298/H298,0))</f>
        <v/>
      </c>
      <c r="AB298" s="18">
        <f>IF(COUNT(C298:O298)=0,"",IFERROR(J298/I298,0))</f>
        <v/>
      </c>
      <c r="AC298" s="18">
        <f>IF(COUNT(C298:O298)=0,"",IFERROR(K298/J298,0))</f>
        <v/>
      </c>
      <c r="AD298" s="15">
        <f>IF(COUNT(C298:O298)=0,"",IFERROR(C298/K298,0))</f>
        <v/>
      </c>
      <c r="AE298" s="18">
        <f>IF(COUNT(C298:O298)=0,"",IFERROR(L298/K298,0))</f>
        <v/>
      </c>
      <c r="AF298" s="18">
        <f>IF(COUNT(C298:O298)=0,"",IFERROR(M298/L298,0))</f>
        <v/>
      </c>
      <c r="AG298" s="17">
        <f>IF(COUNT(C298:O298)=0,"",IFERROR(M298/H298,0))</f>
        <v/>
      </c>
      <c r="AH298" s="15">
        <f>IF(COUNT(C298:O298)=0,"",IFERROR(C298/M298,0))</f>
        <v/>
      </c>
      <c r="AI298" s="20">
        <f>IF(COUNT(C298:O298)=0,"",IFERROR(M298*Config!$C$7+N298*Config!$C$8,0))</f>
        <v/>
      </c>
      <c r="AJ298" s="20">
        <f>IF(COUNT(C298:O298)=0,"",IFERROR(IF(O298&gt;0,O298,AI298*Config!$C$9),0))</f>
        <v/>
      </c>
      <c r="AK298" s="20">
        <f>IF(COUNT(C298:O298)=0,"",IFERROR(AJ298*(1-Config!$C$10-Config!$C$11-Config!$C$12),0))</f>
        <v/>
      </c>
      <c r="AL298" s="20">
        <f>IF(COUNT(C298:O298)=0,"",IFERROR(AK298-C298-Config!$C$13,0))</f>
        <v/>
      </c>
      <c r="AM298" s="21">
        <f>IF(COUNT(C298:O298)=0,"",IFERROR(AK298/C298,0))</f>
        <v/>
      </c>
      <c r="AN298" s="21">
        <f>IF(COUNT(C298:O298)=0,"",IFERROR(AI298/C298,0))</f>
        <v/>
      </c>
      <c r="AO298" s="15">
        <f>IF(COUNT(C298:O298)=0,"",IFERROR(AL298/G298,0))</f>
        <v/>
      </c>
      <c r="AP298" s="21">
        <f>IF(COUNT(C298:O298)=0,"",IFERROR(AO298/U298,0))</f>
        <v/>
      </c>
      <c r="AQ298" s="15">
        <f>IF(COUNT(C298:O298)=0,"",IFERROR(AL298/H298,0))</f>
        <v/>
      </c>
    </row>
    <row r="299">
      <c r="A299" s="12">
        <f>Config!$C$6+293</f>
        <v/>
      </c>
      <c r="B299" s="13">
        <f>INT((A299-Config!$C$6)/7)+1</f>
        <v/>
      </c>
      <c r="C299" s="10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0" t="n"/>
      <c r="P299" s="15">
        <f>IF(COUNT(C299:O299)=0,"",IFERROR(C299/D299*1000,0))</f>
        <v/>
      </c>
      <c r="Q299" s="16">
        <f>IF(COUNT(C299:O299)=0,"",IFERROR(D299/E299,0))</f>
        <v/>
      </c>
      <c r="R299" s="17">
        <f>IF(COUNT(C299:O299)=0,"",IFERROR(F299/D299,0))</f>
        <v/>
      </c>
      <c r="S299" s="15">
        <f>IF(COUNT(C299:O299)=0,"",IFERROR(C299/F299,0))</f>
        <v/>
      </c>
      <c r="T299" s="18">
        <f>IF(COUNT(C299:O299)=0,"",IFERROR(G299/F299,0))</f>
        <v/>
      </c>
      <c r="U299" s="15">
        <f>IF(COUNT(C299:O299)=0,"",IFERROR(C299/G299,0))</f>
        <v/>
      </c>
      <c r="V299" s="19">
        <f>IF(COUNT(C299:O299)=0,"",IFERROR(G299/D299*1000,0))</f>
        <v/>
      </c>
      <c r="W299" s="18">
        <f>IF(COUNT(C299:O299)=0,"",IFERROR(H299/G299,0))</f>
        <v/>
      </c>
      <c r="X299" s="15">
        <f>IF(COUNT(C299:O299)=0,"",IFERROR(C299/H299,0))</f>
        <v/>
      </c>
      <c r="Y299" s="18">
        <f>IF(COUNT(C299:O299)=0,"",IFERROR(X299/P299,0))</f>
        <v/>
      </c>
      <c r="Z299" s="19">
        <f>IF(COUNT(C299:O299)=0,"",IFERROR(H299/D299*1000,0))</f>
        <v/>
      </c>
      <c r="AA299" s="18">
        <f>IF(COUNT(C299:O299)=0,"",IFERROR(I299/H299,0))</f>
        <v/>
      </c>
      <c r="AB299" s="18">
        <f>IF(COUNT(C299:O299)=0,"",IFERROR(J299/I299,0))</f>
        <v/>
      </c>
      <c r="AC299" s="18">
        <f>IF(COUNT(C299:O299)=0,"",IFERROR(K299/J299,0))</f>
        <v/>
      </c>
      <c r="AD299" s="15">
        <f>IF(COUNT(C299:O299)=0,"",IFERROR(C299/K299,0))</f>
        <v/>
      </c>
      <c r="AE299" s="18">
        <f>IF(COUNT(C299:O299)=0,"",IFERROR(L299/K299,0))</f>
        <v/>
      </c>
      <c r="AF299" s="18">
        <f>IF(COUNT(C299:O299)=0,"",IFERROR(M299/L299,0))</f>
        <v/>
      </c>
      <c r="AG299" s="17">
        <f>IF(COUNT(C299:O299)=0,"",IFERROR(M299/H299,0))</f>
        <v/>
      </c>
      <c r="AH299" s="15">
        <f>IF(COUNT(C299:O299)=0,"",IFERROR(C299/M299,0))</f>
        <v/>
      </c>
      <c r="AI299" s="20">
        <f>IF(COUNT(C299:O299)=0,"",IFERROR(M299*Config!$C$7+N299*Config!$C$8,0))</f>
        <v/>
      </c>
      <c r="AJ299" s="20">
        <f>IF(COUNT(C299:O299)=0,"",IFERROR(IF(O299&gt;0,O299,AI299*Config!$C$9),0))</f>
        <v/>
      </c>
      <c r="AK299" s="20">
        <f>IF(COUNT(C299:O299)=0,"",IFERROR(AJ299*(1-Config!$C$10-Config!$C$11-Config!$C$12),0))</f>
        <v/>
      </c>
      <c r="AL299" s="20">
        <f>IF(COUNT(C299:O299)=0,"",IFERROR(AK299-C299-Config!$C$13,0))</f>
        <v/>
      </c>
      <c r="AM299" s="21">
        <f>IF(COUNT(C299:O299)=0,"",IFERROR(AK299/C299,0))</f>
        <v/>
      </c>
      <c r="AN299" s="21">
        <f>IF(COUNT(C299:O299)=0,"",IFERROR(AI299/C299,0))</f>
        <v/>
      </c>
      <c r="AO299" s="15">
        <f>IF(COUNT(C299:O299)=0,"",IFERROR(AL299/G299,0))</f>
        <v/>
      </c>
      <c r="AP299" s="21">
        <f>IF(COUNT(C299:O299)=0,"",IFERROR(AO299/U299,0))</f>
        <v/>
      </c>
      <c r="AQ299" s="15">
        <f>IF(COUNT(C299:O299)=0,"",IFERROR(AL299/H299,0))</f>
        <v/>
      </c>
    </row>
    <row r="300">
      <c r="A300" s="12">
        <f>Config!$C$6+294</f>
        <v/>
      </c>
      <c r="B300" s="13">
        <f>INT((A300-Config!$C$6)/7)+1</f>
        <v/>
      </c>
      <c r="C300" s="10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0" t="n"/>
      <c r="P300" s="15">
        <f>IF(COUNT(C300:O300)=0,"",IFERROR(C300/D300*1000,0))</f>
        <v/>
      </c>
      <c r="Q300" s="16">
        <f>IF(COUNT(C300:O300)=0,"",IFERROR(D300/E300,0))</f>
        <v/>
      </c>
      <c r="R300" s="17">
        <f>IF(COUNT(C300:O300)=0,"",IFERROR(F300/D300,0))</f>
        <v/>
      </c>
      <c r="S300" s="15">
        <f>IF(COUNT(C300:O300)=0,"",IFERROR(C300/F300,0))</f>
        <v/>
      </c>
      <c r="T300" s="18">
        <f>IF(COUNT(C300:O300)=0,"",IFERROR(G300/F300,0))</f>
        <v/>
      </c>
      <c r="U300" s="15">
        <f>IF(COUNT(C300:O300)=0,"",IFERROR(C300/G300,0))</f>
        <v/>
      </c>
      <c r="V300" s="19">
        <f>IF(COUNT(C300:O300)=0,"",IFERROR(G300/D300*1000,0))</f>
        <v/>
      </c>
      <c r="W300" s="18">
        <f>IF(COUNT(C300:O300)=0,"",IFERROR(H300/G300,0))</f>
        <v/>
      </c>
      <c r="X300" s="15">
        <f>IF(COUNT(C300:O300)=0,"",IFERROR(C300/H300,0))</f>
        <v/>
      </c>
      <c r="Y300" s="18">
        <f>IF(COUNT(C300:O300)=0,"",IFERROR(X300/P300,0))</f>
        <v/>
      </c>
      <c r="Z300" s="19">
        <f>IF(COUNT(C300:O300)=0,"",IFERROR(H300/D300*1000,0))</f>
        <v/>
      </c>
      <c r="AA300" s="18">
        <f>IF(COUNT(C300:O300)=0,"",IFERROR(I300/H300,0))</f>
        <v/>
      </c>
      <c r="AB300" s="18">
        <f>IF(COUNT(C300:O300)=0,"",IFERROR(J300/I300,0))</f>
        <v/>
      </c>
      <c r="AC300" s="18">
        <f>IF(COUNT(C300:O300)=0,"",IFERROR(K300/J300,0))</f>
        <v/>
      </c>
      <c r="AD300" s="15">
        <f>IF(COUNT(C300:O300)=0,"",IFERROR(C300/K300,0))</f>
        <v/>
      </c>
      <c r="AE300" s="18">
        <f>IF(COUNT(C300:O300)=0,"",IFERROR(L300/K300,0))</f>
        <v/>
      </c>
      <c r="AF300" s="18">
        <f>IF(COUNT(C300:O300)=0,"",IFERROR(M300/L300,0))</f>
        <v/>
      </c>
      <c r="AG300" s="17">
        <f>IF(COUNT(C300:O300)=0,"",IFERROR(M300/H300,0))</f>
        <v/>
      </c>
      <c r="AH300" s="15">
        <f>IF(COUNT(C300:O300)=0,"",IFERROR(C300/M300,0))</f>
        <v/>
      </c>
      <c r="AI300" s="20">
        <f>IF(COUNT(C300:O300)=0,"",IFERROR(M300*Config!$C$7+N300*Config!$C$8,0))</f>
        <v/>
      </c>
      <c r="AJ300" s="20">
        <f>IF(COUNT(C300:O300)=0,"",IFERROR(IF(O300&gt;0,O300,AI300*Config!$C$9),0))</f>
        <v/>
      </c>
      <c r="AK300" s="20">
        <f>IF(COUNT(C300:O300)=0,"",IFERROR(AJ300*(1-Config!$C$10-Config!$C$11-Config!$C$12),0))</f>
        <v/>
      </c>
      <c r="AL300" s="20">
        <f>IF(COUNT(C300:O300)=0,"",IFERROR(AK300-C300-Config!$C$13,0))</f>
        <v/>
      </c>
      <c r="AM300" s="21">
        <f>IF(COUNT(C300:O300)=0,"",IFERROR(AK300/C300,0))</f>
        <v/>
      </c>
      <c r="AN300" s="21">
        <f>IF(COUNT(C300:O300)=0,"",IFERROR(AI300/C300,0))</f>
        <v/>
      </c>
      <c r="AO300" s="15">
        <f>IF(COUNT(C300:O300)=0,"",IFERROR(AL300/G300,0))</f>
        <v/>
      </c>
      <c r="AP300" s="21">
        <f>IF(COUNT(C300:O300)=0,"",IFERROR(AO300/U300,0))</f>
        <v/>
      </c>
      <c r="AQ300" s="15">
        <f>IF(COUNT(C300:O300)=0,"",IFERROR(AL300/H300,0))</f>
        <v/>
      </c>
    </row>
    <row r="301">
      <c r="A301" s="12">
        <f>Config!$C$6+295</f>
        <v/>
      </c>
      <c r="B301" s="13">
        <f>INT((A301-Config!$C$6)/7)+1</f>
        <v/>
      </c>
      <c r="C301" s="10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0" t="n"/>
      <c r="P301" s="15">
        <f>IF(COUNT(C301:O301)=0,"",IFERROR(C301/D301*1000,0))</f>
        <v/>
      </c>
      <c r="Q301" s="16">
        <f>IF(COUNT(C301:O301)=0,"",IFERROR(D301/E301,0))</f>
        <v/>
      </c>
      <c r="R301" s="17">
        <f>IF(COUNT(C301:O301)=0,"",IFERROR(F301/D301,0))</f>
        <v/>
      </c>
      <c r="S301" s="15">
        <f>IF(COUNT(C301:O301)=0,"",IFERROR(C301/F301,0))</f>
        <v/>
      </c>
      <c r="T301" s="18">
        <f>IF(COUNT(C301:O301)=0,"",IFERROR(G301/F301,0))</f>
        <v/>
      </c>
      <c r="U301" s="15">
        <f>IF(COUNT(C301:O301)=0,"",IFERROR(C301/G301,0))</f>
        <v/>
      </c>
      <c r="V301" s="19">
        <f>IF(COUNT(C301:O301)=0,"",IFERROR(G301/D301*1000,0))</f>
        <v/>
      </c>
      <c r="W301" s="18">
        <f>IF(COUNT(C301:O301)=0,"",IFERROR(H301/G301,0))</f>
        <v/>
      </c>
      <c r="X301" s="15">
        <f>IF(COUNT(C301:O301)=0,"",IFERROR(C301/H301,0))</f>
        <v/>
      </c>
      <c r="Y301" s="18">
        <f>IF(COUNT(C301:O301)=0,"",IFERROR(X301/P301,0))</f>
        <v/>
      </c>
      <c r="Z301" s="19">
        <f>IF(COUNT(C301:O301)=0,"",IFERROR(H301/D301*1000,0))</f>
        <v/>
      </c>
      <c r="AA301" s="18">
        <f>IF(COUNT(C301:O301)=0,"",IFERROR(I301/H301,0))</f>
        <v/>
      </c>
      <c r="AB301" s="18">
        <f>IF(COUNT(C301:O301)=0,"",IFERROR(J301/I301,0))</f>
        <v/>
      </c>
      <c r="AC301" s="18">
        <f>IF(COUNT(C301:O301)=0,"",IFERROR(K301/J301,0))</f>
        <v/>
      </c>
      <c r="AD301" s="15">
        <f>IF(COUNT(C301:O301)=0,"",IFERROR(C301/K301,0))</f>
        <v/>
      </c>
      <c r="AE301" s="18">
        <f>IF(COUNT(C301:O301)=0,"",IFERROR(L301/K301,0))</f>
        <v/>
      </c>
      <c r="AF301" s="18">
        <f>IF(COUNT(C301:O301)=0,"",IFERROR(M301/L301,0))</f>
        <v/>
      </c>
      <c r="AG301" s="17">
        <f>IF(COUNT(C301:O301)=0,"",IFERROR(M301/H301,0))</f>
        <v/>
      </c>
      <c r="AH301" s="15">
        <f>IF(COUNT(C301:O301)=0,"",IFERROR(C301/M301,0))</f>
        <v/>
      </c>
      <c r="AI301" s="20">
        <f>IF(COUNT(C301:O301)=0,"",IFERROR(M301*Config!$C$7+N301*Config!$C$8,0))</f>
        <v/>
      </c>
      <c r="AJ301" s="20">
        <f>IF(COUNT(C301:O301)=0,"",IFERROR(IF(O301&gt;0,O301,AI301*Config!$C$9),0))</f>
        <v/>
      </c>
      <c r="AK301" s="20">
        <f>IF(COUNT(C301:O301)=0,"",IFERROR(AJ301*(1-Config!$C$10-Config!$C$11-Config!$C$12),0))</f>
        <v/>
      </c>
      <c r="AL301" s="20">
        <f>IF(COUNT(C301:O301)=0,"",IFERROR(AK301-C301-Config!$C$13,0))</f>
        <v/>
      </c>
      <c r="AM301" s="21">
        <f>IF(COUNT(C301:O301)=0,"",IFERROR(AK301/C301,0))</f>
        <v/>
      </c>
      <c r="AN301" s="21">
        <f>IF(COUNT(C301:O301)=0,"",IFERROR(AI301/C301,0))</f>
        <v/>
      </c>
      <c r="AO301" s="15">
        <f>IF(COUNT(C301:O301)=0,"",IFERROR(AL301/G301,0))</f>
        <v/>
      </c>
      <c r="AP301" s="21">
        <f>IF(COUNT(C301:O301)=0,"",IFERROR(AO301/U301,0))</f>
        <v/>
      </c>
      <c r="AQ301" s="15">
        <f>IF(COUNT(C301:O301)=0,"",IFERROR(AL301/H301,0))</f>
        <v/>
      </c>
    </row>
    <row r="302">
      <c r="A302" s="12">
        <f>Config!$C$6+296</f>
        <v/>
      </c>
      <c r="B302" s="13">
        <f>INT((A302-Config!$C$6)/7)+1</f>
        <v/>
      </c>
      <c r="C302" s="10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0" t="n"/>
      <c r="P302" s="15">
        <f>IF(COUNT(C302:O302)=0,"",IFERROR(C302/D302*1000,0))</f>
        <v/>
      </c>
      <c r="Q302" s="16">
        <f>IF(COUNT(C302:O302)=0,"",IFERROR(D302/E302,0))</f>
        <v/>
      </c>
      <c r="R302" s="17">
        <f>IF(COUNT(C302:O302)=0,"",IFERROR(F302/D302,0))</f>
        <v/>
      </c>
      <c r="S302" s="15">
        <f>IF(COUNT(C302:O302)=0,"",IFERROR(C302/F302,0))</f>
        <v/>
      </c>
      <c r="T302" s="18">
        <f>IF(COUNT(C302:O302)=0,"",IFERROR(G302/F302,0))</f>
        <v/>
      </c>
      <c r="U302" s="15">
        <f>IF(COUNT(C302:O302)=0,"",IFERROR(C302/G302,0))</f>
        <v/>
      </c>
      <c r="V302" s="19">
        <f>IF(COUNT(C302:O302)=0,"",IFERROR(G302/D302*1000,0))</f>
        <v/>
      </c>
      <c r="W302" s="18">
        <f>IF(COUNT(C302:O302)=0,"",IFERROR(H302/G302,0))</f>
        <v/>
      </c>
      <c r="X302" s="15">
        <f>IF(COUNT(C302:O302)=0,"",IFERROR(C302/H302,0))</f>
        <v/>
      </c>
      <c r="Y302" s="18">
        <f>IF(COUNT(C302:O302)=0,"",IFERROR(X302/P302,0))</f>
        <v/>
      </c>
      <c r="Z302" s="19">
        <f>IF(COUNT(C302:O302)=0,"",IFERROR(H302/D302*1000,0))</f>
        <v/>
      </c>
      <c r="AA302" s="18">
        <f>IF(COUNT(C302:O302)=0,"",IFERROR(I302/H302,0))</f>
        <v/>
      </c>
      <c r="AB302" s="18">
        <f>IF(COUNT(C302:O302)=0,"",IFERROR(J302/I302,0))</f>
        <v/>
      </c>
      <c r="AC302" s="18">
        <f>IF(COUNT(C302:O302)=0,"",IFERROR(K302/J302,0))</f>
        <v/>
      </c>
      <c r="AD302" s="15">
        <f>IF(COUNT(C302:O302)=0,"",IFERROR(C302/K302,0))</f>
        <v/>
      </c>
      <c r="AE302" s="18">
        <f>IF(COUNT(C302:O302)=0,"",IFERROR(L302/K302,0))</f>
        <v/>
      </c>
      <c r="AF302" s="18">
        <f>IF(COUNT(C302:O302)=0,"",IFERROR(M302/L302,0))</f>
        <v/>
      </c>
      <c r="AG302" s="17">
        <f>IF(COUNT(C302:O302)=0,"",IFERROR(M302/H302,0))</f>
        <v/>
      </c>
      <c r="AH302" s="15">
        <f>IF(COUNT(C302:O302)=0,"",IFERROR(C302/M302,0))</f>
        <v/>
      </c>
      <c r="AI302" s="20">
        <f>IF(COUNT(C302:O302)=0,"",IFERROR(M302*Config!$C$7+N302*Config!$C$8,0))</f>
        <v/>
      </c>
      <c r="AJ302" s="20">
        <f>IF(COUNT(C302:O302)=0,"",IFERROR(IF(O302&gt;0,O302,AI302*Config!$C$9),0))</f>
        <v/>
      </c>
      <c r="AK302" s="20">
        <f>IF(COUNT(C302:O302)=0,"",IFERROR(AJ302*(1-Config!$C$10-Config!$C$11-Config!$C$12),0))</f>
        <v/>
      </c>
      <c r="AL302" s="20">
        <f>IF(COUNT(C302:O302)=0,"",IFERROR(AK302-C302-Config!$C$13,0))</f>
        <v/>
      </c>
      <c r="AM302" s="21">
        <f>IF(COUNT(C302:O302)=0,"",IFERROR(AK302/C302,0))</f>
        <v/>
      </c>
      <c r="AN302" s="21">
        <f>IF(COUNT(C302:O302)=0,"",IFERROR(AI302/C302,0))</f>
        <v/>
      </c>
      <c r="AO302" s="15">
        <f>IF(COUNT(C302:O302)=0,"",IFERROR(AL302/G302,0))</f>
        <v/>
      </c>
      <c r="AP302" s="21">
        <f>IF(COUNT(C302:O302)=0,"",IFERROR(AO302/U302,0))</f>
        <v/>
      </c>
      <c r="AQ302" s="15">
        <f>IF(COUNT(C302:O302)=0,"",IFERROR(AL302/H302,0))</f>
        <v/>
      </c>
    </row>
    <row r="303">
      <c r="A303" s="12">
        <f>Config!$C$6+297</f>
        <v/>
      </c>
      <c r="B303" s="13">
        <f>INT((A303-Config!$C$6)/7)+1</f>
        <v/>
      </c>
      <c r="C303" s="10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0" t="n"/>
      <c r="P303" s="15">
        <f>IF(COUNT(C303:O303)=0,"",IFERROR(C303/D303*1000,0))</f>
        <v/>
      </c>
      <c r="Q303" s="16">
        <f>IF(COUNT(C303:O303)=0,"",IFERROR(D303/E303,0))</f>
        <v/>
      </c>
      <c r="R303" s="17">
        <f>IF(COUNT(C303:O303)=0,"",IFERROR(F303/D303,0))</f>
        <v/>
      </c>
      <c r="S303" s="15">
        <f>IF(COUNT(C303:O303)=0,"",IFERROR(C303/F303,0))</f>
        <v/>
      </c>
      <c r="T303" s="18">
        <f>IF(COUNT(C303:O303)=0,"",IFERROR(G303/F303,0))</f>
        <v/>
      </c>
      <c r="U303" s="15">
        <f>IF(COUNT(C303:O303)=0,"",IFERROR(C303/G303,0))</f>
        <v/>
      </c>
      <c r="V303" s="19">
        <f>IF(COUNT(C303:O303)=0,"",IFERROR(G303/D303*1000,0))</f>
        <v/>
      </c>
      <c r="W303" s="18">
        <f>IF(COUNT(C303:O303)=0,"",IFERROR(H303/G303,0))</f>
        <v/>
      </c>
      <c r="X303" s="15">
        <f>IF(COUNT(C303:O303)=0,"",IFERROR(C303/H303,0))</f>
        <v/>
      </c>
      <c r="Y303" s="18">
        <f>IF(COUNT(C303:O303)=0,"",IFERROR(X303/P303,0))</f>
        <v/>
      </c>
      <c r="Z303" s="19">
        <f>IF(COUNT(C303:O303)=0,"",IFERROR(H303/D303*1000,0))</f>
        <v/>
      </c>
      <c r="AA303" s="18">
        <f>IF(COUNT(C303:O303)=0,"",IFERROR(I303/H303,0))</f>
        <v/>
      </c>
      <c r="AB303" s="18">
        <f>IF(COUNT(C303:O303)=0,"",IFERROR(J303/I303,0))</f>
        <v/>
      </c>
      <c r="AC303" s="18">
        <f>IF(COUNT(C303:O303)=0,"",IFERROR(K303/J303,0))</f>
        <v/>
      </c>
      <c r="AD303" s="15">
        <f>IF(COUNT(C303:O303)=0,"",IFERROR(C303/K303,0))</f>
        <v/>
      </c>
      <c r="AE303" s="18">
        <f>IF(COUNT(C303:O303)=0,"",IFERROR(L303/K303,0))</f>
        <v/>
      </c>
      <c r="AF303" s="18">
        <f>IF(COUNT(C303:O303)=0,"",IFERROR(M303/L303,0))</f>
        <v/>
      </c>
      <c r="AG303" s="17">
        <f>IF(COUNT(C303:O303)=0,"",IFERROR(M303/H303,0))</f>
        <v/>
      </c>
      <c r="AH303" s="15">
        <f>IF(COUNT(C303:O303)=0,"",IFERROR(C303/M303,0))</f>
        <v/>
      </c>
      <c r="AI303" s="20">
        <f>IF(COUNT(C303:O303)=0,"",IFERROR(M303*Config!$C$7+N303*Config!$C$8,0))</f>
        <v/>
      </c>
      <c r="AJ303" s="20">
        <f>IF(COUNT(C303:O303)=0,"",IFERROR(IF(O303&gt;0,O303,AI303*Config!$C$9),0))</f>
        <v/>
      </c>
      <c r="AK303" s="20">
        <f>IF(COUNT(C303:O303)=0,"",IFERROR(AJ303*(1-Config!$C$10-Config!$C$11-Config!$C$12),0))</f>
        <v/>
      </c>
      <c r="AL303" s="20">
        <f>IF(COUNT(C303:O303)=0,"",IFERROR(AK303-C303-Config!$C$13,0))</f>
        <v/>
      </c>
      <c r="AM303" s="21">
        <f>IF(COUNT(C303:O303)=0,"",IFERROR(AK303/C303,0))</f>
        <v/>
      </c>
      <c r="AN303" s="21">
        <f>IF(COUNT(C303:O303)=0,"",IFERROR(AI303/C303,0))</f>
        <v/>
      </c>
      <c r="AO303" s="15">
        <f>IF(COUNT(C303:O303)=0,"",IFERROR(AL303/G303,0))</f>
        <v/>
      </c>
      <c r="AP303" s="21">
        <f>IF(COUNT(C303:O303)=0,"",IFERROR(AO303/U303,0))</f>
        <v/>
      </c>
      <c r="AQ303" s="15">
        <f>IF(COUNT(C303:O303)=0,"",IFERROR(AL303/H303,0))</f>
        <v/>
      </c>
    </row>
    <row r="304">
      <c r="A304" s="12">
        <f>Config!$C$6+298</f>
        <v/>
      </c>
      <c r="B304" s="13">
        <f>INT((A304-Config!$C$6)/7)+1</f>
        <v/>
      </c>
      <c r="C304" s="10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0" t="n"/>
      <c r="P304" s="15">
        <f>IF(COUNT(C304:O304)=0,"",IFERROR(C304/D304*1000,0))</f>
        <v/>
      </c>
      <c r="Q304" s="16">
        <f>IF(COUNT(C304:O304)=0,"",IFERROR(D304/E304,0))</f>
        <v/>
      </c>
      <c r="R304" s="17">
        <f>IF(COUNT(C304:O304)=0,"",IFERROR(F304/D304,0))</f>
        <v/>
      </c>
      <c r="S304" s="15">
        <f>IF(COUNT(C304:O304)=0,"",IFERROR(C304/F304,0))</f>
        <v/>
      </c>
      <c r="T304" s="18">
        <f>IF(COUNT(C304:O304)=0,"",IFERROR(G304/F304,0))</f>
        <v/>
      </c>
      <c r="U304" s="15">
        <f>IF(COUNT(C304:O304)=0,"",IFERROR(C304/G304,0))</f>
        <v/>
      </c>
      <c r="V304" s="19">
        <f>IF(COUNT(C304:O304)=0,"",IFERROR(G304/D304*1000,0))</f>
        <v/>
      </c>
      <c r="W304" s="18">
        <f>IF(COUNT(C304:O304)=0,"",IFERROR(H304/G304,0))</f>
        <v/>
      </c>
      <c r="X304" s="15">
        <f>IF(COUNT(C304:O304)=0,"",IFERROR(C304/H304,0))</f>
        <v/>
      </c>
      <c r="Y304" s="18">
        <f>IF(COUNT(C304:O304)=0,"",IFERROR(X304/P304,0))</f>
        <v/>
      </c>
      <c r="Z304" s="19">
        <f>IF(COUNT(C304:O304)=0,"",IFERROR(H304/D304*1000,0))</f>
        <v/>
      </c>
      <c r="AA304" s="18">
        <f>IF(COUNT(C304:O304)=0,"",IFERROR(I304/H304,0))</f>
        <v/>
      </c>
      <c r="AB304" s="18">
        <f>IF(COUNT(C304:O304)=0,"",IFERROR(J304/I304,0))</f>
        <v/>
      </c>
      <c r="AC304" s="18">
        <f>IF(COUNT(C304:O304)=0,"",IFERROR(K304/J304,0))</f>
        <v/>
      </c>
      <c r="AD304" s="15">
        <f>IF(COUNT(C304:O304)=0,"",IFERROR(C304/K304,0))</f>
        <v/>
      </c>
      <c r="AE304" s="18">
        <f>IF(COUNT(C304:O304)=0,"",IFERROR(L304/K304,0))</f>
        <v/>
      </c>
      <c r="AF304" s="18">
        <f>IF(COUNT(C304:O304)=0,"",IFERROR(M304/L304,0))</f>
        <v/>
      </c>
      <c r="AG304" s="17">
        <f>IF(COUNT(C304:O304)=0,"",IFERROR(M304/H304,0))</f>
        <v/>
      </c>
      <c r="AH304" s="15">
        <f>IF(COUNT(C304:O304)=0,"",IFERROR(C304/M304,0))</f>
        <v/>
      </c>
      <c r="AI304" s="20">
        <f>IF(COUNT(C304:O304)=0,"",IFERROR(M304*Config!$C$7+N304*Config!$C$8,0))</f>
        <v/>
      </c>
      <c r="AJ304" s="20">
        <f>IF(COUNT(C304:O304)=0,"",IFERROR(IF(O304&gt;0,O304,AI304*Config!$C$9),0))</f>
        <v/>
      </c>
      <c r="AK304" s="20">
        <f>IF(COUNT(C304:O304)=0,"",IFERROR(AJ304*(1-Config!$C$10-Config!$C$11-Config!$C$12),0))</f>
        <v/>
      </c>
      <c r="AL304" s="20">
        <f>IF(COUNT(C304:O304)=0,"",IFERROR(AK304-C304-Config!$C$13,0))</f>
        <v/>
      </c>
      <c r="AM304" s="21">
        <f>IF(COUNT(C304:O304)=0,"",IFERROR(AK304/C304,0))</f>
        <v/>
      </c>
      <c r="AN304" s="21">
        <f>IF(COUNT(C304:O304)=0,"",IFERROR(AI304/C304,0))</f>
        <v/>
      </c>
      <c r="AO304" s="15">
        <f>IF(COUNT(C304:O304)=0,"",IFERROR(AL304/G304,0))</f>
        <v/>
      </c>
      <c r="AP304" s="21">
        <f>IF(COUNT(C304:O304)=0,"",IFERROR(AO304/U304,0))</f>
        <v/>
      </c>
      <c r="AQ304" s="15">
        <f>IF(COUNT(C304:O304)=0,"",IFERROR(AL304/H304,0))</f>
        <v/>
      </c>
    </row>
    <row r="305">
      <c r="A305" s="12">
        <f>Config!$C$6+299</f>
        <v/>
      </c>
      <c r="B305" s="13">
        <f>INT((A305-Config!$C$6)/7)+1</f>
        <v/>
      </c>
      <c r="C305" s="10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0" t="n"/>
      <c r="P305" s="15">
        <f>IF(COUNT(C305:O305)=0,"",IFERROR(C305/D305*1000,0))</f>
        <v/>
      </c>
      <c r="Q305" s="16">
        <f>IF(COUNT(C305:O305)=0,"",IFERROR(D305/E305,0))</f>
        <v/>
      </c>
      <c r="R305" s="17">
        <f>IF(COUNT(C305:O305)=0,"",IFERROR(F305/D305,0))</f>
        <v/>
      </c>
      <c r="S305" s="15">
        <f>IF(COUNT(C305:O305)=0,"",IFERROR(C305/F305,0))</f>
        <v/>
      </c>
      <c r="T305" s="18">
        <f>IF(COUNT(C305:O305)=0,"",IFERROR(G305/F305,0))</f>
        <v/>
      </c>
      <c r="U305" s="15">
        <f>IF(COUNT(C305:O305)=0,"",IFERROR(C305/G305,0))</f>
        <v/>
      </c>
      <c r="V305" s="19">
        <f>IF(COUNT(C305:O305)=0,"",IFERROR(G305/D305*1000,0))</f>
        <v/>
      </c>
      <c r="W305" s="18">
        <f>IF(COUNT(C305:O305)=0,"",IFERROR(H305/G305,0))</f>
        <v/>
      </c>
      <c r="X305" s="15">
        <f>IF(COUNT(C305:O305)=0,"",IFERROR(C305/H305,0))</f>
        <v/>
      </c>
      <c r="Y305" s="18">
        <f>IF(COUNT(C305:O305)=0,"",IFERROR(X305/P305,0))</f>
        <v/>
      </c>
      <c r="Z305" s="19">
        <f>IF(COUNT(C305:O305)=0,"",IFERROR(H305/D305*1000,0))</f>
        <v/>
      </c>
      <c r="AA305" s="18">
        <f>IF(COUNT(C305:O305)=0,"",IFERROR(I305/H305,0))</f>
        <v/>
      </c>
      <c r="AB305" s="18">
        <f>IF(COUNT(C305:O305)=0,"",IFERROR(J305/I305,0))</f>
        <v/>
      </c>
      <c r="AC305" s="18">
        <f>IF(COUNT(C305:O305)=0,"",IFERROR(K305/J305,0))</f>
        <v/>
      </c>
      <c r="AD305" s="15">
        <f>IF(COUNT(C305:O305)=0,"",IFERROR(C305/K305,0))</f>
        <v/>
      </c>
      <c r="AE305" s="18">
        <f>IF(COUNT(C305:O305)=0,"",IFERROR(L305/K305,0))</f>
        <v/>
      </c>
      <c r="AF305" s="18">
        <f>IF(COUNT(C305:O305)=0,"",IFERROR(M305/L305,0))</f>
        <v/>
      </c>
      <c r="AG305" s="17">
        <f>IF(COUNT(C305:O305)=0,"",IFERROR(M305/H305,0))</f>
        <v/>
      </c>
      <c r="AH305" s="15">
        <f>IF(COUNT(C305:O305)=0,"",IFERROR(C305/M305,0))</f>
        <v/>
      </c>
      <c r="AI305" s="20">
        <f>IF(COUNT(C305:O305)=0,"",IFERROR(M305*Config!$C$7+N305*Config!$C$8,0))</f>
        <v/>
      </c>
      <c r="AJ305" s="20">
        <f>IF(COUNT(C305:O305)=0,"",IFERROR(IF(O305&gt;0,O305,AI305*Config!$C$9),0))</f>
        <v/>
      </c>
      <c r="AK305" s="20">
        <f>IF(COUNT(C305:O305)=0,"",IFERROR(AJ305*(1-Config!$C$10-Config!$C$11-Config!$C$12),0))</f>
        <v/>
      </c>
      <c r="AL305" s="20">
        <f>IF(COUNT(C305:O305)=0,"",IFERROR(AK305-C305-Config!$C$13,0))</f>
        <v/>
      </c>
      <c r="AM305" s="21">
        <f>IF(COUNT(C305:O305)=0,"",IFERROR(AK305/C305,0))</f>
        <v/>
      </c>
      <c r="AN305" s="21">
        <f>IF(COUNT(C305:O305)=0,"",IFERROR(AI305/C305,0))</f>
        <v/>
      </c>
      <c r="AO305" s="15">
        <f>IF(COUNT(C305:O305)=0,"",IFERROR(AL305/G305,0))</f>
        <v/>
      </c>
      <c r="AP305" s="21">
        <f>IF(COUNT(C305:O305)=0,"",IFERROR(AO305/U305,0))</f>
        <v/>
      </c>
      <c r="AQ305" s="15">
        <f>IF(COUNT(C305:O305)=0,"",IFERROR(AL305/H305,0))</f>
        <v/>
      </c>
    </row>
    <row r="306">
      <c r="A306" s="12">
        <f>Config!$C$6+300</f>
        <v/>
      </c>
      <c r="B306" s="13">
        <f>INT((A306-Config!$C$6)/7)+1</f>
        <v/>
      </c>
      <c r="C306" s="10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0" t="n"/>
      <c r="P306" s="15">
        <f>IF(COUNT(C306:O306)=0,"",IFERROR(C306/D306*1000,0))</f>
        <v/>
      </c>
      <c r="Q306" s="16">
        <f>IF(COUNT(C306:O306)=0,"",IFERROR(D306/E306,0))</f>
        <v/>
      </c>
      <c r="R306" s="17">
        <f>IF(COUNT(C306:O306)=0,"",IFERROR(F306/D306,0))</f>
        <v/>
      </c>
      <c r="S306" s="15">
        <f>IF(COUNT(C306:O306)=0,"",IFERROR(C306/F306,0))</f>
        <v/>
      </c>
      <c r="T306" s="18">
        <f>IF(COUNT(C306:O306)=0,"",IFERROR(G306/F306,0))</f>
        <v/>
      </c>
      <c r="U306" s="15">
        <f>IF(COUNT(C306:O306)=0,"",IFERROR(C306/G306,0))</f>
        <v/>
      </c>
      <c r="V306" s="19">
        <f>IF(COUNT(C306:O306)=0,"",IFERROR(G306/D306*1000,0))</f>
        <v/>
      </c>
      <c r="W306" s="18">
        <f>IF(COUNT(C306:O306)=0,"",IFERROR(H306/G306,0))</f>
        <v/>
      </c>
      <c r="X306" s="15">
        <f>IF(COUNT(C306:O306)=0,"",IFERROR(C306/H306,0))</f>
        <v/>
      </c>
      <c r="Y306" s="18">
        <f>IF(COUNT(C306:O306)=0,"",IFERROR(X306/P306,0))</f>
        <v/>
      </c>
      <c r="Z306" s="19">
        <f>IF(COUNT(C306:O306)=0,"",IFERROR(H306/D306*1000,0))</f>
        <v/>
      </c>
      <c r="AA306" s="18">
        <f>IF(COUNT(C306:O306)=0,"",IFERROR(I306/H306,0))</f>
        <v/>
      </c>
      <c r="AB306" s="18">
        <f>IF(COUNT(C306:O306)=0,"",IFERROR(J306/I306,0))</f>
        <v/>
      </c>
      <c r="AC306" s="18">
        <f>IF(COUNT(C306:O306)=0,"",IFERROR(K306/J306,0))</f>
        <v/>
      </c>
      <c r="AD306" s="15">
        <f>IF(COUNT(C306:O306)=0,"",IFERROR(C306/K306,0))</f>
        <v/>
      </c>
      <c r="AE306" s="18">
        <f>IF(COUNT(C306:O306)=0,"",IFERROR(L306/K306,0))</f>
        <v/>
      </c>
      <c r="AF306" s="18">
        <f>IF(COUNT(C306:O306)=0,"",IFERROR(M306/L306,0))</f>
        <v/>
      </c>
      <c r="AG306" s="17">
        <f>IF(COUNT(C306:O306)=0,"",IFERROR(M306/H306,0))</f>
        <v/>
      </c>
      <c r="AH306" s="15">
        <f>IF(COUNT(C306:O306)=0,"",IFERROR(C306/M306,0))</f>
        <v/>
      </c>
      <c r="AI306" s="20">
        <f>IF(COUNT(C306:O306)=0,"",IFERROR(M306*Config!$C$7+N306*Config!$C$8,0))</f>
        <v/>
      </c>
      <c r="AJ306" s="20">
        <f>IF(COUNT(C306:O306)=0,"",IFERROR(IF(O306&gt;0,O306,AI306*Config!$C$9),0))</f>
        <v/>
      </c>
      <c r="AK306" s="20">
        <f>IF(COUNT(C306:O306)=0,"",IFERROR(AJ306*(1-Config!$C$10-Config!$C$11-Config!$C$12),0))</f>
        <v/>
      </c>
      <c r="AL306" s="20">
        <f>IF(COUNT(C306:O306)=0,"",IFERROR(AK306-C306-Config!$C$13,0))</f>
        <v/>
      </c>
      <c r="AM306" s="21">
        <f>IF(COUNT(C306:O306)=0,"",IFERROR(AK306/C306,0))</f>
        <v/>
      </c>
      <c r="AN306" s="21">
        <f>IF(COUNT(C306:O306)=0,"",IFERROR(AI306/C306,0))</f>
        <v/>
      </c>
      <c r="AO306" s="15">
        <f>IF(COUNT(C306:O306)=0,"",IFERROR(AL306/G306,0))</f>
        <v/>
      </c>
      <c r="AP306" s="21">
        <f>IF(COUNT(C306:O306)=0,"",IFERROR(AO306/U306,0))</f>
        <v/>
      </c>
      <c r="AQ306" s="15">
        <f>IF(COUNT(C306:O306)=0,"",IFERROR(AL306/H306,0))</f>
        <v/>
      </c>
    </row>
    <row r="307">
      <c r="A307" s="12">
        <f>Config!$C$6+301</f>
        <v/>
      </c>
      <c r="B307" s="13">
        <f>INT((A307-Config!$C$6)/7)+1</f>
        <v/>
      </c>
      <c r="C307" s="10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0" t="n"/>
      <c r="P307" s="15">
        <f>IF(COUNT(C307:O307)=0,"",IFERROR(C307/D307*1000,0))</f>
        <v/>
      </c>
      <c r="Q307" s="16">
        <f>IF(COUNT(C307:O307)=0,"",IFERROR(D307/E307,0))</f>
        <v/>
      </c>
      <c r="R307" s="17">
        <f>IF(COUNT(C307:O307)=0,"",IFERROR(F307/D307,0))</f>
        <v/>
      </c>
      <c r="S307" s="15">
        <f>IF(COUNT(C307:O307)=0,"",IFERROR(C307/F307,0))</f>
        <v/>
      </c>
      <c r="T307" s="18">
        <f>IF(COUNT(C307:O307)=0,"",IFERROR(G307/F307,0))</f>
        <v/>
      </c>
      <c r="U307" s="15">
        <f>IF(COUNT(C307:O307)=0,"",IFERROR(C307/G307,0))</f>
        <v/>
      </c>
      <c r="V307" s="19">
        <f>IF(COUNT(C307:O307)=0,"",IFERROR(G307/D307*1000,0))</f>
        <v/>
      </c>
      <c r="W307" s="18">
        <f>IF(COUNT(C307:O307)=0,"",IFERROR(H307/G307,0))</f>
        <v/>
      </c>
      <c r="X307" s="15">
        <f>IF(COUNT(C307:O307)=0,"",IFERROR(C307/H307,0))</f>
        <v/>
      </c>
      <c r="Y307" s="18">
        <f>IF(COUNT(C307:O307)=0,"",IFERROR(X307/P307,0))</f>
        <v/>
      </c>
      <c r="Z307" s="19">
        <f>IF(COUNT(C307:O307)=0,"",IFERROR(H307/D307*1000,0))</f>
        <v/>
      </c>
      <c r="AA307" s="18">
        <f>IF(COUNT(C307:O307)=0,"",IFERROR(I307/H307,0))</f>
        <v/>
      </c>
      <c r="AB307" s="18">
        <f>IF(COUNT(C307:O307)=0,"",IFERROR(J307/I307,0))</f>
        <v/>
      </c>
      <c r="AC307" s="18">
        <f>IF(COUNT(C307:O307)=0,"",IFERROR(K307/J307,0))</f>
        <v/>
      </c>
      <c r="AD307" s="15">
        <f>IF(COUNT(C307:O307)=0,"",IFERROR(C307/K307,0))</f>
        <v/>
      </c>
      <c r="AE307" s="18">
        <f>IF(COUNT(C307:O307)=0,"",IFERROR(L307/K307,0))</f>
        <v/>
      </c>
      <c r="AF307" s="18">
        <f>IF(COUNT(C307:O307)=0,"",IFERROR(M307/L307,0))</f>
        <v/>
      </c>
      <c r="AG307" s="17">
        <f>IF(COUNT(C307:O307)=0,"",IFERROR(M307/H307,0))</f>
        <v/>
      </c>
      <c r="AH307" s="15">
        <f>IF(COUNT(C307:O307)=0,"",IFERROR(C307/M307,0))</f>
        <v/>
      </c>
      <c r="AI307" s="20">
        <f>IF(COUNT(C307:O307)=0,"",IFERROR(M307*Config!$C$7+N307*Config!$C$8,0))</f>
        <v/>
      </c>
      <c r="AJ307" s="20">
        <f>IF(COUNT(C307:O307)=0,"",IFERROR(IF(O307&gt;0,O307,AI307*Config!$C$9),0))</f>
        <v/>
      </c>
      <c r="AK307" s="20">
        <f>IF(COUNT(C307:O307)=0,"",IFERROR(AJ307*(1-Config!$C$10-Config!$C$11-Config!$C$12),0))</f>
        <v/>
      </c>
      <c r="AL307" s="20">
        <f>IF(COUNT(C307:O307)=0,"",IFERROR(AK307-C307-Config!$C$13,0))</f>
        <v/>
      </c>
      <c r="AM307" s="21">
        <f>IF(COUNT(C307:O307)=0,"",IFERROR(AK307/C307,0))</f>
        <v/>
      </c>
      <c r="AN307" s="21">
        <f>IF(COUNT(C307:O307)=0,"",IFERROR(AI307/C307,0))</f>
        <v/>
      </c>
      <c r="AO307" s="15">
        <f>IF(COUNT(C307:O307)=0,"",IFERROR(AL307/G307,0))</f>
        <v/>
      </c>
      <c r="AP307" s="21">
        <f>IF(COUNT(C307:O307)=0,"",IFERROR(AO307/U307,0))</f>
        <v/>
      </c>
      <c r="AQ307" s="15">
        <f>IF(COUNT(C307:O307)=0,"",IFERROR(AL307/H307,0))</f>
        <v/>
      </c>
    </row>
    <row r="308">
      <c r="A308" s="12">
        <f>Config!$C$6+302</f>
        <v/>
      </c>
      <c r="B308" s="13">
        <f>INT((A308-Config!$C$6)/7)+1</f>
        <v/>
      </c>
      <c r="C308" s="10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0" t="n"/>
      <c r="P308" s="15">
        <f>IF(COUNT(C308:O308)=0,"",IFERROR(C308/D308*1000,0))</f>
        <v/>
      </c>
      <c r="Q308" s="16">
        <f>IF(COUNT(C308:O308)=0,"",IFERROR(D308/E308,0))</f>
        <v/>
      </c>
      <c r="R308" s="17">
        <f>IF(COUNT(C308:O308)=0,"",IFERROR(F308/D308,0))</f>
        <v/>
      </c>
      <c r="S308" s="15">
        <f>IF(COUNT(C308:O308)=0,"",IFERROR(C308/F308,0))</f>
        <v/>
      </c>
      <c r="T308" s="18">
        <f>IF(COUNT(C308:O308)=0,"",IFERROR(G308/F308,0))</f>
        <v/>
      </c>
      <c r="U308" s="15">
        <f>IF(COUNT(C308:O308)=0,"",IFERROR(C308/G308,0))</f>
        <v/>
      </c>
      <c r="V308" s="19">
        <f>IF(COUNT(C308:O308)=0,"",IFERROR(G308/D308*1000,0))</f>
        <v/>
      </c>
      <c r="W308" s="18">
        <f>IF(COUNT(C308:O308)=0,"",IFERROR(H308/G308,0))</f>
        <v/>
      </c>
      <c r="X308" s="15">
        <f>IF(COUNT(C308:O308)=0,"",IFERROR(C308/H308,0))</f>
        <v/>
      </c>
      <c r="Y308" s="18">
        <f>IF(COUNT(C308:O308)=0,"",IFERROR(X308/P308,0))</f>
        <v/>
      </c>
      <c r="Z308" s="19">
        <f>IF(COUNT(C308:O308)=0,"",IFERROR(H308/D308*1000,0))</f>
        <v/>
      </c>
      <c r="AA308" s="18">
        <f>IF(COUNT(C308:O308)=0,"",IFERROR(I308/H308,0))</f>
        <v/>
      </c>
      <c r="AB308" s="18">
        <f>IF(COUNT(C308:O308)=0,"",IFERROR(J308/I308,0))</f>
        <v/>
      </c>
      <c r="AC308" s="18">
        <f>IF(COUNT(C308:O308)=0,"",IFERROR(K308/J308,0))</f>
        <v/>
      </c>
      <c r="AD308" s="15">
        <f>IF(COUNT(C308:O308)=0,"",IFERROR(C308/K308,0))</f>
        <v/>
      </c>
      <c r="AE308" s="18">
        <f>IF(COUNT(C308:O308)=0,"",IFERROR(L308/K308,0))</f>
        <v/>
      </c>
      <c r="AF308" s="18">
        <f>IF(COUNT(C308:O308)=0,"",IFERROR(M308/L308,0))</f>
        <v/>
      </c>
      <c r="AG308" s="17">
        <f>IF(COUNT(C308:O308)=0,"",IFERROR(M308/H308,0))</f>
        <v/>
      </c>
      <c r="AH308" s="15">
        <f>IF(COUNT(C308:O308)=0,"",IFERROR(C308/M308,0))</f>
        <v/>
      </c>
      <c r="AI308" s="20">
        <f>IF(COUNT(C308:O308)=0,"",IFERROR(M308*Config!$C$7+N308*Config!$C$8,0))</f>
        <v/>
      </c>
      <c r="AJ308" s="20">
        <f>IF(COUNT(C308:O308)=0,"",IFERROR(IF(O308&gt;0,O308,AI308*Config!$C$9),0))</f>
        <v/>
      </c>
      <c r="AK308" s="20">
        <f>IF(COUNT(C308:O308)=0,"",IFERROR(AJ308*(1-Config!$C$10-Config!$C$11-Config!$C$12),0))</f>
        <v/>
      </c>
      <c r="AL308" s="20">
        <f>IF(COUNT(C308:O308)=0,"",IFERROR(AK308-C308-Config!$C$13,0))</f>
        <v/>
      </c>
      <c r="AM308" s="21">
        <f>IF(COUNT(C308:O308)=0,"",IFERROR(AK308/C308,0))</f>
        <v/>
      </c>
      <c r="AN308" s="21">
        <f>IF(COUNT(C308:O308)=0,"",IFERROR(AI308/C308,0))</f>
        <v/>
      </c>
      <c r="AO308" s="15">
        <f>IF(COUNT(C308:O308)=0,"",IFERROR(AL308/G308,0))</f>
        <v/>
      </c>
      <c r="AP308" s="21">
        <f>IF(COUNT(C308:O308)=0,"",IFERROR(AO308/U308,0))</f>
        <v/>
      </c>
      <c r="AQ308" s="15">
        <f>IF(COUNT(C308:O308)=0,"",IFERROR(AL308/H308,0))</f>
        <v/>
      </c>
    </row>
    <row r="309">
      <c r="A309" s="12">
        <f>Config!$C$6+303</f>
        <v/>
      </c>
      <c r="B309" s="13">
        <f>INT((A309-Config!$C$6)/7)+1</f>
        <v/>
      </c>
      <c r="C309" s="10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0" t="n"/>
      <c r="P309" s="15">
        <f>IF(COUNT(C309:O309)=0,"",IFERROR(C309/D309*1000,0))</f>
        <v/>
      </c>
      <c r="Q309" s="16">
        <f>IF(COUNT(C309:O309)=0,"",IFERROR(D309/E309,0))</f>
        <v/>
      </c>
      <c r="R309" s="17">
        <f>IF(COUNT(C309:O309)=0,"",IFERROR(F309/D309,0))</f>
        <v/>
      </c>
      <c r="S309" s="15">
        <f>IF(COUNT(C309:O309)=0,"",IFERROR(C309/F309,0))</f>
        <v/>
      </c>
      <c r="T309" s="18">
        <f>IF(COUNT(C309:O309)=0,"",IFERROR(G309/F309,0))</f>
        <v/>
      </c>
      <c r="U309" s="15">
        <f>IF(COUNT(C309:O309)=0,"",IFERROR(C309/G309,0))</f>
        <v/>
      </c>
      <c r="V309" s="19">
        <f>IF(COUNT(C309:O309)=0,"",IFERROR(G309/D309*1000,0))</f>
        <v/>
      </c>
      <c r="W309" s="18">
        <f>IF(COUNT(C309:O309)=0,"",IFERROR(H309/G309,0))</f>
        <v/>
      </c>
      <c r="X309" s="15">
        <f>IF(COUNT(C309:O309)=0,"",IFERROR(C309/H309,0))</f>
        <v/>
      </c>
      <c r="Y309" s="18">
        <f>IF(COUNT(C309:O309)=0,"",IFERROR(X309/P309,0))</f>
        <v/>
      </c>
      <c r="Z309" s="19">
        <f>IF(COUNT(C309:O309)=0,"",IFERROR(H309/D309*1000,0))</f>
        <v/>
      </c>
      <c r="AA309" s="18">
        <f>IF(COUNT(C309:O309)=0,"",IFERROR(I309/H309,0))</f>
        <v/>
      </c>
      <c r="AB309" s="18">
        <f>IF(COUNT(C309:O309)=0,"",IFERROR(J309/I309,0))</f>
        <v/>
      </c>
      <c r="AC309" s="18">
        <f>IF(COUNT(C309:O309)=0,"",IFERROR(K309/J309,0))</f>
        <v/>
      </c>
      <c r="AD309" s="15">
        <f>IF(COUNT(C309:O309)=0,"",IFERROR(C309/K309,0))</f>
        <v/>
      </c>
      <c r="AE309" s="18">
        <f>IF(COUNT(C309:O309)=0,"",IFERROR(L309/K309,0))</f>
        <v/>
      </c>
      <c r="AF309" s="18">
        <f>IF(COUNT(C309:O309)=0,"",IFERROR(M309/L309,0))</f>
        <v/>
      </c>
      <c r="AG309" s="17">
        <f>IF(COUNT(C309:O309)=0,"",IFERROR(M309/H309,0))</f>
        <v/>
      </c>
      <c r="AH309" s="15">
        <f>IF(COUNT(C309:O309)=0,"",IFERROR(C309/M309,0))</f>
        <v/>
      </c>
      <c r="AI309" s="20">
        <f>IF(COUNT(C309:O309)=0,"",IFERROR(M309*Config!$C$7+N309*Config!$C$8,0))</f>
        <v/>
      </c>
      <c r="AJ309" s="20">
        <f>IF(COUNT(C309:O309)=0,"",IFERROR(IF(O309&gt;0,O309,AI309*Config!$C$9),0))</f>
        <v/>
      </c>
      <c r="AK309" s="20">
        <f>IF(COUNT(C309:O309)=0,"",IFERROR(AJ309*(1-Config!$C$10-Config!$C$11-Config!$C$12),0))</f>
        <v/>
      </c>
      <c r="AL309" s="20">
        <f>IF(COUNT(C309:O309)=0,"",IFERROR(AK309-C309-Config!$C$13,0))</f>
        <v/>
      </c>
      <c r="AM309" s="21">
        <f>IF(COUNT(C309:O309)=0,"",IFERROR(AK309/C309,0))</f>
        <v/>
      </c>
      <c r="AN309" s="21">
        <f>IF(COUNT(C309:O309)=0,"",IFERROR(AI309/C309,0))</f>
        <v/>
      </c>
      <c r="AO309" s="15">
        <f>IF(COUNT(C309:O309)=0,"",IFERROR(AL309/G309,0))</f>
        <v/>
      </c>
      <c r="AP309" s="21">
        <f>IF(COUNT(C309:O309)=0,"",IFERROR(AO309/U309,0))</f>
        <v/>
      </c>
      <c r="AQ309" s="15">
        <f>IF(COUNT(C309:O309)=0,"",IFERROR(AL309/H309,0))</f>
        <v/>
      </c>
    </row>
    <row r="310">
      <c r="A310" s="12">
        <f>Config!$C$6+304</f>
        <v/>
      </c>
      <c r="B310" s="13">
        <f>INT((A310-Config!$C$6)/7)+1</f>
        <v/>
      </c>
      <c r="C310" s="10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0" t="n"/>
      <c r="P310" s="15">
        <f>IF(COUNT(C310:O310)=0,"",IFERROR(C310/D310*1000,0))</f>
        <v/>
      </c>
      <c r="Q310" s="16">
        <f>IF(COUNT(C310:O310)=0,"",IFERROR(D310/E310,0))</f>
        <v/>
      </c>
      <c r="R310" s="17">
        <f>IF(COUNT(C310:O310)=0,"",IFERROR(F310/D310,0))</f>
        <v/>
      </c>
      <c r="S310" s="15">
        <f>IF(COUNT(C310:O310)=0,"",IFERROR(C310/F310,0))</f>
        <v/>
      </c>
      <c r="T310" s="18">
        <f>IF(COUNT(C310:O310)=0,"",IFERROR(G310/F310,0))</f>
        <v/>
      </c>
      <c r="U310" s="15">
        <f>IF(COUNT(C310:O310)=0,"",IFERROR(C310/G310,0))</f>
        <v/>
      </c>
      <c r="V310" s="19">
        <f>IF(COUNT(C310:O310)=0,"",IFERROR(G310/D310*1000,0))</f>
        <v/>
      </c>
      <c r="W310" s="18">
        <f>IF(COUNT(C310:O310)=0,"",IFERROR(H310/G310,0))</f>
        <v/>
      </c>
      <c r="X310" s="15">
        <f>IF(COUNT(C310:O310)=0,"",IFERROR(C310/H310,0))</f>
        <v/>
      </c>
      <c r="Y310" s="18">
        <f>IF(COUNT(C310:O310)=0,"",IFERROR(X310/P310,0))</f>
        <v/>
      </c>
      <c r="Z310" s="19">
        <f>IF(COUNT(C310:O310)=0,"",IFERROR(H310/D310*1000,0))</f>
        <v/>
      </c>
      <c r="AA310" s="18">
        <f>IF(COUNT(C310:O310)=0,"",IFERROR(I310/H310,0))</f>
        <v/>
      </c>
      <c r="AB310" s="18">
        <f>IF(COUNT(C310:O310)=0,"",IFERROR(J310/I310,0))</f>
        <v/>
      </c>
      <c r="AC310" s="18">
        <f>IF(COUNT(C310:O310)=0,"",IFERROR(K310/J310,0))</f>
        <v/>
      </c>
      <c r="AD310" s="15">
        <f>IF(COUNT(C310:O310)=0,"",IFERROR(C310/K310,0))</f>
        <v/>
      </c>
      <c r="AE310" s="18">
        <f>IF(COUNT(C310:O310)=0,"",IFERROR(L310/K310,0))</f>
        <v/>
      </c>
      <c r="AF310" s="18">
        <f>IF(COUNT(C310:O310)=0,"",IFERROR(M310/L310,0))</f>
        <v/>
      </c>
      <c r="AG310" s="17">
        <f>IF(COUNT(C310:O310)=0,"",IFERROR(M310/H310,0))</f>
        <v/>
      </c>
      <c r="AH310" s="15">
        <f>IF(COUNT(C310:O310)=0,"",IFERROR(C310/M310,0))</f>
        <v/>
      </c>
      <c r="AI310" s="20">
        <f>IF(COUNT(C310:O310)=0,"",IFERROR(M310*Config!$C$7+N310*Config!$C$8,0))</f>
        <v/>
      </c>
      <c r="AJ310" s="20">
        <f>IF(COUNT(C310:O310)=0,"",IFERROR(IF(O310&gt;0,O310,AI310*Config!$C$9),0))</f>
        <v/>
      </c>
      <c r="AK310" s="20">
        <f>IF(COUNT(C310:O310)=0,"",IFERROR(AJ310*(1-Config!$C$10-Config!$C$11-Config!$C$12),0))</f>
        <v/>
      </c>
      <c r="AL310" s="20">
        <f>IF(COUNT(C310:O310)=0,"",IFERROR(AK310-C310-Config!$C$13,0))</f>
        <v/>
      </c>
      <c r="AM310" s="21">
        <f>IF(COUNT(C310:O310)=0,"",IFERROR(AK310/C310,0))</f>
        <v/>
      </c>
      <c r="AN310" s="21">
        <f>IF(COUNT(C310:O310)=0,"",IFERROR(AI310/C310,0))</f>
        <v/>
      </c>
      <c r="AO310" s="15">
        <f>IF(COUNT(C310:O310)=0,"",IFERROR(AL310/G310,0))</f>
        <v/>
      </c>
      <c r="AP310" s="21">
        <f>IF(COUNT(C310:O310)=0,"",IFERROR(AO310/U310,0))</f>
        <v/>
      </c>
      <c r="AQ310" s="15">
        <f>IF(COUNT(C310:O310)=0,"",IFERROR(AL310/H310,0))</f>
        <v/>
      </c>
    </row>
    <row r="311">
      <c r="A311" s="12">
        <f>Config!$C$6+305</f>
        <v/>
      </c>
      <c r="B311" s="13">
        <f>INT((A311-Config!$C$6)/7)+1</f>
        <v/>
      </c>
      <c r="C311" s="10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0" t="n"/>
      <c r="P311" s="15">
        <f>IF(COUNT(C311:O311)=0,"",IFERROR(C311/D311*1000,0))</f>
        <v/>
      </c>
      <c r="Q311" s="16">
        <f>IF(COUNT(C311:O311)=0,"",IFERROR(D311/E311,0))</f>
        <v/>
      </c>
      <c r="R311" s="17">
        <f>IF(COUNT(C311:O311)=0,"",IFERROR(F311/D311,0))</f>
        <v/>
      </c>
      <c r="S311" s="15">
        <f>IF(COUNT(C311:O311)=0,"",IFERROR(C311/F311,0))</f>
        <v/>
      </c>
      <c r="T311" s="18">
        <f>IF(COUNT(C311:O311)=0,"",IFERROR(G311/F311,0))</f>
        <v/>
      </c>
      <c r="U311" s="15">
        <f>IF(COUNT(C311:O311)=0,"",IFERROR(C311/G311,0))</f>
        <v/>
      </c>
      <c r="V311" s="19">
        <f>IF(COUNT(C311:O311)=0,"",IFERROR(G311/D311*1000,0))</f>
        <v/>
      </c>
      <c r="W311" s="18">
        <f>IF(COUNT(C311:O311)=0,"",IFERROR(H311/G311,0))</f>
        <v/>
      </c>
      <c r="X311" s="15">
        <f>IF(COUNT(C311:O311)=0,"",IFERROR(C311/H311,0))</f>
        <v/>
      </c>
      <c r="Y311" s="18">
        <f>IF(COUNT(C311:O311)=0,"",IFERROR(X311/P311,0))</f>
        <v/>
      </c>
      <c r="Z311" s="19">
        <f>IF(COUNT(C311:O311)=0,"",IFERROR(H311/D311*1000,0))</f>
        <v/>
      </c>
      <c r="AA311" s="18">
        <f>IF(COUNT(C311:O311)=0,"",IFERROR(I311/H311,0))</f>
        <v/>
      </c>
      <c r="AB311" s="18">
        <f>IF(COUNT(C311:O311)=0,"",IFERROR(J311/I311,0))</f>
        <v/>
      </c>
      <c r="AC311" s="18">
        <f>IF(COUNT(C311:O311)=0,"",IFERROR(K311/J311,0))</f>
        <v/>
      </c>
      <c r="AD311" s="15">
        <f>IF(COUNT(C311:O311)=0,"",IFERROR(C311/K311,0))</f>
        <v/>
      </c>
      <c r="AE311" s="18">
        <f>IF(COUNT(C311:O311)=0,"",IFERROR(L311/K311,0))</f>
        <v/>
      </c>
      <c r="AF311" s="18">
        <f>IF(COUNT(C311:O311)=0,"",IFERROR(M311/L311,0))</f>
        <v/>
      </c>
      <c r="AG311" s="17">
        <f>IF(COUNT(C311:O311)=0,"",IFERROR(M311/H311,0))</f>
        <v/>
      </c>
      <c r="AH311" s="15">
        <f>IF(COUNT(C311:O311)=0,"",IFERROR(C311/M311,0))</f>
        <v/>
      </c>
      <c r="AI311" s="20">
        <f>IF(COUNT(C311:O311)=0,"",IFERROR(M311*Config!$C$7+N311*Config!$C$8,0))</f>
        <v/>
      </c>
      <c r="AJ311" s="20">
        <f>IF(COUNT(C311:O311)=0,"",IFERROR(IF(O311&gt;0,O311,AI311*Config!$C$9),0))</f>
        <v/>
      </c>
      <c r="AK311" s="20">
        <f>IF(COUNT(C311:O311)=0,"",IFERROR(AJ311*(1-Config!$C$10-Config!$C$11-Config!$C$12),0))</f>
        <v/>
      </c>
      <c r="AL311" s="20">
        <f>IF(COUNT(C311:O311)=0,"",IFERROR(AK311-C311-Config!$C$13,0))</f>
        <v/>
      </c>
      <c r="AM311" s="21">
        <f>IF(COUNT(C311:O311)=0,"",IFERROR(AK311/C311,0))</f>
        <v/>
      </c>
      <c r="AN311" s="21">
        <f>IF(COUNT(C311:O311)=0,"",IFERROR(AI311/C311,0))</f>
        <v/>
      </c>
      <c r="AO311" s="15">
        <f>IF(COUNT(C311:O311)=0,"",IFERROR(AL311/G311,0))</f>
        <v/>
      </c>
      <c r="AP311" s="21">
        <f>IF(COUNT(C311:O311)=0,"",IFERROR(AO311/U311,0))</f>
        <v/>
      </c>
      <c r="AQ311" s="15">
        <f>IF(COUNT(C311:O311)=0,"",IFERROR(AL311/H311,0))</f>
        <v/>
      </c>
    </row>
    <row r="312">
      <c r="A312" s="12">
        <f>Config!$C$6+306</f>
        <v/>
      </c>
      <c r="B312" s="13">
        <f>INT((A312-Config!$C$6)/7)+1</f>
        <v/>
      </c>
      <c r="C312" s="10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0" t="n"/>
      <c r="P312" s="15">
        <f>IF(COUNT(C312:O312)=0,"",IFERROR(C312/D312*1000,0))</f>
        <v/>
      </c>
      <c r="Q312" s="16">
        <f>IF(COUNT(C312:O312)=0,"",IFERROR(D312/E312,0))</f>
        <v/>
      </c>
      <c r="R312" s="17">
        <f>IF(COUNT(C312:O312)=0,"",IFERROR(F312/D312,0))</f>
        <v/>
      </c>
      <c r="S312" s="15">
        <f>IF(COUNT(C312:O312)=0,"",IFERROR(C312/F312,0))</f>
        <v/>
      </c>
      <c r="T312" s="18">
        <f>IF(COUNT(C312:O312)=0,"",IFERROR(G312/F312,0))</f>
        <v/>
      </c>
      <c r="U312" s="15">
        <f>IF(COUNT(C312:O312)=0,"",IFERROR(C312/G312,0))</f>
        <v/>
      </c>
      <c r="V312" s="19">
        <f>IF(COUNT(C312:O312)=0,"",IFERROR(G312/D312*1000,0))</f>
        <v/>
      </c>
      <c r="W312" s="18">
        <f>IF(COUNT(C312:O312)=0,"",IFERROR(H312/G312,0))</f>
        <v/>
      </c>
      <c r="X312" s="15">
        <f>IF(COUNT(C312:O312)=0,"",IFERROR(C312/H312,0))</f>
        <v/>
      </c>
      <c r="Y312" s="18">
        <f>IF(COUNT(C312:O312)=0,"",IFERROR(X312/P312,0))</f>
        <v/>
      </c>
      <c r="Z312" s="19">
        <f>IF(COUNT(C312:O312)=0,"",IFERROR(H312/D312*1000,0))</f>
        <v/>
      </c>
      <c r="AA312" s="18">
        <f>IF(COUNT(C312:O312)=0,"",IFERROR(I312/H312,0))</f>
        <v/>
      </c>
      <c r="AB312" s="18">
        <f>IF(COUNT(C312:O312)=0,"",IFERROR(J312/I312,0))</f>
        <v/>
      </c>
      <c r="AC312" s="18">
        <f>IF(COUNT(C312:O312)=0,"",IFERROR(K312/J312,0))</f>
        <v/>
      </c>
      <c r="AD312" s="15">
        <f>IF(COUNT(C312:O312)=0,"",IFERROR(C312/K312,0))</f>
        <v/>
      </c>
      <c r="AE312" s="18">
        <f>IF(COUNT(C312:O312)=0,"",IFERROR(L312/K312,0))</f>
        <v/>
      </c>
      <c r="AF312" s="18">
        <f>IF(COUNT(C312:O312)=0,"",IFERROR(M312/L312,0))</f>
        <v/>
      </c>
      <c r="AG312" s="17">
        <f>IF(COUNT(C312:O312)=0,"",IFERROR(M312/H312,0))</f>
        <v/>
      </c>
      <c r="AH312" s="15">
        <f>IF(COUNT(C312:O312)=0,"",IFERROR(C312/M312,0))</f>
        <v/>
      </c>
      <c r="AI312" s="20">
        <f>IF(COUNT(C312:O312)=0,"",IFERROR(M312*Config!$C$7+N312*Config!$C$8,0))</f>
        <v/>
      </c>
      <c r="AJ312" s="20">
        <f>IF(COUNT(C312:O312)=0,"",IFERROR(IF(O312&gt;0,O312,AI312*Config!$C$9),0))</f>
        <v/>
      </c>
      <c r="AK312" s="20">
        <f>IF(COUNT(C312:O312)=0,"",IFERROR(AJ312*(1-Config!$C$10-Config!$C$11-Config!$C$12),0))</f>
        <v/>
      </c>
      <c r="AL312" s="20">
        <f>IF(COUNT(C312:O312)=0,"",IFERROR(AK312-C312-Config!$C$13,0))</f>
        <v/>
      </c>
      <c r="AM312" s="21">
        <f>IF(COUNT(C312:O312)=0,"",IFERROR(AK312/C312,0))</f>
        <v/>
      </c>
      <c r="AN312" s="21">
        <f>IF(COUNT(C312:O312)=0,"",IFERROR(AI312/C312,0))</f>
        <v/>
      </c>
      <c r="AO312" s="15">
        <f>IF(COUNT(C312:O312)=0,"",IFERROR(AL312/G312,0))</f>
        <v/>
      </c>
      <c r="AP312" s="21">
        <f>IF(COUNT(C312:O312)=0,"",IFERROR(AO312/U312,0))</f>
        <v/>
      </c>
      <c r="AQ312" s="15">
        <f>IF(COUNT(C312:O312)=0,"",IFERROR(AL312/H312,0))</f>
        <v/>
      </c>
    </row>
    <row r="313">
      <c r="A313" s="12">
        <f>Config!$C$6+307</f>
        <v/>
      </c>
      <c r="B313" s="13">
        <f>INT((A313-Config!$C$6)/7)+1</f>
        <v/>
      </c>
      <c r="C313" s="10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0" t="n"/>
      <c r="P313" s="15">
        <f>IF(COUNT(C313:O313)=0,"",IFERROR(C313/D313*1000,0))</f>
        <v/>
      </c>
      <c r="Q313" s="16">
        <f>IF(COUNT(C313:O313)=0,"",IFERROR(D313/E313,0))</f>
        <v/>
      </c>
      <c r="R313" s="17">
        <f>IF(COUNT(C313:O313)=0,"",IFERROR(F313/D313,0))</f>
        <v/>
      </c>
      <c r="S313" s="15">
        <f>IF(COUNT(C313:O313)=0,"",IFERROR(C313/F313,0))</f>
        <v/>
      </c>
      <c r="T313" s="18">
        <f>IF(COUNT(C313:O313)=0,"",IFERROR(G313/F313,0))</f>
        <v/>
      </c>
      <c r="U313" s="15">
        <f>IF(COUNT(C313:O313)=0,"",IFERROR(C313/G313,0))</f>
        <v/>
      </c>
      <c r="V313" s="19">
        <f>IF(COUNT(C313:O313)=0,"",IFERROR(G313/D313*1000,0))</f>
        <v/>
      </c>
      <c r="W313" s="18">
        <f>IF(COUNT(C313:O313)=0,"",IFERROR(H313/G313,0))</f>
        <v/>
      </c>
      <c r="X313" s="15">
        <f>IF(COUNT(C313:O313)=0,"",IFERROR(C313/H313,0))</f>
        <v/>
      </c>
      <c r="Y313" s="18">
        <f>IF(COUNT(C313:O313)=0,"",IFERROR(X313/P313,0))</f>
        <v/>
      </c>
      <c r="Z313" s="19">
        <f>IF(COUNT(C313:O313)=0,"",IFERROR(H313/D313*1000,0))</f>
        <v/>
      </c>
      <c r="AA313" s="18">
        <f>IF(COUNT(C313:O313)=0,"",IFERROR(I313/H313,0))</f>
        <v/>
      </c>
      <c r="AB313" s="18">
        <f>IF(COUNT(C313:O313)=0,"",IFERROR(J313/I313,0))</f>
        <v/>
      </c>
      <c r="AC313" s="18">
        <f>IF(COUNT(C313:O313)=0,"",IFERROR(K313/J313,0))</f>
        <v/>
      </c>
      <c r="AD313" s="15">
        <f>IF(COUNT(C313:O313)=0,"",IFERROR(C313/K313,0))</f>
        <v/>
      </c>
      <c r="AE313" s="18">
        <f>IF(COUNT(C313:O313)=0,"",IFERROR(L313/K313,0))</f>
        <v/>
      </c>
      <c r="AF313" s="18">
        <f>IF(COUNT(C313:O313)=0,"",IFERROR(M313/L313,0))</f>
        <v/>
      </c>
      <c r="AG313" s="17">
        <f>IF(COUNT(C313:O313)=0,"",IFERROR(M313/H313,0))</f>
        <v/>
      </c>
      <c r="AH313" s="15">
        <f>IF(COUNT(C313:O313)=0,"",IFERROR(C313/M313,0))</f>
        <v/>
      </c>
      <c r="AI313" s="20">
        <f>IF(COUNT(C313:O313)=0,"",IFERROR(M313*Config!$C$7+N313*Config!$C$8,0))</f>
        <v/>
      </c>
      <c r="AJ313" s="20">
        <f>IF(COUNT(C313:O313)=0,"",IFERROR(IF(O313&gt;0,O313,AI313*Config!$C$9),0))</f>
        <v/>
      </c>
      <c r="AK313" s="20">
        <f>IF(COUNT(C313:O313)=0,"",IFERROR(AJ313*(1-Config!$C$10-Config!$C$11-Config!$C$12),0))</f>
        <v/>
      </c>
      <c r="AL313" s="20">
        <f>IF(COUNT(C313:O313)=0,"",IFERROR(AK313-C313-Config!$C$13,0))</f>
        <v/>
      </c>
      <c r="AM313" s="21">
        <f>IF(COUNT(C313:O313)=0,"",IFERROR(AK313/C313,0))</f>
        <v/>
      </c>
      <c r="AN313" s="21">
        <f>IF(COUNT(C313:O313)=0,"",IFERROR(AI313/C313,0))</f>
        <v/>
      </c>
      <c r="AO313" s="15">
        <f>IF(COUNT(C313:O313)=0,"",IFERROR(AL313/G313,0))</f>
        <v/>
      </c>
      <c r="AP313" s="21">
        <f>IF(COUNT(C313:O313)=0,"",IFERROR(AO313/U313,0))</f>
        <v/>
      </c>
      <c r="AQ313" s="15">
        <f>IF(COUNT(C313:O313)=0,"",IFERROR(AL313/H313,0))</f>
        <v/>
      </c>
    </row>
    <row r="314">
      <c r="A314" s="12">
        <f>Config!$C$6+308</f>
        <v/>
      </c>
      <c r="B314" s="13">
        <f>INT((A314-Config!$C$6)/7)+1</f>
        <v/>
      </c>
      <c r="C314" s="10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0" t="n"/>
      <c r="P314" s="15">
        <f>IF(COUNT(C314:O314)=0,"",IFERROR(C314/D314*1000,0))</f>
        <v/>
      </c>
      <c r="Q314" s="16">
        <f>IF(COUNT(C314:O314)=0,"",IFERROR(D314/E314,0))</f>
        <v/>
      </c>
      <c r="R314" s="17">
        <f>IF(COUNT(C314:O314)=0,"",IFERROR(F314/D314,0))</f>
        <v/>
      </c>
      <c r="S314" s="15">
        <f>IF(COUNT(C314:O314)=0,"",IFERROR(C314/F314,0))</f>
        <v/>
      </c>
      <c r="T314" s="18">
        <f>IF(COUNT(C314:O314)=0,"",IFERROR(G314/F314,0))</f>
        <v/>
      </c>
      <c r="U314" s="15">
        <f>IF(COUNT(C314:O314)=0,"",IFERROR(C314/G314,0))</f>
        <v/>
      </c>
      <c r="V314" s="19">
        <f>IF(COUNT(C314:O314)=0,"",IFERROR(G314/D314*1000,0))</f>
        <v/>
      </c>
      <c r="W314" s="18">
        <f>IF(COUNT(C314:O314)=0,"",IFERROR(H314/G314,0))</f>
        <v/>
      </c>
      <c r="X314" s="15">
        <f>IF(COUNT(C314:O314)=0,"",IFERROR(C314/H314,0))</f>
        <v/>
      </c>
      <c r="Y314" s="18">
        <f>IF(COUNT(C314:O314)=0,"",IFERROR(X314/P314,0))</f>
        <v/>
      </c>
      <c r="Z314" s="19">
        <f>IF(COUNT(C314:O314)=0,"",IFERROR(H314/D314*1000,0))</f>
        <v/>
      </c>
      <c r="AA314" s="18">
        <f>IF(COUNT(C314:O314)=0,"",IFERROR(I314/H314,0))</f>
        <v/>
      </c>
      <c r="AB314" s="18">
        <f>IF(COUNT(C314:O314)=0,"",IFERROR(J314/I314,0))</f>
        <v/>
      </c>
      <c r="AC314" s="18">
        <f>IF(COUNT(C314:O314)=0,"",IFERROR(K314/J314,0))</f>
        <v/>
      </c>
      <c r="AD314" s="15">
        <f>IF(COUNT(C314:O314)=0,"",IFERROR(C314/K314,0))</f>
        <v/>
      </c>
      <c r="AE314" s="18">
        <f>IF(COUNT(C314:O314)=0,"",IFERROR(L314/K314,0))</f>
        <v/>
      </c>
      <c r="AF314" s="18">
        <f>IF(COUNT(C314:O314)=0,"",IFERROR(M314/L314,0))</f>
        <v/>
      </c>
      <c r="AG314" s="17">
        <f>IF(COUNT(C314:O314)=0,"",IFERROR(M314/H314,0))</f>
        <v/>
      </c>
      <c r="AH314" s="15">
        <f>IF(COUNT(C314:O314)=0,"",IFERROR(C314/M314,0))</f>
        <v/>
      </c>
      <c r="AI314" s="20">
        <f>IF(COUNT(C314:O314)=0,"",IFERROR(M314*Config!$C$7+N314*Config!$C$8,0))</f>
        <v/>
      </c>
      <c r="AJ314" s="20">
        <f>IF(COUNT(C314:O314)=0,"",IFERROR(IF(O314&gt;0,O314,AI314*Config!$C$9),0))</f>
        <v/>
      </c>
      <c r="AK314" s="20">
        <f>IF(COUNT(C314:O314)=0,"",IFERROR(AJ314*(1-Config!$C$10-Config!$C$11-Config!$C$12),0))</f>
        <v/>
      </c>
      <c r="AL314" s="20">
        <f>IF(COUNT(C314:O314)=0,"",IFERROR(AK314-C314-Config!$C$13,0))</f>
        <v/>
      </c>
      <c r="AM314" s="21">
        <f>IF(COUNT(C314:O314)=0,"",IFERROR(AK314/C314,0))</f>
        <v/>
      </c>
      <c r="AN314" s="21">
        <f>IF(COUNT(C314:O314)=0,"",IFERROR(AI314/C314,0))</f>
        <v/>
      </c>
      <c r="AO314" s="15">
        <f>IF(COUNT(C314:O314)=0,"",IFERROR(AL314/G314,0))</f>
        <v/>
      </c>
      <c r="AP314" s="21">
        <f>IF(COUNT(C314:O314)=0,"",IFERROR(AO314/U314,0))</f>
        <v/>
      </c>
      <c r="AQ314" s="15">
        <f>IF(COUNT(C314:O314)=0,"",IFERROR(AL314/H314,0))</f>
        <v/>
      </c>
    </row>
    <row r="315">
      <c r="A315" s="12">
        <f>Config!$C$6+309</f>
        <v/>
      </c>
      <c r="B315" s="13">
        <f>INT((A315-Config!$C$6)/7)+1</f>
        <v/>
      </c>
      <c r="C315" s="10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0" t="n"/>
      <c r="P315" s="15">
        <f>IF(COUNT(C315:O315)=0,"",IFERROR(C315/D315*1000,0))</f>
        <v/>
      </c>
      <c r="Q315" s="16">
        <f>IF(COUNT(C315:O315)=0,"",IFERROR(D315/E315,0))</f>
        <v/>
      </c>
      <c r="R315" s="17">
        <f>IF(COUNT(C315:O315)=0,"",IFERROR(F315/D315,0))</f>
        <v/>
      </c>
      <c r="S315" s="15">
        <f>IF(COUNT(C315:O315)=0,"",IFERROR(C315/F315,0))</f>
        <v/>
      </c>
      <c r="T315" s="18">
        <f>IF(COUNT(C315:O315)=0,"",IFERROR(G315/F315,0))</f>
        <v/>
      </c>
      <c r="U315" s="15">
        <f>IF(COUNT(C315:O315)=0,"",IFERROR(C315/G315,0))</f>
        <v/>
      </c>
      <c r="V315" s="19">
        <f>IF(COUNT(C315:O315)=0,"",IFERROR(G315/D315*1000,0))</f>
        <v/>
      </c>
      <c r="W315" s="18">
        <f>IF(COUNT(C315:O315)=0,"",IFERROR(H315/G315,0))</f>
        <v/>
      </c>
      <c r="X315" s="15">
        <f>IF(COUNT(C315:O315)=0,"",IFERROR(C315/H315,0))</f>
        <v/>
      </c>
      <c r="Y315" s="18">
        <f>IF(COUNT(C315:O315)=0,"",IFERROR(X315/P315,0))</f>
        <v/>
      </c>
      <c r="Z315" s="19">
        <f>IF(COUNT(C315:O315)=0,"",IFERROR(H315/D315*1000,0))</f>
        <v/>
      </c>
      <c r="AA315" s="18">
        <f>IF(COUNT(C315:O315)=0,"",IFERROR(I315/H315,0))</f>
        <v/>
      </c>
      <c r="AB315" s="18">
        <f>IF(COUNT(C315:O315)=0,"",IFERROR(J315/I315,0))</f>
        <v/>
      </c>
      <c r="AC315" s="18">
        <f>IF(COUNT(C315:O315)=0,"",IFERROR(K315/J315,0))</f>
        <v/>
      </c>
      <c r="AD315" s="15">
        <f>IF(COUNT(C315:O315)=0,"",IFERROR(C315/K315,0))</f>
        <v/>
      </c>
      <c r="AE315" s="18">
        <f>IF(COUNT(C315:O315)=0,"",IFERROR(L315/K315,0))</f>
        <v/>
      </c>
      <c r="AF315" s="18">
        <f>IF(COUNT(C315:O315)=0,"",IFERROR(M315/L315,0))</f>
        <v/>
      </c>
      <c r="AG315" s="17">
        <f>IF(COUNT(C315:O315)=0,"",IFERROR(M315/H315,0))</f>
        <v/>
      </c>
      <c r="AH315" s="15">
        <f>IF(COUNT(C315:O315)=0,"",IFERROR(C315/M315,0))</f>
        <v/>
      </c>
      <c r="AI315" s="20">
        <f>IF(COUNT(C315:O315)=0,"",IFERROR(M315*Config!$C$7+N315*Config!$C$8,0))</f>
        <v/>
      </c>
      <c r="AJ315" s="20">
        <f>IF(COUNT(C315:O315)=0,"",IFERROR(IF(O315&gt;0,O315,AI315*Config!$C$9),0))</f>
        <v/>
      </c>
      <c r="AK315" s="20">
        <f>IF(COUNT(C315:O315)=0,"",IFERROR(AJ315*(1-Config!$C$10-Config!$C$11-Config!$C$12),0))</f>
        <v/>
      </c>
      <c r="AL315" s="20">
        <f>IF(COUNT(C315:O315)=0,"",IFERROR(AK315-C315-Config!$C$13,0))</f>
        <v/>
      </c>
      <c r="AM315" s="21">
        <f>IF(COUNT(C315:O315)=0,"",IFERROR(AK315/C315,0))</f>
        <v/>
      </c>
      <c r="AN315" s="21">
        <f>IF(COUNT(C315:O315)=0,"",IFERROR(AI315/C315,0))</f>
        <v/>
      </c>
      <c r="AO315" s="15">
        <f>IF(COUNT(C315:O315)=0,"",IFERROR(AL315/G315,0))</f>
        <v/>
      </c>
      <c r="AP315" s="21">
        <f>IF(COUNT(C315:O315)=0,"",IFERROR(AO315/U315,0))</f>
        <v/>
      </c>
      <c r="AQ315" s="15">
        <f>IF(COUNT(C315:O315)=0,"",IFERROR(AL315/H315,0))</f>
        <v/>
      </c>
    </row>
    <row r="316">
      <c r="A316" s="12">
        <f>Config!$C$6+310</f>
        <v/>
      </c>
      <c r="B316" s="13">
        <f>INT((A316-Config!$C$6)/7)+1</f>
        <v/>
      </c>
      <c r="C316" s="10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0" t="n"/>
      <c r="P316" s="15">
        <f>IF(COUNT(C316:O316)=0,"",IFERROR(C316/D316*1000,0))</f>
        <v/>
      </c>
      <c r="Q316" s="16">
        <f>IF(COUNT(C316:O316)=0,"",IFERROR(D316/E316,0))</f>
        <v/>
      </c>
      <c r="R316" s="17">
        <f>IF(COUNT(C316:O316)=0,"",IFERROR(F316/D316,0))</f>
        <v/>
      </c>
      <c r="S316" s="15">
        <f>IF(COUNT(C316:O316)=0,"",IFERROR(C316/F316,0))</f>
        <v/>
      </c>
      <c r="T316" s="18">
        <f>IF(COUNT(C316:O316)=0,"",IFERROR(G316/F316,0))</f>
        <v/>
      </c>
      <c r="U316" s="15">
        <f>IF(COUNT(C316:O316)=0,"",IFERROR(C316/G316,0))</f>
        <v/>
      </c>
      <c r="V316" s="19">
        <f>IF(COUNT(C316:O316)=0,"",IFERROR(G316/D316*1000,0))</f>
        <v/>
      </c>
      <c r="W316" s="18">
        <f>IF(COUNT(C316:O316)=0,"",IFERROR(H316/G316,0))</f>
        <v/>
      </c>
      <c r="X316" s="15">
        <f>IF(COUNT(C316:O316)=0,"",IFERROR(C316/H316,0))</f>
        <v/>
      </c>
      <c r="Y316" s="18">
        <f>IF(COUNT(C316:O316)=0,"",IFERROR(X316/P316,0))</f>
        <v/>
      </c>
      <c r="Z316" s="19">
        <f>IF(COUNT(C316:O316)=0,"",IFERROR(H316/D316*1000,0))</f>
        <v/>
      </c>
      <c r="AA316" s="18">
        <f>IF(COUNT(C316:O316)=0,"",IFERROR(I316/H316,0))</f>
        <v/>
      </c>
      <c r="AB316" s="18">
        <f>IF(COUNT(C316:O316)=0,"",IFERROR(J316/I316,0))</f>
        <v/>
      </c>
      <c r="AC316" s="18">
        <f>IF(COUNT(C316:O316)=0,"",IFERROR(K316/J316,0))</f>
        <v/>
      </c>
      <c r="AD316" s="15">
        <f>IF(COUNT(C316:O316)=0,"",IFERROR(C316/K316,0))</f>
        <v/>
      </c>
      <c r="AE316" s="18">
        <f>IF(COUNT(C316:O316)=0,"",IFERROR(L316/K316,0))</f>
        <v/>
      </c>
      <c r="AF316" s="18">
        <f>IF(COUNT(C316:O316)=0,"",IFERROR(M316/L316,0))</f>
        <v/>
      </c>
      <c r="AG316" s="17">
        <f>IF(COUNT(C316:O316)=0,"",IFERROR(M316/H316,0))</f>
        <v/>
      </c>
      <c r="AH316" s="15">
        <f>IF(COUNT(C316:O316)=0,"",IFERROR(C316/M316,0))</f>
        <v/>
      </c>
      <c r="AI316" s="20">
        <f>IF(COUNT(C316:O316)=0,"",IFERROR(M316*Config!$C$7+N316*Config!$C$8,0))</f>
        <v/>
      </c>
      <c r="AJ316" s="20">
        <f>IF(COUNT(C316:O316)=0,"",IFERROR(IF(O316&gt;0,O316,AI316*Config!$C$9),0))</f>
        <v/>
      </c>
      <c r="AK316" s="20">
        <f>IF(COUNT(C316:O316)=0,"",IFERROR(AJ316*(1-Config!$C$10-Config!$C$11-Config!$C$12),0))</f>
        <v/>
      </c>
      <c r="AL316" s="20">
        <f>IF(COUNT(C316:O316)=0,"",IFERROR(AK316-C316-Config!$C$13,0))</f>
        <v/>
      </c>
      <c r="AM316" s="21">
        <f>IF(COUNT(C316:O316)=0,"",IFERROR(AK316/C316,0))</f>
        <v/>
      </c>
      <c r="AN316" s="21">
        <f>IF(COUNT(C316:O316)=0,"",IFERROR(AI316/C316,0))</f>
        <v/>
      </c>
      <c r="AO316" s="15">
        <f>IF(COUNT(C316:O316)=0,"",IFERROR(AL316/G316,0))</f>
        <v/>
      </c>
      <c r="AP316" s="21">
        <f>IF(COUNT(C316:O316)=0,"",IFERROR(AO316/U316,0))</f>
        <v/>
      </c>
      <c r="AQ316" s="15">
        <f>IF(COUNT(C316:O316)=0,"",IFERROR(AL316/H316,0))</f>
        <v/>
      </c>
    </row>
    <row r="317">
      <c r="A317" s="12">
        <f>Config!$C$6+311</f>
        <v/>
      </c>
      <c r="B317" s="13">
        <f>INT((A317-Config!$C$6)/7)+1</f>
        <v/>
      </c>
      <c r="C317" s="10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0" t="n"/>
      <c r="P317" s="15">
        <f>IF(COUNT(C317:O317)=0,"",IFERROR(C317/D317*1000,0))</f>
        <v/>
      </c>
      <c r="Q317" s="16">
        <f>IF(COUNT(C317:O317)=0,"",IFERROR(D317/E317,0))</f>
        <v/>
      </c>
      <c r="R317" s="17">
        <f>IF(COUNT(C317:O317)=0,"",IFERROR(F317/D317,0))</f>
        <v/>
      </c>
      <c r="S317" s="15">
        <f>IF(COUNT(C317:O317)=0,"",IFERROR(C317/F317,0))</f>
        <v/>
      </c>
      <c r="T317" s="18">
        <f>IF(COUNT(C317:O317)=0,"",IFERROR(G317/F317,0))</f>
        <v/>
      </c>
      <c r="U317" s="15">
        <f>IF(COUNT(C317:O317)=0,"",IFERROR(C317/G317,0))</f>
        <v/>
      </c>
      <c r="V317" s="19">
        <f>IF(COUNT(C317:O317)=0,"",IFERROR(G317/D317*1000,0))</f>
        <v/>
      </c>
      <c r="W317" s="18">
        <f>IF(COUNT(C317:O317)=0,"",IFERROR(H317/G317,0))</f>
        <v/>
      </c>
      <c r="X317" s="15">
        <f>IF(COUNT(C317:O317)=0,"",IFERROR(C317/H317,0))</f>
        <v/>
      </c>
      <c r="Y317" s="18">
        <f>IF(COUNT(C317:O317)=0,"",IFERROR(X317/P317,0))</f>
        <v/>
      </c>
      <c r="Z317" s="19">
        <f>IF(COUNT(C317:O317)=0,"",IFERROR(H317/D317*1000,0))</f>
        <v/>
      </c>
      <c r="AA317" s="18">
        <f>IF(COUNT(C317:O317)=0,"",IFERROR(I317/H317,0))</f>
        <v/>
      </c>
      <c r="AB317" s="18">
        <f>IF(COUNT(C317:O317)=0,"",IFERROR(J317/I317,0))</f>
        <v/>
      </c>
      <c r="AC317" s="18">
        <f>IF(COUNT(C317:O317)=0,"",IFERROR(K317/J317,0))</f>
        <v/>
      </c>
      <c r="AD317" s="15">
        <f>IF(COUNT(C317:O317)=0,"",IFERROR(C317/K317,0))</f>
        <v/>
      </c>
      <c r="AE317" s="18">
        <f>IF(COUNT(C317:O317)=0,"",IFERROR(L317/K317,0))</f>
        <v/>
      </c>
      <c r="AF317" s="18">
        <f>IF(COUNT(C317:O317)=0,"",IFERROR(M317/L317,0))</f>
        <v/>
      </c>
      <c r="AG317" s="17">
        <f>IF(COUNT(C317:O317)=0,"",IFERROR(M317/H317,0))</f>
        <v/>
      </c>
      <c r="AH317" s="15">
        <f>IF(COUNT(C317:O317)=0,"",IFERROR(C317/M317,0))</f>
        <v/>
      </c>
      <c r="AI317" s="20">
        <f>IF(COUNT(C317:O317)=0,"",IFERROR(M317*Config!$C$7+N317*Config!$C$8,0))</f>
        <v/>
      </c>
      <c r="AJ317" s="20">
        <f>IF(COUNT(C317:O317)=0,"",IFERROR(IF(O317&gt;0,O317,AI317*Config!$C$9),0))</f>
        <v/>
      </c>
      <c r="AK317" s="20">
        <f>IF(COUNT(C317:O317)=0,"",IFERROR(AJ317*(1-Config!$C$10-Config!$C$11-Config!$C$12),0))</f>
        <v/>
      </c>
      <c r="AL317" s="20">
        <f>IF(COUNT(C317:O317)=0,"",IFERROR(AK317-C317-Config!$C$13,0))</f>
        <v/>
      </c>
      <c r="AM317" s="21">
        <f>IF(COUNT(C317:O317)=0,"",IFERROR(AK317/C317,0))</f>
        <v/>
      </c>
      <c r="AN317" s="21">
        <f>IF(COUNT(C317:O317)=0,"",IFERROR(AI317/C317,0))</f>
        <v/>
      </c>
      <c r="AO317" s="15">
        <f>IF(COUNT(C317:O317)=0,"",IFERROR(AL317/G317,0))</f>
        <v/>
      </c>
      <c r="AP317" s="21">
        <f>IF(COUNT(C317:O317)=0,"",IFERROR(AO317/U317,0))</f>
        <v/>
      </c>
      <c r="AQ317" s="15">
        <f>IF(COUNT(C317:O317)=0,"",IFERROR(AL317/H317,0))</f>
        <v/>
      </c>
    </row>
    <row r="318">
      <c r="A318" s="12">
        <f>Config!$C$6+312</f>
        <v/>
      </c>
      <c r="B318" s="13">
        <f>INT((A318-Config!$C$6)/7)+1</f>
        <v/>
      </c>
      <c r="C318" s="10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0" t="n"/>
      <c r="P318" s="15">
        <f>IF(COUNT(C318:O318)=0,"",IFERROR(C318/D318*1000,0))</f>
        <v/>
      </c>
      <c r="Q318" s="16">
        <f>IF(COUNT(C318:O318)=0,"",IFERROR(D318/E318,0))</f>
        <v/>
      </c>
      <c r="R318" s="17">
        <f>IF(COUNT(C318:O318)=0,"",IFERROR(F318/D318,0))</f>
        <v/>
      </c>
      <c r="S318" s="15">
        <f>IF(COUNT(C318:O318)=0,"",IFERROR(C318/F318,0))</f>
        <v/>
      </c>
      <c r="T318" s="18">
        <f>IF(COUNT(C318:O318)=0,"",IFERROR(G318/F318,0))</f>
        <v/>
      </c>
      <c r="U318" s="15">
        <f>IF(COUNT(C318:O318)=0,"",IFERROR(C318/G318,0))</f>
        <v/>
      </c>
      <c r="V318" s="19">
        <f>IF(COUNT(C318:O318)=0,"",IFERROR(G318/D318*1000,0))</f>
        <v/>
      </c>
      <c r="W318" s="18">
        <f>IF(COUNT(C318:O318)=0,"",IFERROR(H318/G318,0))</f>
        <v/>
      </c>
      <c r="X318" s="15">
        <f>IF(COUNT(C318:O318)=0,"",IFERROR(C318/H318,0))</f>
        <v/>
      </c>
      <c r="Y318" s="18">
        <f>IF(COUNT(C318:O318)=0,"",IFERROR(X318/P318,0))</f>
        <v/>
      </c>
      <c r="Z318" s="19">
        <f>IF(COUNT(C318:O318)=0,"",IFERROR(H318/D318*1000,0))</f>
        <v/>
      </c>
      <c r="AA318" s="18">
        <f>IF(COUNT(C318:O318)=0,"",IFERROR(I318/H318,0))</f>
        <v/>
      </c>
      <c r="AB318" s="18">
        <f>IF(COUNT(C318:O318)=0,"",IFERROR(J318/I318,0))</f>
        <v/>
      </c>
      <c r="AC318" s="18">
        <f>IF(COUNT(C318:O318)=0,"",IFERROR(K318/J318,0))</f>
        <v/>
      </c>
      <c r="AD318" s="15">
        <f>IF(COUNT(C318:O318)=0,"",IFERROR(C318/K318,0))</f>
        <v/>
      </c>
      <c r="AE318" s="18">
        <f>IF(COUNT(C318:O318)=0,"",IFERROR(L318/K318,0))</f>
        <v/>
      </c>
      <c r="AF318" s="18">
        <f>IF(COUNT(C318:O318)=0,"",IFERROR(M318/L318,0))</f>
        <v/>
      </c>
      <c r="AG318" s="17">
        <f>IF(COUNT(C318:O318)=0,"",IFERROR(M318/H318,0))</f>
        <v/>
      </c>
      <c r="AH318" s="15">
        <f>IF(COUNT(C318:O318)=0,"",IFERROR(C318/M318,0))</f>
        <v/>
      </c>
      <c r="AI318" s="20">
        <f>IF(COUNT(C318:O318)=0,"",IFERROR(M318*Config!$C$7+N318*Config!$C$8,0))</f>
        <v/>
      </c>
      <c r="AJ318" s="20">
        <f>IF(COUNT(C318:O318)=0,"",IFERROR(IF(O318&gt;0,O318,AI318*Config!$C$9),0))</f>
        <v/>
      </c>
      <c r="AK318" s="20">
        <f>IF(COUNT(C318:O318)=0,"",IFERROR(AJ318*(1-Config!$C$10-Config!$C$11-Config!$C$12),0))</f>
        <v/>
      </c>
      <c r="AL318" s="20">
        <f>IF(COUNT(C318:O318)=0,"",IFERROR(AK318-C318-Config!$C$13,0))</f>
        <v/>
      </c>
      <c r="AM318" s="21">
        <f>IF(COUNT(C318:O318)=0,"",IFERROR(AK318/C318,0))</f>
        <v/>
      </c>
      <c r="AN318" s="21">
        <f>IF(COUNT(C318:O318)=0,"",IFERROR(AI318/C318,0))</f>
        <v/>
      </c>
      <c r="AO318" s="15">
        <f>IF(COUNT(C318:O318)=0,"",IFERROR(AL318/G318,0))</f>
        <v/>
      </c>
      <c r="AP318" s="21">
        <f>IF(COUNT(C318:O318)=0,"",IFERROR(AO318/U318,0))</f>
        <v/>
      </c>
      <c r="AQ318" s="15">
        <f>IF(COUNT(C318:O318)=0,"",IFERROR(AL318/H318,0))</f>
        <v/>
      </c>
    </row>
    <row r="319">
      <c r="A319" s="12">
        <f>Config!$C$6+313</f>
        <v/>
      </c>
      <c r="B319" s="13">
        <f>INT((A319-Config!$C$6)/7)+1</f>
        <v/>
      </c>
      <c r="C319" s="10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0" t="n"/>
      <c r="P319" s="15">
        <f>IF(COUNT(C319:O319)=0,"",IFERROR(C319/D319*1000,0))</f>
        <v/>
      </c>
      <c r="Q319" s="16">
        <f>IF(COUNT(C319:O319)=0,"",IFERROR(D319/E319,0))</f>
        <v/>
      </c>
      <c r="R319" s="17">
        <f>IF(COUNT(C319:O319)=0,"",IFERROR(F319/D319,0))</f>
        <v/>
      </c>
      <c r="S319" s="15">
        <f>IF(COUNT(C319:O319)=0,"",IFERROR(C319/F319,0))</f>
        <v/>
      </c>
      <c r="T319" s="18">
        <f>IF(COUNT(C319:O319)=0,"",IFERROR(G319/F319,0))</f>
        <v/>
      </c>
      <c r="U319" s="15">
        <f>IF(COUNT(C319:O319)=0,"",IFERROR(C319/G319,0))</f>
        <v/>
      </c>
      <c r="V319" s="19">
        <f>IF(COUNT(C319:O319)=0,"",IFERROR(G319/D319*1000,0))</f>
        <v/>
      </c>
      <c r="W319" s="18">
        <f>IF(COUNT(C319:O319)=0,"",IFERROR(H319/G319,0))</f>
        <v/>
      </c>
      <c r="X319" s="15">
        <f>IF(COUNT(C319:O319)=0,"",IFERROR(C319/H319,0))</f>
        <v/>
      </c>
      <c r="Y319" s="18">
        <f>IF(COUNT(C319:O319)=0,"",IFERROR(X319/P319,0))</f>
        <v/>
      </c>
      <c r="Z319" s="19">
        <f>IF(COUNT(C319:O319)=0,"",IFERROR(H319/D319*1000,0))</f>
        <v/>
      </c>
      <c r="AA319" s="18">
        <f>IF(COUNT(C319:O319)=0,"",IFERROR(I319/H319,0))</f>
        <v/>
      </c>
      <c r="AB319" s="18">
        <f>IF(COUNT(C319:O319)=0,"",IFERROR(J319/I319,0))</f>
        <v/>
      </c>
      <c r="AC319" s="18">
        <f>IF(COUNT(C319:O319)=0,"",IFERROR(K319/J319,0))</f>
        <v/>
      </c>
      <c r="AD319" s="15">
        <f>IF(COUNT(C319:O319)=0,"",IFERROR(C319/K319,0))</f>
        <v/>
      </c>
      <c r="AE319" s="18">
        <f>IF(COUNT(C319:O319)=0,"",IFERROR(L319/K319,0))</f>
        <v/>
      </c>
      <c r="AF319" s="18">
        <f>IF(COUNT(C319:O319)=0,"",IFERROR(M319/L319,0))</f>
        <v/>
      </c>
      <c r="AG319" s="17">
        <f>IF(COUNT(C319:O319)=0,"",IFERROR(M319/H319,0))</f>
        <v/>
      </c>
      <c r="AH319" s="15">
        <f>IF(COUNT(C319:O319)=0,"",IFERROR(C319/M319,0))</f>
        <v/>
      </c>
      <c r="AI319" s="20">
        <f>IF(COUNT(C319:O319)=0,"",IFERROR(M319*Config!$C$7+N319*Config!$C$8,0))</f>
        <v/>
      </c>
      <c r="AJ319" s="20">
        <f>IF(COUNT(C319:O319)=0,"",IFERROR(IF(O319&gt;0,O319,AI319*Config!$C$9),0))</f>
        <v/>
      </c>
      <c r="AK319" s="20">
        <f>IF(COUNT(C319:O319)=0,"",IFERROR(AJ319*(1-Config!$C$10-Config!$C$11-Config!$C$12),0))</f>
        <v/>
      </c>
      <c r="AL319" s="20">
        <f>IF(COUNT(C319:O319)=0,"",IFERROR(AK319-C319-Config!$C$13,0))</f>
        <v/>
      </c>
      <c r="AM319" s="21">
        <f>IF(COUNT(C319:O319)=0,"",IFERROR(AK319/C319,0))</f>
        <v/>
      </c>
      <c r="AN319" s="21">
        <f>IF(COUNT(C319:O319)=0,"",IFERROR(AI319/C319,0))</f>
        <v/>
      </c>
      <c r="AO319" s="15">
        <f>IF(COUNT(C319:O319)=0,"",IFERROR(AL319/G319,0))</f>
        <v/>
      </c>
      <c r="AP319" s="21">
        <f>IF(COUNT(C319:O319)=0,"",IFERROR(AO319/U319,0))</f>
        <v/>
      </c>
      <c r="AQ319" s="15">
        <f>IF(COUNT(C319:O319)=0,"",IFERROR(AL319/H319,0))</f>
        <v/>
      </c>
    </row>
    <row r="320">
      <c r="A320" s="12">
        <f>Config!$C$6+314</f>
        <v/>
      </c>
      <c r="B320" s="13">
        <f>INT((A320-Config!$C$6)/7)+1</f>
        <v/>
      </c>
      <c r="C320" s="10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0" t="n"/>
      <c r="P320" s="15">
        <f>IF(COUNT(C320:O320)=0,"",IFERROR(C320/D320*1000,0))</f>
        <v/>
      </c>
      <c r="Q320" s="16">
        <f>IF(COUNT(C320:O320)=0,"",IFERROR(D320/E320,0))</f>
        <v/>
      </c>
      <c r="R320" s="17">
        <f>IF(COUNT(C320:O320)=0,"",IFERROR(F320/D320,0))</f>
        <v/>
      </c>
      <c r="S320" s="15">
        <f>IF(COUNT(C320:O320)=0,"",IFERROR(C320/F320,0))</f>
        <v/>
      </c>
      <c r="T320" s="18">
        <f>IF(COUNT(C320:O320)=0,"",IFERROR(G320/F320,0))</f>
        <v/>
      </c>
      <c r="U320" s="15">
        <f>IF(COUNT(C320:O320)=0,"",IFERROR(C320/G320,0))</f>
        <v/>
      </c>
      <c r="V320" s="19">
        <f>IF(COUNT(C320:O320)=0,"",IFERROR(G320/D320*1000,0))</f>
        <v/>
      </c>
      <c r="W320" s="18">
        <f>IF(COUNT(C320:O320)=0,"",IFERROR(H320/G320,0))</f>
        <v/>
      </c>
      <c r="X320" s="15">
        <f>IF(COUNT(C320:O320)=0,"",IFERROR(C320/H320,0))</f>
        <v/>
      </c>
      <c r="Y320" s="18">
        <f>IF(COUNT(C320:O320)=0,"",IFERROR(X320/P320,0))</f>
        <v/>
      </c>
      <c r="Z320" s="19">
        <f>IF(COUNT(C320:O320)=0,"",IFERROR(H320/D320*1000,0))</f>
        <v/>
      </c>
      <c r="AA320" s="18">
        <f>IF(COUNT(C320:O320)=0,"",IFERROR(I320/H320,0))</f>
        <v/>
      </c>
      <c r="AB320" s="18">
        <f>IF(COUNT(C320:O320)=0,"",IFERROR(J320/I320,0))</f>
        <v/>
      </c>
      <c r="AC320" s="18">
        <f>IF(COUNT(C320:O320)=0,"",IFERROR(K320/J320,0))</f>
        <v/>
      </c>
      <c r="AD320" s="15">
        <f>IF(COUNT(C320:O320)=0,"",IFERROR(C320/K320,0))</f>
        <v/>
      </c>
      <c r="AE320" s="18">
        <f>IF(COUNT(C320:O320)=0,"",IFERROR(L320/K320,0))</f>
        <v/>
      </c>
      <c r="AF320" s="18">
        <f>IF(COUNT(C320:O320)=0,"",IFERROR(M320/L320,0))</f>
        <v/>
      </c>
      <c r="AG320" s="17">
        <f>IF(COUNT(C320:O320)=0,"",IFERROR(M320/H320,0))</f>
        <v/>
      </c>
      <c r="AH320" s="15">
        <f>IF(COUNT(C320:O320)=0,"",IFERROR(C320/M320,0))</f>
        <v/>
      </c>
      <c r="AI320" s="20">
        <f>IF(COUNT(C320:O320)=0,"",IFERROR(M320*Config!$C$7+N320*Config!$C$8,0))</f>
        <v/>
      </c>
      <c r="AJ320" s="20">
        <f>IF(COUNT(C320:O320)=0,"",IFERROR(IF(O320&gt;0,O320,AI320*Config!$C$9),0))</f>
        <v/>
      </c>
      <c r="AK320" s="20">
        <f>IF(COUNT(C320:O320)=0,"",IFERROR(AJ320*(1-Config!$C$10-Config!$C$11-Config!$C$12),0))</f>
        <v/>
      </c>
      <c r="AL320" s="20">
        <f>IF(COUNT(C320:O320)=0,"",IFERROR(AK320-C320-Config!$C$13,0))</f>
        <v/>
      </c>
      <c r="AM320" s="21">
        <f>IF(COUNT(C320:O320)=0,"",IFERROR(AK320/C320,0))</f>
        <v/>
      </c>
      <c r="AN320" s="21">
        <f>IF(COUNT(C320:O320)=0,"",IFERROR(AI320/C320,0))</f>
        <v/>
      </c>
      <c r="AO320" s="15">
        <f>IF(COUNT(C320:O320)=0,"",IFERROR(AL320/G320,0))</f>
        <v/>
      </c>
      <c r="AP320" s="21">
        <f>IF(COUNT(C320:O320)=0,"",IFERROR(AO320/U320,0))</f>
        <v/>
      </c>
      <c r="AQ320" s="15">
        <f>IF(COUNT(C320:O320)=0,"",IFERROR(AL320/H320,0))</f>
        <v/>
      </c>
    </row>
    <row r="321">
      <c r="A321" s="12">
        <f>Config!$C$6+315</f>
        <v/>
      </c>
      <c r="B321" s="13">
        <f>INT((A321-Config!$C$6)/7)+1</f>
        <v/>
      </c>
      <c r="C321" s="10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0" t="n"/>
      <c r="P321" s="15">
        <f>IF(COUNT(C321:O321)=0,"",IFERROR(C321/D321*1000,0))</f>
        <v/>
      </c>
      <c r="Q321" s="16">
        <f>IF(COUNT(C321:O321)=0,"",IFERROR(D321/E321,0))</f>
        <v/>
      </c>
      <c r="R321" s="17">
        <f>IF(COUNT(C321:O321)=0,"",IFERROR(F321/D321,0))</f>
        <v/>
      </c>
      <c r="S321" s="15">
        <f>IF(COUNT(C321:O321)=0,"",IFERROR(C321/F321,0))</f>
        <v/>
      </c>
      <c r="T321" s="18">
        <f>IF(COUNT(C321:O321)=0,"",IFERROR(G321/F321,0))</f>
        <v/>
      </c>
      <c r="U321" s="15">
        <f>IF(COUNT(C321:O321)=0,"",IFERROR(C321/G321,0))</f>
        <v/>
      </c>
      <c r="V321" s="19">
        <f>IF(COUNT(C321:O321)=0,"",IFERROR(G321/D321*1000,0))</f>
        <v/>
      </c>
      <c r="W321" s="18">
        <f>IF(COUNT(C321:O321)=0,"",IFERROR(H321/G321,0))</f>
        <v/>
      </c>
      <c r="X321" s="15">
        <f>IF(COUNT(C321:O321)=0,"",IFERROR(C321/H321,0))</f>
        <v/>
      </c>
      <c r="Y321" s="18">
        <f>IF(COUNT(C321:O321)=0,"",IFERROR(X321/P321,0))</f>
        <v/>
      </c>
      <c r="Z321" s="19">
        <f>IF(COUNT(C321:O321)=0,"",IFERROR(H321/D321*1000,0))</f>
        <v/>
      </c>
      <c r="AA321" s="18">
        <f>IF(COUNT(C321:O321)=0,"",IFERROR(I321/H321,0))</f>
        <v/>
      </c>
      <c r="AB321" s="18">
        <f>IF(COUNT(C321:O321)=0,"",IFERROR(J321/I321,0))</f>
        <v/>
      </c>
      <c r="AC321" s="18">
        <f>IF(COUNT(C321:O321)=0,"",IFERROR(K321/J321,0))</f>
        <v/>
      </c>
      <c r="AD321" s="15">
        <f>IF(COUNT(C321:O321)=0,"",IFERROR(C321/K321,0))</f>
        <v/>
      </c>
      <c r="AE321" s="18">
        <f>IF(COUNT(C321:O321)=0,"",IFERROR(L321/K321,0))</f>
        <v/>
      </c>
      <c r="AF321" s="18">
        <f>IF(COUNT(C321:O321)=0,"",IFERROR(M321/L321,0))</f>
        <v/>
      </c>
      <c r="AG321" s="17">
        <f>IF(COUNT(C321:O321)=0,"",IFERROR(M321/H321,0))</f>
        <v/>
      </c>
      <c r="AH321" s="15">
        <f>IF(COUNT(C321:O321)=0,"",IFERROR(C321/M321,0))</f>
        <v/>
      </c>
      <c r="AI321" s="20">
        <f>IF(COUNT(C321:O321)=0,"",IFERROR(M321*Config!$C$7+N321*Config!$C$8,0))</f>
        <v/>
      </c>
      <c r="AJ321" s="20">
        <f>IF(COUNT(C321:O321)=0,"",IFERROR(IF(O321&gt;0,O321,AI321*Config!$C$9),0))</f>
        <v/>
      </c>
      <c r="AK321" s="20">
        <f>IF(COUNT(C321:O321)=0,"",IFERROR(AJ321*(1-Config!$C$10-Config!$C$11-Config!$C$12),0))</f>
        <v/>
      </c>
      <c r="AL321" s="20">
        <f>IF(COUNT(C321:O321)=0,"",IFERROR(AK321-C321-Config!$C$13,0))</f>
        <v/>
      </c>
      <c r="AM321" s="21">
        <f>IF(COUNT(C321:O321)=0,"",IFERROR(AK321/C321,0))</f>
        <v/>
      </c>
      <c r="AN321" s="21">
        <f>IF(COUNT(C321:O321)=0,"",IFERROR(AI321/C321,0))</f>
        <v/>
      </c>
      <c r="AO321" s="15">
        <f>IF(COUNT(C321:O321)=0,"",IFERROR(AL321/G321,0))</f>
        <v/>
      </c>
      <c r="AP321" s="21">
        <f>IF(COUNT(C321:O321)=0,"",IFERROR(AO321/U321,0))</f>
        <v/>
      </c>
      <c r="AQ321" s="15">
        <f>IF(COUNT(C321:O321)=0,"",IFERROR(AL321/H321,0))</f>
        <v/>
      </c>
    </row>
    <row r="322">
      <c r="A322" s="12">
        <f>Config!$C$6+316</f>
        <v/>
      </c>
      <c r="B322" s="13">
        <f>INT((A322-Config!$C$6)/7)+1</f>
        <v/>
      </c>
      <c r="C322" s="10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0" t="n"/>
      <c r="P322" s="15">
        <f>IF(COUNT(C322:O322)=0,"",IFERROR(C322/D322*1000,0))</f>
        <v/>
      </c>
      <c r="Q322" s="16">
        <f>IF(COUNT(C322:O322)=0,"",IFERROR(D322/E322,0))</f>
        <v/>
      </c>
      <c r="R322" s="17">
        <f>IF(COUNT(C322:O322)=0,"",IFERROR(F322/D322,0))</f>
        <v/>
      </c>
      <c r="S322" s="15">
        <f>IF(COUNT(C322:O322)=0,"",IFERROR(C322/F322,0))</f>
        <v/>
      </c>
      <c r="T322" s="18">
        <f>IF(COUNT(C322:O322)=0,"",IFERROR(G322/F322,0))</f>
        <v/>
      </c>
      <c r="U322" s="15">
        <f>IF(COUNT(C322:O322)=0,"",IFERROR(C322/G322,0))</f>
        <v/>
      </c>
      <c r="V322" s="19">
        <f>IF(COUNT(C322:O322)=0,"",IFERROR(G322/D322*1000,0))</f>
        <v/>
      </c>
      <c r="W322" s="18">
        <f>IF(COUNT(C322:O322)=0,"",IFERROR(H322/G322,0))</f>
        <v/>
      </c>
      <c r="X322" s="15">
        <f>IF(COUNT(C322:O322)=0,"",IFERROR(C322/H322,0))</f>
        <v/>
      </c>
      <c r="Y322" s="18">
        <f>IF(COUNT(C322:O322)=0,"",IFERROR(X322/P322,0))</f>
        <v/>
      </c>
      <c r="Z322" s="19">
        <f>IF(COUNT(C322:O322)=0,"",IFERROR(H322/D322*1000,0))</f>
        <v/>
      </c>
      <c r="AA322" s="18">
        <f>IF(COUNT(C322:O322)=0,"",IFERROR(I322/H322,0))</f>
        <v/>
      </c>
      <c r="AB322" s="18">
        <f>IF(COUNT(C322:O322)=0,"",IFERROR(J322/I322,0))</f>
        <v/>
      </c>
      <c r="AC322" s="18">
        <f>IF(COUNT(C322:O322)=0,"",IFERROR(K322/J322,0))</f>
        <v/>
      </c>
      <c r="AD322" s="15">
        <f>IF(COUNT(C322:O322)=0,"",IFERROR(C322/K322,0))</f>
        <v/>
      </c>
      <c r="AE322" s="18">
        <f>IF(COUNT(C322:O322)=0,"",IFERROR(L322/K322,0))</f>
        <v/>
      </c>
      <c r="AF322" s="18">
        <f>IF(COUNT(C322:O322)=0,"",IFERROR(M322/L322,0))</f>
        <v/>
      </c>
      <c r="AG322" s="17">
        <f>IF(COUNT(C322:O322)=0,"",IFERROR(M322/H322,0))</f>
        <v/>
      </c>
      <c r="AH322" s="15">
        <f>IF(COUNT(C322:O322)=0,"",IFERROR(C322/M322,0))</f>
        <v/>
      </c>
      <c r="AI322" s="20">
        <f>IF(COUNT(C322:O322)=0,"",IFERROR(M322*Config!$C$7+N322*Config!$C$8,0))</f>
        <v/>
      </c>
      <c r="AJ322" s="20">
        <f>IF(COUNT(C322:O322)=0,"",IFERROR(IF(O322&gt;0,O322,AI322*Config!$C$9),0))</f>
        <v/>
      </c>
      <c r="AK322" s="20">
        <f>IF(COUNT(C322:O322)=0,"",IFERROR(AJ322*(1-Config!$C$10-Config!$C$11-Config!$C$12),0))</f>
        <v/>
      </c>
      <c r="AL322" s="20">
        <f>IF(COUNT(C322:O322)=0,"",IFERROR(AK322-C322-Config!$C$13,0))</f>
        <v/>
      </c>
      <c r="AM322" s="21">
        <f>IF(COUNT(C322:O322)=0,"",IFERROR(AK322/C322,0))</f>
        <v/>
      </c>
      <c r="AN322" s="21">
        <f>IF(COUNT(C322:O322)=0,"",IFERROR(AI322/C322,0))</f>
        <v/>
      </c>
      <c r="AO322" s="15">
        <f>IF(COUNT(C322:O322)=0,"",IFERROR(AL322/G322,0))</f>
        <v/>
      </c>
      <c r="AP322" s="21">
        <f>IF(COUNT(C322:O322)=0,"",IFERROR(AO322/U322,0))</f>
        <v/>
      </c>
      <c r="AQ322" s="15">
        <f>IF(COUNT(C322:O322)=0,"",IFERROR(AL322/H322,0))</f>
        <v/>
      </c>
    </row>
    <row r="323">
      <c r="A323" s="12">
        <f>Config!$C$6+317</f>
        <v/>
      </c>
      <c r="B323" s="13">
        <f>INT((A323-Config!$C$6)/7)+1</f>
        <v/>
      </c>
      <c r="C323" s="10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0" t="n"/>
      <c r="P323" s="15">
        <f>IF(COUNT(C323:O323)=0,"",IFERROR(C323/D323*1000,0))</f>
        <v/>
      </c>
      <c r="Q323" s="16">
        <f>IF(COUNT(C323:O323)=0,"",IFERROR(D323/E323,0))</f>
        <v/>
      </c>
      <c r="R323" s="17">
        <f>IF(COUNT(C323:O323)=0,"",IFERROR(F323/D323,0))</f>
        <v/>
      </c>
      <c r="S323" s="15">
        <f>IF(COUNT(C323:O323)=0,"",IFERROR(C323/F323,0))</f>
        <v/>
      </c>
      <c r="T323" s="18">
        <f>IF(COUNT(C323:O323)=0,"",IFERROR(G323/F323,0))</f>
        <v/>
      </c>
      <c r="U323" s="15">
        <f>IF(COUNT(C323:O323)=0,"",IFERROR(C323/G323,0))</f>
        <v/>
      </c>
      <c r="V323" s="19">
        <f>IF(COUNT(C323:O323)=0,"",IFERROR(G323/D323*1000,0))</f>
        <v/>
      </c>
      <c r="W323" s="18">
        <f>IF(COUNT(C323:O323)=0,"",IFERROR(H323/G323,0))</f>
        <v/>
      </c>
      <c r="X323" s="15">
        <f>IF(COUNT(C323:O323)=0,"",IFERROR(C323/H323,0))</f>
        <v/>
      </c>
      <c r="Y323" s="18">
        <f>IF(COUNT(C323:O323)=0,"",IFERROR(X323/P323,0))</f>
        <v/>
      </c>
      <c r="Z323" s="19">
        <f>IF(COUNT(C323:O323)=0,"",IFERROR(H323/D323*1000,0))</f>
        <v/>
      </c>
      <c r="AA323" s="18">
        <f>IF(COUNT(C323:O323)=0,"",IFERROR(I323/H323,0))</f>
        <v/>
      </c>
      <c r="AB323" s="18">
        <f>IF(COUNT(C323:O323)=0,"",IFERROR(J323/I323,0))</f>
        <v/>
      </c>
      <c r="AC323" s="18">
        <f>IF(COUNT(C323:O323)=0,"",IFERROR(K323/J323,0))</f>
        <v/>
      </c>
      <c r="AD323" s="15">
        <f>IF(COUNT(C323:O323)=0,"",IFERROR(C323/K323,0))</f>
        <v/>
      </c>
      <c r="AE323" s="18">
        <f>IF(COUNT(C323:O323)=0,"",IFERROR(L323/K323,0))</f>
        <v/>
      </c>
      <c r="AF323" s="18">
        <f>IF(COUNT(C323:O323)=0,"",IFERROR(M323/L323,0))</f>
        <v/>
      </c>
      <c r="AG323" s="17">
        <f>IF(COUNT(C323:O323)=0,"",IFERROR(M323/H323,0))</f>
        <v/>
      </c>
      <c r="AH323" s="15">
        <f>IF(COUNT(C323:O323)=0,"",IFERROR(C323/M323,0))</f>
        <v/>
      </c>
      <c r="AI323" s="20">
        <f>IF(COUNT(C323:O323)=0,"",IFERROR(M323*Config!$C$7+N323*Config!$C$8,0))</f>
        <v/>
      </c>
      <c r="AJ323" s="20">
        <f>IF(COUNT(C323:O323)=0,"",IFERROR(IF(O323&gt;0,O323,AI323*Config!$C$9),0))</f>
        <v/>
      </c>
      <c r="AK323" s="20">
        <f>IF(COUNT(C323:O323)=0,"",IFERROR(AJ323*(1-Config!$C$10-Config!$C$11-Config!$C$12),0))</f>
        <v/>
      </c>
      <c r="AL323" s="20">
        <f>IF(COUNT(C323:O323)=0,"",IFERROR(AK323-C323-Config!$C$13,0))</f>
        <v/>
      </c>
      <c r="AM323" s="21">
        <f>IF(COUNT(C323:O323)=0,"",IFERROR(AK323/C323,0))</f>
        <v/>
      </c>
      <c r="AN323" s="21">
        <f>IF(COUNT(C323:O323)=0,"",IFERROR(AI323/C323,0))</f>
        <v/>
      </c>
      <c r="AO323" s="15">
        <f>IF(COUNT(C323:O323)=0,"",IFERROR(AL323/G323,0))</f>
        <v/>
      </c>
      <c r="AP323" s="21">
        <f>IF(COUNT(C323:O323)=0,"",IFERROR(AO323/U323,0))</f>
        <v/>
      </c>
      <c r="AQ323" s="15">
        <f>IF(COUNT(C323:O323)=0,"",IFERROR(AL323/H323,0))</f>
        <v/>
      </c>
    </row>
    <row r="324">
      <c r="A324" s="12">
        <f>Config!$C$6+318</f>
        <v/>
      </c>
      <c r="B324" s="13">
        <f>INT((A324-Config!$C$6)/7)+1</f>
        <v/>
      </c>
      <c r="C324" s="10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0" t="n"/>
      <c r="P324" s="15">
        <f>IF(COUNT(C324:O324)=0,"",IFERROR(C324/D324*1000,0))</f>
        <v/>
      </c>
      <c r="Q324" s="16">
        <f>IF(COUNT(C324:O324)=0,"",IFERROR(D324/E324,0))</f>
        <v/>
      </c>
      <c r="R324" s="17">
        <f>IF(COUNT(C324:O324)=0,"",IFERROR(F324/D324,0))</f>
        <v/>
      </c>
      <c r="S324" s="15">
        <f>IF(COUNT(C324:O324)=0,"",IFERROR(C324/F324,0))</f>
        <v/>
      </c>
      <c r="T324" s="18">
        <f>IF(COUNT(C324:O324)=0,"",IFERROR(G324/F324,0))</f>
        <v/>
      </c>
      <c r="U324" s="15">
        <f>IF(COUNT(C324:O324)=0,"",IFERROR(C324/G324,0))</f>
        <v/>
      </c>
      <c r="V324" s="19">
        <f>IF(COUNT(C324:O324)=0,"",IFERROR(G324/D324*1000,0))</f>
        <v/>
      </c>
      <c r="W324" s="18">
        <f>IF(COUNT(C324:O324)=0,"",IFERROR(H324/G324,0))</f>
        <v/>
      </c>
      <c r="X324" s="15">
        <f>IF(COUNT(C324:O324)=0,"",IFERROR(C324/H324,0))</f>
        <v/>
      </c>
      <c r="Y324" s="18">
        <f>IF(COUNT(C324:O324)=0,"",IFERROR(X324/P324,0))</f>
        <v/>
      </c>
      <c r="Z324" s="19">
        <f>IF(COUNT(C324:O324)=0,"",IFERROR(H324/D324*1000,0))</f>
        <v/>
      </c>
      <c r="AA324" s="18">
        <f>IF(COUNT(C324:O324)=0,"",IFERROR(I324/H324,0))</f>
        <v/>
      </c>
      <c r="AB324" s="18">
        <f>IF(COUNT(C324:O324)=0,"",IFERROR(J324/I324,0))</f>
        <v/>
      </c>
      <c r="AC324" s="18">
        <f>IF(COUNT(C324:O324)=0,"",IFERROR(K324/J324,0))</f>
        <v/>
      </c>
      <c r="AD324" s="15">
        <f>IF(COUNT(C324:O324)=0,"",IFERROR(C324/K324,0))</f>
        <v/>
      </c>
      <c r="AE324" s="18">
        <f>IF(COUNT(C324:O324)=0,"",IFERROR(L324/K324,0))</f>
        <v/>
      </c>
      <c r="AF324" s="18">
        <f>IF(COUNT(C324:O324)=0,"",IFERROR(M324/L324,0))</f>
        <v/>
      </c>
      <c r="AG324" s="17">
        <f>IF(COUNT(C324:O324)=0,"",IFERROR(M324/H324,0))</f>
        <v/>
      </c>
      <c r="AH324" s="15">
        <f>IF(COUNT(C324:O324)=0,"",IFERROR(C324/M324,0))</f>
        <v/>
      </c>
      <c r="AI324" s="20">
        <f>IF(COUNT(C324:O324)=0,"",IFERROR(M324*Config!$C$7+N324*Config!$C$8,0))</f>
        <v/>
      </c>
      <c r="AJ324" s="20">
        <f>IF(COUNT(C324:O324)=0,"",IFERROR(IF(O324&gt;0,O324,AI324*Config!$C$9),0))</f>
        <v/>
      </c>
      <c r="AK324" s="20">
        <f>IF(COUNT(C324:O324)=0,"",IFERROR(AJ324*(1-Config!$C$10-Config!$C$11-Config!$C$12),0))</f>
        <v/>
      </c>
      <c r="AL324" s="20">
        <f>IF(COUNT(C324:O324)=0,"",IFERROR(AK324-C324-Config!$C$13,0))</f>
        <v/>
      </c>
      <c r="AM324" s="21">
        <f>IF(COUNT(C324:O324)=0,"",IFERROR(AK324/C324,0))</f>
        <v/>
      </c>
      <c r="AN324" s="21">
        <f>IF(COUNT(C324:O324)=0,"",IFERROR(AI324/C324,0))</f>
        <v/>
      </c>
      <c r="AO324" s="15">
        <f>IF(COUNT(C324:O324)=0,"",IFERROR(AL324/G324,0))</f>
        <v/>
      </c>
      <c r="AP324" s="21">
        <f>IF(COUNT(C324:O324)=0,"",IFERROR(AO324/U324,0))</f>
        <v/>
      </c>
      <c r="AQ324" s="15">
        <f>IF(COUNT(C324:O324)=0,"",IFERROR(AL324/H324,0))</f>
        <v/>
      </c>
    </row>
    <row r="325">
      <c r="A325" s="12">
        <f>Config!$C$6+319</f>
        <v/>
      </c>
      <c r="B325" s="13">
        <f>INT((A325-Config!$C$6)/7)+1</f>
        <v/>
      </c>
      <c r="C325" s="10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0" t="n"/>
      <c r="P325" s="15">
        <f>IF(COUNT(C325:O325)=0,"",IFERROR(C325/D325*1000,0))</f>
        <v/>
      </c>
      <c r="Q325" s="16">
        <f>IF(COUNT(C325:O325)=0,"",IFERROR(D325/E325,0))</f>
        <v/>
      </c>
      <c r="R325" s="17">
        <f>IF(COUNT(C325:O325)=0,"",IFERROR(F325/D325,0))</f>
        <v/>
      </c>
      <c r="S325" s="15">
        <f>IF(COUNT(C325:O325)=0,"",IFERROR(C325/F325,0))</f>
        <v/>
      </c>
      <c r="T325" s="18">
        <f>IF(COUNT(C325:O325)=0,"",IFERROR(G325/F325,0))</f>
        <v/>
      </c>
      <c r="U325" s="15">
        <f>IF(COUNT(C325:O325)=0,"",IFERROR(C325/G325,0))</f>
        <v/>
      </c>
      <c r="V325" s="19">
        <f>IF(COUNT(C325:O325)=0,"",IFERROR(G325/D325*1000,0))</f>
        <v/>
      </c>
      <c r="W325" s="18">
        <f>IF(COUNT(C325:O325)=0,"",IFERROR(H325/G325,0))</f>
        <v/>
      </c>
      <c r="X325" s="15">
        <f>IF(COUNT(C325:O325)=0,"",IFERROR(C325/H325,0))</f>
        <v/>
      </c>
      <c r="Y325" s="18">
        <f>IF(COUNT(C325:O325)=0,"",IFERROR(X325/P325,0))</f>
        <v/>
      </c>
      <c r="Z325" s="19">
        <f>IF(COUNT(C325:O325)=0,"",IFERROR(H325/D325*1000,0))</f>
        <v/>
      </c>
      <c r="AA325" s="18">
        <f>IF(COUNT(C325:O325)=0,"",IFERROR(I325/H325,0))</f>
        <v/>
      </c>
      <c r="AB325" s="18">
        <f>IF(COUNT(C325:O325)=0,"",IFERROR(J325/I325,0))</f>
        <v/>
      </c>
      <c r="AC325" s="18">
        <f>IF(COUNT(C325:O325)=0,"",IFERROR(K325/J325,0))</f>
        <v/>
      </c>
      <c r="AD325" s="15">
        <f>IF(COUNT(C325:O325)=0,"",IFERROR(C325/K325,0))</f>
        <v/>
      </c>
      <c r="AE325" s="18">
        <f>IF(COUNT(C325:O325)=0,"",IFERROR(L325/K325,0))</f>
        <v/>
      </c>
      <c r="AF325" s="18">
        <f>IF(COUNT(C325:O325)=0,"",IFERROR(M325/L325,0))</f>
        <v/>
      </c>
      <c r="AG325" s="17">
        <f>IF(COUNT(C325:O325)=0,"",IFERROR(M325/H325,0))</f>
        <v/>
      </c>
      <c r="AH325" s="15">
        <f>IF(COUNT(C325:O325)=0,"",IFERROR(C325/M325,0))</f>
        <v/>
      </c>
      <c r="AI325" s="20">
        <f>IF(COUNT(C325:O325)=0,"",IFERROR(M325*Config!$C$7+N325*Config!$C$8,0))</f>
        <v/>
      </c>
      <c r="AJ325" s="20">
        <f>IF(COUNT(C325:O325)=0,"",IFERROR(IF(O325&gt;0,O325,AI325*Config!$C$9),0))</f>
        <v/>
      </c>
      <c r="AK325" s="20">
        <f>IF(COUNT(C325:O325)=0,"",IFERROR(AJ325*(1-Config!$C$10-Config!$C$11-Config!$C$12),0))</f>
        <v/>
      </c>
      <c r="AL325" s="20">
        <f>IF(COUNT(C325:O325)=0,"",IFERROR(AK325-C325-Config!$C$13,0))</f>
        <v/>
      </c>
      <c r="AM325" s="21">
        <f>IF(COUNT(C325:O325)=0,"",IFERROR(AK325/C325,0))</f>
        <v/>
      </c>
      <c r="AN325" s="21">
        <f>IF(COUNT(C325:O325)=0,"",IFERROR(AI325/C325,0))</f>
        <v/>
      </c>
      <c r="AO325" s="15">
        <f>IF(COUNT(C325:O325)=0,"",IFERROR(AL325/G325,0))</f>
        <v/>
      </c>
      <c r="AP325" s="21">
        <f>IF(COUNT(C325:O325)=0,"",IFERROR(AO325/U325,0))</f>
        <v/>
      </c>
      <c r="AQ325" s="15">
        <f>IF(COUNT(C325:O325)=0,"",IFERROR(AL325/H325,0))</f>
        <v/>
      </c>
    </row>
    <row r="326">
      <c r="A326" s="12">
        <f>Config!$C$6+320</f>
        <v/>
      </c>
      <c r="B326" s="13">
        <f>INT((A326-Config!$C$6)/7)+1</f>
        <v/>
      </c>
      <c r="C326" s="10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0" t="n"/>
      <c r="P326" s="15">
        <f>IF(COUNT(C326:O326)=0,"",IFERROR(C326/D326*1000,0))</f>
        <v/>
      </c>
      <c r="Q326" s="16">
        <f>IF(COUNT(C326:O326)=0,"",IFERROR(D326/E326,0))</f>
        <v/>
      </c>
      <c r="R326" s="17">
        <f>IF(COUNT(C326:O326)=0,"",IFERROR(F326/D326,0))</f>
        <v/>
      </c>
      <c r="S326" s="15">
        <f>IF(COUNT(C326:O326)=0,"",IFERROR(C326/F326,0))</f>
        <v/>
      </c>
      <c r="T326" s="18">
        <f>IF(COUNT(C326:O326)=0,"",IFERROR(G326/F326,0))</f>
        <v/>
      </c>
      <c r="U326" s="15">
        <f>IF(COUNT(C326:O326)=0,"",IFERROR(C326/G326,0))</f>
        <v/>
      </c>
      <c r="V326" s="19">
        <f>IF(COUNT(C326:O326)=0,"",IFERROR(G326/D326*1000,0))</f>
        <v/>
      </c>
      <c r="W326" s="18">
        <f>IF(COUNT(C326:O326)=0,"",IFERROR(H326/G326,0))</f>
        <v/>
      </c>
      <c r="X326" s="15">
        <f>IF(COUNT(C326:O326)=0,"",IFERROR(C326/H326,0))</f>
        <v/>
      </c>
      <c r="Y326" s="18">
        <f>IF(COUNT(C326:O326)=0,"",IFERROR(X326/P326,0))</f>
        <v/>
      </c>
      <c r="Z326" s="19">
        <f>IF(COUNT(C326:O326)=0,"",IFERROR(H326/D326*1000,0))</f>
        <v/>
      </c>
      <c r="AA326" s="18">
        <f>IF(COUNT(C326:O326)=0,"",IFERROR(I326/H326,0))</f>
        <v/>
      </c>
      <c r="AB326" s="18">
        <f>IF(COUNT(C326:O326)=0,"",IFERROR(J326/I326,0))</f>
        <v/>
      </c>
      <c r="AC326" s="18">
        <f>IF(COUNT(C326:O326)=0,"",IFERROR(K326/J326,0))</f>
        <v/>
      </c>
      <c r="AD326" s="15">
        <f>IF(COUNT(C326:O326)=0,"",IFERROR(C326/K326,0))</f>
        <v/>
      </c>
      <c r="AE326" s="18">
        <f>IF(COUNT(C326:O326)=0,"",IFERROR(L326/K326,0))</f>
        <v/>
      </c>
      <c r="AF326" s="18">
        <f>IF(COUNT(C326:O326)=0,"",IFERROR(M326/L326,0))</f>
        <v/>
      </c>
      <c r="AG326" s="17">
        <f>IF(COUNT(C326:O326)=0,"",IFERROR(M326/H326,0))</f>
        <v/>
      </c>
      <c r="AH326" s="15">
        <f>IF(COUNT(C326:O326)=0,"",IFERROR(C326/M326,0))</f>
        <v/>
      </c>
      <c r="AI326" s="20">
        <f>IF(COUNT(C326:O326)=0,"",IFERROR(M326*Config!$C$7+N326*Config!$C$8,0))</f>
        <v/>
      </c>
      <c r="AJ326" s="20">
        <f>IF(COUNT(C326:O326)=0,"",IFERROR(IF(O326&gt;0,O326,AI326*Config!$C$9),0))</f>
        <v/>
      </c>
      <c r="AK326" s="20">
        <f>IF(COUNT(C326:O326)=0,"",IFERROR(AJ326*(1-Config!$C$10-Config!$C$11-Config!$C$12),0))</f>
        <v/>
      </c>
      <c r="AL326" s="20">
        <f>IF(COUNT(C326:O326)=0,"",IFERROR(AK326-C326-Config!$C$13,0))</f>
        <v/>
      </c>
      <c r="AM326" s="21">
        <f>IF(COUNT(C326:O326)=0,"",IFERROR(AK326/C326,0))</f>
        <v/>
      </c>
      <c r="AN326" s="21">
        <f>IF(COUNT(C326:O326)=0,"",IFERROR(AI326/C326,0))</f>
        <v/>
      </c>
      <c r="AO326" s="15">
        <f>IF(COUNT(C326:O326)=0,"",IFERROR(AL326/G326,0))</f>
        <v/>
      </c>
      <c r="AP326" s="21">
        <f>IF(COUNT(C326:O326)=0,"",IFERROR(AO326/U326,0))</f>
        <v/>
      </c>
      <c r="AQ326" s="15">
        <f>IF(COUNT(C326:O326)=0,"",IFERROR(AL326/H326,0))</f>
        <v/>
      </c>
    </row>
    <row r="327">
      <c r="A327" s="12">
        <f>Config!$C$6+321</f>
        <v/>
      </c>
      <c r="B327" s="13">
        <f>INT((A327-Config!$C$6)/7)+1</f>
        <v/>
      </c>
      <c r="C327" s="10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0" t="n"/>
      <c r="P327" s="15">
        <f>IF(COUNT(C327:O327)=0,"",IFERROR(C327/D327*1000,0))</f>
        <v/>
      </c>
      <c r="Q327" s="16">
        <f>IF(COUNT(C327:O327)=0,"",IFERROR(D327/E327,0))</f>
        <v/>
      </c>
      <c r="R327" s="17">
        <f>IF(COUNT(C327:O327)=0,"",IFERROR(F327/D327,0))</f>
        <v/>
      </c>
      <c r="S327" s="15">
        <f>IF(COUNT(C327:O327)=0,"",IFERROR(C327/F327,0))</f>
        <v/>
      </c>
      <c r="T327" s="18">
        <f>IF(COUNT(C327:O327)=0,"",IFERROR(G327/F327,0))</f>
        <v/>
      </c>
      <c r="U327" s="15">
        <f>IF(COUNT(C327:O327)=0,"",IFERROR(C327/G327,0))</f>
        <v/>
      </c>
      <c r="V327" s="19">
        <f>IF(COUNT(C327:O327)=0,"",IFERROR(G327/D327*1000,0))</f>
        <v/>
      </c>
      <c r="W327" s="18">
        <f>IF(COUNT(C327:O327)=0,"",IFERROR(H327/G327,0))</f>
        <v/>
      </c>
      <c r="X327" s="15">
        <f>IF(COUNT(C327:O327)=0,"",IFERROR(C327/H327,0))</f>
        <v/>
      </c>
      <c r="Y327" s="18">
        <f>IF(COUNT(C327:O327)=0,"",IFERROR(X327/P327,0))</f>
        <v/>
      </c>
      <c r="Z327" s="19">
        <f>IF(COUNT(C327:O327)=0,"",IFERROR(H327/D327*1000,0))</f>
        <v/>
      </c>
      <c r="AA327" s="18">
        <f>IF(COUNT(C327:O327)=0,"",IFERROR(I327/H327,0))</f>
        <v/>
      </c>
      <c r="AB327" s="18">
        <f>IF(COUNT(C327:O327)=0,"",IFERROR(J327/I327,0))</f>
        <v/>
      </c>
      <c r="AC327" s="18">
        <f>IF(COUNT(C327:O327)=0,"",IFERROR(K327/J327,0))</f>
        <v/>
      </c>
      <c r="AD327" s="15">
        <f>IF(COUNT(C327:O327)=0,"",IFERROR(C327/K327,0))</f>
        <v/>
      </c>
      <c r="AE327" s="18">
        <f>IF(COUNT(C327:O327)=0,"",IFERROR(L327/K327,0))</f>
        <v/>
      </c>
      <c r="AF327" s="18">
        <f>IF(COUNT(C327:O327)=0,"",IFERROR(M327/L327,0))</f>
        <v/>
      </c>
      <c r="AG327" s="17">
        <f>IF(COUNT(C327:O327)=0,"",IFERROR(M327/H327,0))</f>
        <v/>
      </c>
      <c r="AH327" s="15">
        <f>IF(COUNT(C327:O327)=0,"",IFERROR(C327/M327,0))</f>
        <v/>
      </c>
      <c r="AI327" s="20">
        <f>IF(COUNT(C327:O327)=0,"",IFERROR(M327*Config!$C$7+N327*Config!$C$8,0))</f>
        <v/>
      </c>
      <c r="AJ327" s="20">
        <f>IF(COUNT(C327:O327)=0,"",IFERROR(IF(O327&gt;0,O327,AI327*Config!$C$9),0))</f>
        <v/>
      </c>
      <c r="AK327" s="20">
        <f>IF(COUNT(C327:O327)=0,"",IFERROR(AJ327*(1-Config!$C$10-Config!$C$11-Config!$C$12),0))</f>
        <v/>
      </c>
      <c r="AL327" s="20">
        <f>IF(COUNT(C327:O327)=0,"",IFERROR(AK327-C327-Config!$C$13,0))</f>
        <v/>
      </c>
      <c r="AM327" s="21">
        <f>IF(COUNT(C327:O327)=0,"",IFERROR(AK327/C327,0))</f>
        <v/>
      </c>
      <c r="AN327" s="21">
        <f>IF(COUNT(C327:O327)=0,"",IFERROR(AI327/C327,0))</f>
        <v/>
      </c>
      <c r="AO327" s="15">
        <f>IF(COUNT(C327:O327)=0,"",IFERROR(AL327/G327,0))</f>
        <v/>
      </c>
      <c r="AP327" s="21">
        <f>IF(COUNT(C327:O327)=0,"",IFERROR(AO327/U327,0))</f>
        <v/>
      </c>
      <c r="AQ327" s="15">
        <f>IF(COUNT(C327:O327)=0,"",IFERROR(AL327/H327,0))</f>
        <v/>
      </c>
    </row>
    <row r="328">
      <c r="A328" s="12">
        <f>Config!$C$6+322</f>
        <v/>
      </c>
      <c r="B328" s="13">
        <f>INT((A328-Config!$C$6)/7)+1</f>
        <v/>
      </c>
      <c r="C328" s="10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0" t="n"/>
      <c r="P328" s="15">
        <f>IF(COUNT(C328:O328)=0,"",IFERROR(C328/D328*1000,0))</f>
        <v/>
      </c>
      <c r="Q328" s="16">
        <f>IF(COUNT(C328:O328)=0,"",IFERROR(D328/E328,0))</f>
        <v/>
      </c>
      <c r="R328" s="17">
        <f>IF(COUNT(C328:O328)=0,"",IFERROR(F328/D328,0))</f>
        <v/>
      </c>
      <c r="S328" s="15">
        <f>IF(COUNT(C328:O328)=0,"",IFERROR(C328/F328,0))</f>
        <v/>
      </c>
      <c r="T328" s="18">
        <f>IF(COUNT(C328:O328)=0,"",IFERROR(G328/F328,0))</f>
        <v/>
      </c>
      <c r="U328" s="15">
        <f>IF(COUNT(C328:O328)=0,"",IFERROR(C328/G328,0))</f>
        <v/>
      </c>
      <c r="V328" s="19">
        <f>IF(COUNT(C328:O328)=0,"",IFERROR(G328/D328*1000,0))</f>
        <v/>
      </c>
      <c r="W328" s="18">
        <f>IF(COUNT(C328:O328)=0,"",IFERROR(H328/G328,0))</f>
        <v/>
      </c>
      <c r="X328" s="15">
        <f>IF(COUNT(C328:O328)=0,"",IFERROR(C328/H328,0))</f>
        <v/>
      </c>
      <c r="Y328" s="18">
        <f>IF(COUNT(C328:O328)=0,"",IFERROR(X328/P328,0))</f>
        <v/>
      </c>
      <c r="Z328" s="19">
        <f>IF(COUNT(C328:O328)=0,"",IFERROR(H328/D328*1000,0))</f>
        <v/>
      </c>
      <c r="AA328" s="18">
        <f>IF(COUNT(C328:O328)=0,"",IFERROR(I328/H328,0))</f>
        <v/>
      </c>
      <c r="AB328" s="18">
        <f>IF(COUNT(C328:O328)=0,"",IFERROR(J328/I328,0))</f>
        <v/>
      </c>
      <c r="AC328" s="18">
        <f>IF(COUNT(C328:O328)=0,"",IFERROR(K328/J328,0))</f>
        <v/>
      </c>
      <c r="AD328" s="15">
        <f>IF(COUNT(C328:O328)=0,"",IFERROR(C328/K328,0))</f>
        <v/>
      </c>
      <c r="AE328" s="18">
        <f>IF(COUNT(C328:O328)=0,"",IFERROR(L328/K328,0))</f>
        <v/>
      </c>
      <c r="AF328" s="18">
        <f>IF(COUNT(C328:O328)=0,"",IFERROR(M328/L328,0))</f>
        <v/>
      </c>
      <c r="AG328" s="17">
        <f>IF(COUNT(C328:O328)=0,"",IFERROR(M328/H328,0))</f>
        <v/>
      </c>
      <c r="AH328" s="15">
        <f>IF(COUNT(C328:O328)=0,"",IFERROR(C328/M328,0))</f>
        <v/>
      </c>
      <c r="AI328" s="20">
        <f>IF(COUNT(C328:O328)=0,"",IFERROR(M328*Config!$C$7+N328*Config!$C$8,0))</f>
        <v/>
      </c>
      <c r="AJ328" s="20">
        <f>IF(COUNT(C328:O328)=0,"",IFERROR(IF(O328&gt;0,O328,AI328*Config!$C$9),0))</f>
        <v/>
      </c>
      <c r="AK328" s="20">
        <f>IF(COUNT(C328:O328)=0,"",IFERROR(AJ328*(1-Config!$C$10-Config!$C$11-Config!$C$12),0))</f>
        <v/>
      </c>
      <c r="AL328" s="20">
        <f>IF(COUNT(C328:O328)=0,"",IFERROR(AK328-C328-Config!$C$13,0))</f>
        <v/>
      </c>
      <c r="AM328" s="21">
        <f>IF(COUNT(C328:O328)=0,"",IFERROR(AK328/C328,0))</f>
        <v/>
      </c>
      <c r="AN328" s="21">
        <f>IF(COUNT(C328:O328)=0,"",IFERROR(AI328/C328,0))</f>
        <v/>
      </c>
      <c r="AO328" s="15">
        <f>IF(COUNT(C328:O328)=0,"",IFERROR(AL328/G328,0))</f>
        <v/>
      </c>
      <c r="AP328" s="21">
        <f>IF(COUNT(C328:O328)=0,"",IFERROR(AO328/U328,0))</f>
        <v/>
      </c>
      <c r="AQ328" s="15">
        <f>IF(COUNT(C328:O328)=0,"",IFERROR(AL328/H328,0))</f>
        <v/>
      </c>
    </row>
    <row r="329">
      <c r="A329" s="12">
        <f>Config!$C$6+323</f>
        <v/>
      </c>
      <c r="B329" s="13">
        <f>INT((A329-Config!$C$6)/7)+1</f>
        <v/>
      </c>
      <c r="C329" s="10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0" t="n"/>
      <c r="P329" s="15">
        <f>IF(COUNT(C329:O329)=0,"",IFERROR(C329/D329*1000,0))</f>
        <v/>
      </c>
      <c r="Q329" s="16">
        <f>IF(COUNT(C329:O329)=0,"",IFERROR(D329/E329,0))</f>
        <v/>
      </c>
      <c r="R329" s="17">
        <f>IF(COUNT(C329:O329)=0,"",IFERROR(F329/D329,0))</f>
        <v/>
      </c>
      <c r="S329" s="15">
        <f>IF(COUNT(C329:O329)=0,"",IFERROR(C329/F329,0))</f>
        <v/>
      </c>
      <c r="T329" s="18">
        <f>IF(COUNT(C329:O329)=0,"",IFERROR(G329/F329,0))</f>
        <v/>
      </c>
      <c r="U329" s="15">
        <f>IF(COUNT(C329:O329)=0,"",IFERROR(C329/G329,0))</f>
        <v/>
      </c>
      <c r="V329" s="19">
        <f>IF(COUNT(C329:O329)=0,"",IFERROR(G329/D329*1000,0))</f>
        <v/>
      </c>
      <c r="W329" s="18">
        <f>IF(COUNT(C329:O329)=0,"",IFERROR(H329/G329,0))</f>
        <v/>
      </c>
      <c r="X329" s="15">
        <f>IF(COUNT(C329:O329)=0,"",IFERROR(C329/H329,0))</f>
        <v/>
      </c>
      <c r="Y329" s="18">
        <f>IF(COUNT(C329:O329)=0,"",IFERROR(X329/P329,0))</f>
        <v/>
      </c>
      <c r="Z329" s="19">
        <f>IF(COUNT(C329:O329)=0,"",IFERROR(H329/D329*1000,0))</f>
        <v/>
      </c>
      <c r="AA329" s="18">
        <f>IF(COUNT(C329:O329)=0,"",IFERROR(I329/H329,0))</f>
        <v/>
      </c>
      <c r="AB329" s="18">
        <f>IF(COUNT(C329:O329)=0,"",IFERROR(J329/I329,0))</f>
        <v/>
      </c>
      <c r="AC329" s="18">
        <f>IF(COUNT(C329:O329)=0,"",IFERROR(K329/J329,0))</f>
        <v/>
      </c>
      <c r="AD329" s="15">
        <f>IF(COUNT(C329:O329)=0,"",IFERROR(C329/K329,0))</f>
        <v/>
      </c>
      <c r="AE329" s="18">
        <f>IF(COUNT(C329:O329)=0,"",IFERROR(L329/K329,0))</f>
        <v/>
      </c>
      <c r="AF329" s="18">
        <f>IF(COUNT(C329:O329)=0,"",IFERROR(M329/L329,0))</f>
        <v/>
      </c>
      <c r="AG329" s="17">
        <f>IF(COUNT(C329:O329)=0,"",IFERROR(M329/H329,0))</f>
        <v/>
      </c>
      <c r="AH329" s="15">
        <f>IF(COUNT(C329:O329)=0,"",IFERROR(C329/M329,0))</f>
        <v/>
      </c>
      <c r="AI329" s="20">
        <f>IF(COUNT(C329:O329)=0,"",IFERROR(M329*Config!$C$7+N329*Config!$C$8,0))</f>
        <v/>
      </c>
      <c r="AJ329" s="20">
        <f>IF(COUNT(C329:O329)=0,"",IFERROR(IF(O329&gt;0,O329,AI329*Config!$C$9),0))</f>
        <v/>
      </c>
      <c r="AK329" s="20">
        <f>IF(COUNT(C329:O329)=0,"",IFERROR(AJ329*(1-Config!$C$10-Config!$C$11-Config!$C$12),0))</f>
        <v/>
      </c>
      <c r="AL329" s="20">
        <f>IF(COUNT(C329:O329)=0,"",IFERROR(AK329-C329-Config!$C$13,0))</f>
        <v/>
      </c>
      <c r="AM329" s="21">
        <f>IF(COUNT(C329:O329)=0,"",IFERROR(AK329/C329,0))</f>
        <v/>
      </c>
      <c r="AN329" s="21">
        <f>IF(COUNT(C329:O329)=0,"",IFERROR(AI329/C329,0))</f>
        <v/>
      </c>
      <c r="AO329" s="15">
        <f>IF(COUNT(C329:O329)=0,"",IFERROR(AL329/G329,0))</f>
        <v/>
      </c>
      <c r="AP329" s="21">
        <f>IF(COUNT(C329:O329)=0,"",IFERROR(AO329/U329,0))</f>
        <v/>
      </c>
      <c r="AQ329" s="15">
        <f>IF(COUNT(C329:O329)=0,"",IFERROR(AL329/H329,0))</f>
        <v/>
      </c>
    </row>
    <row r="330">
      <c r="A330" s="12">
        <f>Config!$C$6+324</f>
        <v/>
      </c>
      <c r="B330" s="13">
        <f>INT((A330-Config!$C$6)/7)+1</f>
        <v/>
      </c>
      <c r="C330" s="10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0" t="n"/>
      <c r="P330" s="15">
        <f>IF(COUNT(C330:O330)=0,"",IFERROR(C330/D330*1000,0))</f>
        <v/>
      </c>
      <c r="Q330" s="16">
        <f>IF(COUNT(C330:O330)=0,"",IFERROR(D330/E330,0))</f>
        <v/>
      </c>
      <c r="R330" s="17">
        <f>IF(COUNT(C330:O330)=0,"",IFERROR(F330/D330,0))</f>
        <v/>
      </c>
      <c r="S330" s="15">
        <f>IF(COUNT(C330:O330)=0,"",IFERROR(C330/F330,0))</f>
        <v/>
      </c>
      <c r="T330" s="18">
        <f>IF(COUNT(C330:O330)=0,"",IFERROR(G330/F330,0))</f>
        <v/>
      </c>
      <c r="U330" s="15">
        <f>IF(COUNT(C330:O330)=0,"",IFERROR(C330/G330,0))</f>
        <v/>
      </c>
      <c r="V330" s="19">
        <f>IF(COUNT(C330:O330)=0,"",IFERROR(G330/D330*1000,0))</f>
        <v/>
      </c>
      <c r="W330" s="18">
        <f>IF(COUNT(C330:O330)=0,"",IFERROR(H330/G330,0))</f>
        <v/>
      </c>
      <c r="X330" s="15">
        <f>IF(COUNT(C330:O330)=0,"",IFERROR(C330/H330,0))</f>
        <v/>
      </c>
      <c r="Y330" s="18">
        <f>IF(COUNT(C330:O330)=0,"",IFERROR(X330/P330,0))</f>
        <v/>
      </c>
      <c r="Z330" s="19">
        <f>IF(COUNT(C330:O330)=0,"",IFERROR(H330/D330*1000,0))</f>
        <v/>
      </c>
      <c r="AA330" s="18">
        <f>IF(COUNT(C330:O330)=0,"",IFERROR(I330/H330,0))</f>
        <v/>
      </c>
      <c r="AB330" s="18">
        <f>IF(COUNT(C330:O330)=0,"",IFERROR(J330/I330,0))</f>
        <v/>
      </c>
      <c r="AC330" s="18">
        <f>IF(COUNT(C330:O330)=0,"",IFERROR(K330/J330,0))</f>
        <v/>
      </c>
      <c r="AD330" s="15">
        <f>IF(COUNT(C330:O330)=0,"",IFERROR(C330/K330,0))</f>
        <v/>
      </c>
      <c r="AE330" s="18">
        <f>IF(COUNT(C330:O330)=0,"",IFERROR(L330/K330,0))</f>
        <v/>
      </c>
      <c r="AF330" s="18">
        <f>IF(COUNT(C330:O330)=0,"",IFERROR(M330/L330,0))</f>
        <v/>
      </c>
      <c r="AG330" s="17">
        <f>IF(COUNT(C330:O330)=0,"",IFERROR(M330/H330,0))</f>
        <v/>
      </c>
      <c r="AH330" s="15">
        <f>IF(COUNT(C330:O330)=0,"",IFERROR(C330/M330,0))</f>
        <v/>
      </c>
      <c r="AI330" s="20">
        <f>IF(COUNT(C330:O330)=0,"",IFERROR(M330*Config!$C$7+N330*Config!$C$8,0))</f>
        <v/>
      </c>
      <c r="AJ330" s="20">
        <f>IF(COUNT(C330:O330)=0,"",IFERROR(IF(O330&gt;0,O330,AI330*Config!$C$9),0))</f>
        <v/>
      </c>
      <c r="AK330" s="20">
        <f>IF(COUNT(C330:O330)=0,"",IFERROR(AJ330*(1-Config!$C$10-Config!$C$11-Config!$C$12),0))</f>
        <v/>
      </c>
      <c r="AL330" s="20">
        <f>IF(COUNT(C330:O330)=0,"",IFERROR(AK330-C330-Config!$C$13,0))</f>
        <v/>
      </c>
      <c r="AM330" s="21">
        <f>IF(COUNT(C330:O330)=0,"",IFERROR(AK330/C330,0))</f>
        <v/>
      </c>
      <c r="AN330" s="21">
        <f>IF(COUNT(C330:O330)=0,"",IFERROR(AI330/C330,0))</f>
        <v/>
      </c>
      <c r="AO330" s="15">
        <f>IF(COUNT(C330:O330)=0,"",IFERROR(AL330/G330,0))</f>
        <v/>
      </c>
      <c r="AP330" s="21">
        <f>IF(COUNT(C330:O330)=0,"",IFERROR(AO330/U330,0))</f>
        <v/>
      </c>
      <c r="AQ330" s="15">
        <f>IF(COUNT(C330:O330)=0,"",IFERROR(AL330/H330,0))</f>
        <v/>
      </c>
    </row>
    <row r="331">
      <c r="A331" s="12">
        <f>Config!$C$6+325</f>
        <v/>
      </c>
      <c r="B331" s="13">
        <f>INT((A331-Config!$C$6)/7)+1</f>
        <v/>
      </c>
      <c r="C331" s="10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0" t="n"/>
      <c r="P331" s="15">
        <f>IF(COUNT(C331:O331)=0,"",IFERROR(C331/D331*1000,0))</f>
        <v/>
      </c>
      <c r="Q331" s="16">
        <f>IF(COUNT(C331:O331)=0,"",IFERROR(D331/E331,0))</f>
        <v/>
      </c>
      <c r="R331" s="17">
        <f>IF(COUNT(C331:O331)=0,"",IFERROR(F331/D331,0))</f>
        <v/>
      </c>
      <c r="S331" s="15">
        <f>IF(COUNT(C331:O331)=0,"",IFERROR(C331/F331,0))</f>
        <v/>
      </c>
      <c r="T331" s="18">
        <f>IF(COUNT(C331:O331)=0,"",IFERROR(G331/F331,0))</f>
        <v/>
      </c>
      <c r="U331" s="15">
        <f>IF(COUNT(C331:O331)=0,"",IFERROR(C331/G331,0))</f>
        <v/>
      </c>
      <c r="V331" s="19">
        <f>IF(COUNT(C331:O331)=0,"",IFERROR(G331/D331*1000,0))</f>
        <v/>
      </c>
      <c r="W331" s="18">
        <f>IF(COUNT(C331:O331)=0,"",IFERROR(H331/G331,0))</f>
        <v/>
      </c>
      <c r="X331" s="15">
        <f>IF(COUNT(C331:O331)=0,"",IFERROR(C331/H331,0))</f>
        <v/>
      </c>
      <c r="Y331" s="18">
        <f>IF(COUNT(C331:O331)=0,"",IFERROR(X331/P331,0))</f>
        <v/>
      </c>
      <c r="Z331" s="19">
        <f>IF(COUNT(C331:O331)=0,"",IFERROR(H331/D331*1000,0))</f>
        <v/>
      </c>
      <c r="AA331" s="18">
        <f>IF(COUNT(C331:O331)=0,"",IFERROR(I331/H331,0))</f>
        <v/>
      </c>
      <c r="AB331" s="18">
        <f>IF(COUNT(C331:O331)=0,"",IFERROR(J331/I331,0))</f>
        <v/>
      </c>
      <c r="AC331" s="18">
        <f>IF(COUNT(C331:O331)=0,"",IFERROR(K331/J331,0))</f>
        <v/>
      </c>
      <c r="AD331" s="15">
        <f>IF(COUNT(C331:O331)=0,"",IFERROR(C331/K331,0))</f>
        <v/>
      </c>
      <c r="AE331" s="18">
        <f>IF(COUNT(C331:O331)=0,"",IFERROR(L331/K331,0))</f>
        <v/>
      </c>
      <c r="AF331" s="18">
        <f>IF(COUNT(C331:O331)=0,"",IFERROR(M331/L331,0))</f>
        <v/>
      </c>
      <c r="AG331" s="17">
        <f>IF(COUNT(C331:O331)=0,"",IFERROR(M331/H331,0))</f>
        <v/>
      </c>
      <c r="AH331" s="15">
        <f>IF(COUNT(C331:O331)=0,"",IFERROR(C331/M331,0))</f>
        <v/>
      </c>
      <c r="AI331" s="20">
        <f>IF(COUNT(C331:O331)=0,"",IFERROR(M331*Config!$C$7+N331*Config!$C$8,0))</f>
        <v/>
      </c>
      <c r="AJ331" s="20">
        <f>IF(COUNT(C331:O331)=0,"",IFERROR(IF(O331&gt;0,O331,AI331*Config!$C$9),0))</f>
        <v/>
      </c>
      <c r="AK331" s="20">
        <f>IF(COUNT(C331:O331)=0,"",IFERROR(AJ331*(1-Config!$C$10-Config!$C$11-Config!$C$12),0))</f>
        <v/>
      </c>
      <c r="AL331" s="20">
        <f>IF(COUNT(C331:O331)=0,"",IFERROR(AK331-C331-Config!$C$13,0))</f>
        <v/>
      </c>
      <c r="AM331" s="21">
        <f>IF(COUNT(C331:O331)=0,"",IFERROR(AK331/C331,0))</f>
        <v/>
      </c>
      <c r="AN331" s="21">
        <f>IF(COUNT(C331:O331)=0,"",IFERROR(AI331/C331,0))</f>
        <v/>
      </c>
      <c r="AO331" s="15">
        <f>IF(COUNT(C331:O331)=0,"",IFERROR(AL331/G331,0))</f>
        <v/>
      </c>
      <c r="AP331" s="21">
        <f>IF(COUNT(C331:O331)=0,"",IFERROR(AO331/U331,0))</f>
        <v/>
      </c>
      <c r="AQ331" s="15">
        <f>IF(COUNT(C331:O331)=0,"",IFERROR(AL331/H331,0))</f>
        <v/>
      </c>
    </row>
    <row r="332">
      <c r="A332" s="12">
        <f>Config!$C$6+326</f>
        <v/>
      </c>
      <c r="B332" s="13">
        <f>INT((A332-Config!$C$6)/7)+1</f>
        <v/>
      </c>
      <c r="C332" s="10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0" t="n"/>
      <c r="P332" s="15">
        <f>IF(COUNT(C332:O332)=0,"",IFERROR(C332/D332*1000,0))</f>
        <v/>
      </c>
      <c r="Q332" s="16">
        <f>IF(COUNT(C332:O332)=0,"",IFERROR(D332/E332,0))</f>
        <v/>
      </c>
      <c r="R332" s="17">
        <f>IF(COUNT(C332:O332)=0,"",IFERROR(F332/D332,0))</f>
        <v/>
      </c>
      <c r="S332" s="15">
        <f>IF(COUNT(C332:O332)=0,"",IFERROR(C332/F332,0))</f>
        <v/>
      </c>
      <c r="T332" s="18">
        <f>IF(COUNT(C332:O332)=0,"",IFERROR(G332/F332,0))</f>
        <v/>
      </c>
      <c r="U332" s="15">
        <f>IF(COUNT(C332:O332)=0,"",IFERROR(C332/G332,0))</f>
        <v/>
      </c>
      <c r="V332" s="19">
        <f>IF(COUNT(C332:O332)=0,"",IFERROR(G332/D332*1000,0))</f>
        <v/>
      </c>
      <c r="W332" s="18">
        <f>IF(COUNT(C332:O332)=0,"",IFERROR(H332/G332,0))</f>
        <v/>
      </c>
      <c r="X332" s="15">
        <f>IF(COUNT(C332:O332)=0,"",IFERROR(C332/H332,0))</f>
        <v/>
      </c>
      <c r="Y332" s="18">
        <f>IF(COUNT(C332:O332)=0,"",IFERROR(X332/P332,0))</f>
        <v/>
      </c>
      <c r="Z332" s="19">
        <f>IF(COUNT(C332:O332)=0,"",IFERROR(H332/D332*1000,0))</f>
        <v/>
      </c>
      <c r="AA332" s="18">
        <f>IF(COUNT(C332:O332)=0,"",IFERROR(I332/H332,0))</f>
        <v/>
      </c>
      <c r="AB332" s="18">
        <f>IF(COUNT(C332:O332)=0,"",IFERROR(J332/I332,0))</f>
        <v/>
      </c>
      <c r="AC332" s="18">
        <f>IF(COUNT(C332:O332)=0,"",IFERROR(K332/J332,0))</f>
        <v/>
      </c>
      <c r="AD332" s="15">
        <f>IF(COUNT(C332:O332)=0,"",IFERROR(C332/K332,0))</f>
        <v/>
      </c>
      <c r="AE332" s="18">
        <f>IF(COUNT(C332:O332)=0,"",IFERROR(L332/K332,0))</f>
        <v/>
      </c>
      <c r="AF332" s="18">
        <f>IF(COUNT(C332:O332)=0,"",IFERROR(M332/L332,0))</f>
        <v/>
      </c>
      <c r="AG332" s="17">
        <f>IF(COUNT(C332:O332)=0,"",IFERROR(M332/H332,0))</f>
        <v/>
      </c>
      <c r="AH332" s="15">
        <f>IF(COUNT(C332:O332)=0,"",IFERROR(C332/M332,0))</f>
        <v/>
      </c>
      <c r="AI332" s="20">
        <f>IF(COUNT(C332:O332)=0,"",IFERROR(M332*Config!$C$7+N332*Config!$C$8,0))</f>
        <v/>
      </c>
      <c r="AJ332" s="20">
        <f>IF(COUNT(C332:O332)=0,"",IFERROR(IF(O332&gt;0,O332,AI332*Config!$C$9),0))</f>
        <v/>
      </c>
      <c r="AK332" s="20">
        <f>IF(COUNT(C332:O332)=0,"",IFERROR(AJ332*(1-Config!$C$10-Config!$C$11-Config!$C$12),0))</f>
        <v/>
      </c>
      <c r="AL332" s="20">
        <f>IF(COUNT(C332:O332)=0,"",IFERROR(AK332-C332-Config!$C$13,0))</f>
        <v/>
      </c>
      <c r="AM332" s="21">
        <f>IF(COUNT(C332:O332)=0,"",IFERROR(AK332/C332,0))</f>
        <v/>
      </c>
      <c r="AN332" s="21">
        <f>IF(COUNT(C332:O332)=0,"",IFERROR(AI332/C332,0))</f>
        <v/>
      </c>
      <c r="AO332" s="15">
        <f>IF(COUNT(C332:O332)=0,"",IFERROR(AL332/G332,0))</f>
        <v/>
      </c>
      <c r="AP332" s="21">
        <f>IF(COUNT(C332:O332)=0,"",IFERROR(AO332/U332,0))</f>
        <v/>
      </c>
      <c r="AQ332" s="15">
        <f>IF(COUNT(C332:O332)=0,"",IFERROR(AL332/H332,0))</f>
        <v/>
      </c>
    </row>
    <row r="333">
      <c r="A333" s="12">
        <f>Config!$C$6+327</f>
        <v/>
      </c>
      <c r="B333" s="13">
        <f>INT((A333-Config!$C$6)/7)+1</f>
        <v/>
      </c>
      <c r="C333" s="10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0" t="n"/>
      <c r="P333" s="15">
        <f>IF(COUNT(C333:O333)=0,"",IFERROR(C333/D333*1000,0))</f>
        <v/>
      </c>
      <c r="Q333" s="16">
        <f>IF(COUNT(C333:O333)=0,"",IFERROR(D333/E333,0))</f>
        <v/>
      </c>
      <c r="R333" s="17">
        <f>IF(COUNT(C333:O333)=0,"",IFERROR(F333/D333,0))</f>
        <v/>
      </c>
      <c r="S333" s="15">
        <f>IF(COUNT(C333:O333)=0,"",IFERROR(C333/F333,0))</f>
        <v/>
      </c>
      <c r="T333" s="18">
        <f>IF(COUNT(C333:O333)=0,"",IFERROR(G333/F333,0))</f>
        <v/>
      </c>
      <c r="U333" s="15">
        <f>IF(COUNT(C333:O333)=0,"",IFERROR(C333/G333,0))</f>
        <v/>
      </c>
      <c r="V333" s="19">
        <f>IF(COUNT(C333:O333)=0,"",IFERROR(G333/D333*1000,0))</f>
        <v/>
      </c>
      <c r="W333" s="18">
        <f>IF(COUNT(C333:O333)=0,"",IFERROR(H333/G333,0))</f>
        <v/>
      </c>
      <c r="X333" s="15">
        <f>IF(COUNT(C333:O333)=0,"",IFERROR(C333/H333,0))</f>
        <v/>
      </c>
      <c r="Y333" s="18">
        <f>IF(COUNT(C333:O333)=0,"",IFERROR(X333/P333,0))</f>
        <v/>
      </c>
      <c r="Z333" s="19">
        <f>IF(COUNT(C333:O333)=0,"",IFERROR(H333/D333*1000,0))</f>
        <v/>
      </c>
      <c r="AA333" s="18">
        <f>IF(COUNT(C333:O333)=0,"",IFERROR(I333/H333,0))</f>
        <v/>
      </c>
      <c r="AB333" s="18">
        <f>IF(COUNT(C333:O333)=0,"",IFERROR(J333/I333,0))</f>
        <v/>
      </c>
      <c r="AC333" s="18">
        <f>IF(COUNT(C333:O333)=0,"",IFERROR(K333/J333,0))</f>
        <v/>
      </c>
      <c r="AD333" s="15">
        <f>IF(COUNT(C333:O333)=0,"",IFERROR(C333/K333,0))</f>
        <v/>
      </c>
      <c r="AE333" s="18">
        <f>IF(COUNT(C333:O333)=0,"",IFERROR(L333/K333,0))</f>
        <v/>
      </c>
      <c r="AF333" s="18">
        <f>IF(COUNT(C333:O333)=0,"",IFERROR(M333/L333,0))</f>
        <v/>
      </c>
      <c r="AG333" s="17">
        <f>IF(COUNT(C333:O333)=0,"",IFERROR(M333/H333,0))</f>
        <v/>
      </c>
      <c r="AH333" s="15">
        <f>IF(COUNT(C333:O333)=0,"",IFERROR(C333/M333,0))</f>
        <v/>
      </c>
      <c r="AI333" s="20">
        <f>IF(COUNT(C333:O333)=0,"",IFERROR(M333*Config!$C$7+N333*Config!$C$8,0))</f>
        <v/>
      </c>
      <c r="AJ333" s="20">
        <f>IF(COUNT(C333:O333)=0,"",IFERROR(IF(O333&gt;0,O333,AI333*Config!$C$9),0))</f>
        <v/>
      </c>
      <c r="AK333" s="20">
        <f>IF(COUNT(C333:O333)=0,"",IFERROR(AJ333*(1-Config!$C$10-Config!$C$11-Config!$C$12),0))</f>
        <v/>
      </c>
      <c r="AL333" s="20">
        <f>IF(COUNT(C333:O333)=0,"",IFERROR(AK333-C333-Config!$C$13,0))</f>
        <v/>
      </c>
      <c r="AM333" s="21">
        <f>IF(COUNT(C333:O333)=0,"",IFERROR(AK333/C333,0))</f>
        <v/>
      </c>
      <c r="AN333" s="21">
        <f>IF(COUNT(C333:O333)=0,"",IFERROR(AI333/C333,0))</f>
        <v/>
      </c>
      <c r="AO333" s="15">
        <f>IF(COUNT(C333:O333)=0,"",IFERROR(AL333/G333,0))</f>
        <v/>
      </c>
      <c r="AP333" s="21">
        <f>IF(COUNT(C333:O333)=0,"",IFERROR(AO333/U333,0))</f>
        <v/>
      </c>
      <c r="AQ333" s="15">
        <f>IF(COUNT(C333:O333)=0,"",IFERROR(AL333/H333,0))</f>
        <v/>
      </c>
    </row>
    <row r="334">
      <c r="A334" s="12">
        <f>Config!$C$6+328</f>
        <v/>
      </c>
      <c r="B334" s="13">
        <f>INT((A334-Config!$C$6)/7)+1</f>
        <v/>
      </c>
      <c r="C334" s="10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0" t="n"/>
      <c r="P334" s="15">
        <f>IF(COUNT(C334:O334)=0,"",IFERROR(C334/D334*1000,0))</f>
        <v/>
      </c>
      <c r="Q334" s="16">
        <f>IF(COUNT(C334:O334)=0,"",IFERROR(D334/E334,0))</f>
        <v/>
      </c>
      <c r="R334" s="17">
        <f>IF(COUNT(C334:O334)=0,"",IFERROR(F334/D334,0))</f>
        <v/>
      </c>
      <c r="S334" s="15">
        <f>IF(COUNT(C334:O334)=0,"",IFERROR(C334/F334,0))</f>
        <v/>
      </c>
      <c r="T334" s="18">
        <f>IF(COUNT(C334:O334)=0,"",IFERROR(G334/F334,0))</f>
        <v/>
      </c>
      <c r="U334" s="15">
        <f>IF(COUNT(C334:O334)=0,"",IFERROR(C334/G334,0))</f>
        <v/>
      </c>
      <c r="V334" s="19">
        <f>IF(COUNT(C334:O334)=0,"",IFERROR(G334/D334*1000,0))</f>
        <v/>
      </c>
      <c r="W334" s="18">
        <f>IF(COUNT(C334:O334)=0,"",IFERROR(H334/G334,0))</f>
        <v/>
      </c>
      <c r="X334" s="15">
        <f>IF(COUNT(C334:O334)=0,"",IFERROR(C334/H334,0))</f>
        <v/>
      </c>
      <c r="Y334" s="18">
        <f>IF(COUNT(C334:O334)=0,"",IFERROR(X334/P334,0))</f>
        <v/>
      </c>
      <c r="Z334" s="19">
        <f>IF(COUNT(C334:O334)=0,"",IFERROR(H334/D334*1000,0))</f>
        <v/>
      </c>
      <c r="AA334" s="18">
        <f>IF(COUNT(C334:O334)=0,"",IFERROR(I334/H334,0))</f>
        <v/>
      </c>
      <c r="AB334" s="18">
        <f>IF(COUNT(C334:O334)=0,"",IFERROR(J334/I334,0))</f>
        <v/>
      </c>
      <c r="AC334" s="18">
        <f>IF(COUNT(C334:O334)=0,"",IFERROR(K334/J334,0))</f>
        <v/>
      </c>
      <c r="AD334" s="15">
        <f>IF(COUNT(C334:O334)=0,"",IFERROR(C334/K334,0))</f>
        <v/>
      </c>
      <c r="AE334" s="18">
        <f>IF(COUNT(C334:O334)=0,"",IFERROR(L334/K334,0))</f>
        <v/>
      </c>
      <c r="AF334" s="18">
        <f>IF(COUNT(C334:O334)=0,"",IFERROR(M334/L334,0))</f>
        <v/>
      </c>
      <c r="AG334" s="17">
        <f>IF(COUNT(C334:O334)=0,"",IFERROR(M334/H334,0))</f>
        <v/>
      </c>
      <c r="AH334" s="15">
        <f>IF(COUNT(C334:O334)=0,"",IFERROR(C334/M334,0))</f>
        <v/>
      </c>
      <c r="AI334" s="20">
        <f>IF(COUNT(C334:O334)=0,"",IFERROR(M334*Config!$C$7+N334*Config!$C$8,0))</f>
        <v/>
      </c>
      <c r="AJ334" s="20">
        <f>IF(COUNT(C334:O334)=0,"",IFERROR(IF(O334&gt;0,O334,AI334*Config!$C$9),0))</f>
        <v/>
      </c>
      <c r="AK334" s="20">
        <f>IF(COUNT(C334:O334)=0,"",IFERROR(AJ334*(1-Config!$C$10-Config!$C$11-Config!$C$12),0))</f>
        <v/>
      </c>
      <c r="AL334" s="20">
        <f>IF(COUNT(C334:O334)=0,"",IFERROR(AK334-C334-Config!$C$13,0))</f>
        <v/>
      </c>
      <c r="AM334" s="21">
        <f>IF(COUNT(C334:O334)=0,"",IFERROR(AK334/C334,0))</f>
        <v/>
      </c>
      <c r="AN334" s="21">
        <f>IF(COUNT(C334:O334)=0,"",IFERROR(AI334/C334,0))</f>
        <v/>
      </c>
      <c r="AO334" s="15">
        <f>IF(COUNT(C334:O334)=0,"",IFERROR(AL334/G334,0))</f>
        <v/>
      </c>
      <c r="AP334" s="21">
        <f>IF(COUNT(C334:O334)=0,"",IFERROR(AO334/U334,0))</f>
        <v/>
      </c>
      <c r="AQ334" s="15">
        <f>IF(COUNT(C334:O334)=0,"",IFERROR(AL334/H334,0))</f>
        <v/>
      </c>
    </row>
    <row r="335">
      <c r="A335" s="12">
        <f>Config!$C$6+329</f>
        <v/>
      </c>
      <c r="B335" s="13">
        <f>INT((A335-Config!$C$6)/7)+1</f>
        <v/>
      </c>
      <c r="C335" s="10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0" t="n"/>
      <c r="P335" s="15">
        <f>IF(COUNT(C335:O335)=0,"",IFERROR(C335/D335*1000,0))</f>
        <v/>
      </c>
      <c r="Q335" s="16">
        <f>IF(COUNT(C335:O335)=0,"",IFERROR(D335/E335,0))</f>
        <v/>
      </c>
      <c r="R335" s="17">
        <f>IF(COUNT(C335:O335)=0,"",IFERROR(F335/D335,0))</f>
        <v/>
      </c>
      <c r="S335" s="15">
        <f>IF(COUNT(C335:O335)=0,"",IFERROR(C335/F335,0))</f>
        <v/>
      </c>
      <c r="T335" s="18">
        <f>IF(COUNT(C335:O335)=0,"",IFERROR(G335/F335,0))</f>
        <v/>
      </c>
      <c r="U335" s="15">
        <f>IF(COUNT(C335:O335)=0,"",IFERROR(C335/G335,0))</f>
        <v/>
      </c>
      <c r="V335" s="19">
        <f>IF(COUNT(C335:O335)=0,"",IFERROR(G335/D335*1000,0))</f>
        <v/>
      </c>
      <c r="W335" s="18">
        <f>IF(COUNT(C335:O335)=0,"",IFERROR(H335/G335,0))</f>
        <v/>
      </c>
      <c r="X335" s="15">
        <f>IF(COUNT(C335:O335)=0,"",IFERROR(C335/H335,0))</f>
        <v/>
      </c>
      <c r="Y335" s="18">
        <f>IF(COUNT(C335:O335)=0,"",IFERROR(X335/P335,0))</f>
        <v/>
      </c>
      <c r="Z335" s="19">
        <f>IF(COUNT(C335:O335)=0,"",IFERROR(H335/D335*1000,0))</f>
        <v/>
      </c>
      <c r="AA335" s="18">
        <f>IF(COUNT(C335:O335)=0,"",IFERROR(I335/H335,0))</f>
        <v/>
      </c>
      <c r="AB335" s="18">
        <f>IF(COUNT(C335:O335)=0,"",IFERROR(J335/I335,0))</f>
        <v/>
      </c>
      <c r="AC335" s="18">
        <f>IF(COUNT(C335:O335)=0,"",IFERROR(K335/J335,0))</f>
        <v/>
      </c>
      <c r="AD335" s="15">
        <f>IF(COUNT(C335:O335)=0,"",IFERROR(C335/K335,0))</f>
        <v/>
      </c>
      <c r="AE335" s="18">
        <f>IF(COUNT(C335:O335)=0,"",IFERROR(L335/K335,0))</f>
        <v/>
      </c>
      <c r="AF335" s="18">
        <f>IF(COUNT(C335:O335)=0,"",IFERROR(M335/L335,0))</f>
        <v/>
      </c>
      <c r="AG335" s="17">
        <f>IF(COUNT(C335:O335)=0,"",IFERROR(M335/H335,0))</f>
        <v/>
      </c>
      <c r="AH335" s="15">
        <f>IF(COUNT(C335:O335)=0,"",IFERROR(C335/M335,0))</f>
        <v/>
      </c>
      <c r="AI335" s="20">
        <f>IF(COUNT(C335:O335)=0,"",IFERROR(M335*Config!$C$7+N335*Config!$C$8,0))</f>
        <v/>
      </c>
      <c r="AJ335" s="20">
        <f>IF(COUNT(C335:O335)=0,"",IFERROR(IF(O335&gt;0,O335,AI335*Config!$C$9),0))</f>
        <v/>
      </c>
      <c r="AK335" s="20">
        <f>IF(COUNT(C335:O335)=0,"",IFERROR(AJ335*(1-Config!$C$10-Config!$C$11-Config!$C$12),0))</f>
        <v/>
      </c>
      <c r="AL335" s="20">
        <f>IF(COUNT(C335:O335)=0,"",IFERROR(AK335-C335-Config!$C$13,0))</f>
        <v/>
      </c>
      <c r="AM335" s="21">
        <f>IF(COUNT(C335:O335)=0,"",IFERROR(AK335/C335,0))</f>
        <v/>
      </c>
      <c r="AN335" s="21">
        <f>IF(COUNT(C335:O335)=0,"",IFERROR(AI335/C335,0))</f>
        <v/>
      </c>
      <c r="AO335" s="15">
        <f>IF(COUNT(C335:O335)=0,"",IFERROR(AL335/G335,0))</f>
        <v/>
      </c>
      <c r="AP335" s="21">
        <f>IF(COUNT(C335:O335)=0,"",IFERROR(AO335/U335,0))</f>
        <v/>
      </c>
      <c r="AQ335" s="15">
        <f>IF(COUNT(C335:O335)=0,"",IFERROR(AL335/H335,0))</f>
        <v/>
      </c>
    </row>
    <row r="336">
      <c r="A336" s="12">
        <f>Config!$C$6+330</f>
        <v/>
      </c>
      <c r="B336" s="13">
        <f>INT((A336-Config!$C$6)/7)+1</f>
        <v/>
      </c>
      <c r="C336" s="10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0" t="n"/>
      <c r="P336" s="15">
        <f>IF(COUNT(C336:O336)=0,"",IFERROR(C336/D336*1000,0))</f>
        <v/>
      </c>
      <c r="Q336" s="16">
        <f>IF(COUNT(C336:O336)=0,"",IFERROR(D336/E336,0))</f>
        <v/>
      </c>
      <c r="R336" s="17">
        <f>IF(COUNT(C336:O336)=0,"",IFERROR(F336/D336,0))</f>
        <v/>
      </c>
      <c r="S336" s="15">
        <f>IF(COUNT(C336:O336)=0,"",IFERROR(C336/F336,0))</f>
        <v/>
      </c>
      <c r="T336" s="18">
        <f>IF(COUNT(C336:O336)=0,"",IFERROR(G336/F336,0))</f>
        <v/>
      </c>
      <c r="U336" s="15">
        <f>IF(COUNT(C336:O336)=0,"",IFERROR(C336/G336,0))</f>
        <v/>
      </c>
      <c r="V336" s="19">
        <f>IF(COUNT(C336:O336)=0,"",IFERROR(G336/D336*1000,0))</f>
        <v/>
      </c>
      <c r="W336" s="18">
        <f>IF(COUNT(C336:O336)=0,"",IFERROR(H336/G336,0))</f>
        <v/>
      </c>
      <c r="X336" s="15">
        <f>IF(COUNT(C336:O336)=0,"",IFERROR(C336/H336,0))</f>
        <v/>
      </c>
      <c r="Y336" s="18">
        <f>IF(COUNT(C336:O336)=0,"",IFERROR(X336/P336,0))</f>
        <v/>
      </c>
      <c r="Z336" s="19">
        <f>IF(COUNT(C336:O336)=0,"",IFERROR(H336/D336*1000,0))</f>
        <v/>
      </c>
      <c r="AA336" s="18">
        <f>IF(COUNT(C336:O336)=0,"",IFERROR(I336/H336,0))</f>
        <v/>
      </c>
      <c r="AB336" s="18">
        <f>IF(COUNT(C336:O336)=0,"",IFERROR(J336/I336,0))</f>
        <v/>
      </c>
      <c r="AC336" s="18">
        <f>IF(COUNT(C336:O336)=0,"",IFERROR(K336/J336,0))</f>
        <v/>
      </c>
      <c r="AD336" s="15">
        <f>IF(COUNT(C336:O336)=0,"",IFERROR(C336/K336,0))</f>
        <v/>
      </c>
      <c r="AE336" s="18">
        <f>IF(COUNT(C336:O336)=0,"",IFERROR(L336/K336,0))</f>
        <v/>
      </c>
      <c r="AF336" s="18">
        <f>IF(COUNT(C336:O336)=0,"",IFERROR(M336/L336,0))</f>
        <v/>
      </c>
      <c r="AG336" s="17">
        <f>IF(COUNT(C336:O336)=0,"",IFERROR(M336/H336,0))</f>
        <v/>
      </c>
      <c r="AH336" s="15">
        <f>IF(COUNT(C336:O336)=0,"",IFERROR(C336/M336,0))</f>
        <v/>
      </c>
      <c r="AI336" s="20">
        <f>IF(COUNT(C336:O336)=0,"",IFERROR(M336*Config!$C$7+N336*Config!$C$8,0))</f>
        <v/>
      </c>
      <c r="AJ336" s="20">
        <f>IF(COUNT(C336:O336)=0,"",IFERROR(IF(O336&gt;0,O336,AI336*Config!$C$9),0))</f>
        <v/>
      </c>
      <c r="AK336" s="20">
        <f>IF(COUNT(C336:O336)=0,"",IFERROR(AJ336*(1-Config!$C$10-Config!$C$11-Config!$C$12),0))</f>
        <v/>
      </c>
      <c r="AL336" s="20">
        <f>IF(COUNT(C336:O336)=0,"",IFERROR(AK336-C336-Config!$C$13,0))</f>
        <v/>
      </c>
      <c r="AM336" s="21">
        <f>IF(COUNT(C336:O336)=0,"",IFERROR(AK336/C336,0))</f>
        <v/>
      </c>
      <c r="AN336" s="21">
        <f>IF(COUNT(C336:O336)=0,"",IFERROR(AI336/C336,0))</f>
        <v/>
      </c>
      <c r="AO336" s="15">
        <f>IF(COUNT(C336:O336)=0,"",IFERROR(AL336/G336,0))</f>
        <v/>
      </c>
      <c r="AP336" s="21">
        <f>IF(COUNT(C336:O336)=0,"",IFERROR(AO336/U336,0))</f>
        <v/>
      </c>
      <c r="AQ336" s="15">
        <f>IF(COUNT(C336:O336)=0,"",IFERROR(AL336/H336,0))</f>
        <v/>
      </c>
    </row>
    <row r="337">
      <c r="A337" s="12">
        <f>Config!$C$6+331</f>
        <v/>
      </c>
      <c r="B337" s="13">
        <f>INT((A337-Config!$C$6)/7)+1</f>
        <v/>
      </c>
      <c r="C337" s="10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0" t="n"/>
      <c r="P337" s="15">
        <f>IF(COUNT(C337:O337)=0,"",IFERROR(C337/D337*1000,0))</f>
        <v/>
      </c>
      <c r="Q337" s="16">
        <f>IF(COUNT(C337:O337)=0,"",IFERROR(D337/E337,0))</f>
        <v/>
      </c>
      <c r="R337" s="17">
        <f>IF(COUNT(C337:O337)=0,"",IFERROR(F337/D337,0))</f>
        <v/>
      </c>
      <c r="S337" s="15">
        <f>IF(COUNT(C337:O337)=0,"",IFERROR(C337/F337,0))</f>
        <v/>
      </c>
      <c r="T337" s="18">
        <f>IF(COUNT(C337:O337)=0,"",IFERROR(G337/F337,0))</f>
        <v/>
      </c>
      <c r="U337" s="15">
        <f>IF(COUNT(C337:O337)=0,"",IFERROR(C337/G337,0))</f>
        <v/>
      </c>
      <c r="V337" s="19">
        <f>IF(COUNT(C337:O337)=0,"",IFERROR(G337/D337*1000,0))</f>
        <v/>
      </c>
      <c r="W337" s="18">
        <f>IF(COUNT(C337:O337)=0,"",IFERROR(H337/G337,0))</f>
        <v/>
      </c>
      <c r="X337" s="15">
        <f>IF(COUNT(C337:O337)=0,"",IFERROR(C337/H337,0))</f>
        <v/>
      </c>
      <c r="Y337" s="18">
        <f>IF(COUNT(C337:O337)=0,"",IFERROR(X337/P337,0))</f>
        <v/>
      </c>
      <c r="Z337" s="19">
        <f>IF(COUNT(C337:O337)=0,"",IFERROR(H337/D337*1000,0))</f>
        <v/>
      </c>
      <c r="AA337" s="18">
        <f>IF(COUNT(C337:O337)=0,"",IFERROR(I337/H337,0))</f>
        <v/>
      </c>
      <c r="AB337" s="18">
        <f>IF(COUNT(C337:O337)=0,"",IFERROR(J337/I337,0))</f>
        <v/>
      </c>
      <c r="AC337" s="18">
        <f>IF(COUNT(C337:O337)=0,"",IFERROR(K337/J337,0))</f>
        <v/>
      </c>
      <c r="AD337" s="15">
        <f>IF(COUNT(C337:O337)=0,"",IFERROR(C337/K337,0))</f>
        <v/>
      </c>
      <c r="AE337" s="18">
        <f>IF(COUNT(C337:O337)=0,"",IFERROR(L337/K337,0))</f>
        <v/>
      </c>
      <c r="AF337" s="18">
        <f>IF(COUNT(C337:O337)=0,"",IFERROR(M337/L337,0))</f>
        <v/>
      </c>
      <c r="AG337" s="17">
        <f>IF(COUNT(C337:O337)=0,"",IFERROR(M337/H337,0))</f>
        <v/>
      </c>
      <c r="AH337" s="15">
        <f>IF(COUNT(C337:O337)=0,"",IFERROR(C337/M337,0))</f>
        <v/>
      </c>
      <c r="AI337" s="20">
        <f>IF(COUNT(C337:O337)=0,"",IFERROR(M337*Config!$C$7+N337*Config!$C$8,0))</f>
        <v/>
      </c>
      <c r="AJ337" s="20">
        <f>IF(COUNT(C337:O337)=0,"",IFERROR(IF(O337&gt;0,O337,AI337*Config!$C$9),0))</f>
        <v/>
      </c>
      <c r="AK337" s="20">
        <f>IF(COUNT(C337:O337)=0,"",IFERROR(AJ337*(1-Config!$C$10-Config!$C$11-Config!$C$12),0))</f>
        <v/>
      </c>
      <c r="AL337" s="20">
        <f>IF(COUNT(C337:O337)=0,"",IFERROR(AK337-C337-Config!$C$13,0))</f>
        <v/>
      </c>
      <c r="AM337" s="21">
        <f>IF(COUNT(C337:O337)=0,"",IFERROR(AK337/C337,0))</f>
        <v/>
      </c>
      <c r="AN337" s="21">
        <f>IF(COUNT(C337:O337)=0,"",IFERROR(AI337/C337,0))</f>
        <v/>
      </c>
      <c r="AO337" s="15">
        <f>IF(COUNT(C337:O337)=0,"",IFERROR(AL337/G337,0))</f>
        <v/>
      </c>
      <c r="AP337" s="21">
        <f>IF(COUNT(C337:O337)=0,"",IFERROR(AO337/U337,0))</f>
        <v/>
      </c>
      <c r="AQ337" s="15">
        <f>IF(COUNT(C337:O337)=0,"",IFERROR(AL337/H337,0))</f>
        <v/>
      </c>
    </row>
    <row r="338">
      <c r="A338" s="12">
        <f>Config!$C$6+332</f>
        <v/>
      </c>
      <c r="B338" s="13">
        <f>INT((A338-Config!$C$6)/7)+1</f>
        <v/>
      </c>
      <c r="C338" s="10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0" t="n"/>
      <c r="P338" s="15">
        <f>IF(COUNT(C338:O338)=0,"",IFERROR(C338/D338*1000,0))</f>
        <v/>
      </c>
      <c r="Q338" s="16">
        <f>IF(COUNT(C338:O338)=0,"",IFERROR(D338/E338,0))</f>
        <v/>
      </c>
      <c r="R338" s="17">
        <f>IF(COUNT(C338:O338)=0,"",IFERROR(F338/D338,0))</f>
        <v/>
      </c>
      <c r="S338" s="15">
        <f>IF(COUNT(C338:O338)=0,"",IFERROR(C338/F338,0))</f>
        <v/>
      </c>
      <c r="T338" s="18">
        <f>IF(COUNT(C338:O338)=0,"",IFERROR(G338/F338,0))</f>
        <v/>
      </c>
      <c r="U338" s="15">
        <f>IF(COUNT(C338:O338)=0,"",IFERROR(C338/G338,0))</f>
        <v/>
      </c>
      <c r="V338" s="19">
        <f>IF(COUNT(C338:O338)=0,"",IFERROR(G338/D338*1000,0))</f>
        <v/>
      </c>
      <c r="W338" s="18">
        <f>IF(COUNT(C338:O338)=0,"",IFERROR(H338/G338,0))</f>
        <v/>
      </c>
      <c r="X338" s="15">
        <f>IF(COUNT(C338:O338)=0,"",IFERROR(C338/H338,0))</f>
        <v/>
      </c>
      <c r="Y338" s="18">
        <f>IF(COUNT(C338:O338)=0,"",IFERROR(X338/P338,0))</f>
        <v/>
      </c>
      <c r="Z338" s="19">
        <f>IF(COUNT(C338:O338)=0,"",IFERROR(H338/D338*1000,0))</f>
        <v/>
      </c>
      <c r="AA338" s="18">
        <f>IF(COUNT(C338:O338)=0,"",IFERROR(I338/H338,0))</f>
        <v/>
      </c>
      <c r="AB338" s="18">
        <f>IF(COUNT(C338:O338)=0,"",IFERROR(J338/I338,0))</f>
        <v/>
      </c>
      <c r="AC338" s="18">
        <f>IF(COUNT(C338:O338)=0,"",IFERROR(K338/J338,0))</f>
        <v/>
      </c>
      <c r="AD338" s="15">
        <f>IF(COUNT(C338:O338)=0,"",IFERROR(C338/K338,0))</f>
        <v/>
      </c>
      <c r="AE338" s="18">
        <f>IF(COUNT(C338:O338)=0,"",IFERROR(L338/K338,0))</f>
        <v/>
      </c>
      <c r="AF338" s="18">
        <f>IF(COUNT(C338:O338)=0,"",IFERROR(M338/L338,0))</f>
        <v/>
      </c>
      <c r="AG338" s="17">
        <f>IF(COUNT(C338:O338)=0,"",IFERROR(M338/H338,0))</f>
        <v/>
      </c>
      <c r="AH338" s="15">
        <f>IF(COUNT(C338:O338)=0,"",IFERROR(C338/M338,0))</f>
        <v/>
      </c>
      <c r="AI338" s="20">
        <f>IF(COUNT(C338:O338)=0,"",IFERROR(M338*Config!$C$7+N338*Config!$C$8,0))</f>
        <v/>
      </c>
      <c r="AJ338" s="20">
        <f>IF(COUNT(C338:O338)=0,"",IFERROR(IF(O338&gt;0,O338,AI338*Config!$C$9),0))</f>
        <v/>
      </c>
      <c r="AK338" s="20">
        <f>IF(COUNT(C338:O338)=0,"",IFERROR(AJ338*(1-Config!$C$10-Config!$C$11-Config!$C$12),0))</f>
        <v/>
      </c>
      <c r="AL338" s="20">
        <f>IF(COUNT(C338:O338)=0,"",IFERROR(AK338-C338-Config!$C$13,0))</f>
        <v/>
      </c>
      <c r="AM338" s="21">
        <f>IF(COUNT(C338:O338)=0,"",IFERROR(AK338/C338,0))</f>
        <v/>
      </c>
      <c r="AN338" s="21">
        <f>IF(COUNT(C338:O338)=0,"",IFERROR(AI338/C338,0))</f>
        <v/>
      </c>
      <c r="AO338" s="15">
        <f>IF(COUNT(C338:O338)=0,"",IFERROR(AL338/G338,0))</f>
        <v/>
      </c>
      <c r="AP338" s="21">
        <f>IF(COUNT(C338:O338)=0,"",IFERROR(AO338/U338,0))</f>
        <v/>
      </c>
      <c r="AQ338" s="15">
        <f>IF(COUNT(C338:O338)=0,"",IFERROR(AL338/H338,0))</f>
        <v/>
      </c>
    </row>
    <row r="339">
      <c r="A339" s="12">
        <f>Config!$C$6+333</f>
        <v/>
      </c>
      <c r="B339" s="13">
        <f>INT((A339-Config!$C$6)/7)+1</f>
        <v/>
      </c>
      <c r="C339" s="10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0" t="n"/>
      <c r="P339" s="15">
        <f>IF(COUNT(C339:O339)=0,"",IFERROR(C339/D339*1000,0))</f>
        <v/>
      </c>
      <c r="Q339" s="16">
        <f>IF(COUNT(C339:O339)=0,"",IFERROR(D339/E339,0))</f>
        <v/>
      </c>
      <c r="R339" s="17">
        <f>IF(COUNT(C339:O339)=0,"",IFERROR(F339/D339,0))</f>
        <v/>
      </c>
      <c r="S339" s="15">
        <f>IF(COUNT(C339:O339)=0,"",IFERROR(C339/F339,0))</f>
        <v/>
      </c>
      <c r="T339" s="18">
        <f>IF(COUNT(C339:O339)=0,"",IFERROR(G339/F339,0))</f>
        <v/>
      </c>
      <c r="U339" s="15">
        <f>IF(COUNT(C339:O339)=0,"",IFERROR(C339/G339,0))</f>
        <v/>
      </c>
      <c r="V339" s="19">
        <f>IF(COUNT(C339:O339)=0,"",IFERROR(G339/D339*1000,0))</f>
        <v/>
      </c>
      <c r="W339" s="18">
        <f>IF(COUNT(C339:O339)=0,"",IFERROR(H339/G339,0))</f>
        <v/>
      </c>
      <c r="X339" s="15">
        <f>IF(COUNT(C339:O339)=0,"",IFERROR(C339/H339,0))</f>
        <v/>
      </c>
      <c r="Y339" s="18">
        <f>IF(COUNT(C339:O339)=0,"",IFERROR(X339/P339,0))</f>
        <v/>
      </c>
      <c r="Z339" s="19">
        <f>IF(COUNT(C339:O339)=0,"",IFERROR(H339/D339*1000,0))</f>
        <v/>
      </c>
      <c r="AA339" s="18">
        <f>IF(COUNT(C339:O339)=0,"",IFERROR(I339/H339,0))</f>
        <v/>
      </c>
      <c r="AB339" s="18">
        <f>IF(COUNT(C339:O339)=0,"",IFERROR(J339/I339,0))</f>
        <v/>
      </c>
      <c r="AC339" s="18">
        <f>IF(COUNT(C339:O339)=0,"",IFERROR(K339/J339,0))</f>
        <v/>
      </c>
      <c r="AD339" s="15">
        <f>IF(COUNT(C339:O339)=0,"",IFERROR(C339/K339,0))</f>
        <v/>
      </c>
      <c r="AE339" s="18">
        <f>IF(COUNT(C339:O339)=0,"",IFERROR(L339/K339,0))</f>
        <v/>
      </c>
      <c r="AF339" s="18">
        <f>IF(COUNT(C339:O339)=0,"",IFERROR(M339/L339,0))</f>
        <v/>
      </c>
      <c r="AG339" s="17">
        <f>IF(COUNT(C339:O339)=0,"",IFERROR(M339/H339,0))</f>
        <v/>
      </c>
      <c r="AH339" s="15">
        <f>IF(COUNT(C339:O339)=0,"",IFERROR(C339/M339,0))</f>
        <v/>
      </c>
      <c r="AI339" s="20">
        <f>IF(COUNT(C339:O339)=0,"",IFERROR(M339*Config!$C$7+N339*Config!$C$8,0))</f>
        <v/>
      </c>
      <c r="AJ339" s="20">
        <f>IF(COUNT(C339:O339)=0,"",IFERROR(IF(O339&gt;0,O339,AI339*Config!$C$9),0))</f>
        <v/>
      </c>
      <c r="AK339" s="20">
        <f>IF(COUNT(C339:O339)=0,"",IFERROR(AJ339*(1-Config!$C$10-Config!$C$11-Config!$C$12),0))</f>
        <v/>
      </c>
      <c r="AL339" s="20">
        <f>IF(COUNT(C339:O339)=0,"",IFERROR(AK339-C339-Config!$C$13,0))</f>
        <v/>
      </c>
      <c r="AM339" s="21">
        <f>IF(COUNT(C339:O339)=0,"",IFERROR(AK339/C339,0))</f>
        <v/>
      </c>
      <c r="AN339" s="21">
        <f>IF(COUNT(C339:O339)=0,"",IFERROR(AI339/C339,0))</f>
        <v/>
      </c>
      <c r="AO339" s="15">
        <f>IF(COUNT(C339:O339)=0,"",IFERROR(AL339/G339,0))</f>
        <v/>
      </c>
      <c r="AP339" s="21">
        <f>IF(COUNT(C339:O339)=0,"",IFERROR(AO339/U339,0))</f>
        <v/>
      </c>
      <c r="AQ339" s="15">
        <f>IF(COUNT(C339:O339)=0,"",IFERROR(AL339/H339,0))</f>
        <v/>
      </c>
    </row>
    <row r="340">
      <c r="A340" s="12">
        <f>Config!$C$6+334</f>
        <v/>
      </c>
      <c r="B340" s="13">
        <f>INT((A340-Config!$C$6)/7)+1</f>
        <v/>
      </c>
      <c r="C340" s="10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0" t="n"/>
      <c r="P340" s="15">
        <f>IF(COUNT(C340:O340)=0,"",IFERROR(C340/D340*1000,0))</f>
        <v/>
      </c>
      <c r="Q340" s="16">
        <f>IF(COUNT(C340:O340)=0,"",IFERROR(D340/E340,0))</f>
        <v/>
      </c>
      <c r="R340" s="17">
        <f>IF(COUNT(C340:O340)=0,"",IFERROR(F340/D340,0))</f>
        <v/>
      </c>
      <c r="S340" s="15">
        <f>IF(COUNT(C340:O340)=0,"",IFERROR(C340/F340,0))</f>
        <v/>
      </c>
      <c r="T340" s="18">
        <f>IF(COUNT(C340:O340)=0,"",IFERROR(G340/F340,0))</f>
        <v/>
      </c>
      <c r="U340" s="15">
        <f>IF(COUNT(C340:O340)=0,"",IFERROR(C340/G340,0))</f>
        <v/>
      </c>
      <c r="V340" s="19">
        <f>IF(COUNT(C340:O340)=0,"",IFERROR(G340/D340*1000,0))</f>
        <v/>
      </c>
      <c r="W340" s="18">
        <f>IF(COUNT(C340:O340)=0,"",IFERROR(H340/G340,0))</f>
        <v/>
      </c>
      <c r="X340" s="15">
        <f>IF(COUNT(C340:O340)=0,"",IFERROR(C340/H340,0))</f>
        <v/>
      </c>
      <c r="Y340" s="18">
        <f>IF(COUNT(C340:O340)=0,"",IFERROR(X340/P340,0))</f>
        <v/>
      </c>
      <c r="Z340" s="19">
        <f>IF(COUNT(C340:O340)=0,"",IFERROR(H340/D340*1000,0))</f>
        <v/>
      </c>
      <c r="AA340" s="18">
        <f>IF(COUNT(C340:O340)=0,"",IFERROR(I340/H340,0))</f>
        <v/>
      </c>
      <c r="AB340" s="18">
        <f>IF(COUNT(C340:O340)=0,"",IFERROR(J340/I340,0))</f>
        <v/>
      </c>
      <c r="AC340" s="18">
        <f>IF(COUNT(C340:O340)=0,"",IFERROR(K340/J340,0))</f>
        <v/>
      </c>
      <c r="AD340" s="15">
        <f>IF(COUNT(C340:O340)=0,"",IFERROR(C340/K340,0))</f>
        <v/>
      </c>
      <c r="AE340" s="18">
        <f>IF(COUNT(C340:O340)=0,"",IFERROR(L340/K340,0))</f>
        <v/>
      </c>
      <c r="AF340" s="18">
        <f>IF(COUNT(C340:O340)=0,"",IFERROR(M340/L340,0))</f>
        <v/>
      </c>
      <c r="AG340" s="17">
        <f>IF(COUNT(C340:O340)=0,"",IFERROR(M340/H340,0))</f>
        <v/>
      </c>
      <c r="AH340" s="15">
        <f>IF(COUNT(C340:O340)=0,"",IFERROR(C340/M340,0))</f>
        <v/>
      </c>
      <c r="AI340" s="20">
        <f>IF(COUNT(C340:O340)=0,"",IFERROR(M340*Config!$C$7+N340*Config!$C$8,0))</f>
        <v/>
      </c>
      <c r="AJ340" s="20">
        <f>IF(COUNT(C340:O340)=0,"",IFERROR(IF(O340&gt;0,O340,AI340*Config!$C$9),0))</f>
        <v/>
      </c>
      <c r="AK340" s="20">
        <f>IF(COUNT(C340:O340)=0,"",IFERROR(AJ340*(1-Config!$C$10-Config!$C$11-Config!$C$12),0))</f>
        <v/>
      </c>
      <c r="AL340" s="20">
        <f>IF(COUNT(C340:O340)=0,"",IFERROR(AK340-C340-Config!$C$13,0))</f>
        <v/>
      </c>
      <c r="AM340" s="21">
        <f>IF(COUNT(C340:O340)=0,"",IFERROR(AK340/C340,0))</f>
        <v/>
      </c>
      <c r="AN340" s="21">
        <f>IF(COUNT(C340:O340)=0,"",IFERROR(AI340/C340,0))</f>
        <v/>
      </c>
      <c r="AO340" s="15">
        <f>IF(COUNT(C340:O340)=0,"",IFERROR(AL340/G340,0))</f>
        <v/>
      </c>
      <c r="AP340" s="21">
        <f>IF(COUNT(C340:O340)=0,"",IFERROR(AO340/U340,0))</f>
        <v/>
      </c>
      <c r="AQ340" s="15">
        <f>IF(COUNT(C340:O340)=0,"",IFERROR(AL340/H340,0))</f>
        <v/>
      </c>
    </row>
    <row r="341">
      <c r="A341" s="12">
        <f>Config!$C$6+335</f>
        <v/>
      </c>
      <c r="B341" s="13">
        <f>INT((A341-Config!$C$6)/7)+1</f>
        <v/>
      </c>
      <c r="C341" s="10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0" t="n"/>
      <c r="P341" s="15">
        <f>IF(COUNT(C341:O341)=0,"",IFERROR(C341/D341*1000,0))</f>
        <v/>
      </c>
      <c r="Q341" s="16">
        <f>IF(COUNT(C341:O341)=0,"",IFERROR(D341/E341,0))</f>
        <v/>
      </c>
      <c r="R341" s="17">
        <f>IF(COUNT(C341:O341)=0,"",IFERROR(F341/D341,0))</f>
        <v/>
      </c>
      <c r="S341" s="15">
        <f>IF(COUNT(C341:O341)=0,"",IFERROR(C341/F341,0))</f>
        <v/>
      </c>
      <c r="T341" s="18">
        <f>IF(COUNT(C341:O341)=0,"",IFERROR(G341/F341,0))</f>
        <v/>
      </c>
      <c r="U341" s="15">
        <f>IF(COUNT(C341:O341)=0,"",IFERROR(C341/G341,0))</f>
        <v/>
      </c>
      <c r="V341" s="19">
        <f>IF(COUNT(C341:O341)=0,"",IFERROR(G341/D341*1000,0))</f>
        <v/>
      </c>
      <c r="W341" s="18">
        <f>IF(COUNT(C341:O341)=0,"",IFERROR(H341/G341,0))</f>
        <v/>
      </c>
      <c r="X341" s="15">
        <f>IF(COUNT(C341:O341)=0,"",IFERROR(C341/H341,0))</f>
        <v/>
      </c>
      <c r="Y341" s="18">
        <f>IF(COUNT(C341:O341)=0,"",IFERROR(X341/P341,0))</f>
        <v/>
      </c>
      <c r="Z341" s="19">
        <f>IF(COUNT(C341:O341)=0,"",IFERROR(H341/D341*1000,0))</f>
        <v/>
      </c>
      <c r="AA341" s="18">
        <f>IF(COUNT(C341:O341)=0,"",IFERROR(I341/H341,0))</f>
        <v/>
      </c>
      <c r="AB341" s="18">
        <f>IF(COUNT(C341:O341)=0,"",IFERROR(J341/I341,0))</f>
        <v/>
      </c>
      <c r="AC341" s="18">
        <f>IF(COUNT(C341:O341)=0,"",IFERROR(K341/J341,0))</f>
        <v/>
      </c>
      <c r="AD341" s="15">
        <f>IF(COUNT(C341:O341)=0,"",IFERROR(C341/K341,0))</f>
        <v/>
      </c>
      <c r="AE341" s="18">
        <f>IF(COUNT(C341:O341)=0,"",IFERROR(L341/K341,0))</f>
        <v/>
      </c>
      <c r="AF341" s="18">
        <f>IF(COUNT(C341:O341)=0,"",IFERROR(M341/L341,0))</f>
        <v/>
      </c>
      <c r="AG341" s="17">
        <f>IF(COUNT(C341:O341)=0,"",IFERROR(M341/H341,0))</f>
        <v/>
      </c>
      <c r="AH341" s="15">
        <f>IF(COUNT(C341:O341)=0,"",IFERROR(C341/M341,0))</f>
        <v/>
      </c>
      <c r="AI341" s="20">
        <f>IF(COUNT(C341:O341)=0,"",IFERROR(M341*Config!$C$7+N341*Config!$C$8,0))</f>
        <v/>
      </c>
      <c r="AJ341" s="20">
        <f>IF(COUNT(C341:O341)=0,"",IFERROR(IF(O341&gt;0,O341,AI341*Config!$C$9),0))</f>
        <v/>
      </c>
      <c r="AK341" s="20">
        <f>IF(COUNT(C341:O341)=0,"",IFERROR(AJ341*(1-Config!$C$10-Config!$C$11-Config!$C$12),0))</f>
        <v/>
      </c>
      <c r="AL341" s="20">
        <f>IF(COUNT(C341:O341)=0,"",IFERROR(AK341-C341-Config!$C$13,0))</f>
        <v/>
      </c>
      <c r="AM341" s="21">
        <f>IF(COUNT(C341:O341)=0,"",IFERROR(AK341/C341,0))</f>
        <v/>
      </c>
      <c r="AN341" s="21">
        <f>IF(COUNT(C341:O341)=0,"",IFERROR(AI341/C341,0))</f>
        <v/>
      </c>
      <c r="AO341" s="15">
        <f>IF(COUNT(C341:O341)=0,"",IFERROR(AL341/G341,0))</f>
        <v/>
      </c>
      <c r="AP341" s="21">
        <f>IF(COUNT(C341:O341)=0,"",IFERROR(AO341/U341,0))</f>
        <v/>
      </c>
      <c r="AQ341" s="15">
        <f>IF(COUNT(C341:O341)=0,"",IFERROR(AL341/H341,0))</f>
        <v/>
      </c>
    </row>
    <row r="342">
      <c r="A342" s="12">
        <f>Config!$C$6+336</f>
        <v/>
      </c>
      <c r="B342" s="13">
        <f>INT((A342-Config!$C$6)/7)+1</f>
        <v/>
      </c>
      <c r="C342" s="10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0" t="n"/>
      <c r="P342" s="15">
        <f>IF(COUNT(C342:O342)=0,"",IFERROR(C342/D342*1000,0))</f>
        <v/>
      </c>
      <c r="Q342" s="16">
        <f>IF(COUNT(C342:O342)=0,"",IFERROR(D342/E342,0))</f>
        <v/>
      </c>
      <c r="R342" s="17">
        <f>IF(COUNT(C342:O342)=0,"",IFERROR(F342/D342,0))</f>
        <v/>
      </c>
      <c r="S342" s="15">
        <f>IF(COUNT(C342:O342)=0,"",IFERROR(C342/F342,0))</f>
        <v/>
      </c>
      <c r="T342" s="18">
        <f>IF(COUNT(C342:O342)=0,"",IFERROR(G342/F342,0))</f>
        <v/>
      </c>
      <c r="U342" s="15">
        <f>IF(COUNT(C342:O342)=0,"",IFERROR(C342/G342,0))</f>
        <v/>
      </c>
      <c r="V342" s="19">
        <f>IF(COUNT(C342:O342)=0,"",IFERROR(G342/D342*1000,0))</f>
        <v/>
      </c>
      <c r="W342" s="18">
        <f>IF(COUNT(C342:O342)=0,"",IFERROR(H342/G342,0))</f>
        <v/>
      </c>
      <c r="X342" s="15">
        <f>IF(COUNT(C342:O342)=0,"",IFERROR(C342/H342,0))</f>
        <v/>
      </c>
      <c r="Y342" s="18">
        <f>IF(COUNT(C342:O342)=0,"",IFERROR(X342/P342,0))</f>
        <v/>
      </c>
      <c r="Z342" s="19">
        <f>IF(COUNT(C342:O342)=0,"",IFERROR(H342/D342*1000,0))</f>
        <v/>
      </c>
      <c r="AA342" s="18">
        <f>IF(COUNT(C342:O342)=0,"",IFERROR(I342/H342,0))</f>
        <v/>
      </c>
      <c r="AB342" s="18">
        <f>IF(COUNT(C342:O342)=0,"",IFERROR(J342/I342,0))</f>
        <v/>
      </c>
      <c r="AC342" s="18">
        <f>IF(COUNT(C342:O342)=0,"",IFERROR(K342/J342,0))</f>
        <v/>
      </c>
      <c r="AD342" s="15">
        <f>IF(COUNT(C342:O342)=0,"",IFERROR(C342/K342,0))</f>
        <v/>
      </c>
      <c r="AE342" s="18">
        <f>IF(COUNT(C342:O342)=0,"",IFERROR(L342/K342,0))</f>
        <v/>
      </c>
      <c r="AF342" s="18">
        <f>IF(COUNT(C342:O342)=0,"",IFERROR(M342/L342,0))</f>
        <v/>
      </c>
      <c r="AG342" s="17">
        <f>IF(COUNT(C342:O342)=0,"",IFERROR(M342/H342,0))</f>
        <v/>
      </c>
      <c r="AH342" s="15">
        <f>IF(COUNT(C342:O342)=0,"",IFERROR(C342/M342,0))</f>
        <v/>
      </c>
      <c r="AI342" s="20">
        <f>IF(COUNT(C342:O342)=0,"",IFERROR(M342*Config!$C$7+N342*Config!$C$8,0))</f>
        <v/>
      </c>
      <c r="AJ342" s="20">
        <f>IF(COUNT(C342:O342)=0,"",IFERROR(IF(O342&gt;0,O342,AI342*Config!$C$9),0))</f>
        <v/>
      </c>
      <c r="AK342" s="20">
        <f>IF(COUNT(C342:O342)=0,"",IFERROR(AJ342*(1-Config!$C$10-Config!$C$11-Config!$C$12),0))</f>
        <v/>
      </c>
      <c r="AL342" s="20">
        <f>IF(COUNT(C342:O342)=0,"",IFERROR(AK342-C342-Config!$C$13,0))</f>
        <v/>
      </c>
      <c r="AM342" s="21">
        <f>IF(COUNT(C342:O342)=0,"",IFERROR(AK342/C342,0))</f>
        <v/>
      </c>
      <c r="AN342" s="21">
        <f>IF(COUNT(C342:O342)=0,"",IFERROR(AI342/C342,0))</f>
        <v/>
      </c>
      <c r="AO342" s="15">
        <f>IF(COUNT(C342:O342)=0,"",IFERROR(AL342/G342,0))</f>
        <v/>
      </c>
      <c r="AP342" s="21">
        <f>IF(COUNT(C342:O342)=0,"",IFERROR(AO342/U342,0))</f>
        <v/>
      </c>
      <c r="AQ342" s="15">
        <f>IF(COUNT(C342:O342)=0,"",IFERROR(AL342/H342,0))</f>
        <v/>
      </c>
    </row>
    <row r="343">
      <c r="A343" s="12">
        <f>Config!$C$6+337</f>
        <v/>
      </c>
      <c r="B343" s="13">
        <f>INT((A343-Config!$C$6)/7)+1</f>
        <v/>
      </c>
      <c r="C343" s="10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0" t="n"/>
      <c r="P343" s="15">
        <f>IF(COUNT(C343:O343)=0,"",IFERROR(C343/D343*1000,0))</f>
        <v/>
      </c>
      <c r="Q343" s="16">
        <f>IF(COUNT(C343:O343)=0,"",IFERROR(D343/E343,0))</f>
        <v/>
      </c>
      <c r="R343" s="17">
        <f>IF(COUNT(C343:O343)=0,"",IFERROR(F343/D343,0))</f>
        <v/>
      </c>
      <c r="S343" s="15">
        <f>IF(COUNT(C343:O343)=0,"",IFERROR(C343/F343,0))</f>
        <v/>
      </c>
      <c r="T343" s="18">
        <f>IF(COUNT(C343:O343)=0,"",IFERROR(G343/F343,0))</f>
        <v/>
      </c>
      <c r="U343" s="15">
        <f>IF(COUNT(C343:O343)=0,"",IFERROR(C343/G343,0))</f>
        <v/>
      </c>
      <c r="V343" s="19">
        <f>IF(COUNT(C343:O343)=0,"",IFERROR(G343/D343*1000,0))</f>
        <v/>
      </c>
      <c r="W343" s="18">
        <f>IF(COUNT(C343:O343)=0,"",IFERROR(H343/G343,0))</f>
        <v/>
      </c>
      <c r="X343" s="15">
        <f>IF(COUNT(C343:O343)=0,"",IFERROR(C343/H343,0))</f>
        <v/>
      </c>
      <c r="Y343" s="18">
        <f>IF(COUNT(C343:O343)=0,"",IFERROR(X343/P343,0))</f>
        <v/>
      </c>
      <c r="Z343" s="19">
        <f>IF(COUNT(C343:O343)=0,"",IFERROR(H343/D343*1000,0))</f>
        <v/>
      </c>
      <c r="AA343" s="18">
        <f>IF(COUNT(C343:O343)=0,"",IFERROR(I343/H343,0))</f>
        <v/>
      </c>
      <c r="AB343" s="18">
        <f>IF(COUNT(C343:O343)=0,"",IFERROR(J343/I343,0))</f>
        <v/>
      </c>
      <c r="AC343" s="18">
        <f>IF(COUNT(C343:O343)=0,"",IFERROR(K343/J343,0))</f>
        <v/>
      </c>
      <c r="AD343" s="15">
        <f>IF(COUNT(C343:O343)=0,"",IFERROR(C343/K343,0))</f>
        <v/>
      </c>
      <c r="AE343" s="18">
        <f>IF(COUNT(C343:O343)=0,"",IFERROR(L343/K343,0))</f>
        <v/>
      </c>
      <c r="AF343" s="18">
        <f>IF(COUNT(C343:O343)=0,"",IFERROR(M343/L343,0))</f>
        <v/>
      </c>
      <c r="AG343" s="17">
        <f>IF(COUNT(C343:O343)=0,"",IFERROR(M343/H343,0))</f>
        <v/>
      </c>
      <c r="AH343" s="15">
        <f>IF(COUNT(C343:O343)=0,"",IFERROR(C343/M343,0))</f>
        <v/>
      </c>
      <c r="AI343" s="20">
        <f>IF(COUNT(C343:O343)=0,"",IFERROR(M343*Config!$C$7+N343*Config!$C$8,0))</f>
        <v/>
      </c>
      <c r="AJ343" s="20">
        <f>IF(COUNT(C343:O343)=0,"",IFERROR(IF(O343&gt;0,O343,AI343*Config!$C$9),0))</f>
        <v/>
      </c>
      <c r="AK343" s="20">
        <f>IF(COUNT(C343:O343)=0,"",IFERROR(AJ343*(1-Config!$C$10-Config!$C$11-Config!$C$12),0))</f>
        <v/>
      </c>
      <c r="AL343" s="20">
        <f>IF(COUNT(C343:O343)=0,"",IFERROR(AK343-C343-Config!$C$13,0))</f>
        <v/>
      </c>
      <c r="AM343" s="21">
        <f>IF(COUNT(C343:O343)=0,"",IFERROR(AK343/C343,0))</f>
        <v/>
      </c>
      <c r="AN343" s="21">
        <f>IF(COUNT(C343:O343)=0,"",IFERROR(AI343/C343,0))</f>
        <v/>
      </c>
      <c r="AO343" s="15">
        <f>IF(COUNT(C343:O343)=0,"",IFERROR(AL343/G343,0))</f>
        <v/>
      </c>
      <c r="AP343" s="21">
        <f>IF(COUNT(C343:O343)=0,"",IFERROR(AO343/U343,0))</f>
        <v/>
      </c>
      <c r="AQ343" s="15">
        <f>IF(COUNT(C343:O343)=0,"",IFERROR(AL343/H343,0))</f>
        <v/>
      </c>
    </row>
    <row r="344">
      <c r="A344" s="12">
        <f>Config!$C$6+338</f>
        <v/>
      </c>
      <c r="B344" s="13">
        <f>INT((A344-Config!$C$6)/7)+1</f>
        <v/>
      </c>
      <c r="C344" s="10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0" t="n"/>
      <c r="P344" s="15">
        <f>IF(COUNT(C344:O344)=0,"",IFERROR(C344/D344*1000,0))</f>
        <v/>
      </c>
      <c r="Q344" s="16">
        <f>IF(COUNT(C344:O344)=0,"",IFERROR(D344/E344,0))</f>
        <v/>
      </c>
      <c r="R344" s="17">
        <f>IF(COUNT(C344:O344)=0,"",IFERROR(F344/D344,0))</f>
        <v/>
      </c>
      <c r="S344" s="15">
        <f>IF(COUNT(C344:O344)=0,"",IFERROR(C344/F344,0))</f>
        <v/>
      </c>
      <c r="T344" s="18">
        <f>IF(COUNT(C344:O344)=0,"",IFERROR(G344/F344,0))</f>
        <v/>
      </c>
      <c r="U344" s="15">
        <f>IF(COUNT(C344:O344)=0,"",IFERROR(C344/G344,0))</f>
        <v/>
      </c>
      <c r="V344" s="19">
        <f>IF(COUNT(C344:O344)=0,"",IFERROR(G344/D344*1000,0))</f>
        <v/>
      </c>
      <c r="W344" s="18">
        <f>IF(COUNT(C344:O344)=0,"",IFERROR(H344/G344,0))</f>
        <v/>
      </c>
      <c r="X344" s="15">
        <f>IF(COUNT(C344:O344)=0,"",IFERROR(C344/H344,0))</f>
        <v/>
      </c>
      <c r="Y344" s="18">
        <f>IF(COUNT(C344:O344)=0,"",IFERROR(X344/P344,0))</f>
        <v/>
      </c>
      <c r="Z344" s="19">
        <f>IF(COUNT(C344:O344)=0,"",IFERROR(H344/D344*1000,0))</f>
        <v/>
      </c>
      <c r="AA344" s="18">
        <f>IF(COUNT(C344:O344)=0,"",IFERROR(I344/H344,0))</f>
        <v/>
      </c>
      <c r="AB344" s="18">
        <f>IF(COUNT(C344:O344)=0,"",IFERROR(J344/I344,0))</f>
        <v/>
      </c>
      <c r="AC344" s="18">
        <f>IF(COUNT(C344:O344)=0,"",IFERROR(K344/J344,0))</f>
        <v/>
      </c>
      <c r="AD344" s="15">
        <f>IF(COUNT(C344:O344)=0,"",IFERROR(C344/K344,0))</f>
        <v/>
      </c>
      <c r="AE344" s="18">
        <f>IF(COUNT(C344:O344)=0,"",IFERROR(L344/K344,0))</f>
        <v/>
      </c>
      <c r="AF344" s="18">
        <f>IF(COUNT(C344:O344)=0,"",IFERROR(M344/L344,0))</f>
        <v/>
      </c>
      <c r="AG344" s="17">
        <f>IF(COUNT(C344:O344)=0,"",IFERROR(M344/H344,0))</f>
        <v/>
      </c>
      <c r="AH344" s="15">
        <f>IF(COUNT(C344:O344)=0,"",IFERROR(C344/M344,0))</f>
        <v/>
      </c>
      <c r="AI344" s="20">
        <f>IF(COUNT(C344:O344)=0,"",IFERROR(M344*Config!$C$7+N344*Config!$C$8,0))</f>
        <v/>
      </c>
      <c r="AJ344" s="20">
        <f>IF(COUNT(C344:O344)=0,"",IFERROR(IF(O344&gt;0,O344,AI344*Config!$C$9),0))</f>
        <v/>
      </c>
      <c r="AK344" s="20">
        <f>IF(COUNT(C344:O344)=0,"",IFERROR(AJ344*(1-Config!$C$10-Config!$C$11-Config!$C$12),0))</f>
        <v/>
      </c>
      <c r="AL344" s="20">
        <f>IF(COUNT(C344:O344)=0,"",IFERROR(AK344-C344-Config!$C$13,0))</f>
        <v/>
      </c>
      <c r="AM344" s="21">
        <f>IF(COUNT(C344:O344)=0,"",IFERROR(AK344/C344,0))</f>
        <v/>
      </c>
      <c r="AN344" s="21">
        <f>IF(COUNT(C344:O344)=0,"",IFERROR(AI344/C344,0))</f>
        <v/>
      </c>
      <c r="AO344" s="15">
        <f>IF(COUNT(C344:O344)=0,"",IFERROR(AL344/G344,0))</f>
        <v/>
      </c>
      <c r="AP344" s="21">
        <f>IF(COUNT(C344:O344)=0,"",IFERROR(AO344/U344,0))</f>
        <v/>
      </c>
      <c r="AQ344" s="15">
        <f>IF(COUNT(C344:O344)=0,"",IFERROR(AL344/H344,0))</f>
        <v/>
      </c>
    </row>
    <row r="345">
      <c r="A345" s="12">
        <f>Config!$C$6+339</f>
        <v/>
      </c>
      <c r="B345" s="13">
        <f>INT((A345-Config!$C$6)/7)+1</f>
        <v/>
      </c>
      <c r="C345" s="10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0" t="n"/>
      <c r="P345" s="15">
        <f>IF(COUNT(C345:O345)=0,"",IFERROR(C345/D345*1000,0))</f>
        <v/>
      </c>
      <c r="Q345" s="16">
        <f>IF(COUNT(C345:O345)=0,"",IFERROR(D345/E345,0))</f>
        <v/>
      </c>
      <c r="R345" s="17">
        <f>IF(COUNT(C345:O345)=0,"",IFERROR(F345/D345,0))</f>
        <v/>
      </c>
      <c r="S345" s="15">
        <f>IF(COUNT(C345:O345)=0,"",IFERROR(C345/F345,0))</f>
        <v/>
      </c>
      <c r="T345" s="18">
        <f>IF(COUNT(C345:O345)=0,"",IFERROR(G345/F345,0))</f>
        <v/>
      </c>
      <c r="U345" s="15">
        <f>IF(COUNT(C345:O345)=0,"",IFERROR(C345/G345,0))</f>
        <v/>
      </c>
      <c r="V345" s="19">
        <f>IF(COUNT(C345:O345)=0,"",IFERROR(G345/D345*1000,0))</f>
        <v/>
      </c>
      <c r="W345" s="18">
        <f>IF(COUNT(C345:O345)=0,"",IFERROR(H345/G345,0))</f>
        <v/>
      </c>
      <c r="X345" s="15">
        <f>IF(COUNT(C345:O345)=0,"",IFERROR(C345/H345,0))</f>
        <v/>
      </c>
      <c r="Y345" s="18">
        <f>IF(COUNT(C345:O345)=0,"",IFERROR(X345/P345,0))</f>
        <v/>
      </c>
      <c r="Z345" s="19">
        <f>IF(COUNT(C345:O345)=0,"",IFERROR(H345/D345*1000,0))</f>
        <v/>
      </c>
      <c r="AA345" s="18">
        <f>IF(COUNT(C345:O345)=0,"",IFERROR(I345/H345,0))</f>
        <v/>
      </c>
      <c r="AB345" s="18">
        <f>IF(COUNT(C345:O345)=0,"",IFERROR(J345/I345,0))</f>
        <v/>
      </c>
      <c r="AC345" s="18">
        <f>IF(COUNT(C345:O345)=0,"",IFERROR(K345/J345,0))</f>
        <v/>
      </c>
      <c r="AD345" s="15">
        <f>IF(COUNT(C345:O345)=0,"",IFERROR(C345/K345,0))</f>
        <v/>
      </c>
      <c r="AE345" s="18">
        <f>IF(COUNT(C345:O345)=0,"",IFERROR(L345/K345,0))</f>
        <v/>
      </c>
      <c r="AF345" s="18">
        <f>IF(COUNT(C345:O345)=0,"",IFERROR(M345/L345,0))</f>
        <v/>
      </c>
      <c r="AG345" s="17">
        <f>IF(COUNT(C345:O345)=0,"",IFERROR(M345/H345,0))</f>
        <v/>
      </c>
      <c r="AH345" s="15">
        <f>IF(COUNT(C345:O345)=0,"",IFERROR(C345/M345,0))</f>
        <v/>
      </c>
      <c r="AI345" s="20">
        <f>IF(COUNT(C345:O345)=0,"",IFERROR(M345*Config!$C$7+N345*Config!$C$8,0))</f>
        <v/>
      </c>
      <c r="AJ345" s="20">
        <f>IF(COUNT(C345:O345)=0,"",IFERROR(IF(O345&gt;0,O345,AI345*Config!$C$9),0))</f>
        <v/>
      </c>
      <c r="AK345" s="20">
        <f>IF(COUNT(C345:O345)=0,"",IFERROR(AJ345*(1-Config!$C$10-Config!$C$11-Config!$C$12),0))</f>
        <v/>
      </c>
      <c r="AL345" s="20">
        <f>IF(COUNT(C345:O345)=0,"",IFERROR(AK345-C345-Config!$C$13,0))</f>
        <v/>
      </c>
      <c r="AM345" s="21">
        <f>IF(COUNT(C345:O345)=0,"",IFERROR(AK345/C345,0))</f>
        <v/>
      </c>
      <c r="AN345" s="21">
        <f>IF(COUNT(C345:O345)=0,"",IFERROR(AI345/C345,0))</f>
        <v/>
      </c>
      <c r="AO345" s="15">
        <f>IF(COUNT(C345:O345)=0,"",IFERROR(AL345/G345,0))</f>
        <v/>
      </c>
      <c r="AP345" s="21">
        <f>IF(COUNT(C345:O345)=0,"",IFERROR(AO345/U345,0))</f>
        <v/>
      </c>
      <c r="AQ345" s="15">
        <f>IF(COUNT(C345:O345)=0,"",IFERROR(AL345/H345,0))</f>
        <v/>
      </c>
    </row>
    <row r="346">
      <c r="A346" s="12">
        <f>Config!$C$6+340</f>
        <v/>
      </c>
      <c r="B346" s="13">
        <f>INT((A346-Config!$C$6)/7)+1</f>
        <v/>
      </c>
      <c r="C346" s="10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0" t="n"/>
      <c r="P346" s="15">
        <f>IF(COUNT(C346:O346)=0,"",IFERROR(C346/D346*1000,0))</f>
        <v/>
      </c>
      <c r="Q346" s="16">
        <f>IF(COUNT(C346:O346)=0,"",IFERROR(D346/E346,0))</f>
        <v/>
      </c>
      <c r="R346" s="17">
        <f>IF(COUNT(C346:O346)=0,"",IFERROR(F346/D346,0))</f>
        <v/>
      </c>
      <c r="S346" s="15">
        <f>IF(COUNT(C346:O346)=0,"",IFERROR(C346/F346,0))</f>
        <v/>
      </c>
      <c r="T346" s="18">
        <f>IF(COUNT(C346:O346)=0,"",IFERROR(G346/F346,0))</f>
        <v/>
      </c>
      <c r="U346" s="15">
        <f>IF(COUNT(C346:O346)=0,"",IFERROR(C346/G346,0))</f>
        <v/>
      </c>
      <c r="V346" s="19">
        <f>IF(COUNT(C346:O346)=0,"",IFERROR(G346/D346*1000,0))</f>
        <v/>
      </c>
      <c r="W346" s="18">
        <f>IF(COUNT(C346:O346)=0,"",IFERROR(H346/G346,0))</f>
        <v/>
      </c>
      <c r="X346" s="15">
        <f>IF(COUNT(C346:O346)=0,"",IFERROR(C346/H346,0))</f>
        <v/>
      </c>
      <c r="Y346" s="18">
        <f>IF(COUNT(C346:O346)=0,"",IFERROR(X346/P346,0))</f>
        <v/>
      </c>
      <c r="Z346" s="19">
        <f>IF(COUNT(C346:O346)=0,"",IFERROR(H346/D346*1000,0))</f>
        <v/>
      </c>
      <c r="AA346" s="18">
        <f>IF(COUNT(C346:O346)=0,"",IFERROR(I346/H346,0))</f>
        <v/>
      </c>
      <c r="AB346" s="18">
        <f>IF(COUNT(C346:O346)=0,"",IFERROR(J346/I346,0))</f>
        <v/>
      </c>
      <c r="AC346" s="18">
        <f>IF(COUNT(C346:O346)=0,"",IFERROR(K346/J346,0))</f>
        <v/>
      </c>
      <c r="AD346" s="15">
        <f>IF(COUNT(C346:O346)=0,"",IFERROR(C346/K346,0))</f>
        <v/>
      </c>
      <c r="AE346" s="18">
        <f>IF(COUNT(C346:O346)=0,"",IFERROR(L346/K346,0))</f>
        <v/>
      </c>
      <c r="AF346" s="18">
        <f>IF(COUNT(C346:O346)=0,"",IFERROR(M346/L346,0))</f>
        <v/>
      </c>
      <c r="AG346" s="17">
        <f>IF(COUNT(C346:O346)=0,"",IFERROR(M346/H346,0))</f>
        <v/>
      </c>
      <c r="AH346" s="15">
        <f>IF(COUNT(C346:O346)=0,"",IFERROR(C346/M346,0))</f>
        <v/>
      </c>
      <c r="AI346" s="20">
        <f>IF(COUNT(C346:O346)=0,"",IFERROR(M346*Config!$C$7+N346*Config!$C$8,0))</f>
        <v/>
      </c>
      <c r="AJ346" s="20">
        <f>IF(COUNT(C346:O346)=0,"",IFERROR(IF(O346&gt;0,O346,AI346*Config!$C$9),0))</f>
        <v/>
      </c>
      <c r="AK346" s="20">
        <f>IF(COUNT(C346:O346)=0,"",IFERROR(AJ346*(1-Config!$C$10-Config!$C$11-Config!$C$12),0))</f>
        <v/>
      </c>
      <c r="AL346" s="20">
        <f>IF(COUNT(C346:O346)=0,"",IFERROR(AK346-C346-Config!$C$13,0))</f>
        <v/>
      </c>
      <c r="AM346" s="21">
        <f>IF(COUNT(C346:O346)=0,"",IFERROR(AK346/C346,0))</f>
        <v/>
      </c>
      <c r="AN346" s="21">
        <f>IF(COUNT(C346:O346)=0,"",IFERROR(AI346/C346,0))</f>
        <v/>
      </c>
      <c r="AO346" s="15">
        <f>IF(COUNT(C346:O346)=0,"",IFERROR(AL346/G346,0))</f>
        <v/>
      </c>
      <c r="AP346" s="21">
        <f>IF(COUNT(C346:O346)=0,"",IFERROR(AO346/U346,0))</f>
        <v/>
      </c>
      <c r="AQ346" s="15">
        <f>IF(COUNT(C346:O346)=0,"",IFERROR(AL346/H346,0))</f>
        <v/>
      </c>
    </row>
    <row r="347">
      <c r="A347" s="12">
        <f>Config!$C$6+341</f>
        <v/>
      </c>
      <c r="B347" s="13">
        <f>INT((A347-Config!$C$6)/7)+1</f>
        <v/>
      </c>
      <c r="C347" s="10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0" t="n"/>
      <c r="P347" s="15">
        <f>IF(COUNT(C347:O347)=0,"",IFERROR(C347/D347*1000,0))</f>
        <v/>
      </c>
      <c r="Q347" s="16">
        <f>IF(COUNT(C347:O347)=0,"",IFERROR(D347/E347,0))</f>
        <v/>
      </c>
      <c r="R347" s="17">
        <f>IF(COUNT(C347:O347)=0,"",IFERROR(F347/D347,0))</f>
        <v/>
      </c>
      <c r="S347" s="15">
        <f>IF(COUNT(C347:O347)=0,"",IFERROR(C347/F347,0))</f>
        <v/>
      </c>
      <c r="T347" s="18">
        <f>IF(COUNT(C347:O347)=0,"",IFERROR(G347/F347,0))</f>
        <v/>
      </c>
      <c r="U347" s="15">
        <f>IF(COUNT(C347:O347)=0,"",IFERROR(C347/G347,0))</f>
        <v/>
      </c>
      <c r="V347" s="19">
        <f>IF(COUNT(C347:O347)=0,"",IFERROR(G347/D347*1000,0))</f>
        <v/>
      </c>
      <c r="W347" s="18">
        <f>IF(COUNT(C347:O347)=0,"",IFERROR(H347/G347,0))</f>
        <v/>
      </c>
      <c r="X347" s="15">
        <f>IF(COUNT(C347:O347)=0,"",IFERROR(C347/H347,0))</f>
        <v/>
      </c>
      <c r="Y347" s="18">
        <f>IF(COUNT(C347:O347)=0,"",IFERROR(X347/P347,0))</f>
        <v/>
      </c>
      <c r="Z347" s="19">
        <f>IF(COUNT(C347:O347)=0,"",IFERROR(H347/D347*1000,0))</f>
        <v/>
      </c>
      <c r="AA347" s="18">
        <f>IF(COUNT(C347:O347)=0,"",IFERROR(I347/H347,0))</f>
        <v/>
      </c>
      <c r="AB347" s="18">
        <f>IF(COUNT(C347:O347)=0,"",IFERROR(J347/I347,0))</f>
        <v/>
      </c>
      <c r="AC347" s="18">
        <f>IF(COUNT(C347:O347)=0,"",IFERROR(K347/J347,0))</f>
        <v/>
      </c>
      <c r="AD347" s="15">
        <f>IF(COUNT(C347:O347)=0,"",IFERROR(C347/K347,0))</f>
        <v/>
      </c>
      <c r="AE347" s="18">
        <f>IF(COUNT(C347:O347)=0,"",IFERROR(L347/K347,0))</f>
        <v/>
      </c>
      <c r="AF347" s="18">
        <f>IF(COUNT(C347:O347)=0,"",IFERROR(M347/L347,0))</f>
        <v/>
      </c>
      <c r="AG347" s="17">
        <f>IF(COUNT(C347:O347)=0,"",IFERROR(M347/H347,0))</f>
        <v/>
      </c>
      <c r="AH347" s="15">
        <f>IF(COUNT(C347:O347)=0,"",IFERROR(C347/M347,0))</f>
        <v/>
      </c>
      <c r="AI347" s="20">
        <f>IF(COUNT(C347:O347)=0,"",IFERROR(M347*Config!$C$7+N347*Config!$C$8,0))</f>
        <v/>
      </c>
      <c r="AJ347" s="20">
        <f>IF(COUNT(C347:O347)=0,"",IFERROR(IF(O347&gt;0,O347,AI347*Config!$C$9),0))</f>
        <v/>
      </c>
      <c r="AK347" s="20">
        <f>IF(COUNT(C347:O347)=0,"",IFERROR(AJ347*(1-Config!$C$10-Config!$C$11-Config!$C$12),0))</f>
        <v/>
      </c>
      <c r="AL347" s="20">
        <f>IF(COUNT(C347:O347)=0,"",IFERROR(AK347-C347-Config!$C$13,0))</f>
        <v/>
      </c>
      <c r="AM347" s="21">
        <f>IF(COUNT(C347:O347)=0,"",IFERROR(AK347/C347,0))</f>
        <v/>
      </c>
      <c r="AN347" s="21">
        <f>IF(COUNT(C347:O347)=0,"",IFERROR(AI347/C347,0))</f>
        <v/>
      </c>
      <c r="AO347" s="15">
        <f>IF(COUNT(C347:O347)=0,"",IFERROR(AL347/G347,0))</f>
        <v/>
      </c>
      <c r="AP347" s="21">
        <f>IF(COUNT(C347:O347)=0,"",IFERROR(AO347/U347,0))</f>
        <v/>
      </c>
      <c r="AQ347" s="15">
        <f>IF(COUNT(C347:O347)=0,"",IFERROR(AL347/H347,0))</f>
        <v/>
      </c>
    </row>
    <row r="348">
      <c r="A348" s="12">
        <f>Config!$C$6+342</f>
        <v/>
      </c>
      <c r="B348" s="13">
        <f>INT((A348-Config!$C$6)/7)+1</f>
        <v/>
      </c>
      <c r="C348" s="10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0" t="n"/>
      <c r="P348" s="15">
        <f>IF(COUNT(C348:O348)=0,"",IFERROR(C348/D348*1000,0))</f>
        <v/>
      </c>
      <c r="Q348" s="16">
        <f>IF(COUNT(C348:O348)=0,"",IFERROR(D348/E348,0))</f>
        <v/>
      </c>
      <c r="R348" s="17">
        <f>IF(COUNT(C348:O348)=0,"",IFERROR(F348/D348,0))</f>
        <v/>
      </c>
      <c r="S348" s="15">
        <f>IF(COUNT(C348:O348)=0,"",IFERROR(C348/F348,0))</f>
        <v/>
      </c>
      <c r="T348" s="18">
        <f>IF(COUNT(C348:O348)=0,"",IFERROR(G348/F348,0))</f>
        <v/>
      </c>
      <c r="U348" s="15">
        <f>IF(COUNT(C348:O348)=0,"",IFERROR(C348/G348,0))</f>
        <v/>
      </c>
      <c r="V348" s="19">
        <f>IF(COUNT(C348:O348)=0,"",IFERROR(G348/D348*1000,0))</f>
        <v/>
      </c>
      <c r="W348" s="18">
        <f>IF(COUNT(C348:O348)=0,"",IFERROR(H348/G348,0))</f>
        <v/>
      </c>
      <c r="X348" s="15">
        <f>IF(COUNT(C348:O348)=0,"",IFERROR(C348/H348,0))</f>
        <v/>
      </c>
      <c r="Y348" s="18">
        <f>IF(COUNT(C348:O348)=0,"",IFERROR(X348/P348,0))</f>
        <v/>
      </c>
      <c r="Z348" s="19">
        <f>IF(COUNT(C348:O348)=0,"",IFERROR(H348/D348*1000,0))</f>
        <v/>
      </c>
      <c r="AA348" s="18">
        <f>IF(COUNT(C348:O348)=0,"",IFERROR(I348/H348,0))</f>
        <v/>
      </c>
      <c r="AB348" s="18">
        <f>IF(COUNT(C348:O348)=0,"",IFERROR(J348/I348,0))</f>
        <v/>
      </c>
      <c r="AC348" s="18">
        <f>IF(COUNT(C348:O348)=0,"",IFERROR(K348/J348,0))</f>
        <v/>
      </c>
      <c r="AD348" s="15">
        <f>IF(COUNT(C348:O348)=0,"",IFERROR(C348/K348,0))</f>
        <v/>
      </c>
      <c r="AE348" s="18">
        <f>IF(COUNT(C348:O348)=0,"",IFERROR(L348/K348,0))</f>
        <v/>
      </c>
      <c r="AF348" s="18">
        <f>IF(COUNT(C348:O348)=0,"",IFERROR(M348/L348,0))</f>
        <v/>
      </c>
      <c r="AG348" s="17">
        <f>IF(COUNT(C348:O348)=0,"",IFERROR(M348/H348,0))</f>
        <v/>
      </c>
      <c r="AH348" s="15">
        <f>IF(COUNT(C348:O348)=0,"",IFERROR(C348/M348,0))</f>
        <v/>
      </c>
      <c r="AI348" s="20">
        <f>IF(COUNT(C348:O348)=0,"",IFERROR(M348*Config!$C$7+N348*Config!$C$8,0))</f>
        <v/>
      </c>
      <c r="AJ348" s="20">
        <f>IF(COUNT(C348:O348)=0,"",IFERROR(IF(O348&gt;0,O348,AI348*Config!$C$9),0))</f>
        <v/>
      </c>
      <c r="AK348" s="20">
        <f>IF(COUNT(C348:O348)=0,"",IFERROR(AJ348*(1-Config!$C$10-Config!$C$11-Config!$C$12),0))</f>
        <v/>
      </c>
      <c r="AL348" s="20">
        <f>IF(COUNT(C348:O348)=0,"",IFERROR(AK348-C348-Config!$C$13,0))</f>
        <v/>
      </c>
      <c r="AM348" s="21">
        <f>IF(COUNT(C348:O348)=0,"",IFERROR(AK348/C348,0))</f>
        <v/>
      </c>
      <c r="AN348" s="21">
        <f>IF(COUNT(C348:O348)=0,"",IFERROR(AI348/C348,0))</f>
        <v/>
      </c>
      <c r="AO348" s="15">
        <f>IF(COUNT(C348:O348)=0,"",IFERROR(AL348/G348,0))</f>
        <v/>
      </c>
      <c r="AP348" s="21">
        <f>IF(COUNT(C348:O348)=0,"",IFERROR(AO348/U348,0))</f>
        <v/>
      </c>
      <c r="AQ348" s="15">
        <f>IF(COUNT(C348:O348)=0,"",IFERROR(AL348/H348,0))</f>
        <v/>
      </c>
    </row>
    <row r="349">
      <c r="A349" s="12">
        <f>Config!$C$6+343</f>
        <v/>
      </c>
      <c r="B349" s="13">
        <f>INT((A349-Config!$C$6)/7)+1</f>
        <v/>
      </c>
      <c r="C349" s="10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0" t="n"/>
      <c r="P349" s="15">
        <f>IF(COUNT(C349:O349)=0,"",IFERROR(C349/D349*1000,0))</f>
        <v/>
      </c>
      <c r="Q349" s="16">
        <f>IF(COUNT(C349:O349)=0,"",IFERROR(D349/E349,0))</f>
        <v/>
      </c>
      <c r="R349" s="17">
        <f>IF(COUNT(C349:O349)=0,"",IFERROR(F349/D349,0))</f>
        <v/>
      </c>
      <c r="S349" s="15">
        <f>IF(COUNT(C349:O349)=0,"",IFERROR(C349/F349,0))</f>
        <v/>
      </c>
      <c r="T349" s="18">
        <f>IF(COUNT(C349:O349)=0,"",IFERROR(G349/F349,0))</f>
        <v/>
      </c>
      <c r="U349" s="15">
        <f>IF(COUNT(C349:O349)=0,"",IFERROR(C349/G349,0))</f>
        <v/>
      </c>
      <c r="V349" s="19">
        <f>IF(COUNT(C349:O349)=0,"",IFERROR(G349/D349*1000,0))</f>
        <v/>
      </c>
      <c r="W349" s="18">
        <f>IF(COUNT(C349:O349)=0,"",IFERROR(H349/G349,0))</f>
        <v/>
      </c>
      <c r="X349" s="15">
        <f>IF(COUNT(C349:O349)=0,"",IFERROR(C349/H349,0))</f>
        <v/>
      </c>
      <c r="Y349" s="18">
        <f>IF(COUNT(C349:O349)=0,"",IFERROR(X349/P349,0))</f>
        <v/>
      </c>
      <c r="Z349" s="19">
        <f>IF(COUNT(C349:O349)=0,"",IFERROR(H349/D349*1000,0))</f>
        <v/>
      </c>
      <c r="AA349" s="18">
        <f>IF(COUNT(C349:O349)=0,"",IFERROR(I349/H349,0))</f>
        <v/>
      </c>
      <c r="AB349" s="18">
        <f>IF(COUNT(C349:O349)=0,"",IFERROR(J349/I349,0))</f>
        <v/>
      </c>
      <c r="AC349" s="18">
        <f>IF(COUNT(C349:O349)=0,"",IFERROR(K349/J349,0))</f>
        <v/>
      </c>
      <c r="AD349" s="15">
        <f>IF(COUNT(C349:O349)=0,"",IFERROR(C349/K349,0))</f>
        <v/>
      </c>
      <c r="AE349" s="18">
        <f>IF(COUNT(C349:O349)=0,"",IFERROR(L349/K349,0))</f>
        <v/>
      </c>
      <c r="AF349" s="18">
        <f>IF(COUNT(C349:O349)=0,"",IFERROR(M349/L349,0))</f>
        <v/>
      </c>
      <c r="AG349" s="17">
        <f>IF(COUNT(C349:O349)=0,"",IFERROR(M349/H349,0))</f>
        <v/>
      </c>
      <c r="AH349" s="15">
        <f>IF(COUNT(C349:O349)=0,"",IFERROR(C349/M349,0))</f>
        <v/>
      </c>
      <c r="AI349" s="20">
        <f>IF(COUNT(C349:O349)=0,"",IFERROR(M349*Config!$C$7+N349*Config!$C$8,0))</f>
        <v/>
      </c>
      <c r="AJ349" s="20">
        <f>IF(COUNT(C349:O349)=0,"",IFERROR(IF(O349&gt;0,O349,AI349*Config!$C$9),0))</f>
        <v/>
      </c>
      <c r="AK349" s="20">
        <f>IF(COUNT(C349:O349)=0,"",IFERROR(AJ349*(1-Config!$C$10-Config!$C$11-Config!$C$12),0))</f>
        <v/>
      </c>
      <c r="AL349" s="20">
        <f>IF(COUNT(C349:O349)=0,"",IFERROR(AK349-C349-Config!$C$13,0))</f>
        <v/>
      </c>
      <c r="AM349" s="21">
        <f>IF(COUNT(C349:O349)=0,"",IFERROR(AK349/C349,0))</f>
        <v/>
      </c>
      <c r="AN349" s="21">
        <f>IF(COUNT(C349:O349)=0,"",IFERROR(AI349/C349,0))</f>
        <v/>
      </c>
      <c r="AO349" s="15">
        <f>IF(COUNT(C349:O349)=0,"",IFERROR(AL349/G349,0))</f>
        <v/>
      </c>
      <c r="AP349" s="21">
        <f>IF(COUNT(C349:O349)=0,"",IFERROR(AO349/U349,0))</f>
        <v/>
      </c>
      <c r="AQ349" s="15">
        <f>IF(COUNT(C349:O349)=0,"",IFERROR(AL349/H349,0))</f>
        <v/>
      </c>
    </row>
    <row r="350">
      <c r="A350" s="12">
        <f>Config!$C$6+344</f>
        <v/>
      </c>
      <c r="B350" s="13">
        <f>INT((A350-Config!$C$6)/7)+1</f>
        <v/>
      </c>
      <c r="C350" s="10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0" t="n"/>
      <c r="P350" s="15">
        <f>IF(COUNT(C350:O350)=0,"",IFERROR(C350/D350*1000,0))</f>
        <v/>
      </c>
      <c r="Q350" s="16">
        <f>IF(COUNT(C350:O350)=0,"",IFERROR(D350/E350,0))</f>
        <v/>
      </c>
      <c r="R350" s="17">
        <f>IF(COUNT(C350:O350)=0,"",IFERROR(F350/D350,0))</f>
        <v/>
      </c>
      <c r="S350" s="15">
        <f>IF(COUNT(C350:O350)=0,"",IFERROR(C350/F350,0))</f>
        <v/>
      </c>
      <c r="T350" s="18">
        <f>IF(COUNT(C350:O350)=0,"",IFERROR(G350/F350,0))</f>
        <v/>
      </c>
      <c r="U350" s="15">
        <f>IF(COUNT(C350:O350)=0,"",IFERROR(C350/G350,0))</f>
        <v/>
      </c>
      <c r="V350" s="19">
        <f>IF(COUNT(C350:O350)=0,"",IFERROR(G350/D350*1000,0))</f>
        <v/>
      </c>
      <c r="W350" s="18">
        <f>IF(COUNT(C350:O350)=0,"",IFERROR(H350/G350,0))</f>
        <v/>
      </c>
      <c r="X350" s="15">
        <f>IF(COUNT(C350:O350)=0,"",IFERROR(C350/H350,0))</f>
        <v/>
      </c>
      <c r="Y350" s="18">
        <f>IF(COUNT(C350:O350)=0,"",IFERROR(X350/P350,0))</f>
        <v/>
      </c>
      <c r="Z350" s="19">
        <f>IF(COUNT(C350:O350)=0,"",IFERROR(H350/D350*1000,0))</f>
        <v/>
      </c>
      <c r="AA350" s="18">
        <f>IF(COUNT(C350:O350)=0,"",IFERROR(I350/H350,0))</f>
        <v/>
      </c>
      <c r="AB350" s="18">
        <f>IF(COUNT(C350:O350)=0,"",IFERROR(J350/I350,0))</f>
        <v/>
      </c>
      <c r="AC350" s="18">
        <f>IF(COUNT(C350:O350)=0,"",IFERROR(K350/J350,0))</f>
        <v/>
      </c>
      <c r="AD350" s="15">
        <f>IF(COUNT(C350:O350)=0,"",IFERROR(C350/K350,0))</f>
        <v/>
      </c>
      <c r="AE350" s="18">
        <f>IF(COUNT(C350:O350)=0,"",IFERROR(L350/K350,0))</f>
        <v/>
      </c>
      <c r="AF350" s="18">
        <f>IF(COUNT(C350:O350)=0,"",IFERROR(M350/L350,0))</f>
        <v/>
      </c>
      <c r="AG350" s="17">
        <f>IF(COUNT(C350:O350)=0,"",IFERROR(M350/H350,0))</f>
        <v/>
      </c>
      <c r="AH350" s="15">
        <f>IF(COUNT(C350:O350)=0,"",IFERROR(C350/M350,0))</f>
        <v/>
      </c>
      <c r="AI350" s="20">
        <f>IF(COUNT(C350:O350)=0,"",IFERROR(M350*Config!$C$7+N350*Config!$C$8,0))</f>
        <v/>
      </c>
      <c r="AJ350" s="20">
        <f>IF(COUNT(C350:O350)=0,"",IFERROR(IF(O350&gt;0,O350,AI350*Config!$C$9),0))</f>
        <v/>
      </c>
      <c r="AK350" s="20">
        <f>IF(COUNT(C350:O350)=0,"",IFERROR(AJ350*(1-Config!$C$10-Config!$C$11-Config!$C$12),0))</f>
        <v/>
      </c>
      <c r="AL350" s="20">
        <f>IF(COUNT(C350:O350)=0,"",IFERROR(AK350-C350-Config!$C$13,0))</f>
        <v/>
      </c>
      <c r="AM350" s="21">
        <f>IF(COUNT(C350:O350)=0,"",IFERROR(AK350/C350,0))</f>
        <v/>
      </c>
      <c r="AN350" s="21">
        <f>IF(COUNT(C350:O350)=0,"",IFERROR(AI350/C350,0))</f>
        <v/>
      </c>
      <c r="AO350" s="15">
        <f>IF(COUNT(C350:O350)=0,"",IFERROR(AL350/G350,0))</f>
        <v/>
      </c>
      <c r="AP350" s="21">
        <f>IF(COUNT(C350:O350)=0,"",IFERROR(AO350/U350,0))</f>
        <v/>
      </c>
      <c r="AQ350" s="15">
        <f>IF(COUNT(C350:O350)=0,"",IFERROR(AL350/H350,0))</f>
        <v/>
      </c>
    </row>
    <row r="351">
      <c r="A351" s="12">
        <f>Config!$C$6+345</f>
        <v/>
      </c>
      <c r="B351" s="13">
        <f>INT((A351-Config!$C$6)/7)+1</f>
        <v/>
      </c>
      <c r="C351" s="10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0" t="n"/>
      <c r="P351" s="15">
        <f>IF(COUNT(C351:O351)=0,"",IFERROR(C351/D351*1000,0))</f>
        <v/>
      </c>
      <c r="Q351" s="16">
        <f>IF(COUNT(C351:O351)=0,"",IFERROR(D351/E351,0))</f>
        <v/>
      </c>
      <c r="R351" s="17">
        <f>IF(COUNT(C351:O351)=0,"",IFERROR(F351/D351,0))</f>
        <v/>
      </c>
      <c r="S351" s="15">
        <f>IF(COUNT(C351:O351)=0,"",IFERROR(C351/F351,0))</f>
        <v/>
      </c>
      <c r="T351" s="18">
        <f>IF(COUNT(C351:O351)=0,"",IFERROR(G351/F351,0))</f>
        <v/>
      </c>
      <c r="U351" s="15">
        <f>IF(COUNT(C351:O351)=0,"",IFERROR(C351/G351,0))</f>
        <v/>
      </c>
      <c r="V351" s="19">
        <f>IF(COUNT(C351:O351)=0,"",IFERROR(G351/D351*1000,0))</f>
        <v/>
      </c>
      <c r="W351" s="18">
        <f>IF(COUNT(C351:O351)=0,"",IFERROR(H351/G351,0))</f>
        <v/>
      </c>
      <c r="X351" s="15">
        <f>IF(COUNT(C351:O351)=0,"",IFERROR(C351/H351,0))</f>
        <v/>
      </c>
      <c r="Y351" s="18">
        <f>IF(COUNT(C351:O351)=0,"",IFERROR(X351/P351,0))</f>
        <v/>
      </c>
      <c r="Z351" s="19">
        <f>IF(COUNT(C351:O351)=0,"",IFERROR(H351/D351*1000,0))</f>
        <v/>
      </c>
      <c r="AA351" s="18">
        <f>IF(COUNT(C351:O351)=0,"",IFERROR(I351/H351,0))</f>
        <v/>
      </c>
      <c r="AB351" s="18">
        <f>IF(COUNT(C351:O351)=0,"",IFERROR(J351/I351,0))</f>
        <v/>
      </c>
      <c r="AC351" s="18">
        <f>IF(COUNT(C351:O351)=0,"",IFERROR(K351/J351,0))</f>
        <v/>
      </c>
      <c r="AD351" s="15">
        <f>IF(COUNT(C351:O351)=0,"",IFERROR(C351/K351,0))</f>
        <v/>
      </c>
      <c r="AE351" s="18">
        <f>IF(COUNT(C351:O351)=0,"",IFERROR(L351/K351,0))</f>
        <v/>
      </c>
      <c r="AF351" s="18">
        <f>IF(COUNT(C351:O351)=0,"",IFERROR(M351/L351,0))</f>
        <v/>
      </c>
      <c r="AG351" s="17">
        <f>IF(COUNT(C351:O351)=0,"",IFERROR(M351/H351,0))</f>
        <v/>
      </c>
      <c r="AH351" s="15">
        <f>IF(COUNT(C351:O351)=0,"",IFERROR(C351/M351,0))</f>
        <v/>
      </c>
      <c r="AI351" s="20">
        <f>IF(COUNT(C351:O351)=0,"",IFERROR(M351*Config!$C$7+N351*Config!$C$8,0))</f>
        <v/>
      </c>
      <c r="AJ351" s="20">
        <f>IF(COUNT(C351:O351)=0,"",IFERROR(IF(O351&gt;0,O351,AI351*Config!$C$9),0))</f>
        <v/>
      </c>
      <c r="AK351" s="20">
        <f>IF(COUNT(C351:O351)=0,"",IFERROR(AJ351*(1-Config!$C$10-Config!$C$11-Config!$C$12),0))</f>
        <v/>
      </c>
      <c r="AL351" s="20">
        <f>IF(COUNT(C351:O351)=0,"",IFERROR(AK351-C351-Config!$C$13,0))</f>
        <v/>
      </c>
      <c r="AM351" s="21">
        <f>IF(COUNT(C351:O351)=0,"",IFERROR(AK351/C351,0))</f>
        <v/>
      </c>
      <c r="AN351" s="21">
        <f>IF(COUNT(C351:O351)=0,"",IFERROR(AI351/C351,0))</f>
        <v/>
      </c>
      <c r="AO351" s="15">
        <f>IF(COUNT(C351:O351)=0,"",IFERROR(AL351/G351,0))</f>
        <v/>
      </c>
      <c r="AP351" s="21">
        <f>IF(COUNT(C351:O351)=0,"",IFERROR(AO351/U351,0))</f>
        <v/>
      </c>
      <c r="AQ351" s="15">
        <f>IF(COUNT(C351:O351)=0,"",IFERROR(AL351/H351,0))</f>
        <v/>
      </c>
    </row>
    <row r="352">
      <c r="A352" s="12">
        <f>Config!$C$6+346</f>
        <v/>
      </c>
      <c r="B352" s="13">
        <f>INT((A352-Config!$C$6)/7)+1</f>
        <v/>
      </c>
      <c r="C352" s="10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0" t="n"/>
      <c r="P352" s="15">
        <f>IF(COUNT(C352:O352)=0,"",IFERROR(C352/D352*1000,0))</f>
        <v/>
      </c>
      <c r="Q352" s="16">
        <f>IF(COUNT(C352:O352)=0,"",IFERROR(D352/E352,0))</f>
        <v/>
      </c>
      <c r="R352" s="17">
        <f>IF(COUNT(C352:O352)=0,"",IFERROR(F352/D352,0))</f>
        <v/>
      </c>
      <c r="S352" s="15">
        <f>IF(COUNT(C352:O352)=0,"",IFERROR(C352/F352,0))</f>
        <v/>
      </c>
      <c r="T352" s="18">
        <f>IF(COUNT(C352:O352)=0,"",IFERROR(G352/F352,0))</f>
        <v/>
      </c>
      <c r="U352" s="15">
        <f>IF(COUNT(C352:O352)=0,"",IFERROR(C352/G352,0))</f>
        <v/>
      </c>
      <c r="V352" s="19">
        <f>IF(COUNT(C352:O352)=0,"",IFERROR(G352/D352*1000,0))</f>
        <v/>
      </c>
      <c r="W352" s="18">
        <f>IF(COUNT(C352:O352)=0,"",IFERROR(H352/G352,0))</f>
        <v/>
      </c>
      <c r="X352" s="15">
        <f>IF(COUNT(C352:O352)=0,"",IFERROR(C352/H352,0))</f>
        <v/>
      </c>
      <c r="Y352" s="18">
        <f>IF(COUNT(C352:O352)=0,"",IFERROR(X352/P352,0))</f>
        <v/>
      </c>
      <c r="Z352" s="19">
        <f>IF(COUNT(C352:O352)=0,"",IFERROR(H352/D352*1000,0))</f>
        <v/>
      </c>
      <c r="AA352" s="18">
        <f>IF(COUNT(C352:O352)=0,"",IFERROR(I352/H352,0))</f>
        <v/>
      </c>
      <c r="AB352" s="18">
        <f>IF(COUNT(C352:O352)=0,"",IFERROR(J352/I352,0))</f>
        <v/>
      </c>
      <c r="AC352" s="18">
        <f>IF(COUNT(C352:O352)=0,"",IFERROR(K352/J352,0))</f>
        <v/>
      </c>
      <c r="AD352" s="15">
        <f>IF(COUNT(C352:O352)=0,"",IFERROR(C352/K352,0))</f>
        <v/>
      </c>
      <c r="AE352" s="18">
        <f>IF(COUNT(C352:O352)=0,"",IFERROR(L352/K352,0))</f>
        <v/>
      </c>
      <c r="AF352" s="18">
        <f>IF(COUNT(C352:O352)=0,"",IFERROR(M352/L352,0))</f>
        <v/>
      </c>
      <c r="AG352" s="17">
        <f>IF(COUNT(C352:O352)=0,"",IFERROR(M352/H352,0))</f>
        <v/>
      </c>
      <c r="AH352" s="15">
        <f>IF(COUNT(C352:O352)=0,"",IFERROR(C352/M352,0))</f>
        <v/>
      </c>
      <c r="AI352" s="20">
        <f>IF(COUNT(C352:O352)=0,"",IFERROR(M352*Config!$C$7+N352*Config!$C$8,0))</f>
        <v/>
      </c>
      <c r="AJ352" s="20">
        <f>IF(COUNT(C352:O352)=0,"",IFERROR(IF(O352&gt;0,O352,AI352*Config!$C$9),0))</f>
        <v/>
      </c>
      <c r="AK352" s="20">
        <f>IF(COUNT(C352:O352)=0,"",IFERROR(AJ352*(1-Config!$C$10-Config!$C$11-Config!$C$12),0))</f>
        <v/>
      </c>
      <c r="AL352" s="20">
        <f>IF(COUNT(C352:O352)=0,"",IFERROR(AK352-C352-Config!$C$13,0))</f>
        <v/>
      </c>
      <c r="AM352" s="21">
        <f>IF(COUNT(C352:O352)=0,"",IFERROR(AK352/C352,0))</f>
        <v/>
      </c>
      <c r="AN352" s="21">
        <f>IF(COUNT(C352:O352)=0,"",IFERROR(AI352/C352,0))</f>
        <v/>
      </c>
      <c r="AO352" s="15">
        <f>IF(COUNT(C352:O352)=0,"",IFERROR(AL352/G352,0))</f>
        <v/>
      </c>
      <c r="AP352" s="21">
        <f>IF(COUNT(C352:O352)=0,"",IFERROR(AO352/U352,0))</f>
        <v/>
      </c>
      <c r="AQ352" s="15">
        <f>IF(COUNT(C352:O352)=0,"",IFERROR(AL352/H352,0))</f>
        <v/>
      </c>
    </row>
    <row r="353">
      <c r="A353" s="12">
        <f>Config!$C$6+347</f>
        <v/>
      </c>
      <c r="B353" s="13">
        <f>INT((A353-Config!$C$6)/7)+1</f>
        <v/>
      </c>
      <c r="C353" s="10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0" t="n"/>
      <c r="P353" s="15">
        <f>IF(COUNT(C353:O353)=0,"",IFERROR(C353/D353*1000,0))</f>
        <v/>
      </c>
      <c r="Q353" s="16">
        <f>IF(COUNT(C353:O353)=0,"",IFERROR(D353/E353,0))</f>
        <v/>
      </c>
      <c r="R353" s="17">
        <f>IF(COUNT(C353:O353)=0,"",IFERROR(F353/D353,0))</f>
        <v/>
      </c>
      <c r="S353" s="15">
        <f>IF(COUNT(C353:O353)=0,"",IFERROR(C353/F353,0))</f>
        <v/>
      </c>
      <c r="T353" s="18">
        <f>IF(COUNT(C353:O353)=0,"",IFERROR(G353/F353,0))</f>
        <v/>
      </c>
      <c r="U353" s="15">
        <f>IF(COUNT(C353:O353)=0,"",IFERROR(C353/G353,0))</f>
        <v/>
      </c>
      <c r="V353" s="19">
        <f>IF(COUNT(C353:O353)=0,"",IFERROR(G353/D353*1000,0))</f>
        <v/>
      </c>
      <c r="W353" s="18">
        <f>IF(COUNT(C353:O353)=0,"",IFERROR(H353/G353,0))</f>
        <v/>
      </c>
      <c r="X353" s="15">
        <f>IF(COUNT(C353:O353)=0,"",IFERROR(C353/H353,0))</f>
        <v/>
      </c>
      <c r="Y353" s="18">
        <f>IF(COUNT(C353:O353)=0,"",IFERROR(X353/P353,0))</f>
        <v/>
      </c>
      <c r="Z353" s="19">
        <f>IF(COUNT(C353:O353)=0,"",IFERROR(H353/D353*1000,0))</f>
        <v/>
      </c>
      <c r="AA353" s="18">
        <f>IF(COUNT(C353:O353)=0,"",IFERROR(I353/H353,0))</f>
        <v/>
      </c>
      <c r="AB353" s="18">
        <f>IF(COUNT(C353:O353)=0,"",IFERROR(J353/I353,0))</f>
        <v/>
      </c>
      <c r="AC353" s="18">
        <f>IF(COUNT(C353:O353)=0,"",IFERROR(K353/J353,0))</f>
        <v/>
      </c>
      <c r="AD353" s="15">
        <f>IF(COUNT(C353:O353)=0,"",IFERROR(C353/K353,0))</f>
        <v/>
      </c>
      <c r="AE353" s="18">
        <f>IF(COUNT(C353:O353)=0,"",IFERROR(L353/K353,0))</f>
        <v/>
      </c>
      <c r="AF353" s="18">
        <f>IF(COUNT(C353:O353)=0,"",IFERROR(M353/L353,0))</f>
        <v/>
      </c>
      <c r="AG353" s="17">
        <f>IF(COUNT(C353:O353)=0,"",IFERROR(M353/H353,0))</f>
        <v/>
      </c>
      <c r="AH353" s="15">
        <f>IF(COUNT(C353:O353)=0,"",IFERROR(C353/M353,0))</f>
        <v/>
      </c>
      <c r="AI353" s="20">
        <f>IF(COUNT(C353:O353)=0,"",IFERROR(M353*Config!$C$7+N353*Config!$C$8,0))</f>
        <v/>
      </c>
      <c r="AJ353" s="20">
        <f>IF(COUNT(C353:O353)=0,"",IFERROR(IF(O353&gt;0,O353,AI353*Config!$C$9),0))</f>
        <v/>
      </c>
      <c r="AK353" s="20">
        <f>IF(COUNT(C353:O353)=0,"",IFERROR(AJ353*(1-Config!$C$10-Config!$C$11-Config!$C$12),0))</f>
        <v/>
      </c>
      <c r="AL353" s="20">
        <f>IF(COUNT(C353:O353)=0,"",IFERROR(AK353-C353-Config!$C$13,0))</f>
        <v/>
      </c>
      <c r="AM353" s="21">
        <f>IF(COUNT(C353:O353)=0,"",IFERROR(AK353/C353,0))</f>
        <v/>
      </c>
      <c r="AN353" s="21">
        <f>IF(COUNT(C353:O353)=0,"",IFERROR(AI353/C353,0))</f>
        <v/>
      </c>
      <c r="AO353" s="15">
        <f>IF(COUNT(C353:O353)=0,"",IFERROR(AL353/G353,0))</f>
        <v/>
      </c>
      <c r="AP353" s="21">
        <f>IF(COUNT(C353:O353)=0,"",IFERROR(AO353/U353,0))</f>
        <v/>
      </c>
      <c r="AQ353" s="15">
        <f>IF(COUNT(C353:O353)=0,"",IFERROR(AL353/H353,0))</f>
        <v/>
      </c>
    </row>
    <row r="354">
      <c r="A354" s="12">
        <f>Config!$C$6+348</f>
        <v/>
      </c>
      <c r="B354" s="13">
        <f>INT((A354-Config!$C$6)/7)+1</f>
        <v/>
      </c>
      <c r="C354" s="10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0" t="n"/>
      <c r="P354" s="15">
        <f>IF(COUNT(C354:O354)=0,"",IFERROR(C354/D354*1000,0))</f>
        <v/>
      </c>
      <c r="Q354" s="16">
        <f>IF(COUNT(C354:O354)=0,"",IFERROR(D354/E354,0))</f>
        <v/>
      </c>
      <c r="R354" s="17">
        <f>IF(COUNT(C354:O354)=0,"",IFERROR(F354/D354,0))</f>
        <v/>
      </c>
      <c r="S354" s="15">
        <f>IF(COUNT(C354:O354)=0,"",IFERROR(C354/F354,0))</f>
        <v/>
      </c>
      <c r="T354" s="18">
        <f>IF(COUNT(C354:O354)=0,"",IFERROR(G354/F354,0))</f>
        <v/>
      </c>
      <c r="U354" s="15">
        <f>IF(COUNT(C354:O354)=0,"",IFERROR(C354/G354,0))</f>
        <v/>
      </c>
      <c r="V354" s="19">
        <f>IF(COUNT(C354:O354)=0,"",IFERROR(G354/D354*1000,0))</f>
        <v/>
      </c>
      <c r="W354" s="18">
        <f>IF(COUNT(C354:O354)=0,"",IFERROR(H354/G354,0))</f>
        <v/>
      </c>
      <c r="X354" s="15">
        <f>IF(COUNT(C354:O354)=0,"",IFERROR(C354/H354,0))</f>
        <v/>
      </c>
      <c r="Y354" s="18">
        <f>IF(COUNT(C354:O354)=0,"",IFERROR(X354/P354,0))</f>
        <v/>
      </c>
      <c r="Z354" s="19">
        <f>IF(COUNT(C354:O354)=0,"",IFERROR(H354/D354*1000,0))</f>
        <v/>
      </c>
      <c r="AA354" s="18">
        <f>IF(COUNT(C354:O354)=0,"",IFERROR(I354/H354,0))</f>
        <v/>
      </c>
      <c r="AB354" s="18">
        <f>IF(COUNT(C354:O354)=0,"",IFERROR(J354/I354,0))</f>
        <v/>
      </c>
      <c r="AC354" s="18">
        <f>IF(COUNT(C354:O354)=0,"",IFERROR(K354/J354,0))</f>
        <v/>
      </c>
      <c r="AD354" s="15">
        <f>IF(COUNT(C354:O354)=0,"",IFERROR(C354/K354,0))</f>
        <v/>
      </c>
      <c r="AE354" s="18">
        <f>IF(COUNT(C354:O354)=0,"",IFERROR(L354/K354,0))</f>
        <v/>
      </c>
      <c r="AF354" s="18">
        <f>IF(COUNT(C354:O354)=0,"",IFERROR(M354/L354,0))</f>
        <v/>
      </c>
      <c r="AG354" s="17">
        <f>IF(COUNT(C354:O354)=0,"",IFERROR(M354/H354,0))</f>
        <v/>
      </c>
      <c r="AH354" s="15">
        <f>IF(COUNT(C354:O354)=0,"",IFERROR(C354/M354,0))</f>
        <v/>
      </c>
      <c r="AI354" s="20">
        <f>IF(COUNT(C354:O354)=0,"",IFERROR(M354*Config!$C$7+N354*Config!$C$8,0))</f>
        <v/>
      </c>
      <c r="AJ354" s="20">
        <f>IF(COUNT(C354:O354)=0,"",IFERROR(IF(O354&gt;0,O354,AI354*Config!$C$9),0))</f>
        <v/>
      </c>
      <c r="AK354" s="20">
        <f>IF(COUNT(C354:O354)=0,"",IFERROR(AJ354*(1-Config!$C$10-Config!$C$11-Config!$C$12),0))</f>
        <v/>
      </c>
      <c r="AL354" s="20">
        <f>IF(COUNT(C354:O354)=0,"",IFERROR(AK354-C354-Config!$C$13,0))</f>
        <v/>
      </c>
      <c r="AM354" s="21">
        <f>IF(COUNT(C354:O354)=0,"",IFERROR(AK354/C354,0))</f>
        <v/>
      </c>
      <c r="AN354" s="21">
        <f>IF(COUNT(C354:O354)=0,"",IFERROR(AI354/C354,0))</f>
        <v/>
      </c>
      <c r="AO354" s="15">
        <f>IF(COUNT(C354:O354)=0,"",IFERROR(AL354/G354,0))</f>
        <v/>
      </c>
      <c r="AP354" s="21">
        <f>IF(COUNT(C354:O354)=0,"",IFERROR(AO354/U354,0))</f>
        <v/>
      </c>
      <c r="AQ354" s="15">
        <f>IF(COUNT(C354:O354)=0,"",IFERROR(AL354/H354,0))</f>
        <v/>
      </c>
    </row>
    <row r="355">
      <c r="A355" s="12">
        <f>Config!$C$6+349</f>
        <v/>
      </c>
      <c r="B355" s="13">
        <f>INT((A355-Config!$C$6)/7)+1</f>
        <v/>
      </c>
      <c r="C355" s="10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0" t="n"/>
      <c r="P355" s="15">
        <f>IF(COUNT(C355:O355)=0,"",IFERROR(C355/D355*1000,0))</f>
        <v/>
      </c>
      <c r="Q355" s="16">
        <f>IF(COUNT(C355:O355)=0,"",IFERROR(D355/E355,0))</f>
        <v/>
      </c>
      <c r="R355" s="17">
        <f>IF(COUNT(C355:O355)=0,"",IFERROR(F355/D355,0))</f>
        <v/>
      </c>
      <c r="S355" s="15">
        <f>IF(COUNT(C355:O355)=0,"",IFERROR(C355/F355,0))</f>
        <v/>
      </c>
      <c r="T355" s="18">
        <f>IF(COUNT(C355:O355)=0,"",IFERROR(G355/F355,0))</f>
        <v/>
      </c>
      <c r="U355" s="15">
        <f>IF(COUNT(C355:O355)=0,"",IFERROR(C355/G355,0))</f>
        <v/>
      </c>
      <c r="V355" s="19">
        <f>IF(COUNT(C355:O355)=0,"",IFERROR(G355/D355*1000,0))</f>
        <v/>
      </c>
      <c r="W355" s="18">
        <f>IF(COUNT(C355:O355)=0,"",IFERROR(H355/G355,0))</f>
        <v/>
      </c>
      <c r="X355" s="15">
        <f>IF(COUNT(C355:O355)=0,"",IFERROR(C355/H355,0))</f>
        <v/>
      </c>
      <c r="Y355" s="18">
        <f>IF(COUNT(C355:O355)=0,"",IFERROR(X355/P355,0))</f>
        <v/>
      </c>
      <c r="Z355" s="19">
        <f>IF(COUNT(C355:O355)=0,"",IFERROR(H355/D355*1000,0))</f>
        <v/>
      </c>
      <c r="AA355" s="18">
        <f>IF(COUNT(C355:O355)=0,"",IFERROR(I355/H355,0))</f>
        <v/>
      </c>
      <c r="AB355" s="18">
        <f>IF(COUNT(C355:O355)=0,"",IFERROR(J355/I355,0))</f>
        <v/>
      </c>
      <c r="AC355" s="18">
        <f>IF(COUNT(C355:O355)=0,"",IFERROR(K355/J355,0))</f>
        <v/>
      </c>
      <c r="AD355" s="15">
        <f>IF(COUNT(C355:O355)=0,"",IFERROR(C355/K355,0))</f>
        <v/>
      </c>
      <c r="AE355" s="18">
        <f>IF(COUNT(C355:O355)=0,"",IFERROR(L355/K355,0))</f>
        <v/>
      </c>
      <c r="AF355" s="18">
        <f>IF(COUNT(C355:O355)=0,"",IFERROR(M355/L355,0))</f>
        <v/>
      </c>
      <c r="AG355" s="17">
        <f>IF(COUNT(C355:O355)=0,"",IFERROR(M355/H355,0))</f>
        <v/>
      </c>
      <c r="AH355" s="15">
        <f>IF(COUNT(C355:O355)=0,"",IFERROR(C355/M355,0))</f>
        <v/>
      </c>
      <c r="AI355" s="20">
        <f>IF(COUNT(C355:O355)=0,"",IFERROR(M355*Config!$C$7+N355*Config!$C$8,0))</f>
        <v/>
      </c>
      <c r="AJ355" s="20">
        <f>IF(COUNT(C355:O355)=0,"",IFERROR(IF(O355&gt;0,O355,AI355*Config!$C$9),0))</f>
        <v/>
      </c>
      <c r="AK355" s="20">
        <f>IF(COUNT(C355:O355)=0,"",IFERROR(AJ355*(1-Config!$C$10-Config!$C$11-Config!$C$12),0))</f>
        <v/>
      </c>
      <c r="AL355" s="20">
        <f>IF(COUNT(C355:O355)=0,"",IFERROR(AK355-C355-Config!$C$13,0))</f>
        <v/>
      </c>
      <c r="AM355" s="21">
        <f>IF(COUNT(C355:O355)=0,"",IFERROR(AK355/C355,0))</f>
        <v/>
      </c>
      <c r="AN355" s="21">
        <f>IF(COUNT(C355:O355)=0,"",IFERROR(AI355/C355,0))</f>
        <v/>
      </c>
      <c r="AO355" s="15">
        <f>IF(COUNT(C355:O355)=0,"",IFERROR(AL355/G355,0))</f>
        <v/>
      </c>
      <c r="AP355" s="21">
        <f>IF(COUNT(C355:O355)=0,"",IFERROR(AO355/U355,0))</f>
        <v/>
      </c>
      <c r="AQ355" s="15">
        <f>IF(COUNT(C355:O355)=0,"",IFERROR(AL355/H355,0))</f>
        <v/>
      </c>
    </row>
    <row r="356">
      <c r="A356" s="12">
        <f>Config!$C$6+350</f>
        <v/>
      </c>
      <c r="B356" s="13">
        <f>INT((A356-Config!$C$6)/7)+1</f>
        <v/>
      </c>
      <c r="C356" s="10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0" t="n"/>
      <c r="P356" s="15">
        <f>IF(COUNT(C356:O356)=0,"",IFERROR(C356/D356*1000,0))</f>
        <v/>
      </c>
      <c r="Q356" s="16">
        <f>IF(COUNT(C356:O356)=0,"",IFERROR(D356/E356,0))</f>
        <v/>
      </c>
      <c r="R356" s="17">
        <f>IF(COUNT(C356:O356)=0,"",IFERROR(F356/D356,0))</f>
        <v/>
      </c>
      <c r="S356" s="15">
        <f>IF(COUNT(C356:O356)=0,"",IFERROR(C356/F356,0))</f>
        <v/>
      </c>
      <c r="T356" s="18">
        <f>IF(COUNT(C356:O356)=0,"",IFERROR(G356/F356,0))</f>
        <v/>
      </c>
      <c r="U356" s="15">
        <f>IF(COUNT(C356:O356)=0,"",IFERROR(C356/G356,0))</f>
        <v/>
      </c>
      <c r="V356" s="19">
        <f>IF(COUNT(C356:O356)=0,"",IFERROR(G356/D356*1000,0))</f>
        <v/>
      </c>
      <c r="W356" s="18">
        <f>IF(COUNT(C356:O356)=0,"",IFERROR(H356/G356,0))</f>
        <v/>
      </c>
      <c r="X356" s="15">
        <f>IF(COUNT(C356:O356)=0,"",IFERROR(C356/H356,0))</f>
        <v/>
      </c>
      <c r="Y356" s="18">
        <f>IF(COUNT(C356:O356)=0,"",IFERROR(X356/P356,0))</f>
        <v/>
      </c>
      <c r="Z356" s="19">
        <f>IF(COUNT(C356:O356)=0,"",IFERROR(H356/D356*1000,0))</f>
        <v/>
      </c>
      <c r="AA356" s="18">
        <f>IF(COUNT(C356:O356)=0,"",IFERROR(I356/H356,0))</f>
        <v/>
      </c>
      <c r="AB356" s="18">
        <f>IF(COUNT(C356:O356)=0,"",IFERROR(J356/I356,0))</f>
        <v/>
      </c>
      <c r="AC356" s="18">
        <f>IF(COUNT(C356:O356)=0,"",IFERROR(K356/J356,0))</f>
        <v/>
      </c>
      <c r="AD356" s="15">
        <f>IF(COUNT(C356:O356)=0,"",IFERROR(C356/K356,0))</f>
        <v/>
      </c>
      <c r="AE356" s="18">
        <f>IF(COUNT(C356:O356)=0,"",IFERROR(L356/K356,0))</f>
        <v/>
      </c>
      <c r="AF356" s="18">
        <f>IF(COUNT(C356:O356)=0,"",IFERROR(M356/L356,0))</f>
        <v/>
      </c>
      <c r="AG356" s="17">
        <f>IF(COUNT(C356:O356)=0,"",IFERROR(M356/H356,0))</f>
        <v/>
      </c>
      <c r="AH356" s="15">
        <f>IF(COUNT(C356:O356)=0,"",IFERROR(C356/M356,0))</f>
        <v/>
      </c>
      <c r="AI356" s="20">
        <f>IF(COUNT(C356:O356)=0,"",IFERROR(M356*Config!$C$7+N356*Config!$C$8,0))</f>
        <v/>
      </c>
      <c r="AJ356" s="20">
        <f>IF(COUNT(C356:O356)=0,"",IFERROR(IF(O356&gt;0,O356,AI356*Config!$C$9),0))</f>
        <v/>
      </c>
      <c r="AK356" s="20">
        <f>IF(COUNT(C356:O356)=0,"",IFERROR(AJ356*(1-Config!$C$10-Config!$C$11-Config!$C$12),0))</f>
        <v/>
      </c>
      <c r="AL356" s="20">
        <f>IF(COUNT(C356:O356)=0,"",IFERROR(AK356-C356-Config!$C$13,0))</f>
        <v/>
      </c>
      <c r="AM356" s="21">
        <f>IF(COUNT(C356:O356)=0,"",IFERROR(AK356/C356,0))</f>
        <v/>
      </c>
      <c r="AN356" s="21">
        <f>IF(COUNT(C356:O356)=0,"",IFERROR(AI356/C356,0))</f>
        <v/>
      </c>
      <c r="AO356" s="15">
        <f>IF(COUNT(C356:O356)=0,"",IFERROR(AL356/G356,0))</f>
        <v/>
      </c>
      <c r="AP356" s="21">
        <f>IF(COUNT(C356:O356)=0,"",IFERROR(AO356/U356,0))</f>
        <v/>
      </c>
      <c r="AQ356" s="15">
        <f>IF(COUNT(C356:O356)=0,"",IFERROR(AL356/H356,0))</f>
        <v/>
      </c>
    </row>
    <row r="357">
      <c r="A357" s="12">
        <f>Config!$C$6+351</f>
        <v/>
      </c>
      <c r="B357" s="13">
        <f>INT((A357-Config!$C$6)/7)+1</f>
        <v/>
      </c>
      <c r="C357" s="10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0" t="n"/>
      <c r="P357" s="15">
        <f>IF(COUNT(C357:O357)=0,"",IFERROR(C357/D357*1000,0))</f>
        <v/>
      </c>
      <c r="Q357" s="16">
        <f>IF(COUNT(C357:O357)=0,"",IFERROR(D357/E357,0))</f>
        <v/>
      </c>
      <c r="R357" s="17">
        <f>IF(COUNT(C357:O357)=0,"",IFERROR(F357/D357,0))</f>
        <v/>
      </c>
      <c r="S357" s="15">
        <f>IF(COUNT(C357:O357)=0,"",IFERROR(C357/F357,0))</f>
        <v/>
      </c>
      <c r="T357" s="18">
        <f>IF(COUNT(C357:O357)=0,"",IFERROR(G357/F357,0))</f>
        <v/>
      </c>
      <c r="U357" s="15">
        <f>IF(COUNT(C357:O357)=0,"",IFERROR(C357/G357,0))</f>
        <v/>
      </c>
      <c r="V357" s="19">
        <f>IF(COUNT(C357:O357)=0,"",IFERROR(G357/D357*1000,0))</f>
        <v/>
      </c>
      <c r="W357" s="18">
        <f>IF(COUNT(C357:O357)=0,"",IFERROR(H357/G357,0))</f>
        <v/>
      </c>
      <c r="X357" s="15">
        <f>IF(COUNT(C357:O357)=0,"",IFERROR(C357/H357,0))</f>
        <v/>
      </c>
      <c r="Y357" s="18">
        <f>IF(COUNT(C357:O357)=0,"",IFERROR(X357/P357,0))</f>
        <v/>
      </c>
      <c r="Z357" s="19">
        <f>IF(COUNT(C357:O357)=0,"",IFERROR(H357/D357*1000,0))</f>
        <v/>
      </c>
      <c r="AA357" s="18">
        <f>IF(COUNT(C357:O357)=0,"",IFERROR(I357/H357,0))</f>
        <v/>
      </c>
      <c r="AB357" s="18">
        <f>IF(COUNT(C357:O357)=0,"",IFERROR(J357/I357,0))</f>
        <v/>
      </c>
      <c r="AC357" s="18">
        <f>IF(COUNT(C357:O357)=0,"",IFERROR(K357/J357,0))</f>
        <v/>
      </c>
      <c r="AD357" s="15">
        <f>IF(COUNT(C357:O357)=0,"",IFERROR(C357/K357,0))</f>
        <v/>
      </c>
      <c r="AE357" s="18">
        <f>IF(COUNT(C357:O357)=0,"",IFERROR(L357/K357,0))</f>
        <v/>
      </c>
      <c r="AF357" s="18">
        <f>IF(COUNT(C357:O357)=0,"",IFERROR(M357/L357,0))</f>
        <v/>
      </c>
      <c r="AG357" s="17">
        <f>IF(COUNT(C357:O357)=0,"",IFERROR(M357/H357,0))</f>
        <v/>
      </c>
      <c r="AH357" s="15">
        <f>IF(COUNT(C357:O357)=0,"",IFERROR(C357/M357,0))</f>
        <v/>
      </c>
      <c r="AI357" s="20">
        <f>IF(COUNT(C357:O357)=0,"",IFERROR(M357*Config!$C$7+N357*Config!$C$8,0))</f>
        <v/>
      </c>
      <c r="AJ357" s="20">
        <f>IF(COUNT(C357:O357)=0,"",IFERROR(IF(O357&gt;0,O357,AI357*Config!$C$9),0))</f>
        <v/>
      </c>
      <c r="AK357" s="20">
        <f>IF(COUNT(C357:O357)=0,"",IFERROR(AJ357*(1-Config!$C$10-Config!$C$11-Config!$C$12),0))</f>
        <v/>
      </c>
      <c r="AL357" s="20">
        <f>IF(COUNT(C357:O357)=0,"",IFERROR(AK357-C357-Config!$C$13,0))</f>
        <v/>
      </c>
      <c r="AM357" s="21">
        <f>IF(COUNT(C357:O357)=0,"",IFERROR(AK357/C357,0))</f>
        <v/>
      </c>
      <c r="AN357" s="21">
        <f>IF(COUNT(C357:O357)=0,"",IFERROR(AI357/C357,0))</f>
        <v/>
      </c>
      <c r="AO357" s="15">
        <f>IF(COUNT(C357:O357)=0,"",IFERROR(AL357/G357,0))</f>
        <v/>
      </c>
      <c r="AP357" s="21">
        <f>IF(COUNT(C357:O357)=0,"",IFERROR(AO357/U357,0))</f>
        <v/>
      </c>
      <c r="AQ357" s="15">
        <f>IF(COUNT(C357:O357)=0,"",IFERROR(AL357/H357,0))</f>
        <v/>
      </c>
    </row>
    <row r="358">
      <c r="A358" s="12">
        <f>Config!$C$6+352</f>
        <v/>
      </c>
      <c r="B358" s="13">
        <f>INT((A358-Config!$C$6)/7)+1</f>
        <v/>
      </c>
      <c r="C358" s="10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0" t="n"/>
      <c r="P358" s="15">
        <f>IF(COUNT(C358:O358)=0,"",IFERROR(C358/D358*1000,0))</f>
        <v/>
      </c>
      <c r="Q358" s="16">
        <f>IF(COUNT(C358:O358)=0,"",IFERROR(D358/E358,0))</f>
        <v/>
      </c>
      <c r="R358" s="17">
        <f>IF(COUNT(C358:O358)=0,"",IFERROR(F358/D358,0))</f>
        <v/>
      </c>
      <c r="S358" s="15">
        <f>IF(COUNT(C358:O358)=0,"",IFERROR(C358/F358,0))</f>
        <v/>
      </c>
      <c r="T358" s="18">
        <f>IF(COUNT(C358:O358)=0,"",IFERROR(G358/F358,0))</f>
        <v/>
      </c>
      <c r="U358" s="15">
        <f>IF(COUNT(C358:O358)=0,"",IFERROR(C358/G358,0))</f>
        <v/>
      </c>
      <c r="V358" s="19">
        <f>IF(COUNT(C358:O358)=0,"",IFERROR(G358/D358*1000,0))</f>
        <v/>
      </c>
      <c r="W358" s="18">
        <f>IF(COUNT(C358:O358)=0,"",IFERROR(H358/G358,0))</f>
        <v/>
      </c>
      <c r="X358" s="15">
        <f>IF(COUNT(C358:O358)=0,"",IFERROR(C358/H358,0))</f>
        <v/>
      </c>
      <c r="Y358" s="18">
        <f>IF(COUNT(C358:O358)=0,"",IFERROR(X358/P358,0))</f>
        <v/>
      </c>
      <c r="Z358" s="19">
        <f>IF(COUNT(C358:O358)=0,"",IFERROR(H358/D358*1000,0))</f>
        <v/>
      </c>
      <c r="AA358" s="18">
        <f>IF(COUNT(C358:O358)=0,"",IFERROR(I358/H358,0))</f>
        <v/>
      </c>
      <c r="AB358" s="18">
        <f>IF(COUNT(C358:O358)=0,"",IFERROR(J358/I358,0))</f>
        <v/>
      </c>
      <c r="AC358" s="18">
        <f>IF(COUNT(C358:O358)=0,"",IFERROR(K358/J358,0))</f>
        <v/>
      </c>
      <c r="AD358" s="15">
        <f>IF(COUNT(C358:O358)=0,"",IFERROR(C358/K358,0))</f>
        <v/>
      </c>
      <c r="AE358" s="18">
        <f>IF(COUNT(C358:O358)=0,"",IFERROR(L358/K358,0))</f>
        <v/>
      </c>
      <c r="AF358" s="18">
        <f>IF(COUNT(C358:O358)=0,"",IFERROR(M358/L358,0))</f>
        <v/>
      </c>
      <c r="AG358" s="17">
        <f>IF(COUNT(C358:O358)=0,"",IFERROR(M358/H358,0))</f>
        <v/>
      </c>
      <c r="AH358" s="15">
        <f>IF(COUNT(C358:O358)=0,"",IFERROR(C358/M358,0))</f>
        <v/>
      </c>
      <c r="AI358" s="20">
        <f>IF(COUNT(C358:O358)=0,"",IFERROR(M358*Config!$C$7+N358*Config!$C$8,0))</f>
        <v/>
      </c>
      <c r="AJ358" s="20">
        <f>IF(COUNT(C358:O358)=0,"",IFERROR(IF(O358&gt;0,O358,AI358*Config!$C$9),0))</f>
        <v/>
      </c>
      <c r="AK358" s="20">
        <f>IF(COUNT(C358:O358)=0,"",IFERROR(AJ358*(1-Config!$C$10-Config!$C$11-Config!$C$12),0))</f>
        <v/>
      </c>
      <c r="AL358" s="20">
        <f>IF(COUNT(C358:O358)=0,"",IFERROR(AK358-C358-Config!$C$13,0))</f>
        <v/>
      </c>
      <c r="AM358" s="21">
        <f>IF(COUNT(C358:O358)=0,"",IFERROR(AK358/C358,0))</f>
        <v/>
      </c>
      <c r="AN358" s="21">
        <f>IF(COUNT(C358:O358)=0,"",IFERROR(AI358/C358,0))</f>
        <v/>
      </c>
      <c r="AO358" s="15">
        <f>IF(COUNT(C358:O358)=0,"",IFERROR(AL358/G358,0))</f>
        <v/>
      </c>
      <c r="AP358" s="21">
        <f>IF(COUNT(C358:O358)=0,"",IFERROR(AO358/U358,0))</f>
        <v/>
      </c>
      <c r="AQ358" s="15">
        <f>IF(COUNT(C358:O358)=0,"",IFERROR(AL358/H358,0))</f>
        <v/>
      </c>
    </row>
    <row r="359">
      <c r="A359" s="12">
        <f>Config!$C$6+353</f>
        <v/>
      </c>
      <c r="B359" s="13">
        <f>INT((A359-Config!$C$6)/7)+1</f>
        <v/>
      </c>
      <c r="C359" s="10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0" t="n"/>
      <c r="P359" s="15">
        <f>IF(COUNT(C359:O359)=0,"",IFERROR(C359/D359*1000,0))</f>
        <v/>
      </c>
      <c r="Q359" s="16">
        <f>IF(COUNT(C359:O359)=0,"",IFERROR(D359/E359,0))</f>
        <v/>
      </c>
      <c r="R359" s="17">
        <f>IF(COUNT(C359:O359)=0,"",IFERROR(F359/D359,0))</f>
        <v/>
      </c>
      <c r="S359" s="15">
        <f>IF(COUNT(C359:O359)=0,"",IFERROR(C359/F359,0))</f>
        <v/>
      </c>
      <c r="T359" s="18">
        <f>IF(COUNT(C359:O359)=0,"",IFERROR(G359/F359,0))</f>
        <v/>
      </c>
      <c r="U359" s="15">
        <f>IF(COUNT(C359:O359)=0,"",IFERROR(C359/G359,0))</f>
        <v/>
      </c>
      <c r="V359" s="19">
        <f>IF(COUNT(C359:O359)=0,"",IFERROR(G359/D359*1000,0))</f>
        <v/>
      </c>
      <c r="W359" s="18">
        <f>IF(COUNT(C359:O359)=0,"",IFERROR(H359/G359,0))</f>
        <v/>
      </c>
      <c r="X359" s="15">
        <f>IF(COUNT(C359:O359)=0,"",IFERROR(C359/H359,0))</f>
        <v/>
      </c>
      <c r="Y359" s="18">
        <f>IF(COUNT(C359:O359)=0,"",IFERROR(X359/P359,0))</f>
        <v/>
      </c>
      <c r="Z359" s="19">
        <f>IF(COUNT(C359:O359)=0,"",IFERROR(H359/D359*1000,0))</f>
        <v/>
      </c>
      <c r="AA359" s="18">
        <f>IF(COUNT(C359:O359)=0,"",IFERROR(I359/H359,0))</f>
        <v/>
      </c>
      <c r="AB359" s="18">
        <f>IF(COUNT(C359:O359)=0,"",IFERROR(J359/I359,0))</f>
        <v/>
      </c>
      <c r="AC359" s="18">
        <f>IF(COUNT(C359:O359)=0,"",IFERROR(K359/J359,0))</f>
        <v/>
      </c>
      <c r="AD359" s="15">
        <f>IF(COUNT(C359:O359)=0,"",IFERROR(C359/K359,0))</f>
        <v/>
      </c>
      <c r="AE359" s="18">
        <f>IF(COUNT(C359:O359)=0,"",IFERROR(L359/K359,0))</f>
        <v/>
      </c>
      <c r="AF359" s="18">
        <f>IF(COUNT(C359:O359)=0,"",IFERROR(M359/L359,0))</f>
        <v/>
      </c>
      <c r="AG359" s="17">
        <f>IF(COUNT(C359:O359)=0,"",IFERROR(M359/H359,0))</f>
        <v/>
      </c>
      <c r="AH359" s="15">
        <f>IF(COUNT(C359:O359)=0,"",IFERROR(C359/M359,0))</f>
        <v/>
      </c>
      <c r="AI359" s="20">
        <f>IF(COUNT(C359:O359)=0,"",IFERROR(M359*Config!$C$7+N359*Config!$C$8,0))</f>
        <v/>
      </c>
      <c r="AJ359" s="20">
        <f>IF(COUNT(C359:O359)=0,"",IFERROR(IF(O359&gt;0,O359,AI359*Config!$C$9),0))</f>
        <v/>
      </c>
      <c r="AK359" s="20">
        <f>IF(COUNT(C359:O359)=0,"",IFERROR(AJ359*(1-Config!$C$10-Config!$C$11-Config!$C$12),0))</f>
        <v/>
      </c>
      <c r="AL359" s="20">
        <f>IF(COUNT(C359:O359)=0,"",IFERROR(AK359-C359-Config!$C$13,0))</f>
        <v/>
      </c>
      <c r="AM359" s="21">
        <f>IF(COUNT(C359:O359)=0,"",IFERROR(AK359/C359,0))</f>
        <v/>
      </c>
      <c r="AN359" s="21">
        <f>IF(COUNT(C359:O359)=0,"",IFERROR(AI359/C359,0))</f>
        <v/>
      </c>
      <c r="AO359" s="15">
        <f>IF(COUNT(C359:O359)=0,"",IFERROR(AL359/G359,0))</f>
        <v/>
      </c>
      <c r="AP359" s="21">
        <f>IF(COUNT(C359:O359)=0,"",IFERROR(AO359/U359,0))</f>
        <v/>
      </c>
      <c r="AQ359" s="15">
        <f>IF(COUNT(C359:O359)=0,"",IFERROR(AL359/H359,0))</f>
        <v/>
      </c>
    </row>
    <row r="360">
      <c r="A360" s="12">
        <f>Config!$C$6+354</f>
        <v/>
      </c>
      <c r="B360" s="13">
        <f>INT((A360-Config!$C$6)/7)+1</f>
        <v/>
      </c>
      <c r="C360" s="10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0" t="n"/>
      <c r="P360" s="15">
        <f>IF(COUNT(C360:O360)=0,"",IFERROR(C360/D360*1000,0))</f>
        <v/>
      </c>
      <c r="Q360" s="16">
        <f>IF(COUNT(C360:O360)=0,"",IFERROR(D360/E360,0))</f>
        <v/>
      </c>
      <c r="R360" s="17">
        <f>IF(COUNT(C360:O360)=0,"",IFERROR(F360/D360,0))</f>
        <v/>
      </c>
      <c r="S360" s="15">
        <f>IF(COUNT(C360:O360)=0,"",IFERROR(C360/F360,0))</f>
        <v/>
      </c>
      <c r="T360" s="18">
        <f>IF(COUNT(C360:O360)=0,"",IFERROR(G360/F360,0))</f>
        <v/>
      </c>
      <c r="U360" s="15">
        <f>IF(COUNT(C360:O360)=0,"",IFERROR(C360/G360,0))</f>
        <v/>
      </c>
      <c r="V360" s="19">
        <f>IF(COUNT(C360:O360)=0,"",IFERROR(G360/D360*1000,0))</f>
        <v/>
      </c>
      <c r="W360" s="18">
        <f>IF(COUNT(C360:O360)=0,"",IFERROR(H360/G360,0))</f>
        <v/>
      </c>
      <c r="X360" s="15">
        <f>IF(COUNT(C360:O360)=0,"",IFERROR(C360/H360,0))</f>
        <v/>
      </c>
      <c r="Y360" s="18">
        <f>IF(COUNT(C360:O360)=0,"",IFERROR(X360/P360,0))</f>
        <v/>
      </c>
      <c r="Z360" s="19">
        <f>IF(COUNT(C360:O360)=0,"",IFERROR(H360/D360*1000,0))</f>
        <v/>
      </c>
      <c r="AA360" s="18">
        <f>IF(COUNT(C360:O360)=0,"",IFERROR(I360/H360,0))</f>
        <v/>
      </c>
      <c r="AB360" s="18">
        <f>IF(COUNT(C360:O360)=0,"",IFERROR(J360/I360,0))</f>
        <v/>
      </c>
      <c r="AC360" s="18">
        <f>IF(COUNT(C360:O360)=0,"",IFERROR(K360/J360,0))</f>
        <v/>
      </c>
      <c r="AD360" s="15">
        <f>IF(COUNT(C360:O360)=0,"",IFERROR(C360/K360,0))</f>
        <v/>
      </c>
      <c r="AE360" s="18">
        <f>IF(COUNT(C360:O360)=0,"",IFERROR(L360/K360,0))</f>
        <v/>
      </c>
      <c r="AF360" s="18">
        <f>IF(COUNT(C360:O360)=0,"",IFERROR(M360/L360,0))</f>
        <v/>
      </c>
      <c r="AG360" s="17">
        <f>IF(COUNT(C360:O360)=0,"",IFERROR(M360/H360,0))</f>
        <v/>
      </c>
      <c r="AH360" s="15">
        <f>IF(COUNT(C360:O360)=0,"",IFERROR(C360/M360,0))</f>
        <v/>
      </c>
      <c r="AI360" s="20">
        <f>IF(COUNT(C360:O360)=0,"",IFERROR(M360*Config!$C$7+N360*Config!$C$8,0))</f>
        <v/>
      </c>
      <c r="AJ360" s="20">
        <f>IF(COUNT(C360:O360)=0,"",IFERROR(IF(O360&gt;0,O360,AI360*Config!$C$9),0))</f>
        <v/>
      </c>
      <c r="AK360" s="20">
        <f>IF(COUNT(C360:O360)=0,"",IFERROR(AJ360*(1-Config!$C$10-Config!$C$11-Config!$C$12),0))</f>
        <v/>
      </c>
      <c r="AL360" s="20">
        <f>IF(COUNT(C360:O360)=0,"",IFERROR(AK360-C360-Config!$C$13,0))</f>
        <v/>
      </c>
      <c r="AM360" s="21">
        <f>IF(COUNT(C360:O360)=0,"",IFERROR(AK360/C360,0))</f>
        <v/>
      </c>
      <c r="AN360" s="21">
        <f>IF(COUNT(C360:O360)=0,"",IFERROR(AI360/C360,0))</f>
        <v/>
      </c>
      <c r="AO360" s="15">
        <f>IF(COUNT(C360:O360)=0,"",IFERROR(AL360/G360,0))</f>
        <v/>
      </c>
      <c r="AP360" s="21">
        <f>IF(COUNT(C360:O360)=0,"",IFERROR(AO360/U360,0))</f>
        <v/>
      </c>
      <c r="AQ360" s="15">
        <f>IF(COUNT(C360:O360)=0,"",IFERROR(AL360/H360,0))</f>
        <v/>
      </c>
    </row>
    <row r="361">
      <c r="A361" s="12">
        <f>Config!$C$6+355</f>
        <v/>
      </c>
      <c r="B361" s="13">
        <f>INT((A361-Config!$C$6)/7)+1</f>
        <v/>
      </c>
      <c r="C361" s="10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0" t="n"/>
      <c r="P361" s="15">
        <f>IF(COUNT(C361:O361)=0,"",IFERROR(C361/D361*1000,0))</f>
        <v/>
      </c>
      <c r="Q361" s="16">
        <f>IF(COUNT(C361:O361)=0,"",IFERROR(D361/E361,0))</f>
        <v/>
      </c>
      <c r="R361" s="17">
        <f>IF(COUNT(C361:O361)=0,"",IFERROR(F361/D361,0))</f>
        <v/>
      </c>
      <c r="S361" s="15">
        <f>IF(COUNT(C361:O361)=0,"",IFERROR(C361/F361,0))</f>
        <v/>
      </c>
      <c r="T361" s="18">
        <f>IF(COUNT(C361:O361)=0,"",IFERROR(G361/F361,0))</f>
        <v/>
      </c>
      <c r="U361" s="15">
        <f>IF(COUNT(C361:O361)=0,"",IFERROR(C361/G361,0))</f>
        <v/>
      </c>
      <c r="V361" s="19">
        <f>IF(COUNT(C361:O361)=0,"",IFERROR(G361/D361*1000,0))</f>
        <v/>
      </c>
      <c r="W361" s="18">
        <f>IF(COUNT(C361:O361)=0,"",IFERROR(H361/G361,0))</f>
        <v/>
      </c>
      <c r="X361" s="15">
        <f>IF(COUNT(C361:O361)=0,"",IFERROR(C361/H361,0))</f>
        <v/>
      </c>
      <c r="Y361" s="18">
        <f>IF(COUNT(C361:O361)=0,"",IFERROR(X361/P361,0))</f>
        <v/>
      </c>
      <c r="Z361" s="19">
        <f>IF(COUNT(C361:O361)=0,"",IFERROR(H361/D361*1000,0))</f>
        <v/>
      </c>
      <c r="AA361" s="18">
        <f>IF(COUNT(C361:O361)=0,"",IFERROR(I361/H361,0))</f>
        <v/>
      </c>
      <c r="AB361" s="18">
        <f>IF(COUNT(C361:O361)=0,"",IFERROR(J361/I361,0))</f>
        <v/>
      </c>
      <c r="AC361" s="18">
        <f>IF(COUNT(C361:O361)=0,"",IFERROR(K361/J361,0))</f>
        <v/>
      </c>
      <c r="AD361" s="15">
        <f>IF(COUNT(C361:O361)=0,"",IFERROR(C361/K361,0))</f>
        <v/>
      </c>
      <c r="AE361" s="18">
        <f>IF(COUNT(C361:O361)=0,"",IFERROR(L361/K361,0))</f>
        <v/>
      </c>
      <c r="AF361" s="18">
        <f>IF(COUNT(C361:O361)=0,"",IFERROR(M361/L361,0))</f>
        <v/>
      </c>
      <c r="AG361" s="17">
        <f>IF(COUNT(C361:O361)=0,"",IFERROR(M361/H361,0))</f>
        <v/>
      </c>
      <c r="AH361" s="15">
        <f>IF(COUNT(C361:O361)=0,"",IFERROR(C361/M361,0))</f>
        <v/>
      </c>
      <c r="AI361" s="20">
        <f>IF(COUNT(C361:O361)=0,"",IFERROR(M361*Config!$C$7+N361*Config!$C$8,0))</f>
        <v/>
      </c>
      <c r="AJ361" s="20">
        <f>IF(COUNT(C361:O361)=0,"",IFERROR(IF(O361&gt;0,O361,AI361*Config!$C$9),0))</f>
        <v/>
      </c>
      <c r="AK361" s="20">
        <f>IF(COUNT(C361:O361)=0,"",IFERROR(AJ361*(1-Config!$C$10-Config!$C$11-Config!$C$12),0))</f>
        <v/>
      </c>
      <c r="AL361" s="20">
        <f>IF(COUNT(C361:O361)=0,"",IFERROR(AK361-C361-Config!$C$13,0))</f>
        <v/>
      </c>
      <c r="AM361" s="21">
        <f>IF(COUNT(C361:O361)=0,"",IFERROR(AK361/C361,0))</f>
        <v/>
      </c>
      <c r="AN361" s="21">
        <f>IF(COUNT(C361:O361)=0,"",IFERROR(AI361/C361,0))</f>
        <v/>
      </c>
      <c r="AO361" s="15">
        <f>IF(COUNT(C361:O361)=0,"",IFERROR(AL361/G361,0))</f>
        <v/>
      </c>
      <c r="AP361" s="21">
        <f>IF(COUNT(C361:O361)=0,"",IFERROR(AO361/U361,0))</f>
        <v/>
      </c>
      <c r="AQ361" s="15">
        <f>IF(COUNT(C361:O361)=0,"",IFERROR(AL361/H361,0))</f>
        <v/>
      </c>
    </row>
    <row r="362">
      <c r="A362" s="12">
        <f>Config!$C$6+356</f>
        <v/>
      </c>
      <c r="B362" s="13">
        <f>INT((A362-Config!$C$6)/7)+1</f>
        <v/>
      </c>
      <c r="C362" s="10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0" t="n"/>
      <c r="P362" s="15">
        <f>IF(COUNT(C362:O362)=0,"",IFERROR(C362/D362*1000,0))</f>
        <v/>
      </c>
      <c r="Q362" s="16">
        <f>IF(COUNT(C362:O362)=0,"",IFERROR(D362/E362,0))</f>
        <v/>
      </c>
      <c r="R362" s="17">
        <f>IF(COUNT(C362:O362)=0,"",IFERROR(F362/D362,0))</f>
        <v/>
      </c>
      <c r="S362" s="15">
        <f>IF(COUNT(C362:O362)=0,"",IFERROR(C362/F362,0))</f>
        <v/>
      </c>
      <c r="T362" s="18">
        <f>IF(COUNT(C362:O362)=0,"",IFERROR(G362/F362,0))</f>
        <v/>
      </c>
      <c r="U362" s="15">
        <f>IF(COUNT(C362:O362)=0,"",IFERROR(C362/G362,0))</f>
        <v/>
      </c>
      <c r="V362" s="19">
        <f>IF(COUNT(C362:O362)=0,"",IFERROR(G362/D362*1000,0))</f>
        <v/>
      </c>
      <c r="W362" s="18">
        <f>IF(COUNT(C362:O362)=0,"",IFERROR(H362/G362,0))</f>
        <v/>
      </c>
      <c r="X362" s="15">
        <f>IF(COUNT(C362:O362)=0,"",IFERROR(C362/H362,0))</f>
        <v/>
      </c>
      <c r="Y362" s="18">
        <f>IF(COUNT(C362:O362)=0,"",IFERROR(X362/P362,0))</f>
        <v/>
      </c>
      <c r="Z362" s="19">
        <f>IF(COUNT(C362:O362)=0,"",IFERROR(H362/D362*1000,0))</f>
        <v/>
      </c>
      <c r="AA362" s="18">
        <f>IF(COUNT(C362:O362)=0,"",IFERROR(I362/H362,0))</f>
        <v/>
      </c>
      <c r="AB362" s="18">
        <f>IF(COUNT(C362:O362)=0,"",IFERROR(J362/I362,0))</f>
        <v/>
      </c>
      <c r="AC362" s="18">
        <f>IF(COUNT(C362:O362)=0,"",IFERROR(K362/J362,0))</f>
        <v/>
      </c>
      <c r="AD362" s="15">
        <f>IF(COUNT(C362:O362)=0,"",IFERROR(C362/K362,0))</f>
        <v/>
      </c>
      <c r="AE362" s="18">
        <f>IF(COUNT(C362:O362)=0,"",IFERROR(L362/K362,0))</f>
        <v/>
      </c>
      <c r="AF362" s="18">
        <f>IF(COUNT(C362:O362)=0,"",IFERROR(M362/L362,0))</f>
        <v/>
      </c>
      <c r="AG362" s="17">
        <f>IF(COUNT(C362:O362)=0,"",IFERROR(M362/H362,0))</f>
        <v/>
      </c>
      <c r="AH362" s="15">
        <f>IF(COUNT(C362:O362)=0,"",IFERROR(C362/M362,0))</f>
        <v/>
      </c>
      <c r="AI362" s="20">
        <f>IF(COUNT(C362:O362)=0,"",IFERROR(M362*Config!$C$7+N362*Config!$C$8,0))</f>
        <v/>
      </c>
      <c r="AJ362" s="20">
        <f>IF(COUNT(C362:O362)=0,"",IFERROR(IF(O362&gt;0,O362,AI362*Config!$C$9),0))</f>
        <v/>
      </c>
      <c r="AK362" s="20">
        <f>IF(COUNT(C362:O362)=0,"",IFERROR(AJ362*(1-Config!$C$10-Config!$C$11-Config!$C$12),0))</f>
        <v/>
      </c>
      <c r="AL362" s="20">
        <f>IF(COUNT(C362:O362)=0,"",IFERROR(AK362-C362-Config!$C$13,0))</f>
        <v/>
      </c>
      <c r="AM362" s="21">
        <f>IF(COUNT(C362:O362)=0,"",IFERROR(AK362/C362,0))</f>
        <v/>
      </c>
      <c r="AN362" s="21">
        <f>IF(COUNT(C362:O362)=0,"",IFERROR(AI362/C362,0))</f>
        <v/>
      </c>
      <c r="AO362" s="15">
        <f>IF(COUNT(C362:O362)=0,"",IFERROR(AL362/G362,0))</f>
        <v/>
      </c>
      <c r="AP362" s="21">
        <f>IF(COUNT(C362:O362)=0,"",IFERROR(AO362/U362,0))</f>
        <v/>
      </c>
      <c r="AQ362" s="15">
        <f>IF(COUNT(C362:O362)=0,"",IFERROR(AL362/H362,0))</f>
        <v/>
      </c>
    </row>
    <row r="363">
      <c r="A363" s="12">
        <f>Config!$C$6+357</f>
        <v/>
      </c>
      <c r="B363" s="13">
        <f>INT((A363-Config!$C$6)/7)+1</f>
        <v/>
      </c>
      <c r="C363" s="10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0" t="n"/>
      <c r="P363" s="15">
        <f>IF(COUNT(C363:O363)=0,"",IFERROR(C363/D363*1000,0))</f>
        <v/>
      </c>
      <c r="Q363" s="16">
        <f>IF(COUNT(C363:O363)=0,"",IFERROR(D363/E363,0))</f>
        <v/>
      </c>
      <c r="R363" s="17">
        <f>IF(COUNT(C363:O363)=0,"",IFERROR(F363/D363,0))</f>
        <v/>
      </c>
      <c r="S363" s="15">
        <f>IF(COUNT(C363:O363)=0,"",IFERROR(C363/F363,0))</f>
        <v/>
      </c>
      <c r="T363" s="18">
        <f>IF(COUNT(C363:O363)=0,"",IFERROR(G363/F363,0))</f>
        <v/>
      </c>
      <c r="U363" s="15">
        <f>IF(COUNT(C363:O363)=0,"",IFERROR(C363/G363,0))</f>
        <v/>
      </c>
      <c r="V363" s="19">
        <f>IF(COUNT(C363:O363)=0,"",IFERROR(G363/D363*1000,0))</f>
        <v/>
      </c>
      <c r="W363" s="18">
        <f>IF(COUNT(C363:O363)=0,"",IFERROR(H363/G363,0))</f>
        <v/>
      </c>
      <c r="X363" s="15">
        <f>IF(COUNT(C363:O363)=0,"",IFERROR(C363/H363,0))</f>
        <v/>
      </c>
      <c r="Y363" s="18">
        <f>IF(COUNT(C363:O363)=0,"",IFERROR(X363/P363,0))</f>
        <v/>
      </c>
      <c r="Z363" s="19">
        <f>IF(COUNT(C363:O363)=0,"",IFERROR(H363/D363*1000,0))</f>
        <v/>
      </c>
      <c r="AA363" s="18">
        <f>IF(COUNT(C363:O363)=0,"",IFERROR(I363/H363,0))</f>
        <v/>
      </c>
      <c r="AB363" s="18">
        <f>IF(COUNT(C363:O363)=0,"",IFERROR(J363/I363,0))</f>
        <v/>
      </c>
      <c r="AC363" s="18">
        <f>IF(COUNT(C363:O363)=0,"",IFERROR(K363/J363,0))</f>
        <v/>
      </c>
      <c r="AD363" s="15">
        <f>IF(COUNT(C363:O363)=0,"",IFERROR(C363/K363,0))</f>
        <v/>
      </c>
      <c r="AE363" s="18">
        <f>IF(COUNT(C363:O363)=0,"",IFERROR(L363/K363,0))</f>
        <v/>
      </c>
      <c r="AF363" s="18">
        <f>IF(COUNT(C363:O363)=0,"",IFERROR(M363/L363,0))</f>
        <v/>
      </c>
      <c r="AG363" s="17">
        <f>IF(COUNT(C363:O363)=0,"",IFERROR(M363/H363,0))</f>
        <v/>
      </c>
      <c r="AH363" s="15">
        <f>IF(COUNT(C363:O363)=0,"",IFERROR(C363/M363,0))</f>
        <v/>
      </c>
      <c r="AI363" s="20">
        <f>IF(COUNT(C363:O363)=0,"",IFERROR(M363*Config!$C$7+N363*Config!$C$8,0))</f>
        <v/>
      </c>
      <c r="AJ363" s="20">
        <f>IF(COUNT(C363:O363)=0,"",IFERROR(IF(O363&gt;0,O363,AI363*Config!$C$9),0))</f>
        <v/>
      </c>
      <c r="AK363" s="20">
        <f>IF(COUNT(C363:O363)=0,"",IFERROR(AJ363*(1-Config!$C$10-Config!$C$11-Config!$C$12),0))</f>
        <v/>
      </c>
      <c r="AL363" s="20">
        <f>IF(COUNT(C363:O363)=0,"",IFERROR(AK363-C363-Config!$C$13,0))</f>
        <v/>
      </c>
      <c r="AM363" s="21">
        <f>IF(COUNT(C363:O363)=0,"",IFERROR(AK363/C363,0))</f>
        <v/>
      </c>
      <c r="AN363" s="21">
        <f>IF(COUNT(C363:O363)=0,"",IFERROR(AI363/C363,0))</f>
        <v/>
      </c>
      <c r="AO363" s="15">
        <f>IF(COUNT(C363:O363)=0,"",IFERROR(AL363/G363,0))</f>
        <v/>
      </c>
      <c r="AP363" s="21">
        <f>IF(COUNT(C363:O363)=0,"",IFERROR(AO363/U363,0))</f>
        <v/>
      </c>
      <c r="AQ363" s="15">
        <f>IF(COUNT(C363:O363)=0,"",IFERROR(AL363/H363,0))</f>
        <v/>
      </c>
    </row>
    <row r="364">
      <c r="A364" s="12">
        <f>Config!$C$6+358</f>
        <v/>
      </c>
      <c r="B364" s="13">
        <f>INT((A364-Config!$C$6)/7)+1</f>
        <v/>
      </c>
      <c r="C364" s="10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0" t="n"/>
      <c r="P364" s="15">
        <f>IF(COUNT(C364:O364)=0,"",IFERROR(C364/D364*1000,0))</f>
        <v/>
      </c>
      <c r="Q364" s="16">
        <f>IF(COUNT(C364:O364)=0,"",IFERROR(D364/E364,0))</f>
        <v/>
      </c>
      <c r="R364" s="17">
        <f>IF(COUNT(C364:O364)=0,"",IFERROR(F364/D364,0))</f>
        <v/>
      </c>
      <c r="S364" s="15">
        <f>IF(COUNT(C364:O364)=0,"",IFERROR(C364/F364,0))</f>
        <v/>
      </c>
      <c r="T364" s="18">
        <f>IF(COUNT(C364:O364)=0,"",IFERROR(G364/F364,0))</f>
        <v/>
      </c>
      <c r="U364" s="15">
        <f>IF(COUNT(C364:O364)=0,"",IFERROR(C364/G364,0))</f>
        <v/>
      </c>
      <c r="V364" s="19">
        <f>IF(COUNT(C364:O364)=0,"",IFERROR(G364/D364*1000,0))</f>
        <v/>
      </c>
      <c r="W364" s="18">
        <f>IF(COUNT(C364:O364)=0,"",IFERROR(H364/G364,0))</f>
        <v/>
      </c>
      <c r="X364" s="15">
        <f>IF(COUNT(C364:O364)=0,"",IFERROR(C364/H364,0))</f>
        <v/>
      </c>
      <c r="Y364" s="18">
        <f>IF(COUNT(C364:O364)=0,"",IFERROR(X364/P364,0))</f>
        <v/>
      </c>
      <c r="Z364" s="19">
        <f>IF(COUNT(C364:O364)=0,"",IFERROR(H364/D364*1000,0))</f>
        <v/>
      </c>
      <c r="AA364" s="18">
        <f>IF(COUNT(C364:O364)=0,"",IFERROR(I364/H364,0))</f>
        <v/>
      </c>
      <c r="AB364" s="18">
        <f>IF(COUNT(C364:O364)=0,"",IFERROR(J364/I364,0))</f>
        <v/>
      </c>
      <c r="AC364" s="18">
        <f>IF(COUNT(C364:O364)=0,"",IFERROR(K364/J364,0))</f>
        <v/>
      </c>
      <c r="AD364" s="15">
        <f>IF(COUNT(C364:O364)=0,"",IFERROR(C364/K364,0))</f>
        <v/>
      </c>
      <c r="AE364" s="18">
        <f>IF(COUNT(C364:O364)=0,"",IFERROR(L364/K364,0))</f>
        <v/>
      </c>
      <c r="AF364" s="18">
        <f>IF(COUNT(C364:O364)=0,"",IFERROR(M364/L364,0))</f>
        <v/>
      </c>
      <c r="AG364" s="17">
        <f>IF(COUNT(C364:O364)=0,"",IFERROR(M364/H364,0))</f>
        <v/>
      </c>
      <c r="AH364" s="15">
        <f>IF(COUNT(C364:O364)=0,"",IFERROR(C364/M364,0))</f>
        <v/>
      </c>
      <c r="AI364" s="20">
        <f>IF(COUNT(C364:O364)=0,"",IFERROR(M364*Config!$C$7+N364*Config!$C$8,0))</f>
        <v/>
      </c>
      <c r="AJ364" s="20">
        <f>IF(COUNT(C364:O364)=0,"",IFERROR(IF(O364&gt;0,O364,AI364*Config!$C$9),0))</f>
        <v/>
      </c>
      <c r="AK364" s="20">
        <f>IF(COUNT(C364:O364)=0,"",IFERROR(AJ364*(1-Config!$C$10-Config!$C$11-Config!$C$12),0))</f>
        <v/>
      </c>
      <c r="AL364" s="20">
        <f>IF(COUNT(C364:O364)=0,"",IFERROR(AK364-C364-Config!$C$13,0))</f>
        <v/>
      </c>
      <c r="AM364" s="21">
        <f>IF(COUNT(C364:O364)=0,"",IFERROR(AK364/C364,0))</f>
        <v/>
      </c>
      <c r="AN364" s="21">
        <f>IF(COUNT(C364:O364)=0,"",IFERROR(AI364/C364,0))</f>
        <v/>
      </c>
      <c r="AO364" s="15">
        <f>IF(COUNT(C364:O364)=0,"",IFERROR(AL364/G364,0))</f>
        <v/>
      </c>
      <c r="AP364" s="21">
        <f>IF(COUNT(C364:O364)=0,"",IFERROR(AO364/U364,0))</f>
        <v/>
      </c>
      <c r="AQ364" s="15">
        <f>IF(COUNT(C364:O364)=0,"",IFERROR(AL364/H364,0))</f>
        <v/>
      </c>
    </row>
    <row r="365">
      <c r="A365" s="12">
        <f>Config!$C$6+359</f>
        <v/>
      </c>
      <c r="B365" s="13">
        <f>INT((A365-Config!$C$6)/7)+1</f>
        <v/>
      </c>
      <c r="C365" s="10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0" t="n"/>
      <c r="P365" s="15">
        <f>IF(COUNT(C365:O365)=0,"",IFERROR(C365/D365*1000,0))</f>
        <v/>
      </c>
      <c r="Q365" s="16">
        <f>IF(COUNT(C365:O365)=0,"",IFERROR(D365/E365,0))</f>
        <v/>
      </c>
      <c r="R365" s="17">
        <f>IF(COUNT(C365:O365)=0,"",IFERROR(F365/D365,0))</f>
        <v/>
      </c>
      <c r="S365" s="15">
        <f>IF(COUNT(C365:O365)=0,"",IFERROR(C365/F365,0))</f>
        <v/>
      </c>
      <c r="T365" s="18">
        <f>IF(COUNT(C365:O365)=0,"",IFERROR(G365/F365,0))</f>
        <v/>
      </c>
      <c r="U365" s="15">
        <f>IF(COUNT(C365:O365)=0,"",IFERROR(C365/G365,0))</f>
        <v/>
      </c>
      <c r="V365" s="19">
        <f>IF(COUNT(C365:O365)=0,"",IFERROR(G365/D365*1000,0))</f>
        <v/>
      </c>
      <c r="W365" s="18">
        <f>IF(COUNT(C365:O365)=0,"",IFERROR(H365/G365,0))</f>
        <v/>
      </c>
      <c r="X365" s="15">
        <f>IF(COUNT(C365:O365)=0,"",IFERROR(C365/H365,0))</f>
        <v/>
      </c>
      <c r="Y365" s="18">
        <f>IF(COUNT(C365:O365)=0,"",IFERROR(X365/P365,0))</f>
        <v/>
      </c>
      <c r="Z365" s="19">
        <f>IF(COUNT(C365:O365)=0,"",IFERROR(H365/D365*1000,0))</f>
        <v/>
      </c>
      <c r="AA365" s="18">
        <f>IF(COUNT(C365:O365)=0,"",IFERROR(I365/H365,0))</f>
        <v/>
      </c>
      <c r="AB365" s="18">
        <f>IF(COUNT(C365:O365)=0,"",IFERROR(J365/I365,0))</f>
        <v/>
      </c>
      <c r="AC365" s="18">
        <f>IF(COUNT(C365:O365)=0,"",IFERROR(K365/J365,0))</f>
        <v/>
      </c>
      <c r="AD365" s="15">
        <f>IF(COUNT(C365:O365)=0,"",IFERROR(C365/K365,0))</f>
        <v/>
      </c>
      <c r="AE365" s="18">
        <f>IF(COUNT(C365:O365)=0,"",IFERROR(L365/K365,0))</f>
        <v/>
      </c>
      <c r="AF365" s="18">
        <f>IF(COUNT(C365:O365)=0,"",IFERROR(M365/L365,0))</f>
        <v/>
      </c>
      <c r="AG365" s="17">
        <f>IF(COUNT(C365:O365)=0,"",IFERROR(M365/H365,0))</f>
        <v/>
      </c>
      <c r="AH365" s="15">
        <f>IF(COUNT(C365:O365)=0,"",IFERROR(C365/M365,0))</f>
        <v/>
      </c>
      <c r="AI365" s="20">
        <f>IF(COUNT(C365:O365)=0,"",IFERROR(M365*Config!$C$7+N365*Config!$C$8,0))</f>
        <v/>
      </c>
      <c r="AJ365" s="20">
        <f>IF(COUNT(C365:O365)=0,"",IFERROR(IF(O365&gt;0,O365,AI365*Config!$C$9),0))</f>
        <v/>
      </c>
      <c r="AK365" s="20">
        <f>IF(COUNT(C365:O365)=0,"",IFERROR(AJ365*(1-Config!$C$10-Config!$C$11-Config!$C$12),0))</f>
        <v/>
      </c>
      <c r="AL365" s="20">
        <f>IF(COUNT(C365:O365)=0,"",IFERROR(AK365-C365-Config!$C$13,0))</f>
        <v/>
      </c>
      <c r="AM365" s="21">
        <f>IF(COUNT(C365:O365)=0,"",IFERROR(AK365/C365,0))</f>
        <v/>
      </c>
      <c r="AN365" s="21">
        <f>IF(COUNT(C365:O365)=0,"",IFERROR(AI365/C365,0))</f>
        <v/>
      </c>
      <c r="AO365" s="15">
        <f>IF(COUNT(C365:O365)=0,"",IFERROR(AL365/G365,0))</f>
        <v/>
      </c>
      <c r="AP365" s="21">
        <f>IF(COUNT(C365:O365)=0,"",IFERROR(AO365/U365,0))</f>
        <v/>
      </c>
      <c r="AQ365" s="15">
        <f>IF(COUNT(C365:O365)=0,"",IFERROR(AL365/H365,0))</f>
        <v/>
      </c>
    </row>
    <row r="366">
      <c r="A366" s="12">
        <f>Config!$C$6+360</f>
        <v/>
      </c>
      <c r="B366" s="13">
        <f>INT((A366-Config!$C$6)/7)+1</f>
        <v/>
      </c>
      <c r="C366" s="10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0" t="n"/>
      <c r="P366" s="15">
        <f>IF(COUNT(C366:O366)=0,"",IFERROR(C366/D366*1000,0))</f>
        <v/>
      </c>
      <c r="Q366" s="16">
        <f>IF(COUNT(C366:O366)=0,"",IFERROR(D366/E366,0))</f>
        <v/>
      </c>
      <c r="R366" s="17">
        <f>IF(COUNT(C366:O366)=0,"",IFERROR(F366/D366,0))</f>
        <v/>
      </c>
      <c r="S366" s="15">
        <f>IF(COUNT(C366:O366)=0,"",IFERROR(C366/F366,0))</f>
        <v/>
      </c>
      <c r="T366" s="18">
        <f>IF(COUNT(C366:O366)=0,"",IFERROR(G366/F366,0))</f>
        <v/>
      </c>
      <c r="U366" s="15">
        <f>IF(COUNT(C366:O366)=0,"",IFERROR(C366/G366,0))</f>
        <v/>
      </c>
      <c r="V366" s="19">
        <f>IF(COUNT(C366:O366)=0,"",IFERROR(G366/D366*1000,0))</f>
        <v/>
      </c>
      <c r="W366" s="18">
        <f>IF(COUNT(C366:O366)=0,"",IFERROR(H366/G366,0))</f>
        <v/>
      </c>
      <c r="X366" s="15">
        <f>IF(COUNT(C366:O366)=0,"",IFERROR(C366/H366,0))</f>
        <v/>
      </c>
      <c r="Y366" s="18">
        <f>IF(COUNT(C366:O366)=0,"",IFERROR(X366/P366,0))</f>
        <v/>
      </c>
      <c r="Z366" s="19">
        <f>IF(COUNT(C366:O366)=0,"",IFERROR(H366/D366*1000,0))</f>
        <v/>
      </c>
      <c r="AA366" s="18">
        <f>IF(COUNT(C366:O366)=0,"",IFERROR(I366/H366,0))</f>
        <v/>
      </c>
      <c r="AB366" s="18">
        <f>IF(COUNT(C366:O366)=0,"",IFERROR(J366/I366,0))</f>
        <v/>
      </c>
      <c r="AC366" s="18">
        <f>IF(COUNT(C366:O366)=0,"",IFERROR(K366/J366,0))</f>
        <v/>
      </c>
      <c r="AD366" s="15">
        <f>IF(COUNT(C366:O366)=0,"",IFERROR(C366/K366,0))</f>
        <v/>
      </c>
      <c r="AE366" s="18">
        <f>IF(COUNT(C366:O366)=0,"",IFERROR(L366/K366,0))</f>
        <v/>
      </c>
      <c r="AF366" s="18">
        <f>IF(COUNT(C366:O366)=0,"",IFERROR(M366/L366,0))</f>
        <v/>
      </c>
      <c r="AG366" s="17">
        <f>IF(COUNT(C366:O366)=0,"",IFERROR(M366/H366,0))</f>
        <v/>
      </c>
      <c r="AH366" s="15">
        <f>IF(COUNT(C366:O366)=0,"",IFERROR(C366/M366,0))</f>
        <v/>
      </c>
      <c r="AI366" s="20">
        <f>IF(COUNT(C366:O366)=0,"",IFERROR(M366*Config!$C$7+N366*Config!$C$8,0))</f>
        <v/>
      </c>
      <c r="AJ366" s="20">
        <f>IF(COUNT(C366:O366)=0,"",IFERROR(IF(O366&gt;0,O366,AI366*Config!$C$9),0))</f>
        <v/>
      </c>
      <c r="AK366" s="20">
        <f>IF(COUNT(C366:O366)=0,"",IFERROR(AJ366*(1-Config!$C$10-Config!$C$11-Config!$C$12),0))</f>
        <v/>
      </c>
      <c r="AL366" s="20">
        <f>IF(COUNT(C366:O366)=0,"",IFERROR(AK366-C366-Config!$C$13,0))</f>
        <v/>
      </c>
      <c r="AM366" s="21">
        <f>IF(COUNT(C366:O366)=0,"",IFERROR(AK366/C366,0))</f>
        <v/>
      </c>
      <c r="AN366" s="21">
        <f>IF(COUNT(C366:O366)=0,"",IFERROR(AI366/C366,0))</f>
        <v/>
      </c>
      <c r="AO366" s="15">
        <f>IF(COUNT(C366:O366)=0,"",IFERROR(AL366/G366,0))</f>
        <v/>
      </c>
      <c r="AP366" s="21">
        <f>IF(COUNT(C366:O366)=0,"",IFERROR(AO366/U366,0))</f>
        <v/>
      </c>
      <c r="AQ366" s="15">
        <f>IF(COUNT(C366:O366)=0,"",IFERROR(AL366/H366,0))</f>
        <v/>
      </c>
    </row>
    <row r="367">
      <c r="A367" s="12">
        <f>Config!$C$6+361</f>
        <v/>
      </c>
      <c r="B367" s="13">
        <f>INT((A367-Config!$C$6)/7)+1</f>
        <v/>
      </c>
      <c r="C367" s="10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0" t="n"/>
      <c r="P367" s="15">
        <f>IF(COUNT(C367:O367)=0,"",IFERROR(C367/D367*1000,0))</f>
        <v/>
      </c>
      <c r="Q367" s="16">
        <f>IF(COUNT(C367:O367)=0,"",IFERROR(D367/E367,0))</f>
        <v/>
      </c>
      <c r="R367" s="17">
        <f>IF(COUNT(C367:O367)=0,"",IFERROR(F367/D367,0))</f>
        <v/>
      </c>
      <c r="S367" s="15">
        <f>IF(COUNT(C367:O367)=0,"",IFERROR(C367/F367,0))</f>
        <v/>
      </c>
      <c r="T367" s="18">
        <f>IF(COUNT(C367:O367)=0,"",IFERROR(G367/F367,0))</f>
        <v/>
      </c>
      <c r="U367" s="15">
        <f>IF(COUNT(C367:O367)=0,"",IFERROR(C367/G367,0))</f>
        <v/>
      </c>
      <c r="V367" s="19">
        <f>IF(COUNT(C367:O367)=0,"",IFERROR(G367/D367*1000,0))</f>
        <v/>
      </c>
      <c r="W367" s="18">
        <f>IF(COUNT(C367:O367)=0,"",IFERROR(H367/G367,0))</f>
        <v/>
      </c>
      <c r="X367" s="15">
        <f>IF(COUNT(C367:O367)=0,"",IFERROR(C367/H367,0))</f>
        <v/>
      </c>
      <c r="Y367" s="18">
        <f>IF(COUNT(C367:O367)=0,"",IFERROR(X367/P367,0))</f>
        <v/>
      </c>
      <c r="Z367" s="19">
        <f>IF(COUNT(C367:O367)=0,"",IFERROR(H367/D367*1000,0))</f>
        <v/>
      </c>
      <c r="AA367" s="18">
        <f>IF(COUNT(C367:O367)=0,"",IFERROR(I367/H367,0))</f>
        <v/>
      </c>
      <c r="AB367" s="18">
        <f>IF(COUNT(C367:O367)=0,"",IFERROR(J367/I367,0))</f>
        <v/>
      </c>
      <c r="AC367" s="18">
        <f>IF(COUNT(C367:O367)=0,"",IFERROR(K367/J367,0))</f>
        <v/>
      </c>
      <c r="AD367" s="15">
        <f>IF(COUNT(C367:O367)=0,"",IFERROR(C367/K367,0))</f>
        <v/>
      </c>
      <c r="AE367" s="18">
        <f>IF(COUNT(C367:O367)=0,"",IFERROR(L367/K367,0))</f>
        <v/>
      </c>
      <c r="AF367" s="18">
        <f>IF(COUNT(C367:O367)=0,"",IFERROR(M367/L367,0))</f>
        <v/>
      </c>
      <c r="AG367" s="17">
        <f>IF(COUNT(C367:O367)=0,"",IFERROR(M367/H367,0))</f>
        <v/>
      </c>
      <c r="AH367" s="15">
        <f>IF(COUNT(C367:O367)=0,"",IFERROR(C367/M367,0))</f>
        <v/>
      </c>
      <c r="AI367" s="20">
        <f>IF(COUNT(C367:O367)=0,"",IFERROR(M367*Config!$C$7+N367*Config!$C$8,0))</f>
        <v/>
      </c>
      <c r="AJ367" s="20">
        <f>IF(COUNT(C367:O367)=0,"",IFERROR(IF(O367&gt;0,O367,AI367*Config!$C$9),0))</f>
        <v/>
      </c>
      <c r="AK367" s="20">
        <f>IF(COUNT(C367:O367)=0,"",IFERROR(AJ367*(1-Config!$C$10-Config!$C$11-Config!$C$12),0))</f>
        <v/>
      </c>
      <c r="AL367" s="20">
        <f>IF(COUNT(C367:O367)=0,"",IFERROR(AK367-C367-Config!$C$13,0))</f>
        <v/>
      </c>
      <c r="AM367" s="21">
        <f>IF(COUNT(C367:O367)=0,"",IFERROR(AK367/C367,0))</f>
        <v/>
      </c>
      <c r="AN367" s="21">
        <f>IF(COUNT(C367:O367)=0,"",IFERROR(AI367/C367,0))</f>
        <v/>
      </c>
      <c r="AO367" s="15">
        <f>IF(COUNT(C367:O367)=0,"",IFERROR(AL367/G367,0))</f>
        <v/>
      </c>
      <c r="AP367" s="21">
        <f>IF(COUNT(C367:O367)=0,"",IFERROR(AO367/U367,0))</f>
        <v/>
      </c>
      <c r="AQ367" s="15">
        <f>IF(COUNT(C367:O367)=0,"",IFERROR(AL367/H367,0))</f>
        <v/>
      </c>
    </row>
    <row r="368">
      <c r="A368" s="12">
        <f>Config!$C$6+362</f>
        <v/>
      </c>
      <c r="B368" s="13">
        <f>INT((A368-Config!$C$6)/7)+1</f>
        <v/>
      </c>
      <c r="C368" s="10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0" t="n"/>
      <c r="P368" s="15">
        <f>IF(COUNT(C368:O368)=0,"",IFERROR(C368/D368*1000,0))</f>
        <v/>
      </c>
      <c r="Q368" s="16">
        <f>IF(COUNT(C368:O368)=0,"",IFERROR(D368/E368,0))</f>
        <v/>
      </c>
      <c r="R368" s="17">
        <f>IF(COUNT(C368:O368)=0,"",IFERROR(F368/D368,0))</f>
        <v/>
      </c>
      <c r="S368" s="15">
        <f>IF(COUNT(C368:O368)=0,"",IFERROR(C368/F368,0))</f>
        <v/>
      </c>
      <c r="T368" s="18">
        <f>IF(COUNT(C368:O368)=0,"",IFERROR(G368/F368,0))</f>
        <v/>
      </c>
      <c r="U368" s="15">
        <f>IF(COUNT(C368:O368)=0,"",IFERROR(C368/G368,0))</f>
        <v/>
      </c>
      <c r="V368" s="19">
        <f>IF(COUNT(C368:O368)=0,"",IFERROR(G368/D368*1000,0))</f>
        <v/>
      </c>
      <c r="W368" s="18">
        <f>IF(COUNT(C368:O368)=0,"",IFERROR(H368/G368,0))</f>
        <v/>
      </c>
      <c r="X368" s="15">
        <f>IF(COUNT(C368:O368)=0,"",IFERROR(C368/H368,0))</f>
        <v/>
      </c>
      <c r="Y368" s="18">
        <f>IF(COUNT(C368:O368)=0,"",IFERROR(X368/P368,0))</f>
        <v/>
      </c>
      <c r="Z368" s="19">
        <f>IF(COUNT(C368:O368)=0,"",IFERROR(H368/D368*1000,0))</f>
        <v/>
      </c>
      <c r="AA368" s="18">
        <f>IF(COUNT(C368:O368)=0,"",IFERROR(I368/H368,0))</f>
        <v/>
      </c>
      <c r="AB368" s="18">
        <f>IF(COUNT(C368:O368)=0,"",IFERROR(J368/I368,0))</f>
        <v/>
      </c>
      <c r="AC368" s="18">
        <f>IF(COUNT(C368:O368)=0,"",IFERROR(K368/J368,0))</f>
        <v/>
      </c>
      <c r="AD368" s="15">
        <f>IF(COUNT(C368:O368)=0,"",IFERROR(C368/K368,0))</f>
        <v/>
      </c>
      <c r="AE368" s="18">
        <f>IF(COUNT(C368:O368)=0,"",IFERROR(L368/K368,0))</f>
        <v/>
      </c>
      <c r="AF368" s="18">
        <f>IF(COUNT(C368:O368)=0,"",IFERROR(M368/L368,0))</f>
        <v/>
      </c>
      <c r="AG368" s="17">
        <f>IF(COUNT(C368:O368)=0,"",IFERROR(M368/H368,0))</f>
        <v/>
      </c>
      <c r="AH368" s="15">
        <f>IF(COUNT(C368:O368)=0,"",IFERROR(C368/M368,0))</f>
        <v/>
      </c>
      <c r="AI368" s="20">
        <f>IF(COUNT(C368:O368)=0,"",IFERROR(M368*Config!$C$7+N368*Config!$C$8,0))</f>
        <v/>
      </c>
      <c r="AJ368" s="20">
        <f>IF(COUNT(C368:O368)=0,"",IFERROR(IF(O368&gt;0,O368,AI368*Config!$C$9),0))</f>
        <v/>
      </c>
      <c r="AK368" s="20">
        <f>IF(COUNT(C368:O368)=0,"",IFERROR(AJ368*(1-Config!$C$10-Config!$C$11-Config!$C$12),0))</f>
        <v/>
      </c>
      <c r="AL368" s="20">
        <f>IF(COUNT(C368:O368)=0,"",IFERROR(AK368-C368-Config!$C$13,0))</f>
        <v/>
      </c>
      <c r="AM368" s="21">
        <f>IF(COUNT(C368:O368)=0,"",IFERROR(AK368/C368,0))</f>
        <v/>
      </c>
      <c r="AN368" s="21">
        <f>IF(COUNT(C368:O368)=0,"",IFERROR(AI368/C368,0))</f>
        <v/>
      </c>
      <c r="AO368" s="15">
        <f>IF(COUNT(C368:O368)=0,"",IFERROR(AL368/G368,0))</f>
        <v/>
      </c>
      <c r="AP368" s="21">
        <f>IF(COUNT(C368:O368)=0,"",IFERROR(AO368/U368,0))</f>
        <v/>
      </c>
      <c r="AQ368" s="15">
        <f>IF(COUNT(C368:O368)=0,"",IFERROR(AL368/H368,0))</f>
        <v/>
      </c>
    </row>
    <row r="369">
      <c r="A369" s="12">
        <f>Config!$C$6+363</f>
        <v/>
      </c>
      <c r="B369" s="13">
        <f>INT((A369-Config!$C$6)/7)+1</f>
        <v/>
      </c>
      <c r="C369" s="10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0" t="n"/>
      <c r="P369" s="15">
        <f>IF(COUNT(C369:O369)=0,"",IFERROR(C369/D369*1000,0))</f>
        <v/>
      </c>
      <c r="Q369" s="16">
        <f>IF(COUNT(C369:O369)=0,"",IFERROR(D369/E369,0))</f>
        <v/>
      </c>
      <c r="R369" s="17">
        <f>IF(COUNT(C369:O369)=0,"",IFERROR(F369/D369,0))</f>
        <v/>
      </c>
      <c r="S369" s="15">
        <f>IF(COUNT(C369:O369)=0,"",IFERROR(C369/F369,0))</f>
        <v/>
      </c>
      <c r="T369" s="18">
        <f>IF(COUNT(C369:O369)=0,"",IFERROR(G369/F369,0))</f>
        <v/>
      </c>
      <c r="U369" s="15">
        <f>IF(COUNT(C369:O369)=0,"",IFERROR(C369/G369,0))</f>
        <v/>
      </c>
      <c r="V369" s="19">
        <f>IF(COUNT(C369:O369)=0,"",IFERROR(G369/D369*1000,0))</f>
        <v/>
      </c>
      <c r="W369" s="18">
        <f>IF(COUNT(C369:O369)=0,"",IFERROR(H369/G369,0))</f>
        <v/>
      </c>
      <c r="X369" s="15">
        <f>IF(COUNT(C369:O369)=0,"",IFERROR(C369/H369,0))</f>
        <v/>
      </c>
      <c r="Y369" s="18">
        <f>IF(COUNT(C369:O369)=0,"",IFERROR(X369/P369,0))</f>
        <v/>
      </c>
      <c r="Z369" s="19">
        <f>IF(COUNT(C369:O369)=0,"",IFERROR(H369/D369*1000,0))</f>
        <v/>
      </c>
      <c r="AA369" s="18">
        <f>IF(COUNT(C369:O369)=0,"",IFERROR(I369/H369,0))</f>
        <v/>
      </c>
      <c r="AB369" s="18">
        <f>IF(COUNT(C369:O369)=0,"",IFERROR(J369/I369,0))</f>
        <v/>
      </c>
      <c r="AC369" s="18">
        <f>IF(COUNT(C369:O369)=0,"",IFERROR(K369/J369,0))</f>
        <v/>
      </c>
      <c r="AD369" s="15">
        <f>IF(COUNT(C369:O369)=0,"",IFERROR(C369/K369,0))</f>
        <v/>
      </c>
      <c r="AE369" s="18">
        <f>IF(COUNT(C369:O369)=0,"",IFERROR(L369/K369,0))</f>
        <v/>
      </c>
      <c r="AF369" s="18">
        <f>IF(COUNT(C369:O369)=0,"",IFERROR(M369/L369,0))</f>
        <v/>
      </c>
      <c r="AG369" s="17">
        <f>IF(COUNT(C369:O369)=0,"",IFERROR(M369/H369,0))</f>
        <v/>
      </c>
      <c r="AH369" s="15">
        <f>IF(COUNT(C369:O369)=0,"",IFERROR(C369/M369,0))</f>
        <v/>
      </c>
      <c r="AI369" s="20">
        <f>IF(COUNT(C369:O369)=0,"",IFERROR(M369*Config!$C$7+N369*Config!$C$8,0))</f>
        <v/>
      </c>
      <c r="AJ369" s="20">
        <f>IF(COUNT(C369:O369)=0,"",IFERROR(IF(O369&gt;0,O369,AI369*Config!$C$9),0))</f>
        <v/>
      </c>
      <c r="AK369" s="20">
        <f>IF(COUNT(C369:O369)=0,"",IFERROR(AJ369*(1-Config!$C$10-Config!$C$11-Config!$C$12),0))</f>
        <v/>
      </c>
      <c r="AL369" s="20">
        <f>IF(COUNT(C369:O369)=0,"",IFERROR(AK369-C369-Config!$C$13,0))</f>
        <v/>
      </c>
      <c r="AM369" s="21">
        <f>IF(COUNT(C369:O369)=0,"",IFERROR(AK369/C369,0))</f>
        <v/>
      </c>
      <c r="AN369" s="21">
        <f>IF(COUNT(C369:O369)=0,"",IFERROR(AI369/C369,0))</f>
        <v/>
      </c>
      <c r="AO369" s="15">
        <f>IF(COUNT(C369:O369)=0,"",IFERROR(AL369/G369,0))</f>
        <v/>
      </c>
      <c r="AP369" s="21">
        <f>IF(COUNT(C369:O369)=0,"",IFERROR(AO369/U369,0))</f>
        <v/>
      </c>
      <c r="AQ369" s="15">
        <f>IF(COUNT(C369:O369)=0,"",IFERROR(AL369/H369,0))</f>
        <v/>
      </c>
    </row>
    <row r="370">
      <c r="A370" s="12">
        <f>Config!$C$6+364</f>
        <v/>
      </c>
      <c r="B370" s="13">
        <f>INT((A370-Config!$C$6)/7)+1</f>
        <v/>
      </c>
      <c r="C370" s="10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0" t="n"/>
      <c r="P370" s="15">
        <f>IF(COUNT(C370:O370)=0,"",IFERROR(C370/D370*1000,0))</f>
        <v/>
      </c>
      <c r="Q370" s="16">
        <f>IF(COUNT(C370:O370)=0,"",IFERROR(D370/E370,0))</f>
        <v/>
      </c>
      <c r="R370" s="17">
        <f>IF(COUNT(C370:O370)=0,"",IFERROR(F370/D370,0))</f>
        <v/>
      </c>
      <c r="S370" s="15">
        <f>IF(COUNT(C370:O370)=0,"",IFERROR(C370/F370,0))</f>
        <v/>
      </c>
      <c r="T370" s="18">
        <f>IF(COUNT(C370:O370)=0,"",IFERROR(G370/F370,0))</f>
        <v/>
      </c>
      <c r="U370" s="15">
        <f>IF(COUNT(C370:O370)=0,"",IFERROR(C370/G370,0))</f>
        <v/>
      </c>
      <c r="V370" s="19">
        <f>IF(COUNT(C370:O370)=0,"",IFERROR(G370/D370*1000,0))</f>
        <v/>
      </c>
      <c r="W370" s="18">
        <f>IF(COUNT(C370:O370)=0,"",IFERROR(H370/G370,0))</f>
        <v/>
      </c>
      <c r="X370" s="15">
        <f>IF(COUNT(C370:O370)=0,"",IFERROR(C370/H370,0))</f>
        <v/>
      </c>
      <c r="Y370" s="18">
        <f>IF(COUNT(C370:O370)=0,"",IFERROR(X370/P370,0))</f>
        <v/>
      </c>
      <c r="Z370" s="19">
        <f>IF(COUNT(C370:O370)=0,"",IFERROR(H370/D370*1000,0))</f>
        <v/>
      </c>
      <c r="AA370" s="18">
        <f>IF(COUNT(C370:O370)=0,"",IFERROR(I370/H370,0))</f>
        <v/>
      </c>
      <c r="AB370" s="18">
        <f>IF(COUNT(C370:O370)=0,"",IFERROR(J370/I370,0))</f>
        <v/>
      </c>
      <c r="AC370" s="18">
        <f>IF(COUNT(C370:O370)=0,"",IFERROR(K370/J370,0))</f>
        <v/>
      </c>
      <c r="AD370" s="15">
        <f>IF(COUNT(C370:O370)=0,"",IFERROR(C370/K370,0))</f>
        <v/>
      </c>
      <c r="AE370" s="18">
        <f>IF(COUNT(C370:O370)=0,"",IFERROR(L370/K370,0))</f>
        <v/>
      </c>
      <c r="AF370" s="18">
        <f>IF(COUNT(C370:O370)=0,"",IFERROR(M370/L370,0))</f>
        <v/>
      </c>
      <c r="AG370" s="17">
        <f>IF(COUNT(C370:O370)=0,"",IFERROR(M370/H370,0))</f>
        <v/>
      </c>
      <c r="AH370" s="15">
        <f>IF(COUNT(C370:O370)=0,"",IFERROR(C370/M370,0))</f>
        <v/>
      </c>
      <c r="AI370" s="20">
        <f>IF(COUNT(C370:O370)=0,"",IFERROR(M370*Config!$C$7+N370*Config!$C$8,0))</f>
        <v/>
      </c>
      <c r="AJ370" s="20">
        <f>IF(COUNT(C370:O370)=0,"",IFERROR(IF(O370&gt;0,O370,AI370*Config!$C$9),0))</f>
        <v/>
      </c>
      <c r="AK370" s="20">
        <f>IF(COUNT(C370:O370)=0,"",IFERROR(AJ370*(1-Config!$C$10-Config!$C$11-Config!$C$12),0))</f>
        <v/>
      </c>
      <c r="AL370" s="20">
        <f>IF(COUNT(C370:O370)=0,"",IFERROR(AK370-C370-Config!$C$13,0))</f>
        <v/>
      </c>
      <c r="AM370" s="21">
        <f>IF(COUNT(C370:O370)=0,"",IFERROR(AK370/C370,0))</f>
        <v/>
      </c>
      <c r="AN370" s="21">
        <f>IF(COUNT(C370:O370)=0,"",IFERROR(AI370/C370,0))</f>
        <v/>
      </c>
      <c r="AO370" s="15">
        <f>IF(COUNT(C370:O370)=0,"",IFERROR(AL370/G370,0))</f>
        <v/>
      </c>
      <c r="AP370" s="21">
        <f>IF(COUNT(C370:O370)=0,"",IFERROR(AO370/U370,0))</f>
        <v/>
      </c>
      <c r="AQ370" s="15">
        <f>IF(COUNT(C370:O370)=0,"",IFERROR(AL370/H370,0))</f>
        <v/>
      </c>
    </row>
    <row r="371">
      <c r="A371" s="12">
        <f>Config!$C$6+365</f>
        <v/>
      </c>
      <c r="B371" s="13">
        <f>INT((A371-Config!$C$6)/7)+1</f>
        <v/>
      </c>
      <c r="C371" s="10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0" t="n"/>
      <c r="P371" s="15">
        <f>IF(COUNT(C371:O371)=0,"",IFERROR(C371/D371*1000,0))</f>
        <v/>
      </c>
      <c r="Q371" s="16">
        <f>IF(COUNT(C371:O371)=0,"",IFERROR(D371/E371,0))</f>
        <v/>
      </c>
      <c r="R371" s="17">
        <f>IF(COUNT(C371:O371)=0,"",IFERROR(F371/D371,0))</f>
        <v/>
      </c>
      <c r="S371" s="15">
        <f>IF(COUNT(C371:O371)=0,"",IFERROR(C371/F371,0))</f>
        <v/>
      </c>
      <c r="T371" s="18">
        <f>IF(COUNT(C371:O371)=0,"",IFERROR(G371/F371,0))</f>
        <v/>
      </c>
      <c r="U371" s="15">
        <f>IF(COUNT(C371:O371)=0,"",IFERROR(C371/G371,0))</f>
        <v/>
      </c>
      <c r="V371" s="19">
        <f>IF(COUNT(C371:O371)=0,"",IFERROR(G371/D371*1000,0))</f>
        <v/>
      </c>
      <c r="W371" s="18">
        <f>IF(COUNT(C371:O371)=0,"",IFERROR(H371/G371,0))</f>
        <v/>
      </c>
      <c r="X371" s="15">
        <f>IF(COUNT(C371:O371)=0,"",IFERROR(C371/H371,0))</f>
        <v/>
      </c>
      <c r="Y371" s="18">
        <f>IF(COUNT(C371:O371)=0,"",IFERROR(X371/P371,0))</f>
        <v/>
      </c>
      <c r="Z371" s="19">
        <f>IF(COUNT(C371:O371)=0,"",IFERROR(H371/D371*1000,0))</f>
        <v/>
      </c>
      <c r="AA371" s="18">
        <f>IF(COUNT(C371:O371)=0,"",IFERROR(I371/H371,0))</f>
        <v/>
      </c>
      <c r="AB371" s="18">
        <f>IF(COUNT(C371:O371)=0,"",IFERROR(J371/I371,0))</f>
        <v/>
      </c>
      <c r="AC371" s="18">
        <f>IF(COUNT(C371:O371)=0,"",IFERROR(K371/J371,0))</f>
        <v/>
      </c>
      <c r="AD371" s="15">
        <f>IF(COUNT(C371:O371)=0,"",IFERROR(C371/K371,0))</f>
        <v/>
      </c>
      <c r="AE371" s="18">
        <f>IF(COUNT(C371:O371)=0,"",IFERROR(L371/K371,0))</f>
        <v/>
      </c>
      <c r="AF371" s="18">
        <f>IF(COUNT(C371:O371)=0,"",IFERROR(M371/L371,0))</f>
        <v/>
      </c>
      <c r="AG371" s="17">
        <f>IF(COUNT(C371:O371)=0,"",IFERROR(M371/H371,0))</f>
        <v/>
      </c>
      <c r="AH371" s="15">
        <f>IF(COUNT(C371:O371)=0,"",IFERROR(C371/M371,0))</f>
        <v/>
      </c>
      <c r="AI371" s="20">
        <f>IF(COUNT(C371:O371)=0,"",IFERROR(M371*Config!$C$7+N371*Config!$C$8,0))</f>
        <v/>
      </c>
      <c r="AJ371" s="20">
        <f>IF(COUNT(C371:O371)=0,"",IFERROR(IF(O371&gt;0,O371,AI371*Config!$C$9),0))</f>
        <v/>
      </c>
      <c r="AK371" s="20">
        <f>IF(COUNT(C371:O371)=0,"",IFERROR(AJ371*(1-Config!$C$10-Config!$C$11-Config!$C$12),0))</f>
        <v/>
      </c>
      <c r="AL371" s="20">
        <f>IF(COUNT(C371:O371)=0,"",IFERROR(AK371-C371-Config!$C$13,0))</f>
        <v/>
      </c>
      <c r="AM371" s="21">
        <f>IF(COUNT(C371:O371)=0,"",IFERROR(AK371/C371,0))</f>
        <v/>
      </c>
      <c r="AN371" s="21">
        <f>IF(COUNT(C371:O371)=0,"",IFERROR(AI371/C371,0))</f>
        <v/>
      </c>
      <c r="AO371" s="15">
        <f>IF(COUNT(C371:O371)=0,"",IFERROR(AL371/G371,0))</f>
        <v/>
      </c>
      <c r="AP371" s="21">
        <f>IF(COUNT(C371:O371)=0,"",IFERROR(AO371/U371,0))</f>
        <v/>
      </c>
      <c r="AQ371" s="15">
        <f>IF(COUNT(C371:O371)=0,"",IFERROR(AL371/H371,0))</f>
        <v/>
      </c>
    </row>
    <row r="374">
      <c r="A374" s="3" t="inlineStr">
        <is>
          <t>Modelo financiero de embudos · creado por Jesús Tassarolo · TooAudience · youtube.com/@JesusTassaroloSinFiltro · v1.2 · octubre 2026</t>
        </is>
      </c>
    </row>
  </sheetData>
  <pageMargins left="0.75" right="0.75" top="1" bottom="1" header="0.5" footer="0.5"/>
  <headerFooter>
    <oddHeader>&amp;CJesús Tassarolo · TooAudience&amp;R&amp;D</oddHeader>
    <oddFooter>&amp;LModelo financiero de embudos · creado por Jesús Tassarolo · TooAudience · youtube.com/@JesusTassaroloSinFiltro&amp;RPágina &amp;P de &amp;N</oddFooter>
    <evenHeader>&amp;CJesús Tassarolo · TooAudience</evenHeader>
    <evenFooter>&amp;LModelo financiero de embudos · creado por Jesús Tassarolo · TooAudience · youtube.com/@JesusTassaroloSinFiltro&amp;RPágina &amp;P de &amp;N</evenFooter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© Jesús Tassarolo · TooAudience · youtube.com/@JesusTassaroloSinFiltro · uso personal; no redistribuir modificado</t>
        </is>
      </c>
    </row>
    <row r="2">
      <c r="A2" s="2" t="inlineStr">
        <is>
          <t>Semanal: el comparativo semana a semana, calculado solo desde Diario</t>
        </is>
      </c>
    </row>
    <row r="3">
      <c r="A3" s="3" t="inlineStr">
        <is>
          <t>Promedio, mediana, mejor y peor de tus semanas con datos. Abajo, el bloque «contra tu promedio»: cada semana contra la mediana de tus 4 semanas anteriores, con la tolerancia de Config. Ese es el umbral: tu promedio, no un número de mercado.</t>
        </is>
      </c>
    </row>
    <row r="4">
      <c r="B4" s="4" t="inlineStr">
        <is>
          <t>Lunes de la semana</t>
        </is>
      </c>
      <c r="C4" s="12">
        <f>Config!$C$6+0</f>
        <v/>
      </c>
      <c r="D4" s="12">
        <f>Config!$C$6+7</f>
        <v/>
      </c>
      <c r="E4" s="12">
        <f>Config!$C$6+14</f>
        <v/>
      </c>
      <c r="F4" s="12">
        <f>Config!$C$6+21</f>
        <v/>
      </c>
      <c r="G4" s="12">
        <f>Config!$C$6+28</f>
        <v/>
      </c>
      <c r="H4" s="12">
        <f>Config!$C$6+35</f>
        <v/>
      </c>
      <c r="I4" s="12">
        <f>Config!$C$6+42</f>
        <v/>
      </c>
      <c r="J4" s="12">
        <f>Config!$C$6+49</f>
        <v/>
      </c>
      <c r="K4" s="12">
        <f>Config!$C$6+56</f>
        <v/>
      </c>
      <c r="L4" s="12">
        <f>Config!$C$6+63</f>
        <v/>
      </c>
      <c r="M4" s="12">
        <f>Config!$C$6+70</f>
        <v/>
      </c>
      <c r="N4" s="12">
        <f>Config!$C$6+77</f>
        <v/>
      </c>
      <c r="O4" s="12">
        <f>Config!$C$6+84</f>
        <v/>
      </c>
      <c r="P4" s="12">
        <f>Config!$C$6+91</f>
        <v/>
      </c>
      <c r="Q4" s="12">
        <f>Config!$C$6+98</f>
        <v/>
      </c>
      <c r="R4" s="12">
        <f>Config!$C$6+105</f>
        <v/>
      </c>
      <c r="S4" s="12">
        <f>Config!$C$6+112</f>
        <v/>
      </c>
      <c r="T4" s="12">
        <f>Config!$C$6+119</f>
        <v/>
      </c>
      <c r="U4" s="12">
        <f>Config!$C$6+126</f>
        <v/>
      </c>
      <c r="V4" s="12">
        <f>Config!$C$6+133</f>
        <v/>
      </c>
      <c r="W4" s="12">
        <f>Config!$C$6+140</f>
        <v/>
      </c>
      <c r="X4" s="12">
        <f>Config!$C$6+147</f>
        <v/>
      </c>
      <c r="Y4" s="12">
        <f>Config!$C$6+154</f>
        <v/>
      </c>
      <c r="Z4" s="12">
        <f>Config!$C$6+161</f>
        <v/>
      </c>
      <c r="AA4" s="12">
        <f>Config!$C$6+168</f>
        <v/>
      </c>
      <c r="AB4" s="12">
        <f>Config!$C$6+175</f>
        <v/>
      </c>
    </row>
    <row r="5" ht="30" customHeight="1">
      <c r="A5" s="6" t="inlineStr">
        <is>
          <t>Categoría</t>
        </is>
      </c>
      <c r="B5" s="6" t="inlineStr">
        <is>
          <t>Métrica</t>
        </is>
      </c>
      <c r="C5" s="22" t="n">
        <v>1</v>
      </c>
      <c r="D5" s="22" t="n">
        <v>2</v>
      </c>
      <c r="E5" s="22" t="n">
        <v>3</v>
      </c>
      <c r="F5" s="22" t="n">
        <v>4</v>
      </c>
      <c r="G5" s="22" t="n">
        <v>5</v>
      </c>
      <c r="H5" s="22" t="n">
        <v>6</v>
      </c>
      <c r="I5" s="22" t="n">
        <v>7</v>
      </c>
      <c r="J5" s="22" t="n">
        <v>8</v>
      </c>
      <c r="K5" s="22" t="n">
        <v>9</v>
      </c>
      <c r="L5" s="22" t="n">
        <v>10</v>
      </c>
      <c r="M5" s="22" t="n">
        <v>11</v>
      </c>
      <c r="N5" s="22" t="n">
        <v>12</v>
      </c>
      <c r="O5" s="22" t="n">
        <v>13</v>
      </c>
      <c r="P5" s="22" t="n">
        <v>14</v>
      </c>
      <c r="Q5" s="22" t="n">
        <v>15</v>
      </c>
      <c r="R5" s="22" t="n">
        <v>16</v>
      </c>
      <c r="S5" s="22" t="n">
        <v>17</v>
      </c>
      <c r="T5" s="22" t="n">
        <v>18</v>
      </c>
      <c r="U5" s="22" t="n">
        <v>19</v>
      </c>
      <c r="V5" s="22" t="n">
        <v>20</v>
      </c>
      <c r="W5" s="22" t="n">
        <v>21</v>
      </c>
      <c r="X5" s="22" t="n">
        <v>22</v>
      </c>
      <c r="Y5" s="22" t="n">
        <v>23</v>
      </c>
      <c r="Z5" s="22" t="n">
        <v>24</v>
      </c>
      <c r="AA5" s="22" t="n">
        <v>25</v>
      </c>
      <c r="AB5" s="22" t="n">
        <v>26</v>
      </c>
      <c r="AC5" s="6" t="inlineStr">
        <is>
          <t>Promedio</t>
        </is>
      </c>
      <c r="AD5" s="6" t="inlineStr">
        <is>
          <t>Mediana</t>
        </is>
      </c>
      <c r="AE5" s="6" t="inlineStr">
        <is>
          <t>Mejor</t>
        </is>
      </c>
      <c r="AF5" s="6" t="inlineStr">
        <is>
          <t>Peor</t>
        </is>
      </c>
    </row>
    <row r="6">
      <c r="A6" t="inlineStr">
        <is>
          <t>Semana con datos (1 = sí)</t>
        </is>
      </c>
      <c r="C6" s="13">
        <f>IF(SUMIFS(Diario!$C$6:$C$371,Diario!$B$6:$B$371,C$5)+SUMIFS(Diario!$H$6:$H$371,Diario!$B$6:$B$371,C$5)&gt;0,1,0)</f>
        <v/>
      </c>
      <c r="D6" s="13">
        <f>IF(SUMIFS(Diario!$C$6:$C$371,Diario!$B$6:$B$371,D$5)+SUMIFS(Diario!$H$6:$H$371,Diario!$B$6:$B$371,D$5)&gt;0,1,0)</f>
        <v/>
      </c>
      <c r="E6" s="13">
        <f>IF(SUMIFS(Diario!$C$6:$C$371,Diario!$B$6:$B$371,E$5)+SUMIFS(Diario!$H$6:$H$371,Diario!$B$6:$B$371,E$5)&gt;0,1,0)</f>
        <v/>
      </c>
      <c r="F6" s="13">
        <f>IF(SUMIFS(Diario!$C$6:$C$371,Diario!$B$6:$B$371,F$5)+SUMIFS(Diario!$H$6:$H$371,Diario!$B$6:$B$371,F$5)&gt;0,1,0)</f>
        <v/>
      </c>
      <c r="G6" s="13">
        <f>IF(SUMIFS(Diario!$C$6:$C$371,Diario!$B$6:$B$371,G$5)+SUMIFS(Diario!$H$6:$H$371,Diario!$B$6:$B$371,G$5)&gt;0,1,0)</f>
        <v/>
      </c>
      <c r="H6" s="13">
        <f>IF(SUMIFS(Diario!$C$6:$C$371,Diario!$B$6:$B$371,H$5)+SUMIFS(Diario!$H$6:$H$371,Diario!$B$6:$B$371,H$5)&gt;0,1,0)</f>
        <v/>
      </c>
      <c r="I6" s="13">
        <f>IF(SUMIFS(Diario!$C$6:$C$371,Diario!$B$6:$B$371,I$5)+SUMIFS(Diario!$H$6:$H$371,Diario!$B$6:$B$371,I$5)&gt;0,1,0)</f>
        <v/>
      </c>
      <c r="J6" s="13">
        <f>IF(SUMIFS(Diario!$C$6:$C$371,Diario!$B$6:$B$371,J$5)+SUMIFS(Diario!$H$6:$H$371,Diario!$B$6:$B$371,J$5)&gt;0,1,0)</f>
        <v/>
      </c>
      <c r="K6" s="13">
        <f>IF(SUMIFS(Diario!$C$6:$C$371,Diario!$B$6:$B$371,K$5)+SUMIFS(Diario!$H$6:$H$371,Diario!$B$6:$B$371,K$5)&gt;0,1,0)</f>
        <v/>
      </c>
      <c r="L6" s="13">
        <f>IF(SUMIFS(Diario!$C$6:$C$371,Diario!$B$6:$B$371,L$5)+SUMIFS(Diario!$H$6:$H$371,Diario!$B$6:$B$371,L$5)&gt;0,1,0)</f>
        <v/>
      </c>
      <c r="M6" s="13">
        <f>IF(SUMIFS(Diario!$C$6:$C$371,Diario!$B$6:$B$371,M$5)+SUMIFS(Diario!$H$6:$H$371,Diario!$B$6:$B$371,M$5)&gt;0,1,0)</f>
        <v/>
      </c>
      <c r="N6" s="13">
        <f>IF(SUMIFS(Diario!$C$6:$C$371,Diario!$B$6:$B$371,N$5)+SUMIFS(Diario!$H$6:$H$371,Diario!$B$6:$B$371,N$5)&gt;0,1,0)</f>
        <v/>
      </c>
      <c r="O6" s="13">
        <f>IF(SUMIFS(Diario!$C$6:$C$371,Diario!$B$6:$B$371,O$5)+SUMIFS(Diario!$H$6:$H$371,Diario!$B$6:$B$371,O$5)&gt;0,1,0)</f>
        <v/>
      </c>
      <c r="P6" s="13">
        <f>IF(SUMIFS(Diario!$C$6:$C$371,Diario!$B$6:$B$371,P$5)+SUMIFS(Diario!$H$6:$H$371,Diario!$B$6:$B$371,P$5)&gt;0,1,0)</f>
        <v/>
      </c>
      <c r="Q6" s="13">
        <f>IF(SUMIFS(Diario!$C$6:$C$371,Diario!$B$6:$B$371,Q$5)+SUMIFS(Diario!$H$6:$H$371,Diario!$B$6:$B$371,Q$5)&gt;0,1,0)</f>
        <v/>
      </c>
      <c r="R6" s="13">
        <f>IF(SUMIFS(Diario!$C$6:$C$371,Diario!$B$6:$B$371,R$5)+SUMIFS(Diario!$H$6:$H$371,Diario!$B$6:$B$371,R$5)&gt;0,1,0)</f>
        <v/>
      </c>
      <c r="S6" s="13">
        <f>IF(SUMIFS(Diario!$C$6:$C$371,Diario!$B$6:$B$371,S$5)+SUMIFS(Diario!$H$6:$H$371,Diario!$B$6:$B$371,S$5)&gt;0,1,0)</f>
        <v/>
      </c>
      <c r="T6" s="13">
        <f>IF(SUMIFS(Diario!$C$6:$C$371,Diario!$B$6:$B$371,T$5)+SUMIFS(Diario!$H$6:$H$371,Diario!$B$6:$B$371,T$5)&gt;0,1,0)</f>
        <v/>
      </c>
      <c r="U6" s="13">
        <f>IF(SUMIFS(Diario!$C$6:$C$371,Diario!$B$6:$B$371,U$5)+SUMIFS(Diario!$H$6:$H$371,Diario!$B$6:$B$371,U$5)&gt;0,1,0)</f>
        <v/>
      </c>
      <c r="V6" s="13">
        <f>IF(SUMIFS(Diario!$C$6:$C$371,Diario!$B$6:$B$371,V$5)+SUMIFS(Diario!$H$6:$H$371,Diario!$B$6:$B$371,V$5)&gt;0,1,0)</f>
        <v/>
      </c>
      <c r="W6" s="13">
        <f>IF(SUMIFS(Diario!$C$6:$C$371,Diario!$B$6:$B$371,W$5)+SUMIFS(Diario!$H$6:$H$371,Diario!$B$6:$B$371,W$5)&gt;0,1,0)</f>
        <v/>
      </c>
      <c r="X6" s="13">
        <f>IF(SUMIFS(Diario!$C$6:$C$371,Diario!$B$6:$B$371,X$5)+SUMIFS(Diario!$H$6:$H$371,Diario!$B$6:$B$371,X$5)&gt;0,1,0)</f>
        <v/>
      </c>
      <c r="Y6" s="13">
        <f>IF(SUMIFS(Diario!$C$6:$C$371,Diario!$B$6:$B$371,Y$5)+SUMIFS(Diario!$H$6:$H$371,Diario!$B$6:$B$371,Y$5)&gt;0,1,0)</f>
        <v/>
      </c>
      <c r="Z6" s="13">
        <f>IF(SUMIFS(Diario!$C$6:$C$371,Diario!$B$6:$B$371,Z$5)+SUMIFS(Diario!$H$6:$H$371,Diario!$B$6:$B$371,Z$5)&gt;0,1,0)</f>
        <v/>
      </c>
      <c r="AA6" s="13">
        <f>IF(SUMIFS(Diario!$C$6:$C$371,Diario!$B$6:$B$371,AA$5)+SUMIFS(Diario!$H$6:$H$371,Diario!$B$6:$B$371,AA$5)&gt;0,1,0)</f>
        <v/>
      </c>
      <c r="AB6" s="13">
        <f>IF(SUMIFS(Diario!$C$6:$C$371,Diario!$B$6:$B$371,AB$5)+SUMIFS(Diario!$H$6:$H$371,Diario!$B$6:$B$371,AB$5)&gt;0,1,0)</f>
        <v/>
      </c>
    </row>
    <row r="7">
      <c r="A7" t="inlineStr">
        <is>
          <t>Número de semana si tiene datos</t>
        </is>
      </c>
      <c r="C7" s="13">
        <f>IF(C6=1,C$5,0)</f>
        <v/>
      </c>
      <c r="D7" s="13">
        <f>IF(D6=1,D$5,0)</f>
        <v/>
      </c>
      <c r="E7" s="13">
        <f>IF(E6=1,E$5,0)</f>
        <v/>
      </c>
      <c r="F7" s="13">
        <f>IF(F6=1,F$5,0)</f>
        <v/>
      </c>
      <c r="G7" s="13">
        <f>IF(G6=1,G$5,0)</f>
        <v/>
      </c>
      <c r="H7" s="13">
        <f>IF(H6=1,H$5,0)</f>
        <v/>
      </c>
      <c r="I7" s="13">
        <f>IF(I6=1,I$5,0)</f>
        <v/>
      </c>
      <c r="J7" s="13">
        <f>IF(J6=1,J$5,0)</f>
        <v/>
      </c>
      <c r="K7" s="13">
        <f>IF(K6=1,K$5,0)</f>
        <v/>
      </c>
      <c r="L7" s="13">
        <f>IF(L6=1,L$5,0)</f>
        <v/>
      </c>
      <c r="M7" s="13">
        <f>IF(M6=1,M$5,0)</f>
        <v/>
      </c>
      <c r="N7" s="13">
        <f>IF(N6=1,N$5,0)</f>
        <v/>
      </c>
      <c r="O7" s="13">
        <f>IF(O6=1,O$5,0)</f>
        <v/>
      </c>
      <c r="P7" s="13">
        <f>IF(P6=1,P$5,0)</f>
        <v/>
      </c>
      <c r="Q7" s="13">
        <f>IF(Q6=1,Q$5,0)</f>
        <v/>
      </c>
      <c r="R7" s="13">
        <f>IF(R6=1,R$5,0)</f>
        <v/>
      </c>
      <c r="S7" s="13">
        <f>IF(S6=1,S$5,0)</f>
        <v/>
      </c>
      <c r="T7" s="13">
        <f>IF(T6=1,T$5,0)</f>
        <v/>
      </c>
      <c r="U7" s="13">
        <f>IF(U6=1,U$5,0)</f>
        <v/>
      </c>
      <c r="V7" s="13">
        <f>IF(V6=1,V$5,0)</f>
        <v/>
      </c>
      <c r="W7" s="13">
        <f>IF(W6=1,W$5,0)</f>
        <v/>
      </c>
      <c r="X7" s="13">
        <f>IF(X6=1,X$5,0)</f>
        <v/>
      </c>
      <c r="Y7" s="13">
        <f>IF(Y6=1,Y$5,0)</f>
        <v/>
      </c>
      <c r="Z7" s="13">
        <f>IF(Z6=1,Z$5,0)</f>
        <v/>
      </c>
      <c r="AA7" s="13">
        <f>IF(AA6=1,AA$5,0)</f>
        <v/>
      </c>
      <c r="AB7" s="13">
        <f>IF(AB6=1,AB$5,0)</f>
        <v/>
      </c>
    </row>
    <row r="9">
      <c r="A9" s="23" t="inlineStr">
        <is>
          <t>1. Anuncios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</row>
    <row r="10">
      <c r="A10" t="inlineStr">
        <is>
          <t>Anuncios</t>
        </is>
      </c>
      <c r="B10" s="5" t="inlineStr">
        <is>
          <t>Inversión en publicidad (USD)</t>
        </is>
      </c>
      <c r="C10" s="20">
        <f>IF(C6=0,"",SUMIFS(Diario!$C$6:$C$371,Diario!$B$6:$B$371,C$5))</f>
        <v/>
      </c>
      <c r="D10" s="20">
        <f>IF(D6=0,"",SUMIFS(Diario!$C$6:$C$371,Diario!$B$6:$B$371,D$5))</f>
        <v/>
      </c>
      <c r="E10" s="20">
        <f>IF(E6=0,"",SUMIFS(Diario!$C$6:$C$371,Diario!$B$6:$B$371,E$5))</f>
        <v/>
      </c>
      <c r="F10" s="20">
        <f>IF(F6=0,"",SUMIFS(Diario!$C$6:$C$371,Diario!$B$6:$B$371,F$5))</f>
        <v/>
      </c>
      <c r="G10" s="20">
        <f>IF(G6=0,"",SUMIFS(Diario!$C$6:$C$371,Diario!$B$6:$B$371,G$5))</f>
        <v/>
      </c>
      <c r="H10" s="20">
        <f>IF(H6=0,"",SUMIFS(Diario!$C$6:$C$371,Diario!$B$6:$B$371,H$5))</f>
        <v/>
      </c>
      <c r="I10" s="20">
        <f>IF(I6=0,"",SUMIFS(Diario!$C$6:$C$371,Diario!$B$6:$B$371,I$5))</f>
        <v/>
      </c>
      <c r="J10" s="20">
        <f>IF(J6=0,"",SUMIFS(Diario!$C$6:$C$371,Diario!$B$6:$B$371,J$5))</f>
        <v/>
      </c>
      <c r="K10" s="20">
        <f>IF(K6=0,"",SUMIFS(Diario!$C$6:$C$371,Diario!$B$6:$B$371,K$5))</f>
        <v/>
      </c>
      <c r="L10" s="20">
        <f>IF(L6=0,"",SUMIFS(Diario!$C$6:$C$371,Diario!$B$6:$B$371,L$5))</f>
        <v/>
      </c>
      <c r="M10" s="20">
        <f>IF(M6=0,"",SUMIFS(Diario!$C$6:$C$371,Diario!$B$6:$B$371,M$5))</f>
        <v/>
      </c>
      <c r="N10" s="20">
        <f>IF(N6=0,"",SUMIFS(Diario!$C$6:$C$371,Diario!$B$6:$B$371,N$5))</f>
        <v/>
      </c>
      <c r="O10" s="20">
        <f>IF(O6=0,"",SUMIFS(Diario!$C$6:$C$371,Diario!$B$6:$B$371,O$5))</f>
        <v/>
      </c>
      <c r="P10" s="20">
        <f>IF(P6=0,"",SUMIFS(Diario!$C$6:$C$371,Diario!$B$6:$B$371,P$5))</f>
        <v/>
      </c>
      <c r="Q10" s="20">
        <f>IF(Q6=0,"",SUMIFS(Diario!$C$6:$C$371,Diario!$B$6:$B$371,Q$5))</f>
        <v/>
      </c>
      <c r="R10" s="20">
        <f>IF(R6=0,"",SUMIFS(Diario!$C$6:$C$371,Diario!$B$6:$B$371,R$5))</f>
        <v/>
      </c>
      <c r="S10" s="20">
        <f>IF(S6=0,"",SUMIFS(Diario!$C$6:$C$371,Diario!$B$6:$B$371,S$5))</f>
        <v/>
      </c>
      <c r="T10" s="20">
        <f>IF(T6=0,"",SUMIFS(Diario!$C$6:$C$371,Diario!$B$6:$B$371,T$5))</f>
        <v/>
      </c>
      <c r="U10" s="20">
        <f>IF(U6=0,"",SUMIFS(Diario!$C$6:$C$371,Diario!$B$6:$B$371,U$5))</f>
        <v/>
      </c>
      <c r="V10" s="20">
        <f>IF(V6=0,"",SUMIFS(Diario!$C$6:$C$371,Diario!$B$6:$B$371,V$5))</f>
        <v/>
      </c>
      <c r="W10" s="20">
        <f>IF(W6=0,"",SUMIFS(Diario!$C$6:$C$371,Diario!$B$6:$B$371,W$5))</f>
        <v/>
      </c>
      <c r="X10" s="20">
        <f>IF(X6=0,"",SUMIFS(Diario!$C$6:$C$371,Diario!$B$6:$B$371,X$5))</f>
        <v/>
      </c>
      <c r="Y10" s="20">
        <f>IF(Y6=0,"",SUMIFS(Diario!$C$6:$C$371,Diario!$B$6:$B$371,Y$5))</f>
        <v/>
      </c>
      <c r="Z10" s="20">
        <f>IF(Z6=0,"",SUMIFS(Diario!$C$6:$C$371,Diario!$B$6:$B$371,Z$5))</f>
        <v/>
      </c>
      <c r="AA10" s="20">
        <f>IF(AA6=0,"",SUMIFS(Diario!$C$6:$C$371,Diario!$B$6:$B$371,AA$5))</f>
        <v/>
      </c>
      <c r="AB10" s="20">
        <f>IF(AB6=0,"",SUMIFS(Diario!$C$6:$C$371,Diario!$B$6:$B$371,AB$5))</f>
        <v/>
      </c>
      <c r="AC10" s="20">
        <f>IFERROR(AVERAGE(C10:AB10),"")</f>
        <v/>
      </c>
      <c r="AD10" s="20">
        <f>IFERROR(MEDIAN(C10:AB10),"")</f>
        <v/>
      </c>
      <c r="AE10" s="20">
        <f>IFERROR(MAX(C10:AB10),"")</f>
        <v/>
      </c>
      <c r="AF10" s="20">
        <f>IFERROR(MIN(C10:AB10),"")</f>
        <v/>
      </c>
    </row>
    <row r="11">
      <c r="A11" t="inlineStr">
        <is>
          <t>Anuncios</t>
        </is>
      </c>
      <c r="B11" s="5" t="inlineStr">
        <is>
          <t>Impresiones</t>
        </is>
      </c>
      <c r="C11" s="13">
        <f>IF(C6=0,"",SUMIFS(Diario!$D$6:$D$371,Diario!$B$6:$B$371,C$5))</f>
        <v/>
      </c>
      <c r="D11" s="13">
        <f>IF(D6=0,"",SUMIFS(Diario!$D$6:$D$371,Diario!$B$6:$B$371,D$5))</f>
        <v/>
      </c>
      <c r="E11" s="13">
        <f>IF(E6=0,"",SUMIFS(Diario!$D$6:$D$371,Diario!$B$6:$B$371,E$5))</f>
        <v/>
      </c>
      <c r="F11" s="13">
        <f>IF(F6=0,"",SUMIFS(Diario!$D$6:$D$371,Diario!$B$6:$B$371,F$5))</f>
        <v/>
      </c>
      <c r="G11" s="13">
        <f>IF(G6=0,"",SUMIFS(Diario!$D$6:$D$371,Diario!$B$6:$B$371,G$5))</f>
        <v/>
      </c>
      <c r="H11" s="13">
        <f>IF(H6=0,"",SUMIFS(Diario!$D$6:$D$371,Diario!$B$6:$B$371,H$5))</f>
        <v/>
      </c>
      <c r="I11" s="13">
        <f>IF(I6=0,"",SUMIFS(Diario!$D$6:$D$371,Diario!$B$6:$B$371,I$5))</f>
        <v/>
      </c>
      <c r="J11" s="13">
        <f>IF(J6=0,"",SUMIFS(Diario!$D$6:$D$371,Diario!$B$6:$B$371,J$5))</f>
        <v/>
      </c>
      <c r="K11" s="13">
        <f>IF(K6=0,"",SUMIFS(Diario!$D$6:$D$371,Diario!$B$6:$B$371,K$5))</f>
        <v/>
      </c>
      <c r="L11" s="13">
        <f>IF(L6=0,"",SUMIFS(Diario!$D$6:$D$371,Diario!$B$6:$B$371,L$5))</f>
        <v/>
      </c>
      <c r="M11" s="13">
        <f>IF(M6=0,"",SUMIFS(Diario!$D$6:$D$371,Diario!$B$6:$B$371,M$5))</f>
        <v/>
      </c>
      <c r="N11" s="13">
        <f>IF(N6=0,"",SUMIFS(Diario!$D$6:$D$371,Diario!$B$6:$B$371,N$5))</f>
        <v/>
      </c>
      <c r="O11" s="13">
        <f>IF(O6=0,"",SUMIFS(Diario!$D$6:$D$371,Diario!$B$6:$B$371,O$5))</f>
        <v/>
      </c>
      <c r="P11" s="13">
        <f>IF(P6=0,"",SUMIFS(Diario!$D$6:$D$371,Diario!$B$6:$B$371,P$5))</f>
        <v/>
      </c>
      <c r="Q11" s="13">
        <f>IF(Q6=0,"",SUMIFS(Diario!$D$6:$D$371,Diario!$B$6:$B$371,Q$5))</f>
        <v/>
      </c>
      <c r="R11" s="13">
        <f>IF(R6=0,"",SUMIFS(Diario!$D$6:$D$371,Diario!$B$6:$B$371,R$5))</f>
        <v/>
      </c>
      <c r="S11" s="13">
        <f>IF(S6=0,"",SUMIFS(Diario!$D$6:$D$371,Diario!$B$6:$B$371,S$5))</f>
        <v/>
      </c>
      <c r="T11" s="13">
        <f>IF(T6=0,"",SUMIFS(Diario!$D$6:$D$371,Diario!$B$6:$B$371,T$5))</f>
        <v/>
      </c>
      <c r="U11" s="13">
        <f>IF(U6=0,"",SUMIFS(Diario!$D$6:$D$371,Diario!$B$6:$B$371,U$5))</f>
        <v/>
      </c>
      <c r="V11" s="13">
        <f>IF(V6=0,"",SUMIFS(Diario!$D$6:$D$371,Diario!$B$6:$B$371,V$5))</f>
        <v/>
      </c>
      <c r="W11" s="13">
        <f>IF(W6=0,"",SUMIFS(Diario!$D$6:$D$371,Diario!$B$6:$B$371,W$5))</f>
        <v/>
      </c>
      <c r="X11" s="13">
        <f>IF(X6=0,"",SUMIFS(Diario!$D$6:$D$371,Diario!$B$6:$B$371,X$5))</f>
        <v/>
      </c>
      <c r="Y11" s="13">
        <f>IF(Y6=0,"",SUMIFS(Diario!$D$6:$D$371,Diario!$B$6:$B$371,Y$5))</f>
        <v/>
      </c>
      <c r="Z11" s="13">
        <f>IF(Z6=0,"",SUMIFS(Diario!$D$6:$D$371,Diario!$B$6:$B$371,Z$5))</f>
        <v/>
      </c>
      <c r="AA11" s="13">
        <f>IF(AA6=0,"",SUMIFS(Diario!$D$6:$D$371,Diario!$B$6:$B$371,AA$5))</f>
        <v/>
      </c>
      <c r="AB11" s="13">
        <f>IF(AB6=0,"",SUMIFS(Diario!$D$6:$D$371,Diario!$B$6:$B$371,AB$5))</f>
        <v/>
      </c>
      <c r="AC11" s="13">
        <f>IFERROR(AVERAGE(C11:AB11),"")</f>
        <v/>
      </c>
      <c r="AD11" s="13">
        <f>IFERROR(MEDIAN(C11:AB11),"")</f>
        <v/>
      </c>
      <c r="AE11" s="13">
        <f>IFERROR(MAX(C11:AB11),"")</f>
        <v/>
      </c>
      <c r="AF11" s="13">
        <f>IFERROR(MIN(C11:AB11),"")</f>
        <v/>
      </c>
    </row>
    <row r="12">
      <c r="A12" t="inlineStr">
        <is>
          <t>Anuncios</t>
        </is>
      </c>
      <c r="B12" s="5" t="inlineStr">
        <is>
          <t>Alcance (personas únicas)</t>
        </is>
      </c>
      <c r="C12" s="13">
        <f>IF(C6=0,"",SUMIFS(Diario!$E$6:$E$371,Diario!$B$6:$B$371,C$5))</f>
        <v/>
      </c>
      <c r="D12" s="13">
        <f>IF(D6=0,"",SUMIFS(Diario!$E$6:$E$371,Diario!$B$6:$B$371,D$5))</f>
        <v/>
      </c>
      <c r="E12" s="13">
        <f>IF(E6=0,"",SUMIFS(Diario!$E$6:$E$371,Diario!$B$6:$B$371,E$5))</f>
        <v/>
      </c>
      <c r="F12" s="13">
        <f>IF(F6=0,"",SUMIFS(Diario!$E$6:$E$371,Diario!$B$6:$B$371,F$5))</f>
        <v/>
      </c>
      <c r="G12" s="13">
        <f>IF(G6=0,"",SUMIFS(Diario!$E$6:$E$371,Diario!$B$6:$B$371,G$5))</f>
        <v/>
      </c>
      <c r="H12" s="13">
        <f>IF(H6=0,"",SUMIFS(Diario!$E$6:$E$371,Diario!$B$6:$B$371,H$5))</f>
        <v/>
      </c>
      <c r="I12" s="13">
        <f>IF(I6=0,"",SUMIFS(Diario!$E$6:$E$371,Diario!$B$6:$B$371,I$5))</f>
        <v/>
      </c>
      <c r="J12" s="13">
        <f>IF(J6=0,"",SUMIFS(Diario!$E$6:$E$371,Diario!$B$6:$B$371,J$5))</f>
        <v/>
      </c>
      <c r="K12" s="13">
        <f>IF(K6=0,"",SUMIFS(Diario!$E$6:$E$371,Diario!$B$6:$B$371,K$5))</f>
        <v/>
      </c>
      <c r="L12" s="13">
        <f>IF(L6=0,"",SUMIFS(Diario!$E$6:$E$371,Diario!$B$6:$B$371,L$5))</f>
        <v/>
      </c>
      <c r="M12" s="13">
        <f>IF(M6=0,"",SUMIFS(Diario!$E$6:$E$371,Diario!$B$6:$B$371,M$5))</f>
        <v/>
      </c>
      <c r="N12" s="13">
        <f>IF(N6=0,"",SUMIFS(Diario!$E$6:$E$371,Diario!$B$6:$B$371,N$5))</f>
        <v/>
      </c>
      <c r="O12" s="13">
        <f>IF(O6=0,"",SUMIFS(Diario!$E$6:$E$371,Diario!$B$6:$B$371,O$5))</f>
        <v/>
      </c>
      <c r="P12" s="13">
        <f>IF(P6=0,"",SUMIFS(Diario!$E$6:$E$371,Diario!$B$6:$B$371,P$5))</f>
        <v/>
      </c>
      <c r="Q12" s="13">
        <f>IF(Q6=0,"",SUMIFS(Diario!$E$6:$E$371,Diario!$B$6:$B$371,Q$5))</f>
        <v/>
      </c>
      <c r="R12" s="13">
        <f>IF(R6=0,"",SUMIFS(Diario!$E$6:$E$371,Diario!$B$6:$B$371,R$5))</f>
        <v/>
      </c>
      <c r="S12" s="13">
        <f>IF(S6=0,"",SUMIFS(Diario!$E$6:$E$371,Diario!$B$6:$B$371,S$5))</f>
        <v/>
      </c>
      <c r="T12" s="13">
        <f>IF(T6=0,"",SUMIFS(Diario!$E$6:$E$371,Diario!$B$6:$B$371,T$5))</f>
        <v/>
      </c>
      <c r="U12" s="13">
        <f>IF(U6=0,"",SUMIFS(Diario!$E$6:$E$371,Diario!$B$6:$B$371,U$5))</f>
        <v/>
      </c>
      <c r="V12" s="13">
        <f>IF(V6=0,"",SUMIFS(Diario!$E$6:$E$371,Diario!$B$6:$B$371,V$5))</f>
        <v/>
      </c>
      <c r="W12" s="13">
        <f>IF(W6=0,"",SUMIFS(Diario!$E$6:$E$371,Diario!$B$6:$B$371,W$5))</f>
        <v/>
      </c>
      <c r="X12" s="13">
        <f>IF(X6=0,"",SUMIFS(Diario!$E$6:$E$371,Diario!$B$6:$B$371,X$5))</f>
        <v/>
      </c>
      <c r="Y12" s="13">
        <f>IF(Y6=0,"",SUMIFS(Diario!$E$6:$E$371,Diario!$B$6:$B$371,Y$5))</f>
        <v/>
      </c>
      <c r="Z12" s="13">
        <f>IF(Z6=0,"",SUMIFS(Diario!$E$6:$E$371,Diario!$B$6:$B$371,Z$5))</f>
        <v/>
      </c>
      <c r="AA12" s="13">
        <f>IF(AA6=0,"",SUMIFS(Diario!$E$6:$E$371,Diario!$B$6:$B$371,AA$5))</f>
        <v/>
      </c>
      <c r="AB12" s="13">
        <f>IF(AB6=0,"",SUMIFS(Diario!$E$6:$E$371,Diario!$B$6:$B$371,AB$5))</f>
        <v/>
      </c>
      <c r="AC12" s="13">
        <f>IFERROR(AVERAGE(C12:AB12),"")</f>
        <v/>
      </c>
      <c r="AD12" s="13">
        <f>IFERROR(MEDIAN(C12:AB12),"")</f>
        <v/>
      </c>
      <c r="AE12" s="13">
        <f>IFERROR(MAX(C12:AB12),"")</f>
        <v/>
      </c>
      <c r="AF12" s="13">
        <f>IFERROR(MIN(C12:AB12),"")</f>
        <v/>
      </c>
    </row>
    <row r="13">
      <c r="A13" t="inlineStr">
        <is>
          <t>Anuncios</t>
        </is>
      </c>
      <c r="B13" s="5" t="inlineStr">
        <is>
          <t>Clics en el enlace</t>
        </is>
      </c>
      <c r="C13" s="13">
        <f>IF(C6=0,"",SUMIFS(Diario!$F$6:$F$371,Diario!$B$6:$B$371,C$5))</f>
        <v/>
      </c>
      <c r="D13" s="13">
        <f>IF(D6=0,"",SUMIFS(Diario!$F$6:$F$371,Diario!$B$6:$B$371,D$5))</f>
        <v/>
      </c>
      <c r="E13" s="13">
        <f>IF(E6=0,"",SUMIFS(Diario!$F$6:$F$371,Diario!$B$6:$B$371,E$5))</f>
        <v/>
      </c>
      <c r="F13" s="13">
        <f>IF(F6=0,"",SUMIFS(Diario!$F$6:$F$371,Diario!$B$6:$B$371,F$5))</f>
        <v/>
      </c>
      <c r="G13" s="13">
        <f>IF(G6=0,"",SUMIFS(Diario!$F$6:$F$371,Diario!$B$6:$B$371,G$5))</f>
        <v/>
      </c>
      <c r="H13" s="13">
        <f>IF(H6=0,"",SUMIFS(Diario!$F$6:$F$371,Diario!$B$6:$B$371,H$5))</f>
        <v/>
      </c>
      <c r="I13" s="13">
        <f>IF(I6=0,"",SUMIFS(Diario!$F$6:$F$371,Diario!$B$6:$B$371,I$5))</f>
        <v/>
      </c>
      <c r="J13" s="13">
        <f>IF(J6=0,"",SUMIFS(Diario!$F$6:$F$371,Diario!$B$6:$B$371,J$5))</f>
        <v/>
      </c>
      <c r="K13" s="13">
        <f>IF(K6=0,"",SUMIFS(Diario!$F$6:$F$371,Diario!$B$6:$B$371,K$5))</f>
        <v/>
      </c>
      <c r="L13" s="13">
        <f>IF(L6=0,"",SUMIFS(Diario!$F$6:$F$371,Diario!$B$6:$B$371,L$5))</f>
        <v/>
      </c>
      <c r="M13" s="13">
        <f>IF(M6=0,"",SUMIFS(Diario!$F$6:$F$371,Diario!$B$6:$B$371,M$5))</f>
        <v/>
      </c>
      <c r="N13" s="13">
        <f>IF(N6=0,"",SUMIFS(Diario!$F$6:$F$371,Diario!$B$6:$B$371,N$5))</f>
        <v/>
      </c>
      <c r="O13" s="13">
        <f>IF(O6=0,"",SUMIFS(Diario!$F$6:$F$371,Diario!$B$6:$B$371,O$5))</f>
        <v/>
      </c>
      <c r="P13" s="13">
        <f>IF(P6=0,"",SUMIFS(Diario!$F$6:$F$371,Diario!$B$6:$B$371,P$5))</f>
        <v/>
      </c>
      <c r="Q13" s="13">
        <f>IF(Q6=0,"",SUMIFS(Diario!$F$6:$F$371,Diario!$B$6:$B$371,Q$5))</f>
        <v/>
      </c>
      <c r="R13" s="13">
        <f>IF(R6=0,"",SUMIFS(Diario!$F$6:$F$371,Diario!$B$6:$B$371,R$5))</f>
        <v/>
      </c>
      <c r="S13" s="13">
        <f>IF(S6=0,"",SUMIFS(Diario!$F$6:$F$371,Diario!$B$6:$B$371,S$5))</f>
        <v/>
      </c>
      <c r="T13" s="13">
        <f>IF(T6=0,"",SUMIFS(Diario!$F$6:$F$371,Diario!$B$6:$B$371,T$5))</f>
        <v/>
      </c>
      <c r="U13" s="13">
        <f>IF(U6=0,"",SUMIFS(Diario!$F$6:$F$371,Diario!$B$6:$B$371,U$5))</f>
        <v/>
      </c>
      <c r="V13" s="13">
        <f>IF(V6=0,"",SUMIFS(Diario!$F$6:$F$371,Diario!$B$6:$B$371,V$5))</f>
        <v/>
      </c>
      <c r="W13" s="13">
        <f>IF(W6=0,"",SUMIFS(Diario!$F$6:$F$371,Diario!$B$6:$B$371,W$5))</f>
        <v/>
      </c>
      <c r="X13" s="13">
        <f>IF(X6=0,"",SUMIFS(Diario!$F$6:$F$371,Diario!$B$6:$B$371,X$5))</f>
        <v/>
      </c>
      <c r="Y13" s="13">
        <f>IF(Y6=0,"",SUMIFS(Diario!$F$6:$F$371,Diario!$B$6:$B$371,Y$5))</f>
        <v/>
      </c>
      <c r="Z13" s="13">
        <f>IF(Z6=0,"",SUMIFS(Diario!$F$6:$F$371,Diario!$B$6:$B$371,Z$5))</f>
        <v/>
      </c>
      <c r="AA13" s="13">
        <f>IF(AA6=0,"",SUMIFS(Diario!$F$6:$F$371,Diario!$B$6:$B$371,AA$5))</f>
        <v/>
      </c>
      <c r="AB13" s="13">
        <f>IF(AB6=0,"",SUMIFS(Diario!$F$6:$F$371,Diario!$B$6:$B$371,AB$5))</f>
        <v/>
      </c>
      <c r="AC13" s="13">
        <f>IFERROR(AVERAGE(C13:AB13),"")</f>
        <v/>
      </c>
      <c r="AD13" s="13">
        <f>IFERROR(MEDIAN(C13:AB13),"")</f>
        <v/>
      </c>
      <c r="AE13" s="13">
        <f>IFERROR(MAX(C13:AB13),"")</f>
        <v/>
      </c>
      <c r="AF13" s="13">
        <f>IFERROR(MIN(C13:AB13),"")</f>
        <v/>
      </c>
    </row>
    <row r="14">
      <c r="A14" t="inlineStr">
        <is>
          <t>Anuncios</t>
        </is>
      </c>
      <c r="B14" s="5" t="inlineStr">
        <is>
          <t>Visitas a la página</t>
        </is>
      </c>
      <c r="C14" s="13">
        <f>IF(C6=0,"",SUMIFS(Diario!$G$6:$G$371,Diario!$B$6:$B$371,C$5))</f>
        <v/>
      </c>
      <c r="D14" s="13">
        <f>IF(D6=0,"",SUMIFS(Diario!$G$6:$G$371,Diario!$B$6:$B$371,D$5))</f>
        <v/>
      </c>
      <c r="E14" s="13">
        <f>IF(E6=0,"",SUMIFS(Diario!$G$6:$G$371,Diario!$B$6:$B$371,E$5))</f>
        <v/>
      </c>
      <c r="F14" s="13">
        <f>IF(F6=0,"",SUMIFS(Diario!$G$6:$G$371,Diario!$B$6:$B$371,F$5))</f>
        <v/>
      </c>
      <c r="G14" s="13">
        <f>IF(G6=0,"",SUMIFS(Diario!$G$6:$G$371,Diario!$B$6:$B$371,G$5))</f>
        <v/>
      </c>
      <c r="H14" s="13">
        <f>IF(H6=0,"",SUMIFS(Diario!$G$6:$G$371,Diario!$B$6:$B$371,H$5))</f>
        <v/>
      </c>
      <c r="I14" s="13">
        <f>IF(I6=0,"",SUMIFS(Diario!$G$6:$G$371,Diario!$B$6:$B$371,I$5))</f>
        <v/>
      </c>
      <c r="J14" s="13">
        <f>IF(J6=0,"",SUMIFS(Diario!$G$6:$G$371,Diario!$B$6:$B$371,J$5))</f>
        <v/>
      </c>
      <c r="K14" s="13">
        <f>IF(K6=0,"",SUMIFS(Diario!$G$6:$G$371,Diario!$B$6:$B$371,K$5))</f>
        <v/>
      </c>
      <c r="L14" s="13">
        <f>IF(L6=0,"",SUMIFS(Diario!$G$6:$G$371,Diario!$B$6:$B$371,L$5))</f>
        <v/>
      </c>
      <c r="M14" s="13">
        <f>IF(M6=0,"",SUMIFS(Diario!$G$6:$G$371,Diario!$B$6:$B$371,M$5))</f>
        <v/>
      </c>
      <c r="N14" s="13">
        <f>IF(N6=0,"",SUMIFS(Diario!$G$6:$G$371,Diario!$B$6:$B$371,N$5))</f>
        <v/>
      </c>
      <c r="O14" s="13">
        <f>IF(O6=0,"",SUMIFS(Diario!$G$6:$G$371,Diario!$B$6:$B$371,O$5))</f>
        <v/>
      </c>
      <c r="P14" s="13">
        <f>IF(P6=0,"",SUMIFS(Diario!$G$6:$G$371,Diario!$B$6:$B$371,P$5))</f>
        <v/>
      </c>
      <c r="Q14" s="13">
        <f>IF(Q6=0,"",SUMIFS(Diario!$G$6:$G$371,Diario!$B$6:$B$371,Q$5))</f>
        <v/>
      </c>
      <c r="R14" s="13">
        <f>IF(R6=0,"",SUMIFS(Diario!$G$6:$G$371,Diario!$B$6:$B$371,R$5))</f>
        <v/>
      </c>
      <c r="S14" s="13">
        <f>IF(S6=0,"",SUMIFS(Diario!$G$6:$G$371,Diario!$B$6:$B$371,S$5))</f>
        <v/>
      </c>
      <c r="T14" s="13">
        <f>IF(T6=0,"",SUMIFS(Diario!$G$6:$G$371,Diario!$B$6:$B$371,T$5))</f>
        <v/>
      </c>
      <c r="U14" s="13">
        <f>IF(U6=0,"",SUMIFS(Diario!$G$6:$G$371,Diario!$B$6:$B$371,U$5))</f>
        <v/>
      </c>
      <c r="V14" s="13">
        <f>IF(V6=0,"",SUMIFS(Diario!$G$6:$G$371,Diario!$B$6:$B$371,V$5))</f>
        <v/>
      </c>
      <c r="W14" s="13">
        <f>IF(W6=0,"",SUMIFS(Diario!$G$6:$G$371,Diario!$B$6:$B$371,W$5))</f>
        <v/>
      </c>
      <c r="X14" s="13">
        <f>IF(X6=0,"",SUMIFS(Diario!$G$6:$G$371,Diario!$B$6:$B$371,X$5))</f>
        <v/>
      </c>
      <c r="Y14" s="13">
        <f>IF(Y6=0,"",SUMIFS(Diario!$G$6:$G$371,Diario!$B$6:$B$371,Y$5))</f>
        <v/>
      </c>
      <c r="Z14" s="13">
        <f>IF(Z6=0,"",SUMIFS(Diario!$G$6:$G$371,Diario!$B$6:$B$371,Z$5))</f>
        <v/>
      </c>
      <c r="AA14" s="13">
        <f>IF(AA6=0,"",SUMIFS(Diario!$G$6:$G$371,Diario!$B$6:$B$371,AA$5))</f>
        <v/>
      </c>
      <c r="AB14" s="13">
        <f>IF(AB6=0,"",SUMIFS(Diario!$G$6:$G$371,Diario!$B$6:$B$371,AB$5))</f>
        <v/>
      </c>
      <c r="AC14" s="13">
        <f>IFERROR(AVERAGE(C14:AB14),"")</f>
        <v/>
      </c>
      <c r="AD14" s="13">
        <f>IFERROR(MEDIAN(C14:AB14),"")</f>
        <v/>
      </c>
      <c r="AE14" s="13">
        <f>IFERROR(MAX(C14:AB14),"")</f>
        <v/>
      </c>
      <c r="AF14" s="13">
        <f>IFERROR(MIN(C14:AB14),"")</f>
        <v/>
      </c>
    </row>
    <row r="15">
      <c r="A15" t="inlineStr">
        <is>
          <t>Anuncios</t>
        </is>
      </c>
      <c r="B15" s="25" t="inlineStr">
        <is>
          <t>CPM</t>
        </is>
      </c>
      <c r="C15" s="15">
        <f>IF(C6=0,"",IFERROR(C10/C11*1000,0))</f>
        <v/>
      </c>
      <c r="D15" s="15">
        <f>IF(D6=0,"",IFERROR(D10/D11*1000,0))</f>
        <v/>
      </c>
      <c r="E15" s="15">
        <f>IF(E6=0,"",IFERROR(E10/E11*1000,0))</f>
        <v/>
      </c>
      <c r="F15" s="15">
        <f>IF(F6=0,"",IFERROR(F10/F11*1000,0))</f>
        <v/>
      </c>
      <c r="G15" s="15">
        <f>IF(G6=0,"",IFERROR(G10/G11*1000,0))</f>
        <v/>
      </c>
      <c r="H15" s="15">
        <f>IF(H6=0,"",IFERROR(H10/H11*1000,0))</f>
        <v/>
      </c>
      <c r="I15" s="15">
        <f>IF(I6=0,"",IFERROR(I10/I11*1000,0))</f>
        <v/>
      </c>
      <c r="J15" s="15">
        <f>IF(J6=0,"",IFERROR(J10/J11*1000,0))</f>
        <v/>
      </c>
      <c r="K15" s="15">
        <f>IF(K6=0,"",IFERROR(K10/K11*1000,0))</f>
        <v/>
      </c>
      <c r="L15" s="15">
        <f>IF(L6=0,"",IFERROR(L10/L11*1000,0))</f>
        <v/>
      </c>
      <c r="M15" s="15">
        <f>IF(M6=0,"",IFERROR(M10/M11*1000,0))</f>
        <v/>
      </c>
      <c r="N15" s="15">
        <f>IF(N6=0,"",IFERROR(N10/N11*1000,0))</f>
        <v/>
      </c>
      <c r="O15" s="15">
        <f>IF(O6=0,"",IFERROR(O10/O11*1000,0))</f>
        <v/>
      </c>
      <c r="P15" s="15">
        <f>IF(P6=0,"",IFERROR(P10/P11*1000,0))</f>
        <v/>
      </c>
      <c r="Q15" s="15">
        <f>IF(Q6=0,"",IFERROR(Q10/Q11*1000,0))</f>
        <v/>
      </c>
      <c r="R15" s="15">
        <f>IF(R6=0,"",IFERROR(R10/R11*1000,0))</f>
        <v/>
      </c>
      <c r="S15" s="15">
        <f>IF(S6=0,"",IFERROR(S10/S11*1000,0))</f>
        <v/>
      </c>
      <c r="T15" s="15">
        <f>IF(T6=0,"",IFERROR(T10/T11*1000,0))</f>
        <v/>
      </c>
      <c r="U15" s="15">
        <f>IF(U6=0,"",IFERROR(U10/U11*1000,0))</f>
        <v/>
      </c>
      <c r="V15" s="15">
        <f>IF(V6=0,"",IFERROR(V10/V11*1000,0))</f>
        <v/>
      </c>
      <c r="W15" s="15">
        <f>IF(W6=0,"",IFERROR(W10/W11*1000,0))</f>
        <v/>
      </c>
      <c r="X15" s="15">
        <f>IF(X6=0,"",IFERROR(X10/X11*1000,0))</f>
        <v/>
      </c>
      <c r="Y15" s="15">
        <f>IF(Y6=0,"",IFERROR(Y10/Y11*1000,0))</f>
        <v/>
      </c>
      <c r="Z15" s="15">
        <f>IF(Z6=0,"",IFERROR(Z10/Z11*1000,0))</f>
        <v/>
      </c>
      <c r="AA15" s="15">
        <f>IF(AA6=0,"",IFERROR(AA10/AA11*1000,0))</f>
        <v/>
      </c>
      <c r="AB15" s="15">
        <f>IF(AB6=0,"",IFERROR(AB10/AB11*1000,0))</f>
        <v/>
      </c>
      <c r="AC15" s="15">
        <f>IFERROR(AVERAGE(C15:AB15),"")</f>
        <v/>
      </c>
      <c r="AD15" s="15">
        <f>IFERROR(MEDIAN(C15:AB15),"")</f>
        <v/>
      </c>
      <c r="AE15" s="15">
        <f>IFERROR(MIN(C15:AB15),"")</f>
        <v/>
      </c>
      <c r="AF15" s="15">
        <f>IFERROR(MAX(C15:AB15),"")</f>
        <v/>
      </c>
    </row>
    <row r="16">
      <c r="A16" t="inlineStr">
        <is>
          <t>Anuncios</t>
        </is>
      </c>
      <c r="B16" s="25" t="inlineStr">
        <is>
          <t>Frecuencia</t>
        </is>
      </c>
      <c r="C16" s="16">
        <f>IF(C6=0,"",IFERROR(C11/C12,0))</f>
        <v/>
      </c>
      <c r="D16" s="16">
        <f>IF(D6=0,"",IFERROR(D11/D12,0))</f>
        <v/>
      </c>
      <c r="E16" s="16">
        <f>IF(E6=0,"",IFERROR(E11/E12,0))</f>
        <v/>
      </c>
      <c r="F16" s="16">
        <f>IF(F6=0,"",IFERROR(F11/F12,0))</f>
        <v/>
      </c>
      <c r="G16" s="16">
        <f>IF(G6=0,"",IFERROR(G11/G12,0))</f>
        <v/>
      </c>
      <c r="H16" s="16">
        <f>IF(H6=0,"",IFERROR(H11/H12,0))</f>
        <v/>
      </c>
      <c r="I16" s="16">
        <f>IF(I6=0,"",IFERROR(I11/I12,0))</f>
        <v/>
      </c>
      <c r="J16" s="16">
        <f>IF(J6=0,"",IFERROR(J11/J12,0))</f>
        <v/>
      </c>
      <c r="K16" s="16">
        <f>IF(K6=0,"",IFERROR(K11/K12,0))</f>
        <v/>
      </c>
      <c r="L16" s="16">
        <f>IF(L6=0,"",IFERROR(L11/L12,0))</f>
        <v/>
      </c>
      <c r="M16" s="16">
        <f>IF(M6=0,"",IFERROR(M11/M12,0))</f>
        <v/>
      </c>
      <c r="N16" s="16">
        <f>IF(N6=0,"",IFERROR(N11/N12,0))</f>
        <v/>
      </c>
      <c r="O16" s="16">
        <f>IF(O6=0,"",IFERROR(O11/O12,0))</f>
        <v/>
      </c>
      <c r="P16" s="16">
        <f>IF(P6=0,"",IFERROR(P11/P12,0))</f>
        <v/>
      </c>
      <c r="Q16" s="16">
        <f>IF(Q6=0,"",IFERROR(Q11/Q12,0))</f>
        <v/>
      </c>
      <c r="R16" s="16">
        <f>IF(R6=0,"",IFERROR(R11/R12,0))</f>
        <v/>
      </c>
      <c r="S16" s="16">
        <f>IF(S6=0,"",IFERROR(S11/S12,0))</f>
        <v/>
      </c>
      <c r="T16" s="16">
        <f>IF(T6=0,"",IFERROR(T11/T12,0))</f>
        <v/>
      </c>
      <c r="U16" s="16">
        <f>IF(U6=0,"",IFERROR(U11/U12,0))</f>
        <v/>
      </c>
      <c r="V16" s="16">
        <f>IF(V6=0,"",IFERROR(V11/V12,0))</f>
        <v/>
      </c>
      <c r="W16" s="16">
        <f>IF(W6=0,"",IFERROR(W11/W12,0))</f>
        <v/>
      </c>
      <c r="X16" s="16">
        <f>IF(X6=0,"",IFERROR(X11/X12,0))</f>
        <v/>
      </c>
      <c r="Y16" s="16">
        <f>IF(Y6=0,"",IFERROR(Y11/Y12,0))</f>
        <v/>
      </c>
      <c r="Z16" s="16">
        <f>IF(Z6=0,"",IFERROR(Z11/Z12,0))</f>
        <v/>
      </c>
      <c r="AA16" s="16">
        <f>IF(AA6=0,"",IFERROR(AA11/AA12,0))</f>
        <v/>
      </c>
      <c r="AB16" s="16">
        <f>IF(AB6=0,"",IFERROR(AB11/AB12,0))</f>
        <v/>
      </c>
      <c r="AC16" s="16">
        <f>IFERROR(AVERAGE(C16:AB16),"")</f>
        <v/>
      </c>
      <c r="AD16" s="16">
        <f>IFERROR(MEDIAN(C16:AB16),"")</f>
        <v/>
      </c>
      <c r="AE16" s="16">
        <f>IFERROR(MIN(C16:AB16),"")</f>
        <v/>
      </c>
      <c r="AF16" s="16">
        <f>IFERROR(MAX(C16:AB16),"")</f>
        <v/>
      </c>
    </row>
    <row r="17">
      <c r="A17" t="inlineStr">
        <is>
          <t>Anuncios</t>
        </is>
      </c>
      <c r="B17" s="25" t="inlineStr">
        <is>
          <t>CTR al enlace</t>
        </is>
      </c>
      <c r="C17" s="17">
        <f>IF(C6=0,"",IFERROR(C13/C11,0))</f>
        <v/>
      </c>
      <c r="D17" s="17">
        <f>IF(D6=0,"",IFERROR(D13/D11,0))</f>
        <v/>
      </c>
      <c r="E17" s="17">
        <f>IF(E6=0,"",IFERROR(E13/E11,0))</f>
        <v/>
      </c>
      <c r="F17" s="17">
        <f>IF(F6=0,"",IFERROR(F13/F11,0))</f>
        <v/>
      </c>
      <c r="G17" s="17">
        <f>IF(G6=0,"",IFERROR(G13/G11,0))</f>
        <v/>
      </c>
      <c r="H17" s="17">
        <f>IF(H6=0,"",IFERROR(H13/H11,0))</f>
        <v/>
      </c>
      <c r="I17" s="17">
        <f>IF(I6=0,"",IFERROR(I13/I11,0))</f>
        <v/>
      </c>
      <c r="J17" s="17">
        <f>IF(J6=0,"",IFERROR(J13/J11,0))</f>
        <v/>
      </c>
      <c r="K17" s="17">
        <f>IF(K6=0,"",IFERROR(K13/K11,0))</f>
        <v/>
      </c>
      <c r="L17" s="17">
        <f>IF(L6=0,"",IFERROR(L13/L11,0))</f>
        <v/>
      </c>
      <c r="M17" s="17">
        <f>IF(M6=0,"",IFERROR(M13/M11,0))</f>
        <v/>
      </c>
      <c r="N17" s="17">
        <f>IF(N6=0,"",IFERROR(N13/N11,0))</f>
        <v/>
      </c>
      <c r="O17" s="17">
        <f>IF(O6=0,"",IFERROR(O13/O11,0))</f>
        <v/>
      </c>
      <c r="P17" s="17">
        <f>IF(P6=0,"",IFERROR(P13/P11,0))</f>
        <v/>
      </c>
      <c r="Q17" s="17">
        <f>IF(Q6=0,"",IFERROR(Q13/Q11,0))</f>
        <v/>
      </c>
      <c r="R17" s="17">
        <f>IF(R6=0,"",IFERROR(R13/R11,0))</f>
        <v/>
      </c>
      <c r="S17" s="17">
        <f>IF(S6=0,"",IFERROR(S13/S11,0))</f>
        <v/>
      </c>
      <c r="T17" s="17">
        <f>IF(T6=0,"",IFERROR(T13/T11,0))</f>
        <v/>
      </c>
      <c r="U17" s="17">
        <f>IF(U6=0,"",IFERROR(U13/U11,0))</f>
        <v/>
      </c>
      <c r="V17" s="17">
        <f>IF(V6=0,"",IFERROR(V13/V11,0))</f>
        <v/>
      </c>
      <c r="W17" s="17">
        <f>IF(W6=0,"",IFERROR(W13/W11,0))</f>
        <v/>
      </c>
      <c r="X17" s="17">
        <f>IF(X6=0,"",IFERROR(X13/X11,0))</f>
        <v/>
      </c>
      <c r="Y17" s="17">
        <f>IF(Y6=0,"",IFERROR(Y13/Y11,0))</f>
        <v/>
      </c>
      <c r="Z17" s="17">
        <f>IF(Z6=0,"",IFERROR(Z13/Z11,0))</f>
        <v/>
      </c>
      <c r="AA17" s="17">
        <f>IF(AA6=0,"",IFERROR(AA13/AA11,0))</f>
        <v/>
      </c>
      <c r="AB17" s="17">
        <f>IF(AB6=0,"",IFERROR(AB13/AB11,0))</f>
        <v/>
      </c>
      <c r="AC17" s="17">
        <f>IFERROR(AVERAGE(C17:AB17),"")</f>
        <v/>
      </c>
      <c r="AD17" s="17">
        <f>IFERROR(MEDIAN(C17:AB17),"")</f>
        <v/>
      </c>
      <c r="AE17" s="17">
        <f>IFERROR(MAX(C17:AB17),"")</f>
        <v/>
      </c>
      <c r="AF17" s="17">
        <f>IFERROR(MIN(C17:AB17),"")</f>
        <v/>
      </c>
    </row>
    <row r="18">
      <c r="A18" t="inlineStr">
        <is>
          <t>Anuncios</t>
        </is>
      </c>
      <c r="B18" s="5" t="inlineStr">
        <is>
          <t>CPC (por clic en el enlace)</t>
        </is>
      </c>
      <c r="C18" s="15">
        <f>IF(C6=0,"",IFERROR(C10/C13,0))</f>
        <v/>
      </c>
      <c r="D18" s="15">
        <f>IF(D6=0,"",IFERROR(D10/D13,0))</f>
        <v/>
      </c>
      <c r="E18" s="15">
        <f>IF(E6=0,"",IFERROR(E10/E13,0))</f>
        <v/>
      </c>
      <c r="F18" s="15">
        <f>IF(F6=0,"",IFERROR(F10/F13,0))</f>
        <v/>
      </c>
      <c r="G18" s="15">
        <f>IF(G6=0,"",IFERROR(G10/G13,0))</f>
        <v/>
      </c>
      <c r="H18" s="15">
        <f>IF(H6=0,"",IFERROR(H10/H13,0))</f>
        <v/>
      </c>
      <c r="I18" s="15">
        <f>IF(I6=0,"",IFERROR(I10/I13,0))</f>
        <v/>
      </c>
      <c r="J18" s="15">
        <f>IF(J6=0,"",IFERROR(J10/J13,0))</f>
        <v/>
      </c>
      <c r="K18" s="15">
        <f>IF(K6=0,"",IFERROR(K10/K13,0))</f>
        <v/>
      </c>
      <c r="L18" s="15">
        <f>IF(L6=0,"",IFERROR(L10/L13,0))</f>
        <v/>
      </c>
      <c r="M18" s="15">
        <f>IF(M6=0,"",IFERROR(M10/M13,0))</f>
        <v/>
      </c>
      <c r="N18" s="15">
        <f>IF(N6=0,"",IFERROR(N10/N13,0))</f>
        <v/>
      </c>
      <c r="O18" s="15">
        <f>IF(O6=0,"",IFERROR(O10/O13,0))</f>
        <v/>
      </c>
      <c r="P18" s="15">
        <f>IF(P6=0,"",IFERROR(P10/P13,0))</f>
        <v/>
      </c>
      <c r="Q18" s="15">
        <f>IF(Q6=0,"",IFERROR(Q10/Q13,0))</f>
        <v/>
      </c>
      <c r="R18" s="15">
        <f>IF(R6=0,"",IFERROR(R10/R13,0))</f>
        <v/>
      </c>
      <c r="S18" s="15">
        <f>IF(S6=0,"",IFERROR(S10/S13,0))</f>
        <v/>
      </c>
      <c r="T18" s="15">
        <f>IF(T6=0,"",IFERROR(T10/T13,0))</f>
        <v/>
      </c>
      <c r="U18" s="15">
        <f>IF(U6=0,"",IFERROR(U10/U13,0))</f>
        <v/>
      </c>
      <c r="V18" s="15">
        <f>IF(V6=0,"",IFERROR(V10/V13,0))</f>
        <v/>
      </c>
      <c r="W18" s="15">
        <f>IF(W6=0,"",IFERROR(W10/W13,0))</f>
        <v/>
      </c>
      <c r="X18" s="15">
        <f>IF(X6=0,"",IFERROR(X10/X13,0))</f>
        <v/>
      </c>
      <c r="Y18" s="15">
        <f>IF(Y6=0,"",IFERROR(Y10/Y13,0))</f>
        <v/>
      </c>
      <c r="Z18" s="15">
        <f>IF(Z6=0,"",IFERROR(Z10/Z13,0))</f>
        <v/>
      </c>
      <c r="AA18" s="15">
        <f>IF(AA6=0,"",IFERROR(AA10/AA13,0))</f>
        <v/>
      </c>
      <c r="AB18" s="15">
        <f>IF(AB6=0,"",IFERROR(AB10/AB13,0))</f>
        <v/>
      </c>
      <c r="AC18" s="15">
        <f>IFERROR(AVERAGE(C18:AB18),"")</f>
        <v/>
      </c>
      <c r="AD18" s="15">
        <f>IFERROR(MEDIAN(C18:AB18),"")</f>
        <v/>
      </c>
      <c r="AE18" s="15">
        <f>IFERROR(MIN(C18:AB18),"")</f>
        <v/>
      </c>
      <c r="AF18" s="15">
        <f>IFERROR(MAX(C18:AB18),"")</f>
        <v/>
      </c>
    </row>
    <row r="19">
      <c r="A19" t="inlineStr">
        <is>
          <t>Anuncios</t>
        </is>
      </c>
      <c r="B19" s="5" t="inlineStr">
        <is>
          <t>% clic → visita</t>
        </is>
      </c>
      <c r="C19" s="18">
        <f>IF(C6=0,"",IFERROR(C14/C13,0))</f>
        <v/>
      </c>
      <c r="D19" s="18">
        <f>IF(D6=0,"",IFERROR(D14/D13,0))</f>
        <v/>
      </c>
      <c r="E19" s="18">
        <f>IF(E6=0,"",IFERROR(E14/E13,0))</f>
        <v/>
      </c>
      <c r="F19" s="18">
        <f>IF(F6=0,"",IFERROR(F14/F13,0))</f>
        <v/>
      </c>
      <c r="G19" s="18">
        <f>IF(G6=0,"",IFERROR(G14/G13,0))</f>
        <v/>
      </c>
      <c r="H19" s="18">
        <f>IF(H6=0,"",IFERROR(H14/H13,0))</f>
        <v/>
      </c>
      <c r="I19" s="18">
        <f>IF(I6=0,"",IFERROR(I14/I13,0))</f>
        <v/>
      </c>
      <c r="J19" s="18">
        <f>IF(J6=0,"",IFERROR(J14/J13,0))</f>
        <v/>
      </c>
      <c r="K19" s="18">
        <f>IF(K6=0,"",IFERROR(K14/K13,0))</f>
        <v/>
      </c>
      <c r="L19" s="18">
        <f>IF(L6=0,"",IFERROR(L14/L13,0))</f>
        <v/>
      </c>
      <c r="M19" s="18">
        <f>IF(M6=0,"",IFERROR(M14/M13,0))</f>
        <v/>
      </c>
      <c r="N19" s="18">
        <f>IF(N6=0,"",IFERROR(N14/N13,0))</f>
        <v/>
      </c>
      <c r="O19" s="18">
        <f>IF(O6=0,"",IFERROR(O14/O13,0))</f>
        <v/>
      </c>
      <c r="P19" s="18">
        <f>IF(P6=0,"",IFERROR(P14/P13,0))</f>
        <v/>
      </c>
      <c r="Q19" s="18">
        <f>IF(Q6=0,"",IFERROR(Q14/Q13,0))</f>
        <v/>
      </c>
      <c r="R19" s="18">
        <f>IF(R6=0,"",IFERROR(R14/R13,0))</f>
        <v/>
      </c>
      <c r="S19" s="18">
        <f>IF(S6=0,"",IFERROR(S14/S13,0))</f>
        <v/>
      </c>
      <c r="T19" s="18">
        <f>IF(T6=0,"",IFERROR(T14/T13,0))</f>
        <v/>
      </c>
      <c r="U19" s="18">
        <f>IF(U6=0,"",IFERROR(U14/U13,0))</f>
        <v/>
      </c>
      <c r="V19" s="18">
        <f>IF(V6=0,"",IFERROR(V14/V13,0))</f>
        <v/>
      </c>
      <c r="W19" s="18">
        <f>IF(W6=0,"",IFERROR(W14/W13,0))</f>
        <v/>
      </c>
      <c r="X19" s="18">
        <f>IF(X6=0,"",IFERROR(X14/X13,0))</f>
        <v/>
      </c>
      <c r="Y19" s="18">
        <f>IF(Y6=0,"",IFERROR(Y14/Y13,0))</f>
        <v/>
      </c>
      <c r="Z19" s="18">
        <f>IF(Z6=0,"",IFERROR(Z14/Z13,0))</f>
        <v/>
      </c>
      <c r="AA19" s="18">
        <f>IF(AA6=0,"",IFERROR(AA14/AA13,0))</f>
        <v/>
      </c>
      <c r="AB19" s="18">
        <f>IF(AB6=0,"",IFERROR(AB14/AB13,0))</f>
        <v/>
      </c>
      <c r="AC19" s="18">
        <f>IFERROR(AVERAGE(C19:AB19),"")</f>
        <v/>
      </c>
      <c r="AD19" s="18">
        <f>IFERROR(MEDIAN(C19:AB19),"")</f>
        <v/>
      </c>
      <c r="AE19" s="18">
        <f>IFERROR(MAX(C19:AB19),"")</f>
        <v/>
      </c>
      <c r="AF19" s="18">
        <f>IFERROR(MIN(C19:AB19),"")</f>
        <v/>
      </c>
    </row>
    <row r="20">
      <c r="A20" t="inlineStr">
        <is>
          <t>Anuncios</t>
        </is>
      </c>
      <c r="B20" s="25" t="inlineStr">
        <is>
          <t>Costo por visita</t>
        </is>
      </c>
      <c r="C20" s="15">
        <f>IF(C6=0,"",IFERROR(C10/C14,0))</f>
        <v/>
      </c>
      <c r="D20" s="15">
        <f>IF(D6=0,"",IFERROR(D10/D14,0))</f>
        <v/>
      </c>
      <c r="E20" s="15">
        <f>IF(E6=0,"",IFERROR(E10/E14,0))</f>
        <v/>
      </c>
      <c r="F20" s="15">
        <f>IF(F6=0,"",IFERROR(F10/F14,0))</f>
        <v/>
      </c>
      <c r="G20" s="15">
        <f>IF(G6=0,"",IFERROR(G10/G14,0))</f>
        <v/>
      </c>
      <c r="H20" s="15">
        <f>IF(H6=0,"",IFERROR(H10/H14,0))</f>
        <v/>
      </c>
      <c r="I20" s="15">
        <f>IF(I6=0,"",IFERROR(I10/I14,0))</f>
        <v/>
      </c>
      <c r="J20" s="15">
        <f>IF(J6=0,"",IFERROR(J10/J14,0))</f>
        <v/>
      </c>
      <c r="K20" s="15">
        <f>IF(K6=0,"",IFERROR(K10/K14,0))</f>
        <v/>
      </c>
      <c r="L20" s="15">
        <f>IF(L6=0,"",IFERROR(L10/L14,0))</f>
        <v/>
      </c>
      <c r="M20" s="15">
        <f>IF(M6=0,"",IFERROR(M10/M14,0))</f>
        <v/>
      </c>
      <c r="N20" s="15">
        <f>IF(N6=0,"",IFERROR(N10/N14,0))</f>
        <v/>
      </c>
      <c r="O20" s="15">
        <f>IF(O6=0,"",IFERROR(O10/O14,0))</f>
        <v/>
      </c>
      <c r="P20" s="15">
        <f>IF(P6=0,"",IFERROR(P10/P14,0))</f>
        <v/>
      </c>
      <c r="Q20" s="15">
        <f>IF(Q6=0,"",IFERROR(Q10/Q14,0))</f>
        <v/>
      </c>
      <c r="R20" s="15">
        <f>IF(R6=0,"",IFERROR(R10/R14,0))</f>
        <v/>
      </c>
      <c r="S20" s="15">
        <f>IF(S6=0,"",IFERROR(S10/S14,0))</f>
        <v/>
      </c>
      <c r="T20" s="15">
        <f>IF(T6=0,"",IFERROR(T10/T14,0))</f>
        <v/>
      </c>
      <c r="U20" s="15">
        <f>IF(U6=0,"",IFERROR(U10/U14,0))</f>
        <v/>
      </c>
      <c r="V20" s="15">
        <f>IF(V6=0,"",IFERROR(V10/V14,0))</f>
        <v/>
      </c>
      <c r="W20" s="15">
        <f>IF(W6=0,"",IFERROR(W10/W14,0))</f>
        <v/>
      </c>
      <c r="X20" s="15">
        <f>IF(X6=0,"",IFERROR(X10/X14,0))</f>
        <v/>
      </c>
      <c r="Y20" s="15">
        <f>IF(Y6=0,"",IFERROR(Y10/Y14,0))</f>
        <v/>
      </c>
      <c r="Z20" s="15">
        <f>IF(Z6=0,"",IFERROR(Z10/Z14,0))</f>
        <v/>
      </c>
      <c r="AA20" s="15">
        <f>IF(AA6=0,"",IFERROR(AA10/AA14,0))</f>
        <v/>
      </c>
      <c r="AB20" s="15">
        <f>IF(AB6=0,"",IFERROR(AB10/AB14,0))</f>
        <v/>
      </c>
      <c r="AC20" s="15">
        <f>IFERROR(AVERAGE(C20:AB20),"")</f>
        <v/>
      </c>
      <c r="AD20" s="15">
        <f>IFERROR(MEDIAN(C20:AB20),"")</f>
        <v/>
      </c>
      <c r="AE20" s="15">
        <f>IFERROR(MIN(C20:AB20),"")</f>
        <v/>
      </c>
      <c r="AF20" s="15">
        <f>IFERROR(MAX(C20:AB20),"")</f>
        <v/>
      </c>
    </row>
    <row r="21">
      <c r="A21" t="inlineStr">
        <is>
          <t>Anuncios</t>
        </is>
      </c>
      <c r="B21" s="5" t="inlineStr">
        <is>
          <t>Visitas por cada 1.000 impresiones</t>
        </is>
      </c>
      <c r="C21" s="19">
        <f>IF(C6=0,"",IFERROR(C14/C11*1000,0))</f>
        <v/>
      </c>
      <c r="D21" s="19">
        <f>IF(D6=0,"",IFERROR(D14/D11*1000,0))</f>
        <v/>
      </c>
      <c r="E21" s="19">
        <f>IF(E6=0,"",IFERROR(E14/E11*1000,0))</f>
        <v/>
      </c>
      <c r="F21" s="19">
        <f>IF(F6=0,"",IFERROR(F14/F11*1000,0))</f>
        <v/>
      </c>
      <c r="G21" s="19">
        <f>IF(G6=0,"",IFERROR(G14/G11*1000,0))</f>
        <v/>
      </c>
      <c r="H21" s="19">
        <f>IF(H6=0,"",IFERROR(H14/H11*1000,0))</f>
        <v/>
      </c>
      <c r="I21" s="19">
        <f>IF(I6=0,"",IFERROR(I14/I11*1000,0))</f>
        <v/>
      </c>
      <c r="J21" s="19">
        <f>IF(J6=0,"",IFERROR(J14/J11*1000,0))</f>
        <v/>
      </c>
      <c r="K21" s="19">
        <f>IF(K6=0,"",IFERROR(K14/K11*1000,0))</f>
        <v/>
      </c>
      <c r="L21" s="19">
        <f>IF(L6=0,"",IFERROR(L14/L11*1000,0))</f>
        <v/>
      </c>
      <c r="M21" s="19">
        <f>IF(M6=0,"",IFERROR(M14/M11*1000,0))</f>
        <v/>
      </c>
      <c r="N21" s="19">
        <f>IF(N6=0,"",IFERROR(N14/N11*1000,0))</f>
        <v/>
      </c>
      <c r="O21" s="19">
        <f>IF(O6=0,"",IFERROR(O14/O11*1000,0))</f>
        <v/>
      </c>
      <c r="P21" s="19">
        <f>IF(P6=0,"",IFERROR(P14/P11*1000,0))</f>
        <v/>
      </c>
      <c r="Q21" s="19">
        <f>IF(Q6=0,"",IFERROR(Q14/Q11*1000,0))</f>
        <v/>
      </c>
      <c r="R21" s="19">
        <f>IF(R6=0,"",IFERROR(R14/R11*1000,0))</f>
        <v/>
      </c>
      <c r="S21" s="19">
        <f>IF(S6=0,"",IFERROR(S14/S11*1000,0))</f>
        <v/>
      </c>
      <c r="T21" s="19">
        <f>IF(T6=0,"",IFERROR(T14/T11*1000,0))</f>
        <v/>
      </c>
      <c r="U21" s="19">
        <f>IF(U6=0,"",IFERROR(U14/U11*1000,0))</f>
        <v/>
      </c>
      <c r="V21" s="19">
        <f>IF(V6=0,"",IFERROR(V14/V11*1000,0))</f>
        <v/>
      </c>
      <c r="W21" s="19">
        <f>IF(W6=0,"",IFERROR(W14/W11*1000,0))</f>
        <v/>
      </c>
      <c r="X21" s="19">
        <f>IF(X6=0,"",IFERROR(X14/X11*1000,0))</f>
        <v/>
      </c>
      <c r="Y21" s="19">
        <f>IF(Y6=0,"",IFERROR(Y14/Y11*1000,0))</f>
        <v/>
      </c>
      <c r="Z21" s="19">
        <f>IF(Z6=0,"",IFERROR(Z14/Z11*1000,0))</f>
        <v/>
      </c>
      <c r="AA21" s="19">
        <f>IF(AA6=0,"",IFERROR(AA14/AA11*1000,0))</f>
        <v/>
      </c>
      <c r="AB21" s="19">
        <f>IF(AB6=0,"",IFERROR(AB14/AB11*1000,0))</f>
        <v/>
      </c>
      <c r="AC21" s="19">
        <f>IFERROR(AVERAGE(C21:AB21),"")</f>
        <v/>
      </c>
      <c r="AD21" s="19">
        <f>IFERROR(MEDIAN(C21:AB21),"")</f>
        <v/>
      </c>
      <c r="AE21" s="19">
        <f>IFERROR(MAX(C21:AB21),"")</f>
        <v/>
      </c>
      <c r="AF21" s="19">
        <f>IFERROR(MIN(C21:AB21),"")</f>
        <v/>
      </c>
    </row>
    <row r="23">
      <c r="A23" s="23" t="inlineStr">
        <is>
          <t>2. Página y leads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</row>
    <row r="24">
      <c r="A24" t="inlineStr">
        <is>
          <t>Página y leads</t>
        </is>
      </c>
      <c r="B24" s="5" t="inlineStr">
        <is>
          <t>Leads</t>
        </is>
      </c>
      <c r="C24" s="13">
        <f>IF(C6=0,"",SUMIFS(Diario!$H$6:$H$371,Diario!$B$6:$B$371,C$5))</f>
        <v/>
      </c>
      <c r="D24" s="13">
        <f>IF(D6=0,"",SUMIFS(Diario!$H$6:$H$371,Diario!$B$6:$B$371,D$5))</f>
        <v/>
      </c>
      <c r="E24" s="13">
        <f>IF(E6=0,"",SUMIFS(Diario!$H$6:$H$371,Diario!$B$6:$B$371,E$5))</f>
        <v/>
      </c>
      <c r="F24" s="13">
        <f>IF(F6=0,"",SUMIFS(Diario!$H$6:$H$371,Diario!$B$6:$B$371,F$5))</f>
        <v/>
      </c>
      <c r="G24" s="13">
        <f>IF(G6=0,"",SUMIFS(Diario!$H$6:$H$371,Diario!$B$6:$B$371,G$5))</f>
        <v/>
      </c>
      <c r="H24" s="13">
        <f>IF(H6=0,"",SUMIFS(Diario!$H$6:$H$371,Diario!$B$6:$B$371,H$5))</f>
        <v/>
      </c>
      <c r="I24" s="13">
        <f>IF(I6=0,"",SUMIFS(Diario!$H$6:$H$371,Diario!$B$6:$B$371,I$5))</f>
        <v/>
      </c>
      <c r="J24" s="13">
        <f>IF(J6=0,"",SUMIFS(Diario!$H$6:$H$371,Diario!$B$6:$B$371,J$5))</f>
        <v/>
      </c>
      <c r="K24" s="13">
        <f>IF(K6=0,"",SUMIFS(Diario!$H$6:$H$371,Diario!$B$6:$B$371,K$5))</f>
        <v/>
      </c>
      <c r="L24" s="13">
        <f>IF(L6=0,"",SUMIFS(Diario!$H$6:$H$371,Diario!$B$6:$B$371,L$5))</f>
        <v/>
      </c>
      <c r="M24" s="13">
        <f>IF(M6=0,"",SUMIFS(Diario!$H$6:$H$371,Diario!$B$6:$B$371,M$5))</f>
        <v/>
      </c>
      <c r="N24" s="13">
        <f>IF(N6=0,"",SUMIFS(Diario!$H$6:$H$371,Diario!$B$6:$B$371,N$5))</f>
        <v/>
      </c>
      <c r="O24" s="13">
        <f>IF(O6=0,"",SUMIFS(Diario!$H$6:$H$371,Diario!$B$6:$B$371,O$5))</f>
        <v/>
      </c>
      <c r="P24" s="13">
        <f>IF(P6=0,"",SUMIFS(Diario!$H$6:$H$371,Diario!$B$6:$B$371,P$5))</f>
        <v/>
      </c>
      <c r="Q24" s="13">
        <f>IF(Q6=0,"",SUMIFS(Diario!$H$6:$H$371,Diario!$B$6:$B$371,Q$5))</f>
        <v/>
      </c>
      <c r="R24" s="13">
        <f>IF(R6=0,"",SUMIFS(Diario!$H$6:$H$371,Diario!$B$6:$B$371,R$5))</f>
        <v/>
      </c>
      <c r="S24" s="13">
        <f>IF(S6=0,"",SUMIFS(Diario!$H$6:$H$371,Diario!$B$6:$B$371,S$5))</f>
        <v/>
      </c>
      <c r="T24" s="13">
        <f>IF(T6=0,"",SUMIFS(Diario!$H$6:$H$371,Diario!$B$6:$B$371,T$5))</f>
        <v/>
      </c>
      <c r="U24" s="13">
        <f>IF(U6=0,"",SUMIFS(Diario!$H$6:$H$371,Diario!$B$6:$B$371,U$5))</f>
        <v/>
      </c>
      <c r="V24" s="13">
        <f>IF(V6=0,"",SUMIFS(Diario!$H$6:$H$371,Diario!$B$6:$B$371,V$5))</f>
        <v/>
      </c>
      <c r="W24" s="13">
        <f>IF(W6=0,"",SUMIFS(Diario!$H$6:$H$371,Diario!$B$6:$B$371,W$5))</f>
        <v/>
      </c>
      <c r="X24" s="13">
        <f>IF(X6=0,"",SUMIFS(Diario!$H$6:$H$371,Diario!$B$6:$B$371,X$5))</f>
        <v/>
      </c>
      <c r="Y24" s="13">
        <f>IF(Y6=0,"",SUMIFS(Diario!$H$6:$H$371,Diario!$B$6:$B$371,Y$5))</f>
        <v/>
      </c>
      <c r="Z24" s="13">
        <f>IF(Z6=0,"",SUMIFS(Diario!$H$6:$H$371,Diario!$B$6:$B$371,Z$5))</f>
        <v/>
      </c>
      <c r="AA24" s="13">
        <f>IF(AA6=0,"",SUMIFS(Diario!$H$6:$H$371,Diario!$B$6:$B$371,AA$5))</f>
        <v/>
      </c>
      <c r="AB24" s="13">
        <f>IF(AB6=0,"",SUMIFS(Diario!$H$6:$H$371,Diario!$B$6:$B$371,AB$5))</f>
        <v/>
      </c>
      <c r="AC24" s="13">
        <f>IFERROR(AVERAGE(C24:AB24),"")</f>
        <v/>
      </c>
      <c r="AD24" s="13">
        <f>IFERROR(MEDIAN(C24:AB24),"")</f>
        <v/>
      </c>
      <c r="AE24" s="13">
        <f>IFERROR(MAX(C24:AB24),"")</f>
        <v/>
      </c>
      <c r="AF24" s="13">
        <f>IFERROR(MIN(C24:AB24),"")</f>
        <v/>
      </c>
    </row>
    <row r="25">
      <c r="A25" t="inlineStr">
        <is>
          <t>Página y leads</t>
        </is>
      </c>
      <c r="B25" s="25" t="inlineStr">
        <is>
          <t>% visita → lead (conversión de la página)</t>
        </is>
      </c>
      <c r="C25" s="18">
        <f>IF(C6=0,"",IFERROR(C24/C14,0))</f>
        <v/>
      </c>
      <c r="D25" s="18">
        <f>IF(D6=0,"",IFERROR(D24/D14,0))</f>
        <v/>
      </c>
      <c r="E25" s="18">
        <f>IF(E6=0,"",IFERROR(E24/E14,0))</f>
        <v/>
      </c>
      <c r="F25" s="18">
        <f>IF(F6=0,"",IFERROR(F24/F14,0))</f>
        <v/>
      </c>
      <c r="G25" s="18">
        <f>IF(G6=0,"",IFERROR(G24/G14,0))</f>
        <v/>
      </c>
      <c r="H25" s="18">
        <f>IF(H6=0,"",IFERROR(H24/H14,0))</f>
        <v/>
      </c>
      <c r="I25" s="18">
        <f>IF(I6=0,"",IFERROR(I24/I14,0))</f>
        <v/>
      </c>
      <c r="J25" s="18">
        <f>IF(J6=0,"",IFERROR(J24/J14,0))</f>
        <v/>
      </c>
      <c r="K25" s="18">
        <f>IF(K6=0,"",IFERROR(K24/K14,0))</f>
        <v/>
      </c>
      <c r="L25" s="18">
        <f>IF(L6=0,"",IFERROR(L24/L14,0))</f>
        <v/>
      </c>
      <c r="M25" s="18">
        <f>IF(M6=0,"",IFERROR(M24/M14,0))</f>
        <v/>
      </c>
      <c r="N25" s="18">
        <f>IF(N6=0,"",IFERROR(N24/N14,0))</f>
        <v/>
      </c>
      <c r="O25" s="18">
        <f>IF(O6=0,"",IFERROR(O24/O14,0))</f>
        <v/>
      </c>
      <c r="P25" s="18">
        <f>IF(P6=0,"",IFERROR(P24/P14,0))</f>
        <v/>
      </c>
      <c r="Q25" s="18">
        <f>IF(Q6=0,"",IFERROR(Q24/Q14,0))</f>
        <v/>
      </c>
      <c r="R25" s="18">
        <f>IF(R6=0,"",IFERROR(R24/R14,0))</f>
        <v/>
      </c>
      <c r="S25" s="18">
        <f>IF(S6=0,"",IFERROR(S24/S14,0))</f>
        <v/>
      </c>
      <c r="T25" s="18">
        <f>IF(T6=0,"",IFERROR(T24/T14,0))</f>
        <v/>
      </c>
      <c r="U25" s="18">
        <f>IF(U6=0,"",IFERROR(U24/U14,0))</f>
        <v/>
      </c>
      <c r="V25" s="18">
        <f>IF(V6=0,"",IFERROR(V24/V14,0))</f>
        <v/>
      </c>
      <c r="W25" s="18">
        <f>IF(W6=0,"",IFERROR(W24/W14,0))</f>
        <v/>
      </c>
      <c r="X25" s="18">
        <f>IF(X6=0,"",IFERROR(X24/X14,0))</f>
        <v/>
      </c>
      <c r="Y25" s="18">
        <f>IF(Y6=0,"",IFERROR(Y24/Y14,0))</f>
        <v/>
      </c>
      <c r="Z25" s="18">
        <f>IF(Z6=0,"",IFERROR(Z24/Z14,0))</f>
        <v/>
      </c>
      <c r="AA25" s="18">
        <f>IF(AA6=0,"",IFERROR(AA24/AA14,0))</f>
        <v/>
      </c>
      <c r="AB25" s="18">
        <f>IF(AB6=0,"",IFERROR(AB24/AB14,0))</f>
        <v/>
      </c>
      <c r="AC25" s="18">
        <f>IFERROR(AVERAGE(C25:AB25),"")</f>
        <v/>
      </c>
      <c r="AD25" s="18">
        <f>IFERROR(MEDIAN(C25:AB25),"")</f>
        <v/>
      </c>
      <c r="AE25" s="18">
        <f>IFERROR(MAX(C25:AB25),"")</f>
        <v/>
      </c>
      <c r="AF25" s="18">
        <f>IFERROR(MIN(C25:AB25),"")</f>
        <v/>
      </c>
    </row>
    <row r="26">
      <c r="A26" t="inlineStr">
        <is>
          <t>Página y leads</t>
        </is>
      </c>
      <c r="B26" s="25" t="inlineStr">
        <is>
          <t>CPL (costo por lead)</t>
        </is>
      </c>
      <c r="C26" s="15">
        <f>IF(C6=0,"",IFERROR(C10/C24,0))</f>
        <v/>
      </c>
      <c r="D26" s="15">
        <f>IF(D6=0,"",IFERROR(D10/D24,0))</f>
        <v/>
      </c>
      <c r="E26" s="15">
        <f>IF(E6=0,"",IFERROR(E10/E24,0))</f>
        <v/>
      </c>
      <c r="F26" s="15">
        <f>IF(F6=0,"",IFERROR(F10/F24,0))</f>
        <v/>
      </c>
      <c r="G26" s="15">
        <f>IF(G6=0,"",IFERROR(G10/G24,0))</f>
        <v/>
      </c>
      <c r="H26" s="15">
        <f>IF(H6=0,"",IFERROR(H10/H24,0))</f>
        <v/>
      </c>
      <c r="I26" s="15">
        <f>IF(I6=0,"",IFERROR(I10/I24,0))</f>
        <v/>
      </c>
      <c r="J26" s="15">
        <f>IF(J6=0,"",IFERROR(J10/J24,0))</f>
        <v/>
      </c>
      <c r="K26" s="15">
        <f>IF(K6=0,"",IFERROR(K10/K24,0))</f>
        <v/>
      </c>
      <c r="L26" s="15">
        <f>IF(L6=0,"",IFERROR(L10/L24,0))</f>
        <v/>
      </c>
      <c r="M26" s="15">
        <f>IF(M6=0,"",IFERROR(M10/M24,0))</f>
        <v/>
      </c>
      <c r="N26" s="15">
        <f>IF(N6=0,"",IFERROR(N10/N24,0))</f>
        <v/>
      </c>
      <c r="O26" s="15">
        <f>IF(O6=0,"",IFERROR(O10/O24,0))</f>
        <v/>
      </c>
      <c r="P26" s="15">
        <f>IF(P6=0,"",IFERROR(P10/P24,0))</f>
        <v/>
      </c>
      <c r="Q26" s="15">
        <f>IF(Q6=0,"",IFERROR(Q10/Q24,0))</f>
        <v/>
      </c>
      <c r="R26" s="15">
        <f>IF(R6=0,"",IFERROR(R10/R24,0))</f>
        <v/>
      </c>
      <c r="S26" s="15">
        <f>IF(S6=0,"",IFERROR(S10/S24,0))</f>
        <v/>
      </c>
      <c r="T26" s="15">
        <f>IF(T6=0,"",IFERROR(T10/T24,0))</f>
        <v/>
      </c>
      <c r="U26" s="15">
        <f>IF(U6=0,"",IFERROR(U10/U24,0))</f>
        <v/>
      </c>
      <c r="V26" s="15">
        <f>IF(V6=0,"",IFERROR(V10/V24,0))</f>
        <v/>
      </c>
      <c r="W26" s="15">
        <f>IF(W6=0,"",IFERROR(W10/W24,0))</f>
        <v/>
      </c>
      <c r="X26" s="15">
        <f>IF(X6=0,"",IFERROR(X10/X24,0))</f>
        <v/>
      </c>
      <c r="Y26" s="15">
        <f>IF(Y6=0,"",IFERROR(Y10/Y24,0))</f>
        <v/>
      </c>
      <c r="Z26" s="15">
        <f>IF(Z6=0,"",IFERROR(Z10/Z24,0))</f>
        <v/>
      </c>
      <c r="AA26" s="15">
        <f>IF(AA6=0,"",IFERROR(AA10/AA24,0))</f>
        <v/>
      </c>
      <c r="AB26" s="15">
        <f>IF(AB6=0,"",IFERROR(AB10/AB24,0))</f>
        <v/>
      </c>
      <c r="AC26" s="15">
        <f>IFERROR(AVERAGE(C26:AB26),"")</f>
        <v/>
      </c>
      <c r="AD26" s="15">
        <f>IFERROR(MEDIAN(C26:AB26),"")</f>
        <v/>
      </c>
      <c r="AE26" s="15">
        <f>IFERROR(MIN(C26:AB26),"")</f>
        <v/>
      </c>
      <c r="AF26" s="15">
        <f>IFERROR(MAX(C26:AB26),"")</f>
        <v/>
      </c>
    </row>
    <row r="27">
      <c r="A27" t="inlineStr">
        <is>
          <t>Página y leads</t>
        </is>
      </c>
      <c r="B27" s="25" t="inlineStr">
        <is>
          <t>CPL como % del CPM (el umbral depende del nicho)</t>
        </is>
      </c>
      <c r="C27" s="18">
        <f>IF(C6=0,"",IFERROR(C26/C15,0))</f>
        <v/>
      </c>
      <c r="D27" s="18">
        <f>IF(D6=0,"",IFERROR(D26/D15,0))</f>
        <v/>
      </c>
      <c r="E27" s="18">
        <f>IF(E6=0,"",IFERROR(E26/E15,0))</f>
        <v/>
      </c>
      <c r="F27" s="18">
        <f>IF(F6=0,"",IFERROR(F26/F15,0))</f>
        <v/>
      </c>
      <c r="G27" s="18">
        <f>IF(G6=0,"",IFERROR(G26/G15,0))</f>
        <v/>
      </c>
      <c r="H27" s="18">
        <f>IF(H6=0,"",IFERROR(H26/H15,0))</f>
        <v/>
      </c>
      <c r="I27" s="18">
        <f>IF(I6=0,"",IFERROR(I26/I15,0))</f>
        <v/>
      </c>
      <c r="J27" s="18">
        <f>IF(J6=0,"",IFERROR(J26/J15,0))</f>
        <v/>
      </c>
      <c r="K27" s="18">
        <f>IF(K6=0,"",IFERROR(K26/K15,0))</f>
        <v/>
      </c>
      <c r="L27" s="18">
        <f>IF(L6=0,"",IFERROR(L26/L15,0))</f>
        <v/>
      </c>
      <c r="M27" s="18">
        <f>IF(M6=0,"",IFERROR(M26/M15,0))</f>
        <v/>
      </c>
      <c r="N27" s="18">
        <f>IF(N6=0,"",IFERROR(N26/N15,0))</f>
        <v/>
      </c>
      <c r="O27" s="18">
        <f>IF(O6=0,"",IFERROR(O26/O15,0))</f>
        <v/>
      </c>
      <c r="P27" s="18">
        <f>IF(P6=0,"",IFERROR(P26/P15,0))</f>
        <v/>
      </c>
      <c r="Q27" s="18">
        <f>IF(Q6=0,"",IFERROR(Q26/Q15,0))</f>
        <v/>
      </c>
      <c r="R27" s="18">
        <f>IF(R6=0,"",IFERROR(R26/R15,0))</f>
        <v/>
      </c>
      <c r="S27" s="18">
        <f>IF(S6=0,"",IFERROR(S26/S15,0))</f>
        <v/>
      </c>
      <c r="T27" s="18">
        <f>IF(T6=0,"",IFERROR(T26/T15,0))</f>
        <v/>
      </c>
      <c r="U27" s="18">
        <f>IF(U6=0,"",IFERROR(U26/U15,0))</f>
        <v/>
      </c>
      <c r="V27" s="18">
        <f>IF(V6=0,"",IFERROR(V26/V15,0))</f>
        <v/>
      </c>
      <c r="W27" s="18">
        <f>IF(W6=0,"",IFERROR(W26/W15,0))</f>
        <v/>
      </c>
      <c r="X27" s="18">
        <f>IF(X6=0,"",IFERROR(X26/X15,0))</f>
        <v/>
      </c>
      <c r="Y27" s="18">
        <f>IF(Y6=0,"",IFERROR(Y26/Y15,0))</f>
        <v/>
      </c>
      <c r="Z27" s="18">
        <f>IF(Z6=0,"",IFERROR(Z26/Z15,0))</f>
        <v/>
      </c>
      <c r="AA27" s="18">
        <f>IF(AA6=0,"",IFERROR(AA26/AA15,0))</f>
        <v/>
      </c>
      <c r="AB27" s="18">
        <f>IF(AB6=0,"",IFERROR(AB26/AB15,0))</f>
        <v/>
      </c>
      <c r="AC27" s="18">
        <f>IFERROR(AVERAGE(C27:AB27),"")</f>
        <v/>
      </c>
      <c r="AD27" s="18">
        <f>IFERROR(MEDIAN(C27:AB27),"")</f>
        <v/>
      </c>
      <c r="AE27" s="18">
        <f>IFERROR(MIN(C27:AB27),"")</f>
        <v/>
      </c>
      <c r="AF27" s="18">
        <f>IFERROR(MAX(C27:AB27),"")</f>
        <v/>
      </c>
    </row>
    <row r="28">
      <c r="A28" t="inlineStr">
        <is>
          <t>Página y leads</t>
        </is>
      </c>
      <c r="B28" s="5" t="inlineStr">
        <is>
          <t>Leads por cada 1.000 impresiones</t>
        </is>
      </c>
      <c r="C28" s="19">
        <f>IF(C6=0,"",IFERROR(C24/C11*1000,0))</f>
        <v/>
      </c>
      <c r="D28" s="19">
        <f>IF(D6=0,"",IFERROR(D24/D11*1000,0))</f>
        <v/>
      </c>
      <c r="E28" s="19">
        <f>IF(E6=0,"",IFERROR(E24/E11*1000,0))</f>
        <v/>
      </c>
      <c r="F28" s="19">
        <f>IF(F6=0,"",IFERROR(F24/F11*1000,0))</f>
        <v/>
      </c>
      <c r="G28" s="19">
        <f>IF(G6=0,"",IFERROR(G24/G11*1000,0))</f>
        <v/>
      </c>
      <c r="H28" s="19">
        <f>IF(H6=0,"",IFERROR(H24/H11*1000,0))</f>
        <v/>
      </c>
      <c r="I28" s="19">
        <f>IF(I6=0,"",IFERROR(I24/I11*1000,0))</f>
        <v/>
      </c>
      <c r="J28" s="19">
        <f>IF(J6=0,"",IFERROR(J24/J11*1000,0))</f>
        <v/>
      </c>
      <c r="K28" s="19">
        <f>IF(K6=0,"",IFERROR(K24/K11*1000,0))</f>
        <v/>
      </c>
      <c r="L28" s="19">
        <f>IF(L6=0,"",IFERROR(L24/L11*1000,0))</f>
        <v/>
      </c>
      <c r="M28" s="19">
        <f>IF(M6=0,"",IFERROR(M24/M11*1000,0))</f>
        <v/>
      </c>
      <c r="N28" s="19">
        <f>IF(N6=0,"",IFERROR(N24/N11*1000,0))</f>
        <v/>
      </c>
      <c r="O28" s="19">
        <f>IF(O6=0,"",IFERROR(O24/O11*1000,0))</f>
        <v/>
      </c>
      <c r="P28" s="19">
        <f>IF(P6=0,"",IFERROR(P24/P11*1000,0))</f>
        <v/>
      </c>
      <c r="Q28" s="19">
        <f>IF(Q6=0,"",IFERROR(Q24/Q11*1000,0))</f>
        <v/>
      </c>
      <c r="R28" s="19">
        <f>IF(R6=0,"",IFERROR(R24/R11*1000,0))</f>
        <v/>
      </c>
      <c r="S28" s="19">
        <f>IF(S6=0,"",IFERROR(S24/S11*1000,0))</f>
        <v/>
      </c>
      <c r="T28" s="19">
        <f>IF(T6=0,"",IFERROR(T24/T11*1000,0))</f>
        <v/>
      </c>
      <c r="U28" s="19">
        <f>IF(U6=0,"",IFERROR(U24/U11*1000,0))</f>
        <v/>
      </c>
      <c r="V28" s="19">
        <f>IF(V6=0,"",IFERROR(V24/V11*1000,0))</f>
        <v/>
      </c>
      <c r="W28" s="19">
        <f>IF(W6=0,"",IFERROR(W24/W11*1000,0))</f>
        <v/>
      </c>
      <c r="X28" s="19">
        <f>IF(X6=0,"",IFERROR(X24/X11*1000,0))</f>
        <v/>
      </c>
      <c r="Y28" s="19">
        <f>IF(Y6=0,"",IFERROR(Y24/Y11*1000,0))</f>
        <v/>
      </c>
      <c r="Z28" s="19">
        <f>IF(Z6=0,"",IFERROR(Z24/Z11*1000,0))</f>
        <v/>
      </c>
      <c r="AA28" s="19">
        <f>IF(AA6=0,"",IFERROR(AA24/AA11*1000,0))</f>
        <v/>
      </c>
      <c r="AB28" s="19">
        <f>IF(AB6=0,"",IFERROR(AB24/AB11*1000,0))</f>
        <v/>
      </c>
      <c r="AC28" s="19">
        <f>IFERROR(AVERAGE(C28:AB28),"")</f>
        <v/>
      </c>
      <c r="AD28" s="19">
        <f>IFERROR(MEDIAN(C28:AB28),"")</f>
        <v/>
      </c>
      <c r="AE28" s="19">
        <f>IFERROR(MAX(C28:AB28),"")</f>
        <v/>
      </c>
      <c r="AF28" s="19">
        <f>IFERROR(MIN(C28:AB28),"")</f>
        <v/>
      </c>
    </row>
    <row r="30">
      <c r="A30" s="23" t="inlineStr">
        <is>
          <t>3. Aplicación, agenda y llamada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</row>
    <row r="31">
      <c r="A31" t="inlineStr">
        <is>
          <t>Aplicación, agenda y llamada</t>
        </is>
      </c>
      <c r="B31" s="5" t="inlineStr">
        <is>
          <t>Completan la aplicación</t>
        </is>
      </c>
      <c r="C31" s="13">
        <f>IF(C6=0,"",SUMIFS(Diario!$I$6:$I$371,Diario!$B$6:$B$371,C$5))</f>
        <v/>
      </c>
      <c r="D31" s="13">
        <f>IF(D6=0,"",SUMIFS(Diario!$I$6:$I$371,Diario!$B$6:$B$371,D$5))</f>
        <v/>
      </c>
      <c r="E31" s="13">
        <f>IF(E6=0,"",SUMIFS(Diario!$I$6:$I$371,Diario!$B$6:$B$371,E$5))</f>
        <v/>
      </c>
      <c r="F31" s="13">
        <f>IF(F6=0,"",SUMIFS(Diario!$I$6:$I$371,Diario!$B$6:$B$371,F$5))</f>
        <v/>
      </c>
      <c r="G31" s="13">
        <f>IF(G6=0,"",SUMIFS(Diario!$I$6:$I$371,Diario!$B$6:$B$371,G$5))</f>
        <v/>
      </c>
      <c r="H31" s="13">
        <f>IF(H6=0,"",SUMIFS(Diario!$I$6:$I$371,Diario!$B$6:$B$371,H$5))</f>
        <v/>
      </c>
      <c r="I31" s="13">
        <f>IF(I6=0,"",SUMIFS(Diario!$I$6:$I$371,Diario!$B$6:$B$371,I$5))</f>
        <v/>
      </c>
      <c r="J31" s="13">
        <f>IF(J6=0,"",SUMIFS(Diario!$I$6:$I$371,Diario!$B$6:$B$371,J$5))</f>
        <v/>
      </c>
      <c r="K31" s="13">
        <f>IF(K6=0,"",SUMIFS(Diario!$I$6:$I$371,Diario!$B$6:$B$371,K$5))</f>
        <v/>
      </c>
      <c r="L31" s="13">
        <f>IF(L6=0,"",SUMIFS(Diario!$I$6:$I$371,Diario!$B$6:$B$371,L$5))</f>
        <v/>
      </c>
      <c r="M31" s="13">
        <f>IF(M6=0,"",SUMIFS(Diario!$I$6:$I$371,Diario!$B$6:$B$371,M$5))</f>
        <v/>
      </c>
      <c r="N31" s="13">
        <f>IF(N6=0,"",SUMIFS(Diario!$I$6:$I$371,Diario!$B$6:$B$371,N$5))</f>
        <v/>
      </c>
      <c r="O31" s="13">
        <f>IF(O6=0,"",SUMIFS(Diario!$I$6:$I$371,Diario!$B$6:$B$371,O$5))</f>
        <v/>
      </c>
      <c r="P31" s="13">
        <f>IF(P6=0,"",SUMIFS(Diario!$I$6:$I$371,Diario!$B$6:$B$371,P$5))</f>
        <v/>
      </c>
      <c r="Q31" s="13">
        <f>IF(Q6=0,"",SUMIFS(Diario!$I$6:$I$371,Diario!$B$6:$B$371,Q$5))</f>
        <v/>
      </c>
      <c r="R31" s="13">
        <f>IF(R6=0,"",SUMIFS(Diario!$I$6:$I$371,Diario!$B$6:$B$371,R$5))</f>
        <v/>
      </c>
      <c r="S31" s="13">
        <f>IF(S6=0,"",SUMIFS(Diario!$I$6:$I$371,Diario!$B$6:$B$371,S$5))</f>
        <v/>
      </c>
      <c r="T31" s="13">
        <f>IF(T6=0,"",SUMIFS(Diario!$I$6:$I$371,Diario!$B$6:$B$371,T$5))</f>
        <v/>
      </c>
      <c r="U31" s="13">
        <f>IF(U6=0,"",SUMIFS(Diario!$I$6:$I$371,Diario!$B$6:$B$371,U$5))</f>
        <v/>
      </c>
      <c r="V31" s="13">
        <f>IF(V6=0,"",SUMIFS(Diario!$I$6:$I$371,Diario!$B$6:$B$371,V$5))</f>
        <v/>
      </c>
      <c r="W31" s="13">
        <f>IF(W6=0,"",SUMIFS(Diario!$I$6:$I$371,Diario!$B$6:$B$371,W$5))</f>
        <v/>
      </c>
      <c r="X31" s="13">
        <f>IF(X6=0,"",SUMIFS(Diario!$I$6:$I$371,Diario!$B$6:$B$371,X$5))</f>
        <v/>
      </c>
      <c r="Y31" s="13">
        <f>IF(Y6=0,"",SUMIFS(Diario!$I$6:$I$371,Diario!$B$6:$B$371,Y$5))</f>
        <v/>
      </c>
      <c r="Z31" s="13">
        <f>IF(Z6=0,"",SUMIFS(Diario!$I$6:$I$371,Diario!$B$6:$B$371,Z$5))</f>
        <v/>
      </c>
      <c r="AA31" s="13">
        <f>IF(AA6=0,"",SUMIFS(Diario!$I$6:$I$371,Diario!$B$6:$B$371,AA$5))</f>
        <v/>
      </c>
      <c r="AB31" s="13">
        <f>IF(AB6=0,"",SUMIFS(Diario!$I$6:$I$371,Diario!$B$6:$B$371,AB$5))</f>
        <v/>
      </c>
      <c r="AC31" s="13">
        <f>IFERROR(AVERAGE(C31:AB31),"")</f>
        <v/>
      </c>
      <c r="AD31" s="13">
        <f>IFERROR(MEDIAN(C31:AB31),"")</f>
        <v/>
      </c>
      <c r="AE31" s="13">
        <f>IFERROR(MAX(C31:AB31),"")</f>
        <v/>
      </c>
      <c r="AF31" s="13">
        <f>IFERROR(MIN(C31:AB31),"")</f>
        <v/>
      </c>
    </row>
    <row r="32">
      <c r="A32" t="inlineStr">
        <is>
          <t>Aplicación, agenda y llamada</t>
        </is>
      </c>
      <c r="B32" s="5" t="inlineStr">
        <is>
          <t>Califican</t>
        </is>
      </c>
      <c r="C32" s="13">
        <f>IF(C6=0,"",SUMIFS(Diario!$J$6:$J$371,Diario!$B$6:$B$371,C$5))</f>
        <v/>
      </c>
      <c r="D32" s="13">
        <f>IF(D6=0,"",SUMIFS(Diario!$J$6:$J$371,Diario!$B$6:$B$371,D$5))</f>
        <v/>
      </c>
      <c r="E32" s="13">
        <f>IF(E6=0,"",SUMIFS(Diario!$J$6:$J$371,Diario!$B$6:$B$371,E$5))</f>
        <v/>
      </c>
      <c r="F32" s="13">
        <f>IF(F6=0,"",SUMIFS(Diario!$J$6:$J$371,Diario!$B$6:$B$371,F$5))</f>
        <v/>
      </c>
      <c r="G32" s="13">
        <f>IF(G6=0,"",SUMIFS(Diario!$J$6:$J$371,Diario!$B$6:$B$371,G$5))</f>
        <v/>
      </c>
      <c r="H32" s="13">
        <f>IF(H6=0,"",SUMIFS(Diario!$J$6:$J$371,Diario!$B$6:$B$371,H$5))</f>
        <v/>
      </c>
      <c r="I32" s="13">
        <f>IF(I6=0,"",SUMIFS(Diario!$J$6:$J$371,Diario!$B$6:$B$371,I$5))</f>
        <v/>
      </c>
      <c r="J32" s="13">
        <f>IF(J6=0,"",SUMIFS(Diario!$J$6:$J$371,Diario!$B$6:$B$371,J$5))</f>
        <v/>
      </c>
      <c r="K32" s="13">
        <f>IF(K6=0,"",SUMIFS(Diario!$J$6:$J$371,Diario!$B$6:$B$371,K$5))</f>
        <v/>
      </c>
      <c r="L32" s="13">
        <f>IF(L6=0,"",SUMIFS(Diario!$J$6:$J$371,Diario!$B$6:$B$371,L$5))</f>
        <v/>
      </c>
      <c r="M32" s="13">
        <f>IF(M6=0,"",SUMIFS(Diario!$J$6:$J$371,Diario!$B$6:$B$371,M$5))</f>
        <v/>
      </c>
      <c r="N32" s="13">
        <f>IF(N6=0,"",SUMIFS(Diario!$J$6:$J$371,Diario!$B$6:$B$371,N$5))</f>
        <v/>
      </c>
      <c r="O32" s="13">
        <f>IF(O6=0,"",SUMIFS(Diario!$J$6:$J$371,Diario!$B$6:$B$371,O$5))</f>
        <v/>
      </c>
      <c r="P32" s="13">
        <f>IF(P6=0,"",SUMIFS(Diario!$J$6:$J$371,Diario!$B$6:$B$371,P$5))</f>
        <v/>
      </c>
      <c r="Q32" s="13">
        <f>IF(Q6=0,"",SUMIFS(Diario!$J$6:$J$371,Diario!$B$6:$B$371,Q$5))</f>
        <v/>
      </c>
      <c r="R32" s="13">
        <f>IF(R6=0,"",SUMIFS(Diario!$J$6:$J$371,Diario!$B$6:$B$371,R$5))</f>
        <v/>
      </c>
      <c r="S32" s="13">
        <f>IF(S6=0,"",SUMIFS(Diario!$J$6:$J$371,Diario!$B$6:$B$371,S$5))</f>
        <v/>
      </c>
      <c r="T32" s="13">
        <f>IF(T6=0,"",SUMIFS(Diario!$J$6:$J$371,Diario!$B$6:$B$371,T$5))</f>
        <v/>
      </c>
      <c r="U32" s="13">
        <f>IF(U6=0,"",SUMIFS(Diario!$J$6:$J$371,Diario!$B$6:$B$371,U$5))</f>
        <v/>
      </c>
      <c r="V32" s="13">
        <f>IF(V6=0,"",SUMIFS(Diario!$J$6:$J$371,Diario!$B$6:$B$371,V$5))</f>
        <v/>
      </c>
      <c r="W32" s="13">
        <f>IF(W6=0,"",SUMIFS(Diario!$J$6:$J$371,Diario!$B$6:$B$371,W$5))</f>
        <v/>
      </c>
      <c r="X32" s="13">
        <f>IF(X6=0,"",SUMIFS(Diario!$J$6:$J$371,Diario!$B$6:$B$371,X$5))</f>
        <v/>
      </c>
      <c r="Y32" s="13">
        <f>IF(Y6=0,"",SUMIFS(Diario!$J$6:$J$371,Diario!$B$6:$B$371,Y$5))</f>
        <v/>
      </c>
      <c r="Z32" s="13">
        <f>IF(Z6=0,"",SUMIFS(Diario!$J$6:$J$371,Diario!$B$6:$B$371,Z$5))</f>
        <v/>
      </c>
      <c r="AA32" s="13">
        <f>IF(AA6=0,"",SUMIFS(Diario!$J$6:$J$371,Diario!$B$6:$B$371,AA$5))</f>
        <v/>
      </c>
      <c r="AB32" s="13">
        <f>IF(AB6=0,"",SUMIFS(Diario!$J$6:$J$371,Diario!$B$6:$B$371,AB$5))</f>
        <v/>
      </c>
      <c r="AC32" s="13">
        <f>IFERROR(AVERAGE(C32:AB32),"")</f>
        <v/>
      </c>
      <c r="AD32" s="13">
        <f>IFERROR(MEDIAN(C32:AB32),"")</f>
        <v/>
      </c>
      <c r="AE32" s="13">
        <f>IFERROR(MAX(C32:AB32),"")</f>
        <v/>
      </c>
      <c r="AF32" s="13">
        <f>IFERROR(MIN(C32:AB32),"")</f>
        <v/>
      </c>
    </row>
    <row r="33">
      <c r="A33" t="inlineStr">
        <is>
          <t>Aplicación, agenda y llamada</t>
        </is>
      </c>
      <c r="B33" s="5" t="inlineStr">
        <is>
          <t>Agendan la llamada</t>
        </is>
      </c>
      <c r="C33" s="13">
        <f>IF(C6=0,"",SUMIFS(Diario!$K$6:$K$371,Diario!$B$6:$B$371,C$5))</f>
        <v/>
      </c>
      <c r="D33" s="13">
        <f>IF(D6=0,"",SUMIFS(Diario!$K$6:$K$371,Diario!$B$6:$B$371,D$5))</f>
        <v/>
      </c>
      <c r="E33" s="13">
        <f>IF(E6=0,"",SUMIFS(Diario!$K$6:$K$371,Diario!$B$6:$B$371,E$5))</f>
        <v/>
      </c>
      <c r="F33" s="13">
        <f>IF(F6=0,"",SUMIFS(Diario!$K$6:$K$371,Diario!$B$6:$B$371,F$5))</f>
        <v/>
      </c>
      <c r="G33" s="13">
        <f>IF(G6=0,"",SUMIFS(Diario!$K$6:$K$371,Diario!$B$6:$B$371,G$5))</f>
        <v/>
      </c>
      <c r="H33" s="13">
        <f>IF(H6=0,"",SUMIFS(Diario!$K$6:$K$371,Diario!$B$6:$B$371,H$5))</f>
        <v/>
      </c>
      <c r="I33" s="13">
        <f>IF(I6=0,"",SUMIFS(Diario!$K$6:$K$371,Diario!$B$6:$B$371,I$5))</f>
        <v/>
      </c>
      <c r="J33" s="13">
        <f>IF(J6=0,"",SUMIFS(Diario!$K$6:$K$371,Diario!$B$6:$B$371,J$5))</f>
        <v/>
      </c>
      <c r="K33" s="13">
        <f>IF(K6=0,"",SUMIFS(Diario!$K$6:$K$371,Diario!$B$6:$B$371,K$5))</f>
        <v/>
      </c>
      <c r="L33" s="13">
        <f>IF(L6=0,"",SUMIFS(Diario!$K$6:$K$371,Diario!$B$6:$B$371,L$5))</f>
        <v/>
      </c>
      <c r="M33" s="13">
        <f>IF(M6=0,"",SUMIFS(Diario!$K$6:$K$371,Diario!$B$6:$B$371,M$5))</f>
        <v/>
      </c>
      <c r="N33" s="13">
        <f>IF(N6=0,"",SUMIFS(Diario!$K$6:$K$371,Diario!$B$6:$B$371,N$5))</f>
        <v/>
      </c>
      <c r="O33" s="13">
        <f>IF(O6=0,"",SUMIFS(Diario!$K$6:$K$371,Diario!$B$6:$B$371,O$5))</f>
        <v/>
      </c>
      <c r="P33" s="13">
        <f>IF(P6=0,"",SUMIFS(Diario!$K$6:$K$371,Diario!$B$6:$B$371,P$5))</f>
        <v/>
      </c>
      <c r="Q33" s="13">
        <f>IF(Q6=0,"",SUMIFS(Diario!$K$6:$K$371,Diario!$B$6:$B$371,Q$5))</f>
        <v/>
      </c>
      <c r="R33" s="13">
        <f>IF(R6=0,"",SUMIFS(Diario!$K$6:$K$371,Diario!$B$6:$B$371,R$5))</f>
        <v/>
      </c>
      <c r="S33" s="13">
        <f>IF(S6=0,"",SUMIFS(Diario!$K$6:$K$371,Diario!$B$6:$B$371,S$5))</f>
        <v/>
      </c>
      <c r="T33" s="13">
        <f>IF(T6=0,"",SUMIFS(Diario!$K$6:$K$371,Diario!$B$6:$B$371,T$5))</f>
        <v/>
      </c>
      <c r="U33" s="13">
        <f>IF(U6=0,"",SUMIFS(Diario!$K$6:$K$371,Diario!$B$6:$B$371,U$5))</f>
        <v/>
      </c>
      <c r="V33" s="13">
        <f>IF(V6=0,"",SUMIFS(Diario!$K$6:$K$371,Diario!$B$6:$B$371,V$5))</f>
        <v/>
      </c>
      <c r="W33" s="13">
        <f>IF(W6=0,"",SUMIFS(Diario!$K$6:$K$371,Diario!$B$6:$B$371,W$5))</f>
        <v/>
      </c>
      <c r="X33" s="13">
        <f>IF(X6=0,"",SUMIFS(Diario!$K$6:$K$371,Diario!$B$6:$B$371,X$5))</f>
        <v/>
      </c>
      <c r="Y33" s="13">
        <f>IF(Y6=0,"",SUMIFS(Diario!$K$6:$K$371,Diario!$B$6:$B$371,Y$5))</f>
        <v/>
      </c>
      <c r="Z33" s="13">
        <f>IF(Z6=0,"",SUMIFS(Diario!$K$6:$K$371,Diario!$B$6:$B$371,Z$5))</f>
        <v/>
      </c>
      <c r="AA33" s="13">
        <f>IF(AA6=0,"",SUMIFS(Diario!$K$6:$K$371,Diario!$B$6:$B$371,AA$5))</f>
        <v/>
      </c>
      <c r="AB33" s="13">
        <f>IF(AB6=0,"",SUMIFS(Diario!$K$6:$K$371,Diario!$B$6:$B$371,AB$5))</f>
        <v/>
      </c>
      <c r="AC33" s="13">
        <f>IFERROR(AVERAGE(C33:AB33),"")</f>
        <v/>
      </c>
      <c r="AD33" s="13">
        <f>IFERROR(MEDIAN(C33:AB33),"")</f>
        <v/>
      </c>
      <c r="AE33" s="13">
        <f>IFERROR(MAX(C33:AB33),"")</f>
        <v/>
      </c>
      <c r="AF33" s="13">
        <f>IFERROR(MIN(C33:AB33),"")</f>
        <v/>
      </c>
    </row>
    <row r="34">
      <c r="A34" t="inlineStr">
        <is>
          <t>Aplicación, agenda y llamada</t>
        </is>
      </c>
      <c r="B34" s="5" t="inlineStr">
        <is>
          <t>Llamadas realizadas (show)</t>
        </is>
      </c>
      <c r="C34" s="13">
        <f>IF(C6=0,"",SUMIFS(Diario!$L$6:$L$371,Diario!$B$6:$B$371,C$5))</f>
        <v/>
      </c>
      <c r="D34" s="13">
        <f>IF(D6=0,"",SUMIFS(Diario!$L$6:$L$371,Diario!$B$6:$B$371,D$5))</f>
        <v/>
      </c>
      <c r="E34" s="13">
        <f>IF(E6=0,"",SUMIFS(Diario!$L$6:$L$371,Diario!$B$6:$B$371,E$5))</f>
        <v/>
      </c>
      <c r="F34" s="13">
        <f>IF(F6=0,"",SUMIFS(Diario!$L$6:$L$371,Diario!$B$6:$B$371,F$5))</f>
        <v/>
      </c>
      <c r="G34" s="13">
        <f>IF(G6=0,"",SUMIFS(Diario!$L$6:$L$371,Diario!$B$6:$B$371,G$5))</f>
        <v/>
      </c>
      <c r="H34" s="13">
        <f>IF(H6=0,"",SUMIFS(Diario!$L$6:$L$371,Diario!$B$6:$B$371,H$5))</f>
        <v/>
      </c>
      <c r="I34" s="13">
        <f>IF(I6=0,"",SUMIFS(Diario!$L$6:$L$371,Diario!$B$6:$B$371,I$5))</f>
        <v/>
      </c>
      <c r="J34" s="13">
        <f>IF(J6=0,"",SUMIFS(Diario!$L$6:$L$371,Diario!$B$6:$B$371,J$5))</f>
        <v/>
      </c>
      <c r="K34" s="13">
        <f>IF(K6=0,"",SUMIFS(Diario!$L$6:$L$371,Diario!$B$6:$B$371,K$5))</f>
        <v/>
      </c>
      <c r="L34" s="13">
        <f>IF(L6=0,"",SUMIFS(Diario!$L$6:$L$371,Diario!$B$6:$B$371,L$5))</f>
        <v/>
      </c>
      <c r="M34" s="13">
        <f>IF(M6=0,"",SUMIFS(Diario!$L$6:$L$371,Diario!$B$6:$B$371,M$5))</f>
        <v/>
      </c>
      <c r="N34" s="13">
        <f>IF(N6=0,"",SUMIFS(Diario!$L$6:$L$371,Diario!$B$6:$B$371,N$5))</f>
        <v/>
      </c>
      <c r="O34" s="13">
        <f>IF(O6=0,"",SUMIFS(Diario!$L$6:$L$371,Diario!$B$6:$B$371,O$5))</f>
        <v/>
      </c>
      <c r="P34" s="13">
        <f>IF(P6=0,"",SUMIFS(Diario!$L$6:$L$371,Diario!$B$6:$B$371,P$5))</f>
        <v/>
      </c>
      <c r="Q34" s="13">
        <f>IF(Q6=0,"",SUMIFS(Diario!$L$6:$L$371,Diario!$B$6:$B$371,Q$5))</f>
        <v/>
      </c>
      <c r="R34" s="13">
        <f>IF(R6=0,"",SUMIFS(Diario!$L$6:$L$371,Diario!$B$6:$B$371,R$5))</f>
        <v/>
      </c>
      <c r="S34" s="13">
        <f>IF(S6=0,"",SUMIFS(Diario!$L$6:$L$371,Diario!$B$6:$B$371,S$5))</f>
        <v/>
      </c>
      <c r="T34" s="13">
        <f>IF(T6=0,"",SUMIFS(Diario!$L$6:$L$371,Diario!$B$6:$B$371,T$5))</f>
        <v/>
      </c>
      <c r="U34" s="13">
        <f>IF(U6=0,"",SUMIFS(Diario!$L$6:$L$371,Diario!$B$6:$B$371,U$5))</f>
        <v/>
      </c>
      <c r="V34" s="13">
        <f>IF(V6=0,"",SUMIFS(Diario!$L$6:$L$371,Diario!$B$6:$B$371,V$5))</f>
        <v/>
      </c>
      <c r="W34" s="13">
        <f>IF(W6=0,"",SUMIFS(Diario!$L$6:$L$371,Diario!$B$6:$B$371,W$5))</f>
        <v/>
      </c>
      <c r="X34" s="13">
        <f>IF(X6=0,"",SUMIFS(Diario!$L$6:$L$371,Diario!$B$6:$B$371,X$5))</f>
        <v/>
      </c>
      <c r="Y34" s="13">
        <f>IF(Y6=0,"",SUMIFS(Diario!$L$6:$L$371,Diario!$B$6:$B$371,Y$5))</f>
        <v/>
      </c>
      <c r="Z34" s="13">
        <f>IF(Z6=0,"",SUMIFS(Diario!$L$6:$L$371,Diario!$B$6:$B$371,Z$5))</f>
        <v/>
      </c>
      <c r="AA34" s="13">
        <f>IF(AA6=0,"",SUMIFS(Diario!$L$6:$L$371,Diario!$B$6:$B$371,AA$5))</f>
        <v/>
      </c>
      <c r="AB34" s="13">
        <f>IF(AB6=0,"",SUMIFS(Diario!$L$6:$L$371,Diario!$B$6:$B$371,AB$5))</f>
        <v/>
      </c>
      <c r="AC34" s="13">
        <f>IFERROR(AVERAGE(C34:AB34),"")</f>
        <v/>
      </c>
      <c r="AD34" s="13">
        <f>IFERROR(MEDIAN(C34:AB34),"")</f>
        <v/>
      </c>
      <c r="AE34" s="13">
        <f>IFERROR(MAX(C34:AB34),"")</f>
        <v/>
      </c>
      <c r="AF34" s="13">
        <f>IFERROR(MIN(C34:AB34),"")</f>
        <v/>
      </c>
    </row>
    <row r="35">
      <c r="A35" t="inlineStr">
        <is>
          <t>Aplicación, agenda y llamada</t>
        </is>
      </c>
      <c r="B35" s="25" t="inlineStr">
        <is>
          <t>% lead → aplicación</t>
        </is>
      </c>
      <c r="C35" s="18">
        <f>IF(C6=0,"",IFERROR(C31/C24,0))</f>
        <v/>
      </c>
      <c r="D35" s="18">
        <f>IF(D6=0,"",IFERROR(D31/D24,0))</f>
        <v/>
      </c>
      <c r="E35" s="18">
        <f>IF(E6=0,"",IFERROR(E31/E24,0))</f>
        <v/>
      </c>
      <c r="F35" s="18">
        <f>IF(F6=0,"",IFERROR(F31/F24,0))</f>
        <v/>
      </c>
      <c r="G35" s="18">
        <f>IF(G6=0,"",IFERROR(G31/G24,0))</f>
        <v/>
      </c>
      <c r="H35" s="18">
        <f>IF(H6=0,"",IFERROR(H31/H24,0))</f>
        <v/>
      </c>
      <c r="I35" s="18">
        <f>IF(I6=0,"",IFERROR(I31/I24,0))</f>
        <v/>
      </c>
      <c r="J35" s="18">
        <f>IF(J6=0,"",IFERROR(J31/J24,0))</f>
        <v/>
      </c>
      <c r="K35" s="18">
        <f>IF(K6=0,"",IFERROR(K31/K24,0))</f>
        <v/>
      </c>
      <c r="L35" s="18">
        <f>IF(L6=0,"",IFERROR(L31/L24,0))</f>
        <v/>
      </c>
      <c r="M35" s="18">
        <f>IF(M6=0,"",IFERROR(M31/M24,0))</f>
        <v/>
      </c>
      <c r="N35" s="18">
        <f>IF(N6=0,"",IFERROR(N31/N24,0))</f>
        <v/>
      </c>
      <c r="O35" s="18">
        <f>IF(O6=0,"",IFERROR(O31/O24,0))</f>
        <v/>
      </c>
      <c r="P35" s="18">
        <f>IF(P6=0,"",IFERROR(P31/P24,0))</f>
        <v/>
      </c>
      <c r="Q35" s="18">
        <f>IF(Q6=0,"",IFERROR(Q31/Q24,0))</f>
        <v/>
      </c>
      <c r="R35" s="18">
        <f>IF(R6=0,"",IFERROR(R31/R24,0))</f>
        <v/>
      </c>
      <c r="S35" s="18">
        <f>IF(S6=0,"",IFERROR(S31/S24,0))</f>
        <v/>
      </c>
      <c r="T35" s="18">
        <f>IF(T6=0,"",IFERROR(T31/T24,0))</f>
        <v/>
      </c>
      <c r="U35" s="18">
        <f>IF(U6=0,"",IFERROR(U31/U24,0))</f>
        <v/>
      </c>
      <c r="V35" s="18">
        <f>IF(V6=0,"",IFERROR(V31/V24,0))</f>
        <v/>
      </c>
      <c r="W35" s="18">
        <f>IF(W6=0,"",IFERROR(W31/W24,0))</f>
        <v/>
      </c>
      <c r="X35" s="18">
        <f>IF(X6=0,"",IFERROR(X31/X24,0))</f>
        <v/>
      </c>
      <c r="Y35" s="18">
        <f>IF(Y6=0,"",IFERROR(Y31/Y24,0))</f>
        <v/>
      </c>
      <c r="Z35" s="18">
        <f>IF(Z6=0,"",IFERROR(Z31/Z24,0))</f>
        <v/>
      </c>
      <c r="AA35" s="18">
        <f>IF(AA6=0,"",IFERROR(AA31/AA24,0))</f>
        <v/>
      </c>
      <c r="AB35" s="18">
        <f>IF(AB6=0,"",IFERROR(AB31/AB24,0))</f>
        <v/>
      </c>
      <c r="AC35" s="18">
        <f>IFERROR(AVERAGE(C35:AB35),"")</f>
        <v/>
      </c>
      <c r="AD35" s="18">
        <f>IFERROR(MEDIAN(C35:AB35),"")</f>
        <v/>
      </c>
      <c r="AE35" s="18">
        <f>IFERROR(MAX(C35:AB35),"")</f>
        <v/>
      </c>
      <c r="AF35" s="18">
        <f>IFERROR(MIN(C35:AB35),"")</f>
        <v/>
      </c>
    </row>
    <row r="36">
      <c r="A36" t="inlineStr">
        <is>
          <t>Aplicación, agenda y llamada</t>
        </is>
      </c>
      <c r="B36" s="5" t="inlineStr">
        <is>
          <t>% aplicación → calificado</t>
        </is>
      </c>
      <c r="C36" s="18">
        <f>IF(C6=0,"",IFERROR(C32/C31,0))</f>
        <v/>
      </c>
      <c r="D36" s="18">
        <f>IF(D6=0,"",IFERROR(D32/D31,0))</f>
        <v/>
      </c>
      <c r="E36" s="18">
        <f>IF(E6=0,"",IFERROR(E32/E31,0))</f>
        <v/>
      </c>
      <c r="F36" s="18">
        <f>IF(F6=0,"",IFERROR(F32/F31,0))</f>
        <v/>
      </c>
      <c r="G36" s="18">
        <f>IF(G6=0,"",IFERROR(G32/G31,0))</f>
        <v/>
      </c>
      <c r="H36" s="18">
        <f>IF(H6=0,"",IFERROR(H32/H31,0))</f>
        <v/>
      </c>
      <c r="I36" s="18">
        <f>IF(I6=0,"",IFERROR(I32/I31,0))</f>
        <v/>
      </c>
      <c r="J36" s="18">
        <f>IF(J6=0,"",IFERROR(J32/J31,0))</f>
        <v/>
      </c>
      <c r="K36" s="18">
        <f>IF(K6=0,"",IFERROR(K32/K31,0))</f>
        <v/>
      </c>
      <c r="L36" s="18">
        <f>IF(L6=0,"",IFERROR(L32/L31,0))</f>
        <v/>
      </c>
      <c r="M36" s="18">
        <f>IF(M6=0,"",IFERROR(M32/M31,0))</f>
        <v/>
      </c>
      <c r="N36" s="18">
        <f>IF(N6=0,"",IFERROR(N32/N31,0))</f>
        <v/>
      </c>
      <c r="O36" s="18">
        <f>IF(O6=0,"",IFERROR(O32/O31,0))</f>
        <v/>
      </c>
      <c r="P36" s="18">
        <f>IF(P6=0,"",IFERROR(P32/P31,0))</f>
        <v/>
      </c>
      <c r="Q36" s="18">
        <f>IF(Q6=0,"",IFERROR(Q32/Q31,0))</f>
        <v/>
      </c>
      <c r="R36" s="18">
        <f>IF(R6=0,"",IFERROR(R32/R31,0))</f>
        <v/>
      </c>
      <c r="S36" s="18">
        <f>IF(S6=0,"",IFERROR(S32/S31,0))</f>
        <v/>
      </c>
      <c r="T36" s="18">
        <f>IF(T6=0,"",IFERROR(T32/T31,0))</f>
        <v/>
      </c>
      <c r="U36" s="18">
        <f>IF(U6=0,"",IFERROR(U32/U31,0))</f>
        <v/>
      </c>
      <c r="V36" s="18">
        <f>IF(V6=0,"",IFERROR(V32/V31,0))</f>
        <v/>
      </c>
      <c r="W36" s="18">
        <f>IF(W6=0,"",IFERROR(W32/W31,0))</f>
        <v/>
      </c>
      <c r="X36" s="18">
        <f>IF(X6=0,"",IFERROR(X32/X31,0))</f>
        <v/>
      </c>
      <c r="Y36" s="18">
        <f>IF(Y6=0,"",IFERROR(Y32/Y31,0))</f>
        <v/>
      </c>
      <c r="Z36" s="18">
        <f>IF(Z6=0,"",IFERROR(Z32/Z31,0))</f>
        <v/>
      </c>
      <c r="AA36" s="18">
        <f>IF(AA6=0,"",IFERROR(AA32/AA31,0))</f>
        <v/>
      </c>
      <c r="AB36" s="18">
        <f>IF(AB6=0,"",IFERROR(AB32/AB31,0))</f>
        <v/>
      </c>
      <c r="AC36" s="18">
        <f>IFERROR(AVERAGE(C36:AB36),"")</f>
        <v/>
      </c>
      <c r="AD36" s="18">
        <f>IFERROR(MEDIAN(C36:AB36),"")</f>
        <v/>
      </c>
      <c r="AE36" s="18">
        <f>IFERROR(MAX(C36:AB36),"")</f>
        <v/>
      </c>
      <c r="AF36" s="18">
        <f>IFERROR(MIN(C36:AB36),"")</f>
        <v/>
      </c>
    </row>
    <row r="37">
      <c r="A37" t="inlineStr">
        <is>
          <t>Aplicación, agenda y llamada</t>
        </is>
      </c>
      <c r="B37" s="5" t="inlineStr">
        <is>
          <t>% calificado → agenda</t>
        </is>
      </c>
      <c r="C37" s="18">
        <f>IF(C6=0,"",IFERROR(C33/C32,0))</f>
        <v/>
      </c>
      <c r="D37" s="18">
        <f>IF(D6=0,"",IFERROR(D33/D32,0))</f>
        <v/>
      </c>
      <c r="E37" s="18">
        <f>IF(E6=0,"",IFERROR(E33/E32,0))</f>
        <v/>
      </c>
      <c r="F37" s="18">
        <f>IF(F6=0,"",IFERROR(F33/F32,0))</f>
        <v/>
      </c>
      <c r="G37" s="18">
        <f>IF(G6=0,"",IFERROR(G33/G32,0))</f>
        <v/>
      </c>
      <c r="H37" s="18">
        <f>IF(H6=0,"",IFERROR(H33/H32,0))</f>
        <v/>
      </c>
      <c r="I37" s="18">
        <f>IF(I6=0,"",IFERROR(I33/I32,0))</f>
        <v/>
      </c>
      <c r="J37" s="18">
        <f>IF(J6=0,"",IFERROR(J33/J32,0))</f>
        <v/>
      </c>
      <c r="K37" s="18">
        <f>IF(K6=0,"",IFERROR(K33/K32,0))</f>
        <v/>
      </c>
      <c r="L37" s="18">
        <f>IF(L6=0,"",IFERROR(L33/L32,0))</f>
        <v/>
      </c>
      <c r="M37" s="18">
        <f>IF(M6=0,"",IFERROR(M33/M32,0))</f>
        <v/>
      </c>
      <c r="N37" s="18">
        <f>IF(N6=0,"",IFERROR(N33/N32,0))</f>
        <v/>
      </c>
      <c r="O37" s="18">
        <f>IF(O6=0,"",IFERROR(O33/O32,0))</f>
        <v/>
      </c>
      <c r="P37" s="18">
        <f>IF(P6=0,"",IFERROR(P33/P32,0))</f>
        <v/>
      </c>
      <c r="Q37" s="18">
        <f>IF(Q6=0,"",IFERROR(Q33/Q32,0))</f>
        <v/>
      </c>
      <c r="R37" s="18">
        <f>IF(R6=0,"",IFERROR(R33/R32,0))</f>
        <v/>
      </c>
      <c r="S37" s="18">
        <f>IF(S6=0,"",IFERROR(S33/S32,0))</f>
        <v/>
      </c>
      <c r="T37" s="18">
        <f>IF(T6=0,"",IFERROR(T33/T32,0))</f>
        <v/>
      </c>
      <c r="U37" s="18">
        <f>IF(U6=0,"",IFERROR(U33/U32,0))</f>
        <v/>
      </c>
      <c r="V37" s="18">
        <f>IF(V6=0,"",IFERROR(V33/V32,0))</f>
        <v/>
      </c>
      <c r="W37" s="18">
        <f>IF(W6=0,"",IFERROR(W33/W32,0))</f>
        <v/>
      </c>
      <c r="X37" s="18">
        <f>IF(X6=0,"",IFERROR(X33/X32,0))</f>
        <v/>
      </c>
      <c r="Y37" s="18">
        <f>IF(Y6=0,"",IFERROR(Y33/Y32,0))</f>
        <v/>
      </c>
      <c r="Z37" s="18">
        <f>IF(Z6=0,"",IFERROR(Z33/Z32,0))</f>
        <v/>
      </c>
      <c r="AA37" s="18">
        <f>IF(AA6=0,"",IFERROR(AA33/AA32,0))</f>
        <v/>
      </c>
      <c r="AB37" s="18">
        <f>IF(AB6=0,"",IFERROR(AB33/AB32,0))</f>
        <v/>
      </c>
      <c r="AC37" s="18">
        <f>IFERROR(AVERAGE(C37:AB37),"")</f>
        <v/>
      </c>
      <c r="AD37" s="18">
        <f>IFERROR(MEDIAN(C37:AB37),"")</f>
        <v/>
      </c>
      <c r="AE37" s="18">
        <f>IFERROR(MAX(C37:AB37),"")</f>
        <v/>
      </c>
      <c r="AF37" s="18">
        <f>IFERROR(MIN(C37:AB37),"")</f>
        <v/>
      </c>
    </row>
    <row r="38">
      <c r="A38" t="inlineStr">
        <is>
          <t>Aplicación, agenda y llamada</t>
        </is>
      </c>
      <c r="B38" s="25" t="inlineStr">
        <is>
          <t>Costo por agenda</t>
        </is>
      </c>
      <c r="C38" s="15">
        <f>IF(C6=0,"",IFERROR(C10/C33,0))</f>
        <v/>
      </c>
      <c r="D38" s="15">
        <f>IF(D6=0,"",IFERROR(D10/D33,0))</f>
        <v/>
      </c>
      <c r="E38" s="15">
        <f>IF(E6=0,"",IFERROR(E10/E33,0))</f>
        <v/>
      </c>
      <c r="F38" s="15">
        <f>IF(F6=0,"",IFERROR(F10/F33,0))</f>
        <v/>
      </c>
      <c r="G38" s="15">
        <f>IF(G6=0,"",IFERROR(G10/G33,0))</f>
        <v/>
      </c>
      <c r="H38" s="15">
        <f>IF(H6=0,"",IFERROR(H10/H33,0))</f>
        <v/>
      </c>
      <c r="I38" s="15">
        <f>IF(I6=0,"",IFERROR(I10/I33,0))</f>
        <v/>
      </c>
      <c r="J38" s="15">
        <f>IF(J6=0,"",IFERROR(J10/J33,0))</f>
        <v/>
      </c>
      <c r="K38" s="15">
        <f>IF(K6=0,"",IFERROR(K10/K33,0))</f>
        <v/>
      </c>
      <c r="L38" s="15">
        <f>IF(L6=0,"",IFERROR(L10/L33,0))</f>
        <v/>
      </c>
      <c r="M38" s="15">
        <f>IF(M6=0,"",IFERROR(M10/M33,0))</f>
        <v/>
      </c>
      <c r="N38" s="15">
        <f>IF(N6=0,"",IFERROR(N10/N33,0))</f>
        <v/>
      </c>
      <c r="O38" s="15">
        <f>IF(O6=0,"",IFERROR(O10/O33,0))</f>
        <v/>
      </c>
      <c r="P38" s="15">
        <f>IF(P6=0,"",IFERROR(P10/P33,0))</f>
        <v/>
      </c>
      <c r="Q38" s="15">
        <f>IF(Q6=0,"",IFERROR(Q10/Q33,0))</f>
        <v/>
      </c>
      <c r="R38" s="15">
        <f>IF(R6=0,"",IFERROR(R10/R33,0))</f>
        <v/>
      </c>
      <c r="S38" s="15">
        <f>IF(S6=0,"",IFERROR(S10/S33,0))</f>
        <v/>
      </c>
      <c r="T38" s="15">
        <f>IF(T6=0,"",IFERROR(T10/T33,0))</f>
        <v/>
      </c>
      <c r="U38" s="15">
        <f>IF(U6=0,"",IFERROR(U10/U33,0))</f>
        <v/>
      </c>
      <c r="V38" s="15">
        <f>IF(V6=0,"",IFERROR(V10/V33,0))</f>
        <v/>
      </c>
      <c r="W38" s="15">
        <f>IF(W6=0,"",IFERROR(W10/W33,0))</f>
        <v/>
      </c>
      <c r="X38" s="15">
        <f>IF(X6=0,"",IFERROR(X10/X33,0))</f>
        <v/>
      </c>
      <c r="Y38" s="15">
        <f>IF(Y6=0,"",IFERROR(Y10/Y33,0))</f>
        <v/>
      </c>
      <c r="Z38" s="15">
        <f>IF(Z6=0,"",IFERROR(Z10/Z33,0))</f>
        <v/>
      </c>
      <c r="AA38" s="15">
        <f>IF(AA6=0,"",IFERROR(AA10/AA33,0))</f>
        <v/>
      </c>
      <c r="AB38" s="15">
        <f>IF(AB6=0,"",IFERROR(AB10/AB33,0))</f>
        <v/>
      </c>
      <c r="AC38" s="15">
        <f>IFERROR(AVERAGE(C38:AB38),"")</f>
        <v/>
      </c>
      <c r="AD38" s="15">
        <f>IFERROR(MEDIAN(C38:AB38),"")</f>
        <v/>
      </c>
      <c r="AE38" s="15">
        <f>IFERROR(MIN(C38:AB38),"")</f>
        <v/>
      </c>
      <c r="AF38" s="15">
        <f>IFERROR(MAX(C38:AB38),"")</f>
        <v/>
      </c>
    </row>
    <row r="39">
      <c r="A39" t="inlineStr">
        <is>
          <t>Aplicación, agenda y llamada</t>
        </is>
      </c>
      <c r="B39" s="25" t="inlineStr">
        <is>
          <t>% agenda → llamada (show)</t>
        </is>
      </c>
      <c r="C39" s="18">
        <f>IF(C6=0,"",IFERROR(C34/C33,0))</f>
        <v/>
      </c>
      <c r="D39" s="18">
        <f>IF(D6=0,"",IFERROR(D34/D33,0))</f>
        <v/>
      </c>
      <c r="E39" s="18">
        <f>IF(E6=0,"",IFERROR(E34/E33,0))</f>
        <v/>
      </c>
      <c r="F39" s="18">
        <f>IF(F6=0,"",IFERROR(F34/F33,0))</f>
        <v/>
      </c>
      <c r="G39" s="18">
        <f>IF(G6=0,"",IFERROR(G34/G33,0))</f>
        <v/>
      </c>
      <c r="H39" s="18">
        <f>IF(H6=0,"",IFERROR(H34/H33,0))</f>
        <v/>
      </c>
      <c r="I39" s="18">
        <f>IF(I6=0,"",IFERROR(I34/I33,0))</f>
        <v/>
      </c>
      <c r="J39" s="18">
        <f>IF(J6=0,"",IFERROR(J34/J33,0))</f>
        <v/>
      </c>
      <c r="K39" s="18">
        <f>IF(K6=0,"",IFERROR(K34/K33,0))</f>
        <v/>
      </c>
      <c r="L39" s="18">
        <f>IF(L6=0,"",IFERROR(L34/L33,0))</f>
        <v/>
      </c>
      <c r="M39" s="18">
        <f>IF(M6=0,"",IFERROR(M34/M33,0))</f>
        <v/>
      </c>
      <c r="N39" s="18">
        <f>IF(N6=0,"",IFERROR(N34/N33,0))</f>
        <v/>
      </c>
      <c r="O39" s="18">
        <f>IF(O6=0,"",IFERROR(O34/O33,0))</f>
        <v/>
      </c>
      <c r="P39" s="18">
        <f>IF(P6=0,"",IFERROR(P34/P33,0))</f>
        <v/>
      </c>
      <c r="Q39" s="18">
        <f>IF(Q6=0,"",IFERROR(Q34/Q33,0))</f>
        <v/>
      </c>
      <c r="R39" s="18">
        <f>IF(R6=0,"",IFERROR(R34/R33,0))</f>
        <v/>
      </c>
      <c r="S39" s="18">
        <f>IF(S6=0,"",IFERROR(S34/S33,0))</f>
        <v/>
      </c>
      <c r="T39" s="18">
        <f>IF(T6=0,"",IFERROR(T34/T33,0))</f>
        <v/>
      </c>
      <c r="U39" s="18">
        <f>IF(U6=0,"",IFERROR(U34/U33,0))</f>
        <v/>
      </c>
      <c r="V39" s="18">
        <f>IF(V6=0,"",IFERROR(V34/V33,0))</f>
        <v/>
      </c>
      <c r="W39" s="18">
        <f>IF(W6=0,"",IFERROR(W34/W33,0))</f>
        <v/>
      </c>
      <c r="X39" s="18">
        <f>IF(X6=0,"",IFERROR(X34/X33,0))</f>
        <v/>
      </c>
      <c r="Y39" s="18">
        <f>IF(Y6=0,"",IFERROR(Y34/Y33,0))</f>
        <v/>
      </c>
      <c r="Z39" s="18">
        <f>IF(Z6=0,"",IFERROR(Z34/Z33,0))</f>
        <v/>
      </c>
      <c r="AA39" s="18">
        <f>IF(AA6=0,"",IFERROR(AA34/AA33,0))</f>
        <v/>
      </c>
      <c r="AB39" s="18">
        <f>IF(AB6=0,"",IFERROR(AB34/AB33,0))</f>
        <v/>
      </c>
      <c r="AC39" s="18">
        <f>IFERROR(AVERAGE(C39:AB39),"")</f>
        <v/>
      </c>
      <c r="AD39" s="18">
        <f>IFERROR(MEDIAN(C39:AB39),"")</f>
        <v/>
      </c>
      <c r="AE39" s="18">
        <f>IFERROR(MAX(C39:AB39),"")</f>
        <v/>
      </c>
      <c r="AF39" s="18">
        <f>IFERROR(MIN(C39:AB39),"")</f>
        <v/>
      </c>
    </row>
    <row r="41">
      <c r="A41" s="23" t="inlineStr">
        <is>
          <t>4. Ventas y cobranza</t>
        </is>
      </c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</row>
    <row r="42">
      <c r="A42" t="inlineStr">
        <is>
          <t>Ventas y cobranza</t>
        </is>
      </c>
      <c r="B42" s="5" t="inlineStr">
        <is>
          <t>Compran el programa</t>
        </is>
      </c>
      <c r="C42" s="13">
        <f>IF(C6=0,"",SUMIFS(Diario!$M$6:$M$371,Diario!$B$6:$B$371,C$5))</f>
        <v/>
      </c>
      <c r="D42" s="13">
        <f>IF(D6=0,"",SUMIFS(Diario!$M$6:$M$371,Diario!$B$6:$B$371,D$5))</f>
        <v/>
      </c>
      <c r="E42" s="13">
        <f>IF(E6=0,"",SUMIFS(Diario!$M$6:$M$371,Diario!$B$6:$B$371,E$5))</f>
        <v/>
      </c>
      <c r="F42" s="13">
        <f>IF(F6=0,"",SUMIFS(Diario!$M$6:$M$371,Diario!$B$6:$B$371,F$5))</f>
        <v/>
      </c>
      <c r="G42" s="13">
        <f>IF(G6=0,"",SUMIFS(Diario!$M$6:$M$371,Diario!$B$6:$B$371,G$5))</f>
        <v/>
      </c>
      <c r="H42" s="13">
        <f>IF(H6=0,"",SUMIFS(Diario!$M$6:$M$371,Diario!$B$6:$B$371,H$5))</f>
        <v/>
      </c>
      <c r="I42" s="13">
        <f>IF(I6=0,"",SUMIFS(Diario!$M$6:$M$371,Diario!$B$6:$B$371,I$5))</f>
        <v/>
      </c>
      <c r="J42" s="13">
        <f>IF(J6=0,"",SUMIFS(Diario!$M$6:$M$371,Diario!$B$6:$B$371,J$5))</f>
        <v/>
      </c>
      <c r="K42" s="13">
        <f>IF(K6=0,"",SUMIFS(Diario!$M$6:$M$371,Diario!$B$6:$B$371,K$5))</f>
        <v/>
      </c>
      <c r="L42" s="13">
        <f>IF(L6=0,"",SUMIFS(Diario!$M$6:$M$371,Diario!$B$6:$B$371,L$5))</f>
        <v/>
      </c>
      <c r="M42" s="13">
        <f>IF(M6=0,"",SUMIFS(Diario!$M$6:$M$371,Diario!$B$6:$B$371,M$5))</f>
        <v/>
      </c>
      <c r="N42" s="13">
        <f>IF(N6=0,"",SUMIFS(Diario!$M$6:$M$371,Diario!$B$6:$B$371,N$5))</f>
        <v/>
      </c>
      <c r="O42" s="13">
        <f>IF(O6=0,"",SUMIFS(Diario!$M$6:$M$371,Diario!$B$6:$B$371,O$5))</f>
        <v/>
      </c>
      <c r="P42" s="13">
        <f>IF(P6=0,"",SUMIFS(Diario!$M$6:$M$371,Diario!$B$6:$B$371,P$5))</f>
        <v/>
      </c>
      <c r="Q42" s="13">
        <f>IF(Q6=0,"",SUMIFS(Diario!$M$6:$M$371,Diario!$B$6:$B$371,Q$5))</f>
        <v/>
      </c>
      <c r="R42" s="13">
        <f>IF(R6=0,"",SUMIFS(Diario!$M$6:$M$371,Diario!$B$6:$B$371,R$5))</f>
        <v/>
      </c>
      <c r="S42" s="13">
        <f>IF(S6=0,"",SUMIFS(Diario!$M$6:$M$371,Diario!$B$6:$B$371,S$5))</f>
        <v/>
      </c>
      <c r="T42" s="13">
        <f>IF(T6=0,"",SUMIFS(Diario!$M$6:$M$371,Diario!$B$6:$B$371,T$5))</f>
        <v/>
      </c>
      <c r="U42" s="13">
        <f>IF(U6=0,"",SUMIFS(Diario!$M$6:$M$371,Diario!$B$6:$B$371,U$5))</f>
        <v/>
      </c>
      <c r="V42" s="13">
        <f>IF(V6=0,"",SUMIFS(Diario!$M$6:$M$371,Diario!$B$6:$B$371,V$5))</f>
        <v/>
      </c>
      <c r="W42" s="13">
        <f>IF(W6=0,"",SUMIFS(Diario!$M$6:$M$371,Diario!$B$6:$B$371,W$5))</f>
        <v/>
      </c>
      <c r="X42" s="13">
        <f>IF(X6=0,"",SUMIFS(Diario!$M$6:$M$371,Diario!$B$6:$B$371,X$5))</f>
        <v/>
      </c>
      <c r="Y42" s="13">
        <f>IF(Y6=0,"",SUMIFS(Diario!$M$6:$M$371,Diario!$B$6:$B$371,Y$5))</f>
        <v/>
      </c>
      <c r="Z42" s="13">
        <f>IF(Z6=0,"",SUMIFS(Diario!$M$6:$M$371,Diario!$B$6:$B$371,Z$5))</f>
        <v/>
      </c>
      <c r="AA42" s="13">
        <f>IF(AA6=0,"",SUMIFS(Diario!$M$6:$M$371,Diario!$B$6:$B$371,AA$5))</f>
        <v/>
      </c>
      <c r="AB42" s="13">
        <f>IF(AB6=0,"",SUMIFS(Diario!$M$6:$M$371,Diario!$B$6:$B$371,AB$5))</f>
        <v/>
      </c>
      <c r="AC42" s="13">
        <f>IFERROR(AVERAGE(C42:AB42),"")</f>
        <v/>
      </c>
      <c r="AD42" s="13">
        <f>IFERROR(MEDIAN(C42:AB42),"")</f>
        <v/>
      </c>
      <c r="AE42" s="13">
        <f>IFERROR(MAX(C42:AB42),"")</f>
        <v/>
      </c>
      <c r="AF42" s="13">
        <f>IFERROR(MIN(C42:AB42),"")</f>
        <v/>
      </c>
    </row>
    <row r="43">
      <c r="A43" t="inlineStr">
        <is>
          <t>Ventas y cobranza</t>
        </is>
      </c>
      <c r="B43" s="5" t="inlineStr">
        <is>
          <t>Toman el downsell</t>
        </is>
      </c>
      <c r="C43" s="13">
        <f>IF(C6=0,"",SUMIFS(Diario!$N$6:$N$371,Diario!$B$6:$B$371,C$5))</f>
        <v/>
      </c>
      <c r="D43" s="13">
        <f>IF(D6=0,"",SUMIFS(Diario!$N$6:$N$371,Diario!$B$6:$B$371,D$5))</f>
        <v/>
      </c>
      <c r="E43" s="13">
        <f>IF(E6=0,"",SUMIFS(Diario!$N$6:$N$371,Diario!$B$6:$B$371,E$5))</f>
        <v/>
      </c>
      <c r="F43" s="13">
        <f>IF(F6=0,"",SUMIFS(Diario!$N$6:$N$371,Diario!$B$6:$B$371,F$5))</f>
        <v/>
      </c>
      <c r="G43" s="13">
        <f>IF(G6=0,"",SUMIFS(Diario!$N$6:$N$371,Diario!$B$6:$B$371,G$5))</f>
        <v/>
      </c>
      <c r="H43" s="13">
        <f>IF(H6=0,"",SUMIFS(Diario!$N$6:$N$371,Diario!$B$6:$B$371,H$5))</f>
        <v/>
      </c>
      <c r="I43" s="13">
        <f>IF(I6=0,"",SUMIFS(Diario!$N$6:$N$371,Diario!$B$6:$B$371,I$5))</f>
        <v/>
      </c>
      <c r="J43" s="13">
        <f>IF(J6=0,"",SUMIFS(Diario!$N$6:$N$371,Diario!$B$6:$B$371,J$5))</f>
        <v/>
      </c>
      <c r="K43" s="13">
        <f>IF(K6=0,"",SUMIFS(Diario!$N$6:$N$371,Diario!$B$6:$B$371,K$5))</f>
        <v/>
      </c>
      <c r="L43" s="13">
        <f>IF(L6=0,"",SUMIFS(Diario!$N$6:$N$371,Diario!$B$6:$B$371,L$5))</f>
        <v/>
      </c>
      <c r="M43" s="13">
        <f>IF(M6=0,"",SUMIFS(Diario!$N$6:$N$371,Diario!$B$6:$B$371,M$5))</f>
        <v/>
      </c>
      <c r="N43" s="13">
        <f>IF(N6=0,"",SUMIFS(Diario!$N$6:$N$371,Diario!$B$6:$B$371,N$5))</f>
        <v/>
      </c>
      <c r="O43" s="13">
        <f>IF(O6=0,"",SUMIFS(Diario!$N$6:$N$371,Diario!$B$6:$B$371,O$5))</f>
        <v/>
      </c>
      <c r="P43" s="13">
        <f>IF(P6=0,"",SUMIFS(Diario!$N$6:$N$371,Diario!$B$6:$B$371,P$5))</f>
        <v/>
      </c>
      <c r="Q43" s="13">
        <f>IF(Q6=0,"",SUMIFS(Diario!$N$6:$N$371,Diario!$B$6:$B$371,Q$5))</f>
        <v/>
      </c>
      <c r="R43" s="13">
        <f>IF(R6=0,"",SUMIFS(Diario!$N$6:$N$371,Diario!$B$6:$B$371,R$5))</f>
        <v/>
      </c>
      <c r="S43" s="13">
        <f>IF(S6=0,"",SUMIFS(Diario!$N$6:$N$371,Diario!$B$6:$B$371,S$5))</f>
        <v/>
      </c>
      <c r="T43" s="13">
        <f>IF(T6=0,"",SUMIFS(Diario!$N$6:$N$371,Diario!$B$6:$B$371,T$5))</f>
        <v/>
      </c>
      <c r="U43" s="13">
        <f>IF(U6=0,"",SUMIFS(Diario!$N$6:$N$371,Diario!$B$6:$B$371,U$5))</f>
        <v/>
      </c>
      <c r="V43" s="13">
        <f>IF(V6=0,"",SUMIFS(Diario!$N$6:$N$371,Diario!$B$6:$B$371,V$5))</f>
        <v/>
      </c>
      <c r="W43" s="13">
        <f>IF(W6=0,"",SUMIFS(Diario!$N$6:$N$371,Diario!$B$6:$B$371,W$5))</f>
        <v/>
      </c>
      <c r="X43" s="13">
        <f>IF(X6=0,"",SUMIFS(Diario!$N$6:$N$371,Diario!$B$6:$B$371,X$5))</f>
        <v/>
      </c>
      <c r="Y43" s="13">
        <f>IF(Y6=0,"",SUMIFS(Diario!$N$6:$N$371,Diario!$B$6:$B$371,Y$5))</f>
        <v/>
      </c>
      <c r="Z43" s="13">
        <f>IF(Z6=0,"",SUMIFS(Diario!$N$6:$N$371,Diario!$B$6:$B$371,Z$5))</f>
        <v/>
      </c>
      <c r="AA43" s="13">
        <f>IF(AA6=0,"",SUMIFS(Diario!$N$6:$N$371,Diario!$B$6:$B$371,AA$5))</f>
        <v/>
      </c>
      <c r="AB43" s="13">
        <f>IF(AB6=0,"",SUMIFS(Diario!$N$6:$N$371,Diario!$B$6:$B$371,AB$5))</f>
        <v/>
      </c>
      <c r="AC43" s="13">
        <f>IFERROR(AVERAGE(C43:AB43),"")</f>
        <v/>
      </c>
      <c r="AD43" s="13">
        <f>IFERROR(MEDIAN(C43:AB43),"")</f>
        <v/>
      </c>
      <c r="AE43" s="13">
        <f>IFERROR(MAX(C43:AB43),"")</f>
        <v/>
      </c>
      <c r="AF43" s="13">
        <f>IFERROR(MIN(C43:AB43),"")</f>
        <v/>
      </c>
    </row>
    <row r="44">
      <c r="A44" t="inlineStr">
        <is>
          <t>Ventas y cobranza</t>
        </is>
      </c>
      <c r="B44" s="25" t="inlineStr">
        <is>
          <t>% llamada → venta (cierre)</t>
        </is>
      </c>
      <c r="C44" s="18">
        <f>IF(C6=0,"",IFERROR(C42/C34,0))</f>
        <v/>
      </c>
      <c r="D44" s="18">
        <f>IF(D6=0,"",IFERROR(D42/D34,0))</f>
        <v/>
      </c>
      <c r="E44" s="18">
        <f>IF(E6=0,"",IFERROR(E42/E34,0))</f>
        <v/>
      </c>
      <c r="F44" s="18">
        <f>IF(F6=0,"",IFERROR(F42/F34,0))</f>
        <v/>
      </c>
      <c r="G44" s="18">
        <f>IF(G6=0,"",IFERROR(G42/G34,0))</f>
        <v/>
      </c>
      <c r="H44" s="18">
        <f>IF(H6=0,"",IFERROR(H42/H34,0))</f>
        <v/>
      </c>
      <c r="I44" s="18">
        <f>IF(I6=0,"",IFERROR(I42/I34,0))</f>
        <v/>
      </c>
      <c r="J44" s="18">
        <f>IF(J6=0,"",IFERROR(J42/J34,0))</f>
        <v/>
      </c>
      <c r="K44" s="18">
        <f>IF(K6=0,"",IFERROR(K42/K34,0))</f>
        <v/>
      </c>
      <c r="L44" s="18">
        <f>IF(L6=0,"",IFERROR(L42/L34,0))</f>
        <v/>
      </c>
      <c r="M44" s="18">
        <f>IF(M6=0,"",IFERROR(M42/M34,0))</f>
        <v/>
      </c>
      <c r="N44" s="18">
        <f>IF(N6=0,"",IFERROR(N42/N34,0))</f>
        <v/>
      </c>
      <c r="O44" s="18">
        <f>IF(O6=0,"",IFERROR(O42/O34,0))</f>
        <v/>
      </c>
      <c r="P44" s="18">
        <f>IF(P6=0,"",IFERROR(P42/P34,0))</f>
        <v/>
      </c>
      <c r="Q44" s="18">
        <f>IF(Q6=0,"",IFERROR(Q42/Q34,0))</f>
        <v/>
      </c>
      <c r="R44" s="18">
        <f>IF(R6=0,"",IFERROR(R42/R34,0))</f>
        <v/>
      </c>
      <c r="S44" s="18">
        <f>IF(S6=0,"",IFERROR(S42/S34,0))</f>
        <v/>
      </c>
      <c r="T44" s="18">
        <f>IF(T6=0,"",IFERROR(T42/T34,0))</f>
        <v/>
      </c>
      <c r="U44" s="18">
        <f>IF(U6=0,"",IFERROR(U42/U34,0))</f>
        <v/>
      </c>
      <c r="V44" s="18">
        <f>IF(V6=0,"",IFERROR(V42/V34,0))</f>
        <v/>
      </c>
      <c r="W44" s="18">
        <f>IF(W6=0,"",IFERROR(W42/W34,0))</f>
        <v/>
      </c>
      <c r="X44" s="18">
        <f>IF(X6=0,"",IFERROR(X42/X34,0))</f>
        <v/>
      </c>
      <c r="Y44" s="18">
        <f>IF(Y6=0,"",IFERROR(Y42/Y34,0))</f>
        <v/>
      </c>
      <c r="Z44" s="18">
        <f>IF(Z6=0,"",IFERROR(Z42/Z34,0))</f>
        <v/>
      </c>
      <c r="AA44" s="18">
        <f>IF(AA6=0,"",IFERROR(AA42/AA34,0))</f>
        <v/>
      </c>
      <c r="AB44" s="18">
        <f>IF(AB6=0,"",IFERROR(AB42/AB34,0))</f>
        <v/>
      </c>
      <c r="AC44" s="18">
        <f>IFERROR(AVERAGE(C44:AB44),"")</f>
        <v/>
      </c>
      <c r="AD44" s="18">
        <f>IFERROR(MEDIAN(C44:AB44),"")</f>
        <v/>
      </c>
      <c r="AE44" s="18">
        <f>IFERROR(MAX(C44:AB44),"")</f>
        <v/>
      </c>
      <c r="AF44" s="18">
        <f>IFERROR(MIN(C44:AB44),"")</f>
        <v/>
      </c>
    </row>
    <row r="45">
      <c r="A45" t="inlineStr">
        <is>
          <t>Ventas y cobranza</t>
        </is>
      </c>
      <c r="B45" s="5" t="inlineStr">
        <is>
          <t>% lead → venta</t>
        </is>
      </c>
      <c r="C45" s="17">
        <f>IF(C6=0,"",IFERROR(C42/C24,0))</f>
        <v/>
      </c>
      <c r="D45" s="17">
        <f>IF(D6=0,"",IFERROR(D42/D24,0))</f>
        <v/>
      </c>
      <c r="E45" s="17">
        <f>IF(E6=0,"",IFERROR(E42/E24,0))</f>
        <v/>
      </c>
      <c r="F45" s="17">
        <f>IF(F6=0,"",IFERROR(F42/F24,0))</f>
        <v/>
      </c>
      <c r="G45" s="17">
        <f>IF(G6=0,"",IFERROR(G42/G24,0))</f>
        <v/>
      </c>
      <c r="H45" s="17">
        <f>IF(H6=0,"",IFERROR(H42/H24,0))</f>
        <v/>
      </c>
      <c r="I45" s="17">
        <f>IF(I6=0,"",IFERROR(I42/I24,0))</f>
        <v/>
      </c>
      <c r="J45" s="17">
        <f>IF(J6=0,"",IFERROR(J42/J24,0))</f>
        <v/>
      </c>
      <c r="K45" s="17">
        <f>IF(K6=0,"",IFERROR(K42/K24,0))</f>
        <v/>
      </c>
      <c r="L45" s="17">
        <f>IF(L6=0,"",IFERROR(L42/L24,0))</f>
        <v/>
      </c>
      <c r="M45" s="17">
        <f>IF(M6=0,"",IFERROR(M42/M24,0))</f>
        <v/>
      </c>
      <c r="N45" s="17">
        <f>IF(N6=0,"",IFERROR(N42/N24,0))</f>
        <v/>
      </c>
      <c r="O45" s="17">
        <f>IF(O6=0,"",IFERROR(O42/O24,0))</f>
        <v/>
      </c>
      <c r="P45" s="17">
        <f>IF(P6=0,"",IFERROR(P42/P24,0))</f>
        <v/>
      </c>
      <c r="Q45" s="17">
        <f>IF(Q6=0,"",IFERROR(Q42/Q24,0))</f>
        <v/>
      </c>
      <c r="R45" s="17">
        <f>IF(R6=0,"",IFERROR(R42/R24,0))</f>
        <v/>
      </c>
      <c r="S45" s="17">
        <f>IF(S6=0,"",IFERROR(S42/S24,0))</f>
        <v/>
      </c>
      <c r="T45" s="17">
        <f>IF(T6=0,"",IFERROR(T42/T24,0))</f>
        <v/>
      </c>
      <c r="U45" s="17">
        <f>IF(U6=0,"",IFERROR(U42/U24,0))</f>
        <v/>
      </c>
      <c r="V45" s="17">
        <f>IF(V6=0,"",IFERROR(V42/V24,0))</f>
        <v/>
      </c>
      <c r="W45" s="17">
        <f>IF(W6=0,"",IFERROR(W42/W24,0))</f>
        <v/>
      </c>
      <c r="X45" s="17">
        <f>IF(X6=0,"",IFERROR(X42/X24,0))</f>
        <v/>
      </c>
      <c r="Y45" s="17">
        <f>IF(Y6=0,"",IFERROR(Y42/Y24,0))</f>
        <v/>
      </c>
      <c r="Z45" s="17">
        <f>IF(Z6=0,"",IFERROR(Z42/Z24,0))</f>
        <v/>
      </c>
      <c r="AA45" s="17">
        <f>IF(AA6=0,"",IFERROR(AA42/AA24,0))</f>
        <v/>
      </c>
      <c r="AB45" s="17">
        <f>IF(AB6=0,"",IFERROR(AB42/AB24,0))</f>
        <v/>
      </c>
      <c r="AC45" s="17">
        <f>IFERROR(AVERAGE(C45:AB45),"")</f>
        <v/>
      </c>
      <c r="AD45" s="17">
        <f>IFERROR(MEDIAN(C45:AB45),"")</f>
        <v/>
      </c>
      <c r="AE45" s="17">
        <f>IFERROR(MAX(C45:AB45),"")</f>
        <v/>
      </c>
      <c r="AF45" s="17">
        <f>IFERROR(MIN(C45:AB45),"")</f>
        <v/>
      </c>
    </row>
    <row r="46">
      <c r="A46" t="inlineStr">
        <is>
          <t>Ventas y cobranza</t>
        </is>
      </c>
      <c r="B46" s="5" t="inlineStr">
        <is>
          <t>CAC (costo por venta)</t>
        </is>
      </c>
      <c r="C46" s="15">
        <f>IF(C6=0,"",IFERROR(C10/C42,0))</f>
        <v/>
      </c>
      <c r="D46" s="15">
        <f>IF(D6=0,"",IFERROR(D10/D42,0))</f>
        <v/>
      </c>
      <c r="E46" s="15">
        <f>IF(E6=0,"",IFERROR(E10/E42,0))</f>
        <v/>
      </c>
      <c r="F46" s="15">
        <f>IF(F6=0,"",IFERROR(F10/F42,0))</f>
        <v/>
      </c>
      <c r="G46" s="15">
        <f>IF(G6=0,"",IFERROR(G10/G42,0))</f>
        <v/>
      </c>
      <c r="H46" s="15">
        <f>IF(H6=0,"",IFERROR(H10/H42,0))</f>
        <v/>
      </c>
      <c r="I46" s="15">
        <f>IF(I6=0,"",IFERROR(I10/I42,0))</f>
        <v/>
      </c>
      <c r="J46" s="15">
        <f>IF(J6=0,"",IFERROR(J10/J42,0))</f>
        <v/>
      </c>
      <c r="K46" s="15">
        <f>IF(K6=0,"",IFERROR(K10/K42,0))</f>
        <v/>
      </c>
      <c r="L46" s="15">
        <f>IF(L6=0,"",IFERROR(L10/L42,0))</f>
        <v/>
      </c>
      <c r="M46" s="15">
        <f>IF(M6=0,"",IFERROR(M10/M42,0))</f>
        <v/>
      </c>
      <c r="N46" s="15">
        <f>IF(N6=0,"",IFERROR(N10/N42,0))</f>
        <v/>
      </c>
      <c r="O46" s="15">
        <f>IF(O6=0,"",IFERROR(O10/O42,0))</f>
        <v/>
      </c>
      <c r="P46" s="15">
        <f>IF(P6=0,"",IFERROR(P10/P42,0))</f>
        <v/>
      </c>
      <c r="Q46" s="15">
        <f>IF(Q6=0,"",IFERROR(Q10/Q42,0))</f>
        <v/>
      </c>
      <c r="R46" s="15">
        <f>IF(R6=0,"",IFERROR(R10/R42,0))</f>
        <v/>
      </c>
      <c r="S46" s="15">
        <f>IF(S6=0,"",IFERROR(S10/S42,0))</f>
        <v/>
      </c>
      <c r="T46" s="15">
        <f>IF(T6=0,"",IFERROR(T10/T42,0))</f>
        <v/>
      </c>
      <c r="U46" s="15">
        <f>IF(U6=0,"",IFERROR(U10/U42,0))</f>
        <v/>
      </c>
      <c r="V46" s="15">
        <f>IF(V6=0,"",IFERROR(V10/V42,0))</f>
        <v/>
      </c>
      <c r="W46" s="15">
        <f>IF(W6=0,"",IFERROR(W10/W42,0))</f>
        <v/>
      </c>
      <c r="X46" s="15">
        <f>IF(X6=0,"",IFERROR(X10/X42,0))</f>
        <v/>
      </c>
      <c r="Y46" s="15">
        <f>IF(Y6=0,"",IFERROR(Y10/Y42,0))</f>
        <v/>
      </c>
      <c r="Z46" s="15">
        <f>IF(Z6=0,"",IFERROR(Z10/Z42,0))</f>
        <v/>
      </c>
      <c r="AA46" s="15">
        <f>IF(AA6=0,"",IFERROR(AA10/AA42,0))</f>
        <v/>
      </c>
      <c r="AB46" s="15">
        <f>IF(AB6=0,"",IFERROR(AB10/AB42,0))</f>
        <v/>
      </c>
      <c r="AC46" s="15">
        <f>IFERROR(AVERAGE(C46:AB46),"")</f>
        <v/>
      </c>
      <c r="AD46" s="15">
        <f>IFERROR(MEDIAN(C46:AB46),"")</f>
        <v/>
      </c>
      <c r="AE46" s="15">
        <f>IFERROR(MIN(C46:AB46),"")</f>
        <v/>
      </c>
      <c r="AF46" s="15">
        <f>IFERROR(MAX(C46:AB46),"")</f>
        <v/>
      </c>
    </row>
    <row r="47">
      <c r="A47" t="inlineStr">
        <is>
          <t>Ventas y cobranza</t>
        </is>
      </c>
      <c r="B47" s="5" t="inlineStr">
        <is>
          <t>Facturado a precio de lista</t>
        </is>
      </c>
      <c r="C47" s="20">
        <f>IF(C6=0,"",IFERROR(C42*Config!$C$7+C43*Config!$C$8,0))</f>
        <v/>
      </c>
      <c r="D47" s="20">
        <f>IF(D6=0,"",IFERROR(D42*Config!$C$7+D43*Config!$C$8,0))</f>
        <v/>
      </c>
      <c r="E47" s="20">
        <f>IF(E6=0,"",IFERROR(E42*Config!$C$7+E43*Config!$C$8,0))</f>
        <v/>
      </c>
      <c r="F47" s="20">
        <f>IF(F6=0,"",IFERROR(F42*Config!$C$7+F43*Config!$C$8,0))</f>
        <v/>
      </c>
      <c r="G47" s="20">
        <f>IF(G6=0,"",IFERROR(G42*Config!$C$7+G43*Config!$C$8,0))</f>
        <v/>
      </c>
      <c r="H47" s="20">
        <f>IF(H6=0,"",IFERROR(H42*Config!$C$7+H43*Config!$C$8,0))</f>
        <v/>
      </c>
      <c r="I47" s="20">
        <f>IF(I6=0,"",IFERROR(I42*Config!$C$7+I43*Config!$C$8,0))</f>
        <v/>
      </c>
      <c r="J47" s="20">
        <f>IF(J6=0,"",IFERROR(J42*Config!$C$7+J43*Config!$C$8,0))</f>
        <v/>
      </c>
      <c r="K47" s="20">
        <f>IF(K6=0,"",IFERROR(K42*Config!$C$7+K43*Config!$C$8,0))</f>
        <v/>
      </c>
      <c r="L47" s="20">
        <f>IF(L6=0,"",IFERROR(L42*Config!$C$7+L43*Config!$C$8,0))</f>
        <v/>
      </c>
      <c r="M47" s="20">
        <f>IF(M6=0,"",IFERROR(M42*Config!$C$7+M43*Config!$C$8,0))</f>
        <v/>
      </c>
      <c r="N47" s="20">
        <f>IF(N6=0,"",IFERROR(N42*Config!$C$7+N43*Config!$C$8,0))</f>
        <v/>
      </c>
      <c r="O47" s="20">
        <f>IF(O6=0,"",IFERROR(O42*Config!$C$7+O43*Config!$C$8,0))</f>
        <v/>
      </c>
      <c r="P47" s="20">
        <f>IF(P6=0,"",IFERROR(P42*Config!$C$7+P43*Config!$C$8,0))</f>
        <v/>
      </c>
      <c r="Q47" s="20">
        <f>IF(Q6=0,"",IFERROR(Q42*Config!$C$7+Q43*Config!$C$8,0))</f>
        <v/>
      </c>
      <c r="R47" s="20">
        <f>IF(R6=0,"",IFERROR(R42*Config!$C$7+R43*Config!$C$8,0))</f>
        <v/>
      </c>
      <c r="S47" s="20">
        <f>IF(S6=0,"",IFERROR(S42*Config!$C$7+S43*Config!$C$8,0))</f>
        <v/>
      </c>
      <c r="T47" s="20">
        <f>IF(T6=0,"",IFERROR(T42*Config!$C$7+T43*Config!$C$8,0))</f>
        <v/>
      </c>
      <c r="U47" s="20">
        <f>IF(U6=0,"",IFERROR(U42*Config!$C$7+U43*Config!$C$8,0))</f>
        <v/>
      </c>
      <c r="V47" s="20">
        <f>IF(V6=0,"",IFERROR(V42*Config!$C$7+V43*Config!$C$8,0))</f>
        <v/>
      </c>
      <c r="W47" s="20">
        <f>IF(W6=0,"",IFERROR(W42*Config!$C$7+W43*Config!$C$8,0))</f>
        <v/>
      </c>
      <c r="X47" s="20">
        <f>IF(X6=0,"",IFERROR(X42*Config!$C$7+X43*Config!$C$8,0))</f>
        <v/>
      </c>
      <c r="Y47" s="20">
        <f>IF(Y6=0,"",IFERROR(Y42*Config!$C$7+Y43*Config!$C$8,0))</f>
        <v/>
      </c>
      <c r="Z47" s="20">
        <f>IF(Z6=0,"",IFERROR(Z42*Config!$C$7+Z43*Config!$C$8,0))</f>
        <v/>
      </c>
      <c r="AA47" s="20">
        <f>IF(AA6=0,"",IFERROR(AA42*Config!$C$7+AA43*Config!$C$8,0))</f>
        <v/>
      </c>
      <c r="AB47" s="20">
        <f>IF(AB6=0,"",IFERROR(AB42*Config!$C$7+AB43*Config!$C$8,0))</f>
        <v/>
      </c>
      <c r="AC47" s="20">
        <f>IFERROR(AVERAGE(C47:AB47),"")</f>
        <v/>
      </c>
      <c r="AD47" s="20">
        <f>IFERROR(MEDIAN(C47:AB47),"")</f>
        <v/>
      </c>
      <c r="AE47" s="20">
        <f>IFERROR(MAX(C47:AB47),"")</f>
        <v/>
      </c>
      <c r="AF47" s="20">
        <f>IFERROR(MIN(C47:AB47),"")</f>
        <v/>
      </c>
    </row>
    <row r="48">
      <c r="A48" t="inlineStr">
        <is>
          <t>Ventas y cobranza</t>
        </is>
      </c>
      <c r="B48" s="5" t="inlineStr">
        <is>
          <t>Cash cobrado ese día (USD)</t>
        </is>
      </c>
      <c r="C48" s="20">
        <f>IF(C6=0,"",SUMIFS(Diario!$O$6:$O$371,Diario!$B$6:$B$371,C$5))</f>
        <v/>
      </c>
      <c r="D48" s="20">
        <f>IF(D6=0,"",SUMIFS(Diario!$O$6:$O$371,Diario!$B$6:$B$371,D$5))</f>
        <v/>
      </c>
      <c r="E48" s="20">
        <f>IF(E6=0,"",SUMIFS(Diario!$O$6:$O$371,Diario!$B$6:$B$371,E$5))</f>
        <v/>
      </c>
      <c r="F48" s="20">
        <f>IF(F6=0,"",SUMIFS(Diario!$O$6:$O$371,Diario!$B$6:$B$371,F$5))</f>
        <v/>
      </c>
      <c r="G48" s="20">
        <f>IF(G6=0,"",SUMIFS(Diario!$O$6:$O$371,Diario!$B$6:$B$371,G$5))</f>
        <v/>
      </c>
      <c r="H48" s="20">
        <f>IF(H6=0,"",SUMIFS(Diario!$O$6:$O$371,Diario!$B$6:$B$371,H$5))</f>
        <v/>
      </c>
      <c r="I48" s="20">
        <f>IF(I6=0,"",SUMIFS(Diario!$O$6:$O$371,Diario!$B$6:$B$371,I$5))</f>
        <v/>
      </c>
      <c r="J48" s="20">
        <f>IF(J6=0,"",SUMIFS(Diario!$O$6:$O$371,Diario!$B$6:$B$371,J$5))</f>
        <v/>
      </c>
      <c r="K48" s="20">
        <f>IF(K6=0,"",SUMIFS(Diario!$O$6:$O$371,Diario!$B$6:$B$371,K$5))</f>
        <v/>
      </c>
      <c r="L48" s="20">
        <f>IF(L6=0,"",SUMIFS(Diario!$O$6:$O$371,Diario!$B$6:$B$371,L$5))</f>
        <v/>
      </c>
      <c r="M48" s="20">
        <f>IF(M6=0,"",SUMIFS(Diario!$O$6:$O$371,Diario!$B$6:$B$371,M$5))</f>
        <v/>
      </c>
      <c r="N48" s="20">
        <f>IF(N6=0,"",SUMIFS(Diario!$O$6:$O$371,Diario!$B$6:$B$371,N$5))</f>
        <v/>
      </c>
      <c r="O48" s="20">
        <f>IF(O6=0,"",SUMIFS(Diario!$O$6:$O$371,Diario!$B$6:$B$371,O$5))</f>
        <v/>
      </c>
      <c r="P48" s="20">
        <f>IF(P6=0,"",SUMIFS(Diario!$O$6:$O$371,Diario!$B$6:$B$371,P$5))</f>
        <v/>
      </c>
      <c r="Q48" s="20">
        <f>IF(Q6=0,"",SUMIFS(Diario!$O$6:$O$371,Diario!$B$6:$B$371,Q$5))</f>
        <v/>
      </c>
      <c r="R48" s="20">
        <f>IF(R6=0,"",SUMIFS(Diario!$O$6:$O$371,Diario!$B$6:$B$371,R$5))</f>
        <v/>
      </c>
      <c r="S48" s="20">
        <f>IF(S6=0,"",SUMIFS(Diario!$O$6:$O$371,Diario!$B$6:$B$371,S$5))</f>
        <v/>
      </c>
      <c r="T48" s="20">
        <f>IF(T6=0,"",SUMIFS(Diario!$O$6:$O$371,Diario!$B$6:$B$371,T$5))</f>
        <v/>
      </c>
      <c r="U48" s="20">
        <f>IF(U6=0,"",SUMIFS(Diario!$O$6:$O$371,Diario!$B$6:$B$371,U$5))</f>
        <v/>
      </c>
      <c r="V48" s="20">
        <f>IF(V6=0,"",SUMIFS(Diario!$O$6:$O$371,Diario!$B$6:$B$371,V$5))</f>
        <v/>
      </c>
      <c r="W48" s="20">
        <f>IF(W6=0,"",SUMIFS(Diario!$O$6:$O$371,Diario!$B$6:$B$371,W$5))</f>
        <v/>
      </c>
      <c r="X48" s="20">
        <f>IF(X6=0,"",SUMIFS(Diario!$O$6:$O$371,Diario!$B$6:$B$371,X$5))</f>
        <v/>
      </c>
      <c r="Y48" s="20">
        <f>IF(Y6=0,"",SUMIFS(Diario!$O$6:$O$371,Diario!$B$6:$B$371,Y$5))</f>
        <v/>
      </c>
      <c r="Z48" s="20">
        <f>IF(Z6=0,"",SUMIFS(Diario!$O$6:$O$371,Diario!$B$6:$B$371,Z$5))</f>
        <v/>
      </c>
      <c r="AA48" s="20">
        <f>IF(AA6=0,"",SUMIFS(Diario!$O$6:$O$371,Diario!$B$6:$B$371,AA$5))</f>
        <v/>
      </c>
      <c r="AB48" s="20">
        <f>IF(AB6=0,"",SUMIFS(Diario!$O$6:$O$371,Diario!$B$6:$B$371,AB$5))</f>
        <v/>
      </c>
      <c r="AC48" s="20">
        <f>IFERROR(AVERAGE(C48:AB48),"")</f>
        <v/>
      </c>
      <c r="AD48" s="20">
        <f>IFERROR(MEDIAN(C48:AB48),"")</f>
        <v/>
      </c>
      <c r="AE48" s="20">
        <f>IFERROR(MAX(C48:AB48),"")</f>
        <v/>
      </c>
      <c r="AF48" s="20">
        <f>IFERROR(MIN(C48:AB48),"")</f>
        <v/>
      </c>
    </row>
    <row r="49">
      <c r="A49" t="inlineStr">
        <is>
          <t>Ventas y cobranza</t>
        </is>
      </c>
      <c r="B49" s="5" t="inlineStr">
        <is>
          <t>Cash cobrado (real, o estimado con el % del primer mes)</t>
        </is>
      </c>
      <c r="C49" s="20">
        <f>IF(C6=0,"",IFERROR(IF(C48&gt;0,C48,C47*Config!$C$9),0))</f>
        <v/>
      </c>
      <c r="D49" s="20">
        <f>IF(D6=0,"",IFERROR(IF(D48&gt;0,D48,D47*Config!$C$9),0))</f>
        <v/>
      </c>
      <c r="E49" s="20">
        <f>IF(E6=0,"",IFERROR(IF(E48&gt;0,E48,E47*Config!$C$9),0))</f>
        <v/>
      </c>
      <c r="F49" s="20">
        <f>IF(F6=0,"",IFERROR(IF(F48&gt;0,F48,F47*Config!$C$9),0))</f>
        <v/>
      </c>
      <c r="G49" s="20">
        <f>IF(G6=0,"",IFERROR(IF(G48&gt;0,G48,G47*Config!$C$9),0))</f>
        <v/>
      </c>
      <c r="H49" s="20">
        <f>IF(H6=0,"",IFERROR(IF(H48&gt;0,H48,H47*Config!$C$9),0))</f>
        <v/>
      </c>
      <c r="I49" s="20">
        <f>IF(I6=0,"",IFERROR(IF(I48&gt;0,I48,I47*Config!$C$9),0))</f>
        <v/>
      </c>
      <c r="J49" s="20">
        <f>IF(J6=0,"",IFERROR(IF(J48&gt;0,J48,J47*Config!$C$9),0))</f>
        <v/>
      </c>
      <c r="K49" s="20">
        <f>IF(K6=0,"",IFERROR(IF(K48&gt;0,K48,K47*Config!$C$9),0))</f>
        <v/>
      </c>
      <c r="L49" s="20">
        <f>IF(L6=0,"",IFERROR(IF(L48&gt;0,L48,L47*Config!$C$9),0))</f>
        <v/>
      </c>
      <c r="M49" s="20">
        <f>IF(M6=0,"",IFERROR(IF(M48&gt;0,M48,M47*Config!$C$9),0))</f>
        <v/>
      </c>
      <c r="N49" s="20">
        <f>IF(N6=0,"",IFERROR(IF(N48&gt;0,N48,N47*Config!$C$9),0))</f>
        <v/>
      </c>
      <c r="O49" s="20">
        <f>IF(O6=0,"",IFERROR(IF(O48&gt;0,O48,O47*Config!$C$9),0))</f>
        <v/>
      </c>
      <c r="P49" s="20">
        <f>IF(P6=0,"",IFERROR(IF(P48&gt;0,P48,P47*Config!$C$9),0))</f>
        <v/>
      </c>
      <c r="Q49" s="20">
        <f>IF(Q6=0,"",IFERROR(IF(Q48&gt;0,Q48,Q47*Config!$C$9),0))</f>
        <v/>
      </c>
      <c r="R49" s="20">
        <f>IF(R6=0,"",IFERROR(IF(R48&gt;0,R48,R47*Config!$C$9),0))</f>
        <v/>
      </c>
      <c r="S49" s="20">
        <f>IF(S6=0,"",IFERROR(IF(S48&gt;0,S48,S47*Config!$C$9),0))</f>
        <v/>
      </c>
      <c r="T49" s="20">
        <f>IF(T6=0,"",IFERROR(IF(T48&gt;0,T48,T47*Config!$C$9),0))</f>
        <v/>
      </c>
      <c r="U49" s="20">
        <f>IF(U6=0,"",IFERROR(IF(U48&gt;0,U48,U47*Config!$C$9),0))</f>
        <v/>
      </c>
      <c r="V49" s="20">
        <f>IF(V6=0,"",IFERROR(IF(V48&gt;0,V48,V47*Config!$C$9),0))</f>
        <v/>
      </c>
      <c r="W49" s="20">
        <f>IF(W6=0,"",IFERROR(IF(W48&gt;0,W48,W47*Config!$C$9),0))</f>
        <v/>
      </c>
      <c r="X49" s="20">
        <f>IF(X6=0,"",IFERROR(IF(X48&gt;0,X48,X47*Config!$C$9),0))</f>
        <v/>
      </c>
      <c r="Y49" s="20">
        <f>IF(Y6=0,"",IFERROR(IF(Y48&gt;0,Y48,Y47*Config!$C$9),0))</f>
        <v/>
      </c>
      <c r="Z49" s="20">
        <f>IF(Z6=0,"",IFERROR(IF(Z48&gt;0,Z48,Z47*Config!$C$9),0))</f>
        <v/>
      </c>
      <c r="AA49" s="20">
        <f>IF(AA6=0,"",IFERROR(IF(AA48&gt;0,AA48,AA47*Config!$C$9),0))</f>
        <v/>
      </c>
      <c r="AB49" s="20">
        <f>IF(AB6=0,"",IFERROR(IF(AB48&gt;0,AB48,AB47*Config!$C$9),0))</f>
        <v/>
      </c>
      <c r="AC49" s="20">
        <f>IFERROR(AVERAGE(C49:AB49),"")</f>
        <v/>
      </c>
      <c r="AD49" s="20">
        <f>IFERROR(MEDIAN(C49:AB49),"")</f>
        <v/>
      </c>
      <c r="AE49" s="20">
        <f>IFERROR(MAX(C49:AB49),"")</f>
        <v/>
      </c>
      <c r="AF49" s="20">
        <f>IFERROR(MIN(C49:AB49),"")</f>
        <v/>
      </c>
    </row>
    <row r="51">
      <c r="A51" s="23" t="inlineStr">
        <is>
          <t>5. Resultado</t>
        </is>
      </c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</row>
    <row r="52">
      <c r="A52" t="inlineStr">
        <is>
          <t>Resultado</t>
        </is>
      </c>
      <c r="B52" s="5" t="inlineStr">
        <is>
          <t>Cash neto (después de comisiones, closers y reembolsos)</t>
        </is>
      </c>
      <c r="C52" s="20">
        <f>IF(C6=0,"",IFERROR(C49*(1-Config!$C$10-Config!$C$11-Config!$C$12),0))</f>
        <v/>
      </c>
      <c r="D52" s="20">
        <f>IF(D6=0,"",IFERROR(D49*(1-Config!$C$10-Config!$C$11-Config!$C$12),0))</f>
        <v/>
      </c>
      <c r="E52" s="20">
        <f>IF(E6=0,"",IFERROR(E49*(1-Config!$C$10-Config!$C$11-Config!$C$12),0))</f>
        <v/>
      </c>
      <c r="F52" s="20">
        <f>IF(F6=0,"",IFERROR(F49*(1-Config!$C$10-Config!$C$11-Config!$C$12),0))</f>
        <v/>
      </c>
      <c r="G52" s="20">
        <f>IF(G6=0,"",IFERROR(G49*(1-Config!$C$10-Config!$C$11-Config!$C$12),0))</f>
        <v/>
      </c>
      <c r="H52" s="20">
        <f>IF(H6=0,"",IFERROR(H49*(1-Config!$C$10-Config!$C$11-Config!$C$12),0))</f>
        <v/>
      </c>
      <c r="I52" s="20">
        <f>IF(I6=0,"",IFERROR(I49*(1-Config!$C$10-Config!$C$11-Config!$C$12),0))</f>
        <v/>
      </c>
      <c r="J52" s="20">
        <f>IF(J6=0,"",IFERROR(J49*(1-Config!$C$10-Config!$C$11-Config!$C$12),0))</f>
        <v/>
      </c>
      <c r="K52" s="20">
        <f>IF(K6=0,"",IFERROR(K49*(1-Config!$C$10-Config!$C$11-Config!$C$12),0))</f>
        <v/>
      </c>
      <c r="L52" s="20">
        <f>IF(L6=0,"",IFERROR(L49*(1-Config!$C$10-Config!$C$11-Config!$C$12),0))</f>
        <v/>
      </c>
      <c r="M52" s="20">
        <f>IF(M6=0,"",IFERROR(M49*(1-Config!$C$10-Config!$C$11-Config!$C$12),0))</f>
        <v/>
      </c>
      <c r="N52" s="20">
        <f>IF(N6=0,"",IFERROR(N49*(1-Config!$C$10-Config!$C$11-Config!$C$12),0))</f>
        <v/>
      </c>
      <c r="O52" s="20">
        <f>IF(O6=0,"",IFERROR(O49*(1-Config!$C$10-Config!$C$11-Config!$C$12),0))</f>
        <v/>
      </c>
      <c r="P52" s="20">
        <f>IF(P6=0,"",IFERROR(P49*(1-Config!$C$10-Config!$C$11-Config!$C$12),0))</f>
        <v/>
      </c>
      <c r="Q52" s="20">
        <f>IF(Q6=0,"",IFERROR(Q49*(1-Config!$C$10-Config!$C$11-Config!$C$12),0))</f>
        <v/>
      </c>
      <c r="R52" s="20">
        <f>IF(R6=0,"",IFERROR(R49*(1-Config!$C$10-Config!$C$11-Config!$C$12),0))</f>
        <v/>
      </c>
      <c r="S52" s="20">
        <f>IF(S6=0,"",IFERROR(S49*(1-Config!$C$10-Config!$C$11-Config!$C$12),0))</f>
        <v/>
      </c>
      <c r="T52" s="20">
        <f>IF(T6=0,"",IFERROR(T49*(1-Config!$C$10-Config!$C$11-Config!$C$12),0))</f>
        <v/>
      </c>
      <c r="U52" s="20">
        <f>IF(U6=0,"",IFERROR(U49*(1-Config!$C$10-Config!$C$11-Config!$C$12),0))</f>
        <v/>
      </c>
      <c r="V52" s="20">
        <f>IF(V6=0,"",IFERROR(V49*(1-Config!$C$10-Config!$C$11-Config!$C$12),0))</f>
        <v/>
      </c>
      <c r="W52" s="20">
        <f>IF(W6=0,"",IFERROR(W49*(1-Config!$C$10-Config!$C$11-Config!$C$12),0))</f>
        <v/>
      </c>
      <c r="X52" s="20">
        <f>IF(X6=0,"",IFERROR(X49*(1-Config!$C$10-Config!$C$11-Config!$C$12),0))</f>
        <v/>
      </c>
      <c r="Y52" s="20">
        <f>IF(Y6=0,"",IFERROR(Y49*(1-Config!$C$10-Config!$C$11-Config!$C$12),0))</f>
        <v/>
      </c>
      <c r="Z52" s="20">
        <f>IF(Z6=0,"",IFERROR(Z49*(1-Config!$C$10-Config!$C$11-Config!$C$12),0))</f>
        <v/>
      </c>
      <c r="AA52" s="20">
        <f>IF(AA6=0,"",IFERROR(AA49*(1-Config!$C$10-Config!$C$11-Config!$C$12),0))</f>
        <v/>
      </c>
      <c r="AB52" s="20">
        <f>IF(AB6=0,"",IFERROR(AB49*(1-Config!$C$10-Config!$C$11-Config!$C$12),0))</f>
        <v/>
      </c>
      <c r="AC52" s="20">
        <f>IFERROR(AVERAGE(C52:AB52),"")</f>
        <v/>
      </c>
      <c r="AD52" s="20">
        <f>IFERROR(MEDIAN(C52:AB52),"")</f>
        <v/>
      </c>
      <c r="AE52" s="20">
        <f>IFERROR(MAX(C52:AB52),"")</f>
        <v/>
      </c>
      <c r="AF52" s="20">
        <f>IFERROR(MIN(C52:AB52),"")</f>
        <v/>
      </c>
    </row>
    <row r="53">
      <c r="A53" t="inlineStr">
        <is>
          <t>Resultado</t>
        </is>
      </c>
      <c r="B53" s="5" t="inlineStr">
        <is>
          <t>Ganancia de caja (cash neto − pauta − fijos)</t>
        </is>
      </c>
      <c r="C53" s="20">
        <f>IF(C6=0,"",IFERROR(C52-C10-Config!$C$13*7,0))</f>
        <v/>
      </c>
      <c r="D53" s="20">
        <f>IF(D6=0,"",IFERROR(D52-D10-Config!$C$13*7,0))</f>
        <v/>
      </c>
      <c r="E53" s="20">
        <f>IF(E6=0,"",IFERROR(E52-E10-Config!$C$13*7,0))</f>
        <v/>
      </c>
      <c r="F53" s="20">
        <f>IF(F6=0,"",IFERROR(F52-F10-Config!$C$13*7,0))</f>
        <v/>
      </c>
      <c r="G53" s="20">
        <f>IF(G6=0,"",IFERROR(G52-G10-Config!$C$13*7,0))</f>
        <v/>
      </c>
      <c r="H53" s="20">
        <f>IF(H6=0,"",IFERROR(H52-H10-Config!$C$13*7,0))</f>
        <v/>
      </c>
      <c r="I53" s="20">
        <f>IF(I6=0,"",IFERROR(I52-I10-Config!$C$13*7,0))</f>
        <v/>
      </c>
      <c r="J53" s="20">
        <f>IF(J6=0,"",IFERROR(J52-J10-Config!$C$13*7,0))</f>
        <v/>
      </c>
      <c r="K53" s="20">
        <f>IF(K6=0,"",IFERROR(K52-K10-Config!$C$13*7,0))</f>
        <v/>
      </c>
      <c r="L53" s="20">
        <f>IF(L6=0,"",IFERROR(L52-L10-Config!$C$13*7,0))</f>
        <v/>
      </c>
      <c r="M53" s="20">
        <f>IF(M6=0,"",IFERROR(M52-M10-Config!$C$13*7,0))</f>
        <v/>
      </c>
      <c r="N53" s="20">
        <f>IF(N6=0,"",IFERROR(N52-N10-Config!$C$13*7,0))</f>
        <v/>
      </c>
      <c r="O53" s="20">
        <f>IF(O6=0,"",IFERROR(O52-O10-Config!$C$13*7,0))</f>
        <v/>
      </c>
      <c r="P53" s="20">
        <f>IF(P6=0,"",IFERROR(P52-P10-Config!$C$13*7,0))</f>
        <v/>
      </c>
      <c r="Q53" s="20">
        <f>IF(Q6=0,"",IFERROR(Q52-Q10-Config!$C$13*7,0))</f>
        <v/>
      </c>
      <c r="R53" s="20">
        <f>IF(R6=0,"",IFERROR(R52-R10-Config!$C$13*7,0))</f>
        <v/>
      </c>
      <c r="S53" s="20">
        <f>IF(S6=0,"",IFERROR(S52-S10-Config!$C$13*7,0))</f>
        <v/>
      </c>
      <c r="T53" s="20">
        <f>IF(T6=0,"",IFERROR(T52-T10-Config!$C$13*7,0))</f>
        <v/>
      </c>
      <c r="U53" s="20">
        <f>IF(U6=0,"",IFERROR(U52-U10-Config!$C$13*7,0))</f>
        <v/>
      </c>
      <c r="V53" s="20">
        <f>IF(V6=0,"",IFERROR(V52-V10-Config!$C$13*7,0))</f>
        <v/>
      </c>
      <c r="W53" s="20">
        <f>IF(W6=0,"",IFERROR(W52-W10-Config!$C$13*7,0))</f>
        <v/>
      </c>
      <c r="X53" s="20">
        <f>IF(X6=0,"",IFERROR(X52-X10-Config!$C$13*7,0))</f>
        <v/>
      </c>
      <c r="Y53" s="20">
        <f>IF(Y6=0,"",IFERROR(Y52-Y10-Config!$C$13*7,0))</f>
        <v/>
      </c>
      <c r="Z53" s="20">
        <f>IF(Z6=0,"",IFERROR(Z52-Z10-Config!$C$13*7,0))</f>
        <v/>
      </c>
      <c r="AA53" s="20">
        <f>IF(AA6=0,"",IFERROR(AA52-AA10-Config!$C$13*7,0))</f>
        <v/>
      </c>
      <c r="AB53" s="20">
        <f>IF(AB6=0,"",IFERROR(AB52-AB10-Config!$C$13*7,0))</f>
        <v/>
      </c>
      <c r="AC53" s="20">
        <f>IFERROR(AVERAGE(C53:AB53),"")</f>
        <v/>
      </c>
      <c r="AD53" s="20">
        <f>IFERROR(MEDIAN(C53:AB53),"")</f>
        <v/>
      </c>
      <c r="AE53" s="20">
        <f>IFERROR(MAX(C53:AB53),"")</f>
        <v/>
      </c>
      <c r="AF53" s="20">
        <f>IFERROR(MIN(C53:AB53),"")</f>
        <v/>
      </c>
    </row>
    <row r="54">
      <c r="A54" t="inlineStr">
        <is>
          <t>Resultado</t>
        </is>
      </c>
      <c r="B54" s="25" t="inlineStr">
        <is>
          <t>ROAS sobre cash neto</t>
        </is>
      </c>
      <c r="C54" s="21">
        <f>IF(C6=0,"",IFERROR(C52/C10,0))</f>
        <v/>
      </c>
      <c r="D54" s="21">
        <f>IF(D6=0,"",IFERROR(D52/D10,0))</f>
        <v/>
      </c>
      <c r="E54" s="21">
        <f>IF(E6=0,"",IFERROR(E52/E10,0))</f>
        <v/>
      </c>
      <c r="F54" s="21">
        <f>IF(F6=0,"",IFERROR(F52/F10,0))</f>
        <v/>
      </c>
      <c r="G54" s="21">
        <f>IF(G6=0,"",IFERROR(G52/G10,0))</f>
        <v/>
      </c>
      <c r="H54" s="21">
        <f>IF(H6=0,"",IFERROR(H52/H10,0))</f>
        <v/>
      </c>
      <c r="I54" s="21">
        <f>IF(I6=0,"",IFERROR(I52/I10,0))</f>
        <v/>
      </c>
      <c r="J54" s="21">
        <f>IF(J6=0,"",IFERROR(J52/J10,0))</f>
        <v/>
      </c>
      <c r="K54" s="21">
        <f>IF(K6=0,"",IFERROR(K52/K10,0))</f>
        <v/>
      </c>
      <c r="L54" s="21">
        <f>IF(L6=0,"",IFERROR(L52/L10,0))</f>
        <v/>
      </c>
      <c r="M54" s="21">
        <f>IF(M6=0,"",IFERROR(M52/M10,0))</f>
        <v/>
      </c>
      <c r="N54" s="21">
        <f>IF(N6=0,"",IFERROR(N52/N10,0))</f>
        <v/>
      </c>
      <c r="O54" s="21">
        <f>IF(O6=0,"",IFERROR(O52/O10,0))</f>
        <v/>
      </c>
      <c r="P54" s="21">
        <f>IF(P6=0,"",IFERROR(P52/P10,0))</f>
        <v/>
      </c>
      <c r="Q54" s="21">
        <f>IF(Q6=0,"",IFERROR(Q52/Q10,0))</f>
        <v/>
      </c>
      <c r="R54" s="21">
        <f>IF(R6=0,"",IFERROR(R52/R10,0))</f>
        <v/>
      </c>
      <c r="S54" s="21">
        <f>IF(S6=0,"",IFERROR(S52/S10,0))</f>
        <v/>
      </c>
      <c r="T54" s="21">
        <f>IF(T6=0,"",IFERROR(T52/T10,0))</f>
        <v/>
      </c>
      <c r="U54" s="21">
        <f>IF(U6=0,"",IFERROR(U52/U10,0))</f>
        <v/>
      </c>
      <c r="V54" s="21">
        <f>IF(V6=0,"",IFERROR(V52/V10,0))</f>
        <v/>
      </c>
      <c r="W54" s="21">
        <f>IF(W6=0,"",IFERROR(W52/W10,0))</f>
        <v/>
      </c>
      <c r="X54" s="21">
        <f>IF(X6=0,"",IFERROR(X52/X10,0))</f>
        <v/>
      </c>
      <c r="Y54" s="21">
        <f>IF(Y6=0,"",IFERROR(Y52/Y10,0))</f>
        <v/>
      </c>
      <c r="Z54" s="21">
        <f>IF(Z6=0,"",IFERROR(Z52/Z10,0))</f>
        <v/>
      </c>
      <c r="AA54" s="21">
        <f>IF(AA6=0,"",IFERROR(AA52/AA10,0))</f>
        <v/>
      </c>
      <c r="AB54" s="21">
        <f>IF(AB6=0,"",IFERROR(AB52/AB10,0))</f>
        <v/>
      </c>
      <c r="AC54" s="21">
        <f>IFERROR(AVERAGE(C54:AB54),"")</f>
        <v/>
      </c>
      <c r="AD54" s="21">
        <f>IFERROR(MEDIAN(C54:AB54),"")</f>
        <v/>
      </c>
      <c r="AE54" s="21">
        <f>IFERROR(MAX(C54:AB54),"")</f>
        <v/>
      </c>
      <c r="AF54" s="21">
        <f>IFERROR(MIN(C54:AB54),"")</f>
        <v/>
      </c>
    </row>
    <row r="55">
      <c r="A55" t="inlineStr">
        <is>
          <t>Resultado</t>
        </is>
      </c>
      <c r="B55" s="5" t="inlineStr">
        <is>
          <t>ROAS sobre facturado (no decidas con este)</t>
        </is>
      </c>
      <c r="C55" s="21">
        <f>IF(C6=0,"",IFERROR(C47/C10,0))</f>
        <v/>
      </c>
      <c r="D55" s="21">
        <f>IF(D6=0,"",IFERROR(D47/D10,0))</f>
        <v/>
      </c>
      <c r="E55" s="21">
        <f>IF(E6=0,"",IFERROR(E47/E10,0))</f>
        <v/>
      </c>
      <c r="F55" s="21">
        <f>IF(F6=0,"",IFERROR(F47/F10,0))</f>
        <v/>
      </c>
      <c r="G55" s="21">
        <f>IF(G6=0,"",IFERROR(G47/G10,0))</f>
        <v/>
      </c>
      <c r="H55" s="21">
        <f>IF(H6=0,"",IFERROR(H47/H10,0))</f>
        <v/>
      </c>
      <c r="I55" s="21">
        <f>IF(I6=0,"",IFERROR(I47/I10,0))</f>
        <v/>
      </c>
      <c r="J55" s="21">
        <f>IF(J6=0,"",IFERROR(J47/J10,0))</f>
        <v/>
      </c>
      <c r="K55" s="21">
        <f>IF(K6=0,"",IFERROR(K47/K10,0))</f>
        <v/>
      </c>
      <c r="L55" s="21">
        <f>IF(L6=0,"",IFERROR(L47/L10,0))</f>
        <v/>
      </c>
      <c r="M55" s="21">
        <f>IF(M6=0,"",IFERROR(M47/M10,0))</f>
        <v/>
      </c>
      <c r="N55" s="21">
        <f>IF(N6=0,"",IFERROR(N47/N10,0))</f>
        <v/>
      </c>
      <c r="O55" s="21">
        <f>IF(O6=0,"",IFERROR(O47/O10,0))</f>
        <v/>
      </c>
      <c r="P55" s="21">
        <f>IF(P6=0,"",IFERROR(P47/P10,0))</f>
        <v/>
      </c>
      <c r="Q55" s="21">
        <f>IF(Q6=0,"",IFERROR(Q47/Q10,0))</f>
        <v/>
      </c>
      <c r="R55" s="21">
        <f>IF(R6=0,"",IFERROR(R47/R10,0))</f>
        <v/>
      </c>
      <c r="S55" s="21">
        <f>IF(S6=0,"",IFERROR(S47/S10,0))</f>
        <v/>
      </c>
      <c r="T55" s="21">
        <f>IF(T6=0,"",IFERROR(T47/T10,0))</f>
        <v/>
      </c>
      <c r="U55" s="21">
        <f>IF(U6=0,"",IFERROR(U47/U10,0))</f>
        <v/>
      </c>
      <c r="V55" s="21">
        <f>IF(V6=0,"",IFERROR(V47/V10,0))</f>
        <v/>
      </c>
      <c r="W55" s="21">
        <f>IF(W6=0,"",IFERROR(W47/W10,0))</f>
        <v/>
      </c>
      <c r="X55" s="21">
        <f>IF(X6=0,"",IFERROR(X47/X10,0))</f>
        <v/>
      </c>
      <c r="Y55" s="21">
        <f>IF(Y6=0,"",IFERROR(Y47/Y10,0))</f>
        <v/>
      </c>
      <c r="Z55" s="21">
        <f>IF(Z6=0,"",IFERROR(Z47/Z10,0))</f>
        <v/>
      </c>
      <c r="AA55" s="21">
        <f>IF(AA6=0,"",IFERROR(AA47/AA10,0))</f>
        <v/>
      </c>
      <c r="AB55" s="21">
        <f>IF(AB6=0,"",IFERROR(AB47/AB10,0))</f>
        <v/>
      </c>
      <c r="AC55" s="21">
        <f>IFERROR(AVERAGE(C55:AB55),"")</f>
        <v/>
      </c>
      <c r="AD55" s="21">
        <f>IFERROR(MEDIAN(C55:AB55),"")</f>
        <v/>
      </c>
      <c r="AE55" s="21">
        <f>IFERROR(MAX(C55:AB55),"")</f>
        <v/>
      </c>
      <c r="AF55" s="21">
        <f>IFERROR(MIN(C55:AB55),"")</f>
        <v/>
      </c>
    </row>
    <row r="56">
      <c r="A56" t="inlineStr">
        <is>
          <t>Resultado</t>
        </is>
      </c>
      <c r="B56" s="25" t="inlineStr">
        <is>
          <t>Ganancia por visita (la métrica más valiosa)</t>
        </is>
      </c>
      <c r="C56" s="15">
        <f>IF(C6=0,"",IFERROR(C53/C14,0))</f>
        <v/>
      </c>
      <c r="D56" s="15">
        <f>IF(D6=0,"",IFERROR(D53/D14,0))</f>
        <v/>
      </c>
      <c r="E56" s="15">
        <f>IF(E6=0,"",IFERROR(E53/E14,0))</f>
        <v/>
      </c>
      <c r="F56" s="15">
        <f>IF(F6=0,"",IFERROR(F53/F14,0))</f>
        <v/>
      </c>
      <c r="G56" s="15">
        <f>IF(G6=0,"",IFERROR(G53/G14,0))</f>
        <v/>
      </c>
      <c r="H56" s="15">
        <f>IF(H6=0,"",IFERROR(H53/H14,0))</f>
        <v/>
      </c>
      <c r="I56" s="15">
        <f>IF(I6=0,"",IFERROR(I53/I14,0))</f>
        <v/>
      </c>
      <c r="J56" s="15">
        <f>IF(J6=0,"",IFERROR(J53/J14,0))</f>
        <v/>
      </c>
      <c r="K56" s="15">
        <f>IF(K6=0,"",IFERROR(K53/K14,0))</f>
        <v/>
      </c>
      <c r="L56" s="15">
        <f>IF(L6=0,"",IFERROR(L53/L14,0))</f>
        <v/>
      </c>
      <c r="M56" s="15">
        <f>IF(M6=0,"",IFERROR(M53/M14,0))</f>
        <v/>
      </c>
      <c r="N56" s="15">
        <f>IF(N6=0,"",IFERROR(N53/N14,0))</f>
        <v/>
      </c>
      <c r="O56" s="15">
        <f>IF(O6=0,"",IFERROR(O53/O14,0))</f>
        <v/>
      </c>
      <c r="P56" s="15">
        <f>IF(P6=0,"",IFERROR(P53/P14,0))</f>
        <v/>
      </c>
      <c r="Q56" s="15">
        <f>IF(Q6=0,"",IFERROR(Q53/Q14,0))</f>
        <v/>
      </c>
      <c r="R56" s="15">
        <f>IF(R6=0,"",IFERROR(R53/R14,0))</f>
        <v/>
      </c>
      <c r="S56" s="15">
        <f>IF(S6=0,"",IFERROR(S53/S14,0))</f>
        <v/>
      </c>
      <c r="T56" s="15">
        <f>IF(T6=0,"",IFERROR(T53/T14,0))</f>
        <v/>
      </c>
      <c r="U56" s="15">
        <f>IF(U6=0,"",IFERROR(U53/U14,0))</f>
        <v/>
      </c>
      <c r="V56" s="15">
        <f>IF(V6=0,"",IFERROR(V53/V14,0))</f>
        <v/>
      </c>
      <c r="W56" s="15">
        <f>IF(W6=0,"",IFERROR(W53/W14,0))</f>
        <v/>
      </c>
      <c r="X56" s="15">
        <f>IF(X6=0,"",IFERROR(X53/X14,0))</f>
        <v/>
      </c>
      <c r="Y56" s="15">
        <f>IF(Y6=0,"",IFERROR(Y53/Y14,0))</f>
        <v/>
      </c>
      <c r="Z56" s="15">
        <f>IF(Z6=0,"",IFERROR(Z53/Z14,0))</f>
        <v/>
      </c>
      <c r="AA56" s="15">
        <f>IF(AA6=0,"",IFERROR(AA53/AA14,0))</f>
        <v/>
      </c>
      <c r="AB56" s="15">
        <f>IF(AB6=0,"",IFERROR(AB53/AB14,0))</f>
        <v/>
      </c>
      <c r="AC56" s="15">
        <f>IFERROR(AVERAGE(C56:AB56),"")</f>
        <v/>
      </c>
      <c r="AD56" s="15">
        <f>IFERROR(MEDIAN(C56:AB56),"")</f>
        <v/>
      </c>
      <c r="AE56" s="15">
        <f>IFERROR(MAX(C56:AB56),"")</f>
        <v/>
      </c>
      <c r="AF56" s="15">
        <f>IFERROR(MIN(C56:AB56),"")</f>
        <v/>
      </c>
    </row>
    <row r="57">
      <c r="A57" t="inlineStr">
        <is>
          <t>Resultado</t>
        </is>
      </c>
      <c r="B57" s="5" t="inlineStr">
        <is>
          <t>Margen por visita (ganancia por visita ÷ costo por visita)</t>
        </is>
      </c>
      <c r="C57" s="21">
        <f>IF(C6=0,"",IFERROR(C56/C20,0))</f>
        <v/>
      </c>
      <c r="D57" s="21">
        <f>IF(D6=0,"",IFERROR(D56/D20,0))</f>
        <v/>
      </c>
      <c r="E57" s="21">
        <f>IF(E6=0,"",IFERROR(E56/E20,0))</f>
        <v/>
      </c>
      <c r="F57" s="21">
        <f>IF(F6=0,"",IFERROR(F56/F20,0))</f>
        <v/>
      </c>
      <c r="G57" s="21">
        <f>IF(G6=0,"",IFERROR(G56/G20,0))</f>
        <v/>
      </c>
      <c r="H57" s="21">
        <f>IF(H6=0,"",IFERROR(H56/H20,0))</f>
        <v/>
      </c>
      <c r="I57" s="21">
        <f>IF(I6=0,"",IFERROR(I56/I20,0))</f>
        <v/>
      </c>
      <c r="J57" s="21">
        <f>IF(J6=0,"",IFERROR(J56/J20,0))</f>
        <v/>
      </c>
      <c r="K57" s="21">
        <f>IF(K6=0,"",IFERROR(K56/K20,0))</f>
        <v/>
      </c>
      <c r="L57" s="21">
        <f>IF(L6=0,"",IFERROR(L56/L20,0))</f>
        <v/>
      </c>
      <c r="M57" s="21">
        <f>IF(M6=0,"",IFERROR(M56/M20,0))</f>
        <v/>
      </c>
      <c r="N57" s="21">
        <f>IF(N6=0,"",IFERROR(N56/N20,0))</f>
        <v/>
      </c>
      <c r="O57" s="21">
        <f>IF(O6=0,"",IFERROR(O56/O20,0))</f>
        <v/>
      </c>
      <c r="P57" s="21">
        <f>IF(P6=0,"",IFERROR(P56/P20,0))</f>
        <v/>
      </c>
      <c r="Q57" s="21">
        <f>IF(Q6=0,"",IFERROR(Q56/Q20,0))</f>
        <v/>
      </c>
      <c r="R57" s="21">
        <f>IF(R6=0,"",IFERROR(R56/R20,0))</f>
        <v/>
      </c>
      <c r="S57" s="21">
        <f>IF(S6=0,"",IFERROR(S56/S20,0))</f>
        <v/>
      </c>
      <c r="T57" s="21">
        <f>IF(T6=0,"",IFERROR(T56/T20,0))</f>
        <v/>
      </c>
      <c r="U57" s="21">
        <f>IF(U6=0,"",IFERROR(U56/U20,0))</f>
        <v/>
      </c>
      <c r="V57" s="21">
        <f>IF(V6=0,"",IFERROR(V56/V20,0))</f>
        <v/>
      </c>
      <c r="W57" s="21">
        <f>IF(W6=0,"",IFERROR(W56/W20,0))</f>
        <v/>
      </c>
      <c r="X57" s="21">
        <f>IF(X6=0,"",IFERROR(X56/X20,0))</f>
        <v/>
      </c>
      <c r="Y57" s="21">
        <f>IF(Y6=0,"",IFERROR(Y56/Y20,0))</f>
        <v/>
      </c>
      <c r="Z57" s="21">
        <f>IF(Z6=0,"",IFERROR(Z56/Z20,0))</f>
        <v/>
      </c>
      <c r="AA57" s="21">
        <f>IF(AA6=0,"",IFERROR(AA56/AA20,0))</f>
        <v/>
      </c>
      <c r="AB57" s="21">
        <f>IF(AB6=0,"",IFERROR(AB56/AB20,0))</f>
        <v/>
      </c>
      <c r="AC57" s="21">
        <f>IFERROR(AVERAGE(C57:AB57),"")</f>
        <v/>
      </c>
      <c r="AD57" s="21">
        <f>IFERROR(MEDIAN(C57:AB57),"")</f>
        <v/>
      </c>
      <c r="AE57" s="21">
        <f>IFERROR(MAX(C57:AB57),"")</f>
        <v/>
      </c>
      <c r="AF57" s="21">
        <f>IFERROR(MIN(C57:AB57),"")</f>
        <v/>
      </c>
    </row>
    <row r="58">
      <c r="A58" t="inlineStr">
        <is>
          <t>Resultado</t>
        </is>
      </c>
      <c r="B58" s="5" t="inlineStr">
        <is>
          <t>Ganancia por lead</t>
        </is>
      </c>
      <c r="C58" s="15">
        <f>IF(C6=0,"",IFERROR(C53/C24,0))</f>
        <v/>
      </c>
      <c r="D58" s="15">
        <f>IF(D6=0,"",IFERROR(D53/D24,0))</f>
        <v/>
      </c>
      <c r="E58" s="15">
        <f>IF(E6=0,"",IFERROR(E53/E24,0))</f>
        <v/>
      </c>
      <c r="F58" s="15">
        <f>IF(F6=0,"",IFERROR(F53/F24,0))</f>
        <v/>
      </c>
      <c r="G58" s="15">
        <f>IF(G6=0,"",IFERROR(G53/G24,0))</f>
        <v/>
      </c>
      <c r="H58" s="15">
        <f>IF(H6=0,"",IFERROR(H53/H24,0))</f>
        <v/>
      </c>
      <c r="I58" s="15">
        <f>IF(I6=0,"",IFERROR(I53/I24,0))</f>
        <v/>
      </c>
      <c r="J58" s="15">
        <f>IF(J6=0,"",IFERROR(J53/J24,0))</f>
        <v/>
      </c>
      <c r="K58" s="15">
        <f>IF(K6=0,"",IFERROR(K53/K24,0))</f>
        <v/>
      </c>
      <c r="L58" s="15">
        <f>IF(L6=0,"",IFERROR(L53/L24,0))</f>
        <v/>
      </c>
      <c r="M58" s="15">
        <f>IF(M6=0,"",IFERROR(M53/M24,0))</f>
        <v/>
      </c>
      <c r="N58" s="15">
        <f>IF(N6=0,"",IFERROR(N53/N24,0))</f>
        <v/>
      </c>
      <c r="O58" s="15">
        <f>IF(O6=0,"",IFERROR(O53/O24,0))</f>
        <v/>
      </c>
      <c r="P58" s="15">
        <f>IF(P6=0,"",IFERROR(P53/P24,0))</f>
        <v/>
      </c>
      <c r="Q58" s="15">
        <f>IF(Q6=0,"",IFERROR(Q53/Q24,0))</f>
        <v/>
      </c>
      <c r="R58" s="15">
        <f>IF(R6=0,"",IFERROR(R53/R24,0))</f>
        <v/>
      </c>
      <c r="S58" s="15">
        <f>IF(S6=0,"",IFERROR(S53/S24,0))</f>
        <v/>
      </c>
      <c r="T58" s="15">
        <f>IF(T6=0,"",IFERROR(T53/T24,0))</f>
        <v/>
      </c>
      <c r="U58" s="15">
        <f>IF(U6=0,"",IFERROR(U53/U24,0))</f>
        <v/>
      </c>
      <c r="V58" s="15">
        <f>IF(V6=0,"",IFERROR(V53/V24,0))</f>
        <v/>
      </c>
      <c r="W58" s="15">
        <f>IF(W6=0,"",IFERROR(W53/W24,0))</f>
        <v/>
      </c>
      <c r="X58" s="15">
        <f>IF(X6=0,"",IFERROR(X53/X24,0))</f>
        <v/>
      </c>
      <c r="Y58" s="15">
        <f>IF(Y6=0,"",IFERROR(Y53/Y24,0))</f>
        <v/>
      </c>
      <c r="Z58" s="15">
        <f>IF(Z6=0,"",IFERROR(Z53/Z24,0))</f>
        <v/>
      </c>
      <c r="AA58" s="15">
        <f>IF(AA6=0,"",IFERROR(AA53/AA24,0))</f>
        <v/>
      </c>
      <c r="AB58" s="15">
        <f>IF(AB6=0,"",IFERROR(AB53/AB24,0))</f>
        <v/>
      </c>
      <c r="AC58" s="15">
        <f>IFERROR(AVERAGE(C58:AB58),"")</f>
        <v/>
      </c>
      <c r="AD58" s="15">
        <f>IFERROR(MEDIAN(C58:AB58),"")</f>
        <v/>
      </c>
      <c r="AE58" s="15">
        <f>IFERROR(MAX(C58:AB58),"")</f>
        <v/>
      </c>
      <c r="AF58" s="15">
        <f>IFERROR(MIN(C58:AB58),"")</f>
        <v/>
      </c>
    </row>
    <row r="60">
      <c r="A60" s="23" t="inlineStr">
        <is>
          <t>6. Contra tu promedio: cada semana contra la mediana de tus 4 semanas anteriores (tolerancia en Config). Igual o mejor = VERDE · hasta la tolerancia peor = AMARILLO · más = ROJO</t>
        </is>
      </c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</row>
    <row r="61">
      <c r="A61" t="inlineStr">
        <is>
          <t>Mediana 4 semanas anteriores</t>
        </is>
      </c>
      <c r="B61" s="5" t="inlineStr">
        <is>
          <t>Ganancia por visita (la métrica más valiosa)</t>
        </is>
      </c>
      <c r="C61" s="26" t="inlineStr"/>
      <c r="D61" s="15">
        <f>IFERROR(MEDIAN(C56:C56),"")</f>
        <v/>
      </c>
      <c r="E61" s="15">
        <f>IFERROR(MEDIAN(C56:D56),"")</f>
        <v/>
      </c>
      <c r="F61" s="15">
        <f>IFERROR(MEDIAN(C56:E56),"")</f>
        <v/>
      </c>
      <c r="G61" s="15">
        <f>IFERROR(MEDIAN(C56:F56),"")</f>
        <v/>
      </c>
      <c r="H61" s="15">
        <f>IFERROR(MEDIAN(D56:G56),"")</f>
        <v/>
      </c>
      <c r="I61" s="15">
        <f>IFERROR(MEDIAN(E56:H56),"")</f>
        <v/>
      </c>
      <c r="J61" s="15">
        <f>IFERROR(MEDIAN(F56:I56),"")</f>
        <v/>
      </c>
      <c r="K61" s="15">
        <f>IFERROR(MEDIAN(G56:J56),"")</f>
        <v/>
      </c>
      <c r="L61" s="15">
        <f>IFERROR(MEDIAN(H56:K56),"")</f>
        <v/>
      </c>
      <c r="M61" s="15">
        <f>IFERROR(MEDIAN(I56:L56),"")</f>
        <v/>
      </c>
      <c r="N61" s="15">
        <f>IFERROR(MEDIAN(J56:M56),"")</f>
        <v/>
      </c>
      <c r="O61" s="15">
        <f>IFERROR(MEDIAN(K56:N56),"")</f>
        <v/>
      </c>
      <c r="P61" s="15">
        <f>IFERROR(MEDIAN(L56:O56),"")</f>
        <v/>
      </c>
      <c r="Q61" s="15">
        <f>IFERROR(MEDIAN(M56:P56),"")</f>
        <v/>
      </c>
      <c r="R61" s="15">
        <f>IFERROR(MEDIAN(N56:Q56),"")</f>
        <v/>
      </c>
      <c r="S61" s="15">
        <f>IFERROR(MEDIAN(O56:R56),"")</f>
        <v/>
      </c>
      <c r="T61" s="15">
        <f>IFERROR(MEDIAN(P56:S56),"")</f>
        <v/>
      </c>
      <c r="U61" s="15">
        <f>IFERROR(MEDIAN(Q56:T56),"")</f>
        <v/>
      </c>
      <c r="V61" s="15">
        <f>IFERROR(MEDIAN(R56:U56),"")</f>
        <v/>
      </c>
      <c r="W61" s="15">
        <f>IFERROR(MEDIAN(S56:V56),"")</f>
        <v/>
      </c>
      <c r="X61" s="15">
        <f>IFERROR(MEDIAN(T56:W56),"")</f>
        <v/>
      </c>
      <c r="Y61" s="15">
        <f>IFERROR(MEDIAN(U56:X56),"")</f>
        <v/>
      </c>
      <c r="Z61" s="15">
        <f>IFERROR(MEDIAN(V56:Y56),"")</f>
        <v/>
      </c>
      <c r="AA61" s="15">
        <f>IFERROR(MEDIAN(W56:Z56),"")</f>
        <v/>
      </c>
      <c r="AB61" s="15">
        <f>IFERROR(MEDIAN(X56:AA56),"")</f>
        <v/>
      </c>
    </row>
    <row r="62">
      <c r="A62" t="inlineStr">
        <is>
          <t>Semáforo</t>
        </is>
      </c>
      <c r="B62" s="25" t="inlineStr">
        <is>
          <t>Ganancia por visita (la métrica más valiosa)</t>
        </is>
      </c>
      <c r="C62" s="27">
        <f>IF(OR(C56="",C61=""),"",IF(C56&lt;=0,"ROJO",IF(C56&gt;=C61,"VERDE",IF(C56&gt;=C61*(1-Config!$C$15),"AMARILLO","ROJO"))))</f>
        <v/>
      </c>
      <c r="D62" s="27">
        <f>IF(OR(D56="",D61=""),"",IF(D56&lt;=0,"ROJO",IF(D56&gt;=D61,"VERDE",IF(D56&gt;=D61*(1-Config!$C$15),"AMARILLO","ROJO"))))</f>
        <v/>
      </c>
      <c r="E62" s="27">
        <f>IF(OR(E56="",E61=""),"",IF(E56&lt;=0,"ROJO",IF(E56&gt;=E61,"VERDE",IF(E56&gt;=E61*(1-Config!$C$15),"AMARILLO","ROJO"))))</f>
        <v/>
      </c>
      <c r="F62" s="27">
        <f>IF(OR(F56="",F61=""),"",IF(F56&lt;=0,"ROJO",IF(F56&gt;=F61,"VERDE",IF(F56&gt;=F61*(1-Config!$C$15),"AMARILLO","ROJO"))))</f>
        <v/>
      </c>
      <c r="G62" s="27">
        <f>IF(OR(G56="",G61=""),"",IF(G56&lt;=0,"ROJO",IF(G56&gt;=G61,"VERDE",IF(G56&gt;=G61*(1-Config!$C$15),"AMARILLO","ROJO"))))</f>
        <v/>
      </c>
      <c r="H62" s="27">
        <f>IF(OR(H56="",H61=""),"",IF(H56&lt;=0,"ROJO",IF(H56&gt;=H61,"VERDE",IF(H56&gt;=H61*(1-Config!$C$15),"AMARILLO","ROJO"))))</f>
        <v/>
      </c>
      <c r="I62" s="27">
        <f>IF(OR(I56="",I61=""),"",IF(I56&lt;=0,"ROJO",IF(I56&gt;=I61,"VERDE",IF(I56&gt;=I61*(1-Config!$C$15),"AMARILLO","ROJO"))))</f>
        <v/>
      </c>
      <c r="J62" s="27">
        <f>IF(OR(J56="",J61=""),"",IF(J56&lt;=0,"ROJO",IF(J56&gt;=J61,"VERDE",IF(J56&gt;=J61*(1-Config!$C$15),"AMARILLO","ROJO"))))</f>
        <v/>
      </c>
      <c r="K62" s="27">
        <f>IF(OR(K56="",K61=""),"",IF(K56&lt;=0,"ROJO",IF(K56&gt;=K61,"VERDE",IF(K56&gt;=K61*(1-Config!$C$15),"AMARILLO","ROJO"))))</f>
        <v/>
      </c>
      <c r="L62" s="27">
        <f>IF(OR(L56="",L61=""),"",IF(L56&lt;=0,"ROJO",IF(L56&gt;=L61,"VERDE",IF(L56&gt;=L61*(1-Config!$C$15),"AMARILLO","ROJO"))))</f>
        <v/>
      </c>
      <c r="M62" s="27">
        <f>IF(OR(M56="",M61=""),"",IF(M56&lt;=0,"ROJO",IF(M56&gt;=M61,"VERDE",IF(M56&gt;=M61*(1-Config!$C$15),"AMARILLO","ROJO"))))</f>
        <v/>
      </c>
      <c r="N62" s="27">
        <f>IF(OR(N56="",N61=""),"",IF(N56&lt;=0,"ROJO",IF(N56&gt;=N61,"VERDE",IF(N56&gt;=N61*(1-Config!$C$15),"AMARILLO","ROJO"))))</f>
        <v/>
      </c>
      <c r="O62" s="27">
        <f>IF(OR(O56="",O61=""),"",IF(O56&lt;=0,"ROJO",IF(O56&gt;=O61,"VERDE",IF(O56&gt;=O61*(1-Config!$C$15),"AMARILLO","ROJO"))))</f>
        <v/>
      </c>
      <c r="P62" s="27">
        <f>IF(OR(P56="",P61=""),"",IF(P56&lt;=0,"ROJO",IF(P56&gt;=P61,"VERDE",IF(P56&gt;=P61*(1-Config!$C$15),"AMARILLO","ROJO"))))</f>
        <v/>
      </c>
      <c r="Q62" s="27">
        <f>IF(OR(Q56="",Q61=""),"",IF(Q56&lt;=0,"ROJO",IF(Q56&gt;=Q61,"VERDE",IF(Q56&gt;=Q61*(1-Config!$C$15),"AMARILLO","ROJO"))))</f>
        <v/>
      </c>
      <c r="R62" s="27">
        <f>IF(OR(R56="",R61=""),"",IF(R56&lt;=0,"ROJO",IF(R56&gt;=R61,"VERDE",IF(R56&gt;=R61*(1-Config!$C$15),"AMARILLO","ROJO"))))</f>
        <v/>
      </c>
      <c r="S62" s="27">
        <f>IF(OR(S56="",S61=""),"",IF(S56&lt;=0,"ROJO",IF(S56&gt;=S61,"VERDE",IF(S56&gt;=S61*(1-Config!$C$15),"AMARILLO","ROJO"))))</f>
        <v/>
      </c>
      <c r="T62" s="27">
        <f>IF(OR(T56="",T61=""),"",IF(T56&lt;=0,"ROJO",IF(T56&gt;=T61,"VERDE",IF(T56&gt;=T61*(1-Config!$C$15),"AMARILLO","ROJO"))))</f>
        <v/>
      </c>
      <c r="U62" s="27">
        <f>IF(OR(U56="",U61=""),"",IF(U56&lt;=0,"ROJO",IF(U56&gt;=U61,"VERDE",IF(U56&gt;=U61*(1-Config!$C$15),"AMARILLO","ROJO"))))</f>
        <v/>
      </c>
      <c r="V62" s="27">
        <f>IF(OR(V56="",V61=""),"",IF(V56&lt;=0,"ROJO",IF(V56&gt;=V61,"VERDE",IF(V56&gt;=V61*(1-Config!$C$15),"AMARILLO","ROJO"))))</f>
        <v/>
      </c>
      <c r="W62" s="27">
        <f>IF(OR(W56="",W61=""),"",IF(W56&lt;=0,"ROJO",IF(W56&gt;=W61,"VERDE",IF(W56&gt;=W61*(1-Config!$C$15),"AMARILLO","ROJO"))))</f>
        <v/>
      </c>
      <c r="X62" s="27">
        <f>IF(OR(X56="",X61=""),"",IF(X56&lt;=0,"ROJO",IF(X56&gt;=X61,"VERDE",IF(X56&gt;=X61*(1-Config!$C$15),"AMARILLO","ROJO"))))</f>
        <v/>
      </c>
      <c r="Y62" s="27">
        <f>IF(OR(Y56="",Y61=""),"",IF(Y56&lt;=0,"ROJO",IF(Y56&gt;=Y61,"VERDE",IF(Y56&gt;=Y61*(1-Config!$C$15),"AMARILLO","ROJO"))))</f>
        <v/>
      </c>
      <c r="Z62" s="27">
        <f>IF(OR(Z56="",Z61=""),"",IF(Z56&lt;=0,"ROJO",IF(Z56&gt;=Z61,"VERDE",IF(Z56&gt;=Z61*(1-Config!$C$15),"AMARILLO","ROJO"))))</f>
        <v/>
      </c>
      <c r="AA62" s="27">
        <f>IF(OR(AA56="",AA61=""),"",IF(AA56&lt;=0,"ROJO",IF(AA56&gt;=AA61,"VERDE",IF(AA56&gt;=AA61*(1-Config!$C$15),"AMARILLO","ROJO"))))</f>
        <v/>
      </c>
      <c r="AB62" s="27">
        <f>IF(OR(AB56="",AB61=""),"",IF(AB56&lt;=0,"ROJO",IF(AB56&gt;=AB61,"VERDE",IF(AB56&gt;=AB61*(1-Config!$C$15),"AMARILLO","ROJO"))))</f>
        <v/>
      </c>
    </row>
    <row r="63">
      <c r="A63" t="inlineStr">
        <is>
          <t>Mediana 4 semanas anteriores</t>
        </is>
      </c>
      <c r="B63" s="5" t="inlineStr">
        <is>
          <t>Costo por visita</t>
        </is>
      </c>
      <c r="C63" s="26" t="inlineStr"/>
      <c r="D63" s="15">
        <f>IFERROR(MEDIAN(C20:C20),"")</f>
        <v/>
      </c>
      <c r="E63" s="15">
        <f>IFERROR(MEDIAN(C20:D20),"")</f>
        <v/>
      </c>
      <c r="F63" s="15">
        <f>IFERROR(MEDIAN(C20:E20),"")</f>
        <v/>
      </c>
      <c r="G63" s="15">
        <f>IFERROR(MEDIAN(C20:F20),"")</f>
        <v/>
      </c>
      <c r="H63" s="15">
        <f>IFERROR(MEDIAN(D20:G20),"")</f>
        <v/>
      </c>
      <c r="I63" s="15">
        <f>IFERROR(MEDIAN(E20:H20),"")</f>
        <v/>
      </c>
      <c r="J63" s="15">
        <f>IFERROR(MEDIAN(F20:I20),"")</f>
        <v/>
      </c>
      <c r="K63" s="15">
        <f>IFERROR(MEDIAN(G20:J20),"")</f>
        <v/>
      </c>
      <c r="L63" s="15">
        <f>IFERROR(MEDIAN(H20:K20),"")</f>
        <v/>
      </c>
      <c r="M63" s="15">
        <f>IFERROR(MEDIAN(I20:L20),"")</f>
        <v/>
      </c>
      <c r="N63" s="15">
        <f>IFERROR(MEDIAN(J20:M20),"")</f>
        <v/>
      </c>
      <c r="O63" s="15">
        <f>IFERROR(MEDIAN(K20:N20),"")</f>
        <v/>
      </c>
      <c r="P63" s="15">
        <f>IFERROR(MEDIAN(L20:O20),"")</f>
        <v/>
      </c>
      <c r="Q63" s="15">
        <f>IFERROR(MEDIAN(M20:P20),"")</f>
        <v/>
      </c>
      <c r="R63" s="15">
        <f>IFERROR(MEDIAN(N20:Q20),"")</f>
        <v/>
      </c>
      <c r="S63" s="15">
        <f>IFERROR(MEDIAN(O20:R20),"")</f>
        <v/>
      </c>
      <c r="T63" s="15">
        <f>IFERROR(MEDIAN(P20:S20),"")</f>
        <v/>
      </c>
      <c r="U63" s="15">
        <f>IFERROR(MEDIAN(Q20:T20),"")</f>
        <v/>
      </c>
      <c r="V63" s="15">
        <f>IFERROR(MEDIAN(R20:U20),"")</f>
        <v/>
      </c>
      <c r="W63" s="15">
        <f>IFERROR(MEDIAN(S20:V20),"")</f>
        <v/>
      </c>
      <c r="X63" s="15">
        <f>IFERROR(MEDIAN(T20:W20),"")</f>
        <v/>
      </c>
      <c r="Y63" s="15">
        <f>IFERROR(MEDIAN(U20:X20),"")</f>
        <v/>
      </c>
      <c r="Z63" s="15">
        <f>IFERROR(MEDIAN(V20:Y20),"")</f>
        <v/>
      </c>
      <c r="AA63" s="15">
        <f>IFERROR(MEDIAN(W20:Z20),"")</f>
        <v/>
      </c>
      <c r="AB63" s="15">
        <f>IFERROR(MEDIAN(X20:AA20),"")</f>
        <v/>
      </c>
    </row>
    <row r="64">
      <c r="A64" t="inlineStr">
        <is>
          <t>Semáforo</t>
        </is>
      </c>
      <c r="B64" s="25" t="inlineStr">
        <is>
          <t>Costo por visita</t>
        </is>
      </c>
      <c r="C64" s="27">
        <f>IF(OR(C20="",C63=""),"",IF(C20&lt;=C63,"VERDE",IF(C20&lt;=C63*(1+Config!$C$15),"AMARILLO","ROJO")))</f>
        <v/>
      </c>
      <c r="D64" s="27">
        <f>IF(OR(D20="",D63=""),"",IF(D20&lt;=D63,"VERDE",IF(D20&lt;=D63*(1+Config!$C$15),"AMARILLO","ROJO")))</f>
        <v/>
      </c>
      <c r="E64" s="27">
        <f>IF(OR(E20="",E63=""),"",IF(E20&lt;=E63,"VERDE",IF(E20&lt;=E63*(1+Config!$C$15),"AMARILLO","ROJO")))</f>
        <v/>
      </c>
      <c r="F64" s="27">
        <f>IF(OR(F20="",F63=""),"",IF(F20&lt;=F63,"VERDE",IF(F20&lt;=F63*(1+Config!$C$15),"AMARILLO","ROJO")))</f>
        <v/>
      </c>
      <c r="G64" s="27">
        <f>IF(OR(G20="",G63=""),"",IF(G20&lt;=G63,"VERDE",IF(G20&lt;=G63*(1+Config!$C$15),"AMARILLO","ROJO")))</f>
        <v/>
      </c>
      <c r="H64" s="27">
        <f>IF(OR(H20="",H63=""),"",IF(H20&lt;=H63,"VERDE",IF(H20&lt;=H63*(1+Config!$C$15),"AMARILLO","ROJO")))</f>
        <v/>
      </c>
      <c r="I64" s="27">
        <f>IF(OR(I20="",I63=""),"",IF(I20&lt;=I63,"VERDE",IF(I20&lt;=I63*(1+Config!$C$15),"AMARILLO","ROJO")))</f>
        <v/>
      </c>
      <c r="J64" s="27">
        <f>IF(OR(J20="",J63=""),"",IF(J20&lt;=J63,"VERDE",IF(J20&lt;=J63*(1+Config!$C$15),"AMARILLO","ROJO")))</f>
        <v/>
      </c>
      <c r="K64" s="27">
        <f>IF(OR(K20="",K63=""),"",IF(K20&lt;=K63,"VERDE",IF(K20&lt;=K63*(1+Config!$C$15),"AMARILLO","ROJO")))</f>
        <v/>
      </c>
      <c r="L64" s="27">
        <f>IF(OR(L20="",L63=""),"",IF(L20&lt;=L63,"VERDE",IF(L20&lt;=L63*(1+Config!$C$15),"AMARILLO","ROJO")))</f>
        <v/>
      </c>
      <c r="M64" s="27">
        <f>IF(OR(M20="",M63=""),"",IF(M20&lt;=M63,"VERDE",IF(M20&lt;=M63*(1+Config!$C$15),"AMARILLO","ROJO")))</f>
        <v/>
      </c>
      <c r="N64" s="27">
        <f>IF(OR(N20="",N63=""),"",IF(N20&lt;=N63,"VERDE",IF(N20&lt;=N63*(1+Config!$C$15),"AMARILLO","ROJO")))</f>
        <v/>
      </c>
      <c r="O64" s="27">
        <f>IF(OR(O20="",O63=""),"",IF(O20&lt;=O63,"VERDE",IF(O20&lt;=O63*(1+Config!$C$15),"AMARILLO","ROJO")))</f>
        <v/>
      </c>
      <c r="P64" s="27">
        <f>IF(OR(P20="",P63=""),"",IF(P20&lt;=P63,"VERDE",IF(P20&lt;=P63*(1+Config!$C$15),"AMARILLO","ROJO")))</f>
        <v/>
      </c>
      <c r="Q64" s="27">
        <f>IF(OR(Q20="",Q63=""),"",IF(Q20&lt;=Q63,"VERDE",IF(Q20&lt;=Q63*(1+Config!$C$15),"AMARILLO","ROJO")))</f>
        <v/>
      </c>
      <c r="R64" s="27">
        <f>IF(OR(R20="",R63=""),"",IF(R20&lt;=R63,"VERDE",IF(R20&lt;=R63*(1+Config!$C$15),"AMARILLO","ROJO")))</f>
        <v/>
      </c>
      <c r="S64" s="27">
        <f>IF(OR(S20="",S63=""),"",IF(S20&lt;=S63,"VERDE",IF(S20&lt;=S63*(1+Config!$C$15),"AMARILLO","ROJO")))</f>
        <v/>
      </c>
      <c r="T64" s="27">
        <f>IF(OR(T20="",T63=""),"",IF(T20&lt;=T63,"VERDE",IF(T20&lt;=T63*(1+Config!$C$15),"AMARILLO","ROJO")))</f>
        <v/>
      </c>
      <c r="U64" s="27">
        <f>IF(OR(U20="",U63=""),"",IF(U20&lt;=U63,"VERDE",IF(U20&lt;=U63*(1+Config!$C$15),"AMARILLO","ROJO")))</f>
        <v/>
      </c>
      <c r="V64" s="27">
        <f>IF(OR(V20="",V63=""),"",IF(V20&lt;=V63,"VERDE",IF(V20&lt;=V63*(1+Config!$C$15),"AMARILLO","ROJO")))</f>
        <v/>
      </c>
      <c r="W64" s="27">
        <f>IF(OR(W20="",W63=""),"",IF(W20&lt;=W63,"VERDE",IF(W20&lt;=W63*(1+Config!$C$15),"AMARILLO","ROJO")))</f>
        <v/>
      </c>
      <c r="X64" s="27">
        <f>IF(OR(X20="",X63=""),"",IF(X20&lt;=X63,"VERDE",IF(X20&lt;=X63*(1+Config!$C$15),"AMARILLO","ROJO")))</f>
        <v/>
      </c>
      <c r="Y64" s="27">
        <f>IF(OR(Y20="",Y63=""),"",IF(Y20&lt;=Y63,"VERDE",IF(Y20&lt;=Y63*(1+Config!$C$15),"AMARILLO","ROJO")))</f>
        <v/>
      </c>
      <c r="Z64" s="27">
        <f>IF(OR(Z20="",Z63=""),"",IF(Z20&lt;=Z63,"VERDE",IF(Z20&lt;=Z63*(1+Config!$C$15),"AMARILLO","ROJO")))</f>
        <v/>
      </c>
      <c r="AA64" s="27">
        <f>IF(OR(AA20="",AA63=""),"",IF(AA20&lt;=AA63,"VERDE",IF(AA20&lt;=AA63*(1+Config!$C$15),"AMARILLO","ROJO")))</f>
        <v/>
      </c>
      <c r="AB64" s="27">
        <f>IF(OR(AB20="",AB63=""),"",IF(AB20&lt;=AB63,"VERDE",IF(AB20&lt;=AB63*(1+Config!$C$15),"AMARILLO","ROJO")))</f>
        <v/>
      </c>
    </row>
    <row r="65">
      <c r="A65" t="inlineStr">
        <is>
          <t>Mediana 4 semanas anteriores</t>
        </is>
      </c>
      <c r="B65" s="5" t="inlineStr">
        <is>
          <t>CPL (costo por lead)</t>
        </is>
      </c>
      <c r="C65" s="26" t="inlineStr"/>
      <c r="D65" s="15">
        <f>IFERROR(MEDIAN(C26:C26),"")</f>
        <v/>
      </c>
      <c r="E65" s="15">
        <f>IFERROR(MEDIAN(C26:D26),"")</f>
        <v/>
      </c>
      <c r="F65" s="15">
        <f>IFERROR(MEDIAN(C26:E26),"")</f>
        <v/>
      </c>
      <c r="G65" s="15">
        <f>IFERROR(MEDIAN(C26:F26),"")</f>
        <v/>
      </c>
      <c r="H65" s="15">
        <f>IFERROR(MEDIAN(D26:G26),"")</f>
        <v/>
      </c>
      <c r="I65" s="15">
        <f>IFERROR(MEDIAN(E26:H26),"")</f>
        <v/>
      </c>
      <c r="J65" s="15">
        <f>IFERROR(MEDIAN(F26:I26),"")</f>
        <v/>
      </c>
      <c r="K65" s="15">
        <f>IFERROR(MEDIAN(G26:J26),"")</f>
        <v/>
      </c>
      <c r="L65" s="15">
        <f>IFERROR(MEDIAN(H26:K26),"")</f>
        <v/>
      </c>
      <c r="M65" s="15">
        <f>IFERROR(MEDIAN(I26:L26),"")</f>
        <v/>
      </c>
      <c r="N65" s="15">
        <f>IFERROR(MEDIAN(J26:M26),"")</f>
        <v/>
      </c>
      <c r="O65" s="15">
        <f>IFERROR(MEDIAN(K26:N26),"")</f>
        <v/>
      </c>
      <c r="P65" s="15">
        <f>IFERROR(MEDIAN(L26:O26),"")</f>
        <v/>
      </c>
      <c r="Q65" s="15">
        <f>IFERROR(MEDIAN(M26:P26),"")</f>
        <v/>
      </c>
      <c r="R65" s="15">
        <f>IFERROR(MEDIAN(N26:Q26),"")</f>
        <v/>
      </c>
      <c r="S65" s="15">
        <f>IFERROR(MEDIAN(O26:R26),"")</f>
        <v/>
      </c>
      <c r="T65" s="15">
        <f>IFERROR(MEDIAN(P26:S26),"")</f>
        <v/>
      </c>
      <c r="U65" s="15">
        <f>IFERROR(MEDIAN(Q26:T26),"")</f>
        <v/>
      </c>
      <c r="V65" s="15">
        <f>IFERROR(MEDIAN(R26:U26),"")</f>
        <v/>
      </c>
      <c r="W65" s="15">
        <f>IFERROR(MEDIAN(S26:V26),"")</f>
        <v/>
      </c>
      <c r="X65" s="15">
        <f>IFERROR(MEDIAN(T26:W26),"")</f>
        <v/>
      </c>
      <c r="Y65" s="15">
        <f>IFERROR(MEDIAN(U26:X26),"")</f>
        <v/>
      </c>
      <c r="Z65" s="15">
        <f>IFERROR(MEDIAN(V26:Y26),"")</f>
        <v/>
      </c>
      <c r="AA65" s="15">
        <f>IFERROR(MEDIAN(W26:Z26),"")</f>
        <v/>
      </c>
      <c r="AB65" s="15">
        <f>IFERROR(MEDIAN(X26:AA26),"")</f>
        <v/>
      </c>
    </row>
    <row r="66">
      <c r="A66" t="inlineStr">
        <is>
          <t>Semáforo</t>
        </is>
      </c>
      <c r="B66" s="25" t="inlineStr">
        <is>
          <t>CPL (costo por lead)</t>
        </is>
      </c>
      <c r="C66" s="27">
        <f>IF(OR(C26="",C65=""),"",IF(C26&lt;=C65,"VERDE",IF(C26&lt;=C65*(1+Config!$C$15),"AMARILLO","ROJO")))</f>
        <v/>
      </c>
      <c r="D66" s="27">
        <f>IF(OR(D26="",D65=""),"",IF(D26&lt;=D65,"VERDE",IF(D26&lt;=D65*(1+Config!$C$15),"AMARILLO","ROJO")))</f>
        <v/>
      </c>
      <c r="E66" s="27">
        <f>IF(OR(E26="",E65=""),"",IF(E26&lt;=E65,"VERDE",IF(E26&lt;=E65*(1+Config!$C$15),"AMARILLO","ROJO")))</f>
        <v/>
      </c>
      <c r="F66" s="27">
        <f>IF(OR(F26="",F65=""),"",IF(F26&lt;=F65,"VERDE",IF(F26&lt;=F65*(1+Config!$C$15),"AMARILLO","ROJO")))</f>
        <v/>
      </c>
      <c r="G66" s="27">
        <f>IF(OR(G26="",G65=""),"",IF(G26&lt;=G65,"VERDE",IF(G26&lt;=G65*(1+Config!$C$15),"AMARILLO","ROJO")))</f>
        <v/>
      </c>
      <c r="H66" s="27">
        <f>IF(OR(H26="",H65=""),"",IF(H26&lt;=H65,"VERDE",IF(H26&lt;=H65*(1+Config!$C$15),"AMARILLO","ROJO")))</f>
        <v/>
      </c>
      <c r="I66" s="27">
        <f>IF(OR(I26="",I65=""),"",IF(I26&lt;=I65,"VERDE",IF(I26&lt;=I65*(1+Config!$C$15),"AMARILLO","ROJO")))</f>
        <v/>
      </c>
      <c r="J66" s="27">
        <f>IF(OR(J26="",J65=""),"",IF(J26&lt;=J65,"VERDE",IF(J26&lt;=J65*(1+Config!$C$15),"AMARILLO","ROJO")))</f>
        <v/>
      </c>
      <c r="K66" s="27">
        <f>IF(OR(K26="",K65=""),"",IF(K26&lt;=K65,"VERDE",IF(K26&lt;=K65*(1+Config!$C$15),"AMARILLO","ROJO")))</f>
        <v/>
      </c>
      <c r="L66" s="27">
        <f>IF(OR(L26="",L65=""),"",IF(L26&lt;=L65,"VERDE",IF(L26&lt;=L65*(1+Config!$C$15),"AMARILLO","ROJO")))</f>
        <v/>
      </c>
      <c r="M66" s="27">
        <f>IF(OR(M26="",M65=""),"",IF(M26&lt;=M65,"VERDE",IF(M26&lt;=M65*(1+Config!$C$15),"AMARILLO","ROJO")))</f>
        <v/>
      </c>
      <c r="N66" s="27">
        <f>IF(OR(N26="",N65=""),"",IF(N26&lt;=N65,"VERDE",IF(N26&lt;=N65*(1+Config!$C$15),"AMARILLO","ROJO")))</f>
        <v/>
      </c>
      <c r="O66" s="27">
        <f>IF(OR(O26="",O65=""),"",IF(O26&lt;=O65,"VERDE",IF(O26&lt;=O65*(1+Config!$C$15),"AMARILLO","ROJO")))</f>
        <v/>
      </c>
      <c r="P66" s="27">
        <f>IF(OR(P26="",P65=""),"",IF(P26&lt;=P65,"VERDE",IF(P26&lt;=P65*(1+Config!$C$15),"AMARILLO","ROJO")))</f>
        <v/>
      </c>
      <c r="Q66" s="27">
        <f>IF(OR(Q26="",Q65=""),"",IF(Q26&lt;=Q65,"VERDE",IF(Q26&lt;=Q65*(1+Config!$C$15),"AMARILLO","ROJO")))</f>
        <v/>
      </c>
      <c r="R66" s="27">
        <f>IF(OR(R26="",R65=""),"",IF(R26&lt;=R65,"VERDE",IF(R26&lt;=R65*(1+Config!$C$15),"AMARILLO","ROJO")))</f>
        <v/>
      </c>
      <c r="S66" s="27">
        <f>IF(OR(S26="",S65=""),"",IF(S26&lt;=S65,"VERDE",IF(S26&lt;=S65*(1+Config!$C$15),"AMARILLO","ROJO")))</f>
        <v/>
      </c>
      <c r="T66" s="27">
        <f>IF(OR(T26="",T65=""),"",IF(T26&lt;=T65,"VERDE",IF(T26&lt;=T65*(1+Config!$C$15),"AMARILLO","ROJO")))</f>
        <v/>
      </c>
      <c r="U66" s="27">
        <f>IF(OR(U26="",U65=""),"",IF(U26&lt;=U65,"VERDE",IF(U26&lt;=U65*(1+Config!$C$15),"AMARILLO","ROJO")))</f>
        <v/>
      </c>
      <c r="V66" s="27">
        <f>IF(OR(V26="",V65=""),"",IF(V26&lt;=V65,"VERDE",IF(V26&lt;=V65*(1+Config!$C$15),"AMARILLO","ROJO")))</f>
        <v/>
      </c>
      <c r="W66" s="27">
        <f>IF(OR(W26="",W65=""),"",IF(W26&lt;=W65,"VERDE",IF(W26&lt;=W65*(1+Config!$C$15),"AMARILLO","ROJO")))</f>
        <v/>
      </c>
      <c r="X66" s="27">
        <f>IF(OR(X26="",X65=""),"",IF(X26&lt;=X65,"VERDE",IF(X26&lt;=X65*(1+Config!$C$15),"AMARILLO","ROJO")))</f>
        <v/>
      </c>
      <c r="Y66" s="27">
        <f>IF(OR(Y26="",Y65=""),"",IF(Y26&lt;=Y65,"VERDE",IF(Y26&lt;=Y65*(1+Config!$C$15),"AMARILLO","ROJO")))</f>
        <v/>
      </c>
      <c r="Z66" s="27">
        <f>IF(OR(Z26="",Z65=""),"",IF(Z26&lt;=Z65,"VERDE",IF(Z26&lt;=Z65*(1+Config!$C$15),"AMARILLO","ROJO")))</f>
        <v/>
      </c>
      <c r="AA66" s="27">
        <f>IF(OR(AA26="",AA65=""),"",IF(AA26&lt;=AA65,"VERDE",IF(AA26&lt;=AA65*(1+Config!$C$15),"AMARILLO","ROJO")))</f>
        <v/>
      </c>
      <c r="AB66" s="27">
        <f>IF(OR(AB26="",AB65=""),"",IF(AB26&lt;=AB65,"VERDE",IF(AB26&lt;=AB65*(1+Config!$C$15),"AMARILLO","ROJO")))</f>
        <v/>
      </c>
    </row>
    <row r="67">
      <c r="A67" t="inlineStr">
        <is>
          <t>Mediana 4 semanas anteriores</t>
        </is>
      </c>
      <c r="B67" s="5" t="inlineStr">
        <is>
          <t>CPL como % del CPM (el umbral depende del nicho)</t>
        </is>
      </c>
      <c r="C67" s="26" t="inlineStr"/>
      <c r="D67" s="18">
        <f>IFERROR(MEDIAN(C27:C27),"")</f>
        <v/>
      </c>
      <c r="E67" s="18">
        <f>IFERROR(MEDIAN(C27:D27),"")</f>
        <v/>
      </c>
      <c r="F67" s="18">
        <f>IFERROR(MEDIAN(C27:E27),"")</f>
        <v/>
      </c>
      <c r="G67" s="18">
        <f>IFERROR(MEDIAN(C27:F27),"")</f>
        <v/>
      </c>
      <c r="H67" s="18">
        <f>IFERROR(MEDIAN(D27:G27),"")</f>
        <v/>
      </c>
      <c r="I67" s="18">
        <f>IFERROR(MEDIAN(E27:H27),"")</f>
        <v/>
      </c>
      <c r="J67" s="18">
        <f>IFERROR(MEDIAN(F27:I27),"")</f>
        <v/>
      </c>
      <c r="K67" s="18">
        <f>IFERROR(MEDIAN(G27:J27),"")</f>
        <v/>
      </c>
      <c r="L67" s="18">
        <f>IFERROR(MEDIAN(H27:K27),"")</f>
        <v/>
      </c>
      <c r="M67" s="18">
        <f>IFERROR(MEDIAN(I27:L27),"")</f>
        <v/>
      </c>
      <c r="N67" s="18">
        <f>IFERROR(MEDIAN(J27:M27),"")</f>
        <v/>
      </c>
      <c r="O67" s="18">
        <f>IFERROR(MEDIAN(K27:N27),"")</f>
        <v/>
      </c>
      <c r="P67" s="18">
        <f>IFERROR(MEDIAN(L27:O27),"")</f>
        <v/>
      </c>
      <c r="Q67" s="18">
        <f>IFERROR(MEDIAN(M27:P27),"")</f>
        <v/>
      </c>
      <c r="R67" s="18">
        <f>IFERROR(MEDIAN(N27:Q27),"")</f>
        <v/>
      </c>
      <c r="S67" s="18">
        <f>IFERROR(MEDIAN(O27:R27),"")</f>
        <v/>
      </c>
      <c r="T67" s="18">
        <f>IFERROR(MEDIAN(P27:S27),"")</f>
        <v/>
      </c>
      <c r="U67" s="18">
        <f>IFERROR(MEDIAN(Q27:T27),"")</f>
        <v/>
      </c>
      <c r="V67" s="18">
        <f>IFERROR(MEDIAN(R27:U27),"")</f>
        <v/>
      </c>
      <c r="W67" s="18">
        <f>IFERROR(MEDIAN(S27:V27),"")</f>
        <v/>
      </c>
      <c r="X67" s="18">
        <f>IFERROR(MEDIAN(T27:W27),"")</f>
        <v/>
      </c>
      <c r="Y67" s="18">
        <f>IFERROR(MEDIAN(U27:X27),"")</f>
        <v/>
      </c>
      <c r="Z67" s="18">
        <f>IFERROR(MEDIAN(V27:Y27),"")</f>
        <v/>
      </c>
      <c r="AA67" s="18">
        <f>IFERROR(MEDIAN(W27:Z27),"")</f>
        <v/>
      </c>
      <c r="AB67" s="18">
        <f>IFERROR(MEDIAN(X27:AA27),"")</f>
        <v/>
      </c>
    </row>
    <row r="68">
      <c r="A68" t="inlineStr">
        <is>
          <t>Semáforo</t>
        </is>
      </c>
      <c r="B68" s="25" t="inlineStr">
        <is>
          <t>CPL como % del CPM (el umbral depende del nicho)</t>
        </is>
      </c>
      <c r="C68" s="27">
        <f>IF(OR(C27="",C67=""),"",IF(C27&lt;=C67,"VERDE",IF(C27&lt;=C67*(1+Config!$C$15),"AMARILLO","ROJO")))</f>
        <v/>
      </c>
      <c r="D68" s="27">
        <f>IF(OR(D27="",D67=""),"",IF(D27&lt;=D67,"VERDE",IF(D27&lt;=D67*(1+Config!$C$15),"AMARILLO","ROJO")))</f>
        <v/>
      </c>
      <c r="E68" s="27">
        <f>IF(OR(E27="",E67=""),"",IF(E27&lt;=E67,"VERDE",IF(E27&lt;=E67*(1+Config!$C$15),"AMARILLO","ROJO")))</f>
        <v/>
      </c>
      <c r="F68" s="27">
        <f>IF(OR(F27="",F67=""),"",IF(F27&lt;=F67,"VERDE",IF(F27&lt;=F67*(1+Config!$C$15),"AMARILLO","ROJO")))</f>
        <v/>
      </c>
      <c r="G68" s="27">
        <f>IF(OR(G27="",G67=""),"",IF(G27&lt;=G67,"VERDE",IF(G27&lt;=G67*(1+Config!$C$15),"AMARILLO","ROJO")))</f>
        <v/>
      </c>
      <c r="H68" s="27">
        <f>IF(OR(H27="",H67=""),"",IF(H27&lt;=H67,"VERDE",IF(H27&lt;=H67*(1+Config!$C$15),"AMARILLO","ROJO")))</f>
        <v/>
      </c>
      <c r="I68" s="27">
        <f>IF(OR(I27="",I67=""),"",IF(I27&lt;=I67,"VERDE",IF(I27&lt;=I67*(1+Config!$C$15),"AMARILLO","ROJO")))</f>
        <v/>
      </c>
      <c r="J68" s="27">
        <f>IF(OR(J27="",J67=""),"",IF(J27&lt;=J67,"VERDE",IF(J27&lt;=J67*(1+Config!$C$15),"AMARILLO","ROJO")))</f>
        <v/>
      </c>
      <c r="K68" s="27">
        <f>IF(OR(K27="",K67=""),"",IF(K27&lt;=K67,"VERDE",IF(K27&lt;=K67*(1+Config!$C$15),"AMARILLO","ROJO")))</f>
        <v/>
      </c>
      <c r="L68" s="27">
        <f>IF(OR(L27="",L67=""),"",IF(L27&lt;=L67,"VERDE",IF(L27&lt;=L67*(1+Config!$C$15),"AMARILLO","ROJO")))</f>
        <v/>
      </c>
      <c r="M68" s="27">
        <f>IF(OR(M27="",M67=""),"",IF(M27&lt;=M67,"VERDE",IF(M27&lt;=M67*(1+Config!$C$15),"AMARILLO","ROJO")))</f>
        <v/>
      </c>
      <c r="N68" s="27">
        <f>IF(OR(N27="",N67=""),"",IF(N27&lt;=N67,"VERDE",IF(N27&lt;=N67*(1+Config!$C$15),"AMARILLO","ROJO")))</f>
        <v/>
      </c>
      <c r="O68" s="27">
        <f>IF(OR(O27="",O67=""),"",IF(O27&lt;=O67,"VERDE",IF(O27&lt;=O67*(1+Config!$C$15),"AMARILLO","ROJO")))</f>
        <v/>
      </c>
      <c r="P68" s="27">
        <f>IF(OR(P27="",P67=""),"",IF(P27&lt;=P67,"VERDE",IF(P27&lt;=P67*(1+Config!$C$15),"AMARILLO","ROJO")))</f>
        <v/>
      </c>
      <c r="Q68" s="27">
        <f>IF(OR(Q27="",Q67=""),"",IF(Q27&lt;=Q67,"VERDE",IF(Q27&lt;=Q67*(1+Config!$C$15),"AMARILLO","ROJO")))</f>
        <v/>
      </c>
      <c r="R68" s="27">
        <f>IF(OR(R27="",R67=""),"",IF(R27&lt;=R67,"VERDE",IF(R27&lt;=R67*(1+Config!$C$15),"AMARILLO","ROJO")))</f>
        <v/>
      </c>
      <c r="S68" s="27">
        <f>IF(OR(S27="",S67=""),"",IF(S27&lt;=S67,"VERDE",IF(S27&lt;=S67*(1+Config!$C$15),"AMARILLO","ROJO")))</f>
        <v/>
      </c>
      <c r="T68" s="27">
        <f>IF(OR(T27="",T67=""),"",IF(T27&lt;=T67,"VERDE",IF(T27&lt;=T67*(1+Config!$C$15),"AMARILLO","ROJO")))</f>
        <v/>
      </c>
      <c r="U68" s="27">
        <f>IF(OR(U27="",U67=""),"",IF(U27&lt;=U67,"VERDE",IF(U27&lt;=U67*(1+Config!$C$15),"AMARILLO","ROJO")))</f>
        <v/>
      </c>
      <c r="V68" s="27">
        <f>IF(OR(V27="",V67=""),"",IF(V27&lt;=V67,"VERDE",IF(V27&lt;=V67*(1+Config!$C$15),"AMARILLO","ROJO")))</f>
        <v/>
      </c>
      <c r="W68" s="27">
        <f>IF(OR(W27="",W67=""),"",IF(W27&lt;=W67,"VERDE",IF(W27&lt;=W67*(1+Config!$C$15),"AMARILLO","ROJO")))</f>
        <v/>
      </c>
      <c r="X68" s="27">
        <f>IF(OR(X27="",X67=""),"",IF(X27&lt;=X67,"VERDE",IF(X27&lt;=X67*(1+Config!$C$15),"AMARILLO","ROJO")))</f>
        <v/>
      </c>
      <c r="Y68" s="27">
        <f>IF(OR(Y27="",Y67=""),"",IF(Y27&lt;=Y67,"VERDE",IF(Y27&lt;=Y67*(1+Config!$C$15),"AMARILLO","ROJO")))</f>
        <v/>
      </c>
      <c r="Z68" s="27">
        <f>IF(OR(Z27="",Z67=""),"",IF(Z27&lt;=Z67,"VERDE",IF(Z27&lt;=Z67*(1+Config!$C$15),"AMARILLO","ROJO")))</f>
        <v/>
      </c>
      <c r="AA68" s="27">
        <f>IF(OR(AA27="",AA67=""),"",IF(AA27&lt;=AA67,"VERDE",IF(AA27&lt;=AA67*(1+Config!$C$15),"AMARILLO","ROJO")))</f>
        <v/>
      </c>
      <c r="AB68" s="27">
        <f>IF(OR(AB27="",AB67=""),"",IF(AB27&lt;=AB67,"VERDE",IF(AB27&lt;=AB67*(1+Config!$C$15),"AMARILLO","ROJO")))</f>
        <v/>
      </c>
    </row>
    <row r="69">
      <c r="A69" t="inlineStr">
        <is>
          <t>Mediana 4 semanas anteriores</t>
        </is>
      </c>
      <c r="B69" s="5" t="inlineStr">
        <is>
          <t>% visita → lead (conversión de la página)</t>
        </is>
      </c>
      <c r="C69" s="26" t="inlineStr"/>
      <c r="D69" s="18">
        <f>IFERROR(MEDIAN(C25:C25),"")</f>
        <v/>
      </c>
      <c r="E69" s="18">
        <f>IFERROR(MEDIAN(C25:D25),"")</f>
        <v/>
      </c>
      <c r="F69" s="18">
        <f>IFERROR(MEDIAN(C25:E25),"")</f>
        <v/>
      </c>
      <c r="G69" s="18">
        <f>IFERROR(MEDIAN(C25:F25),"")</f>
        <v/>
      </c>
      <c r="H69" s="18">
        <f>IFERROR(MEDIAN(D25:G25),"")</f>
        <v/>
      </c>
      <c r="I69" s="18">
        <f>IFERROR(MEDIAN(E25:H25),"")</f>
        <v/>
      </c>
      <c r="J69" s="18">
        <f>IFERROR(MEDIAN(F25:I25),"")</f>
        <v/>
      </c>
      <c r="K69" s="18">
        <f>IFERROR(MEDIAN(G25:J25),"")</f>
        <v/>
      </c>
      <c r="L69" s="18">
        <f>IFERROR(MEDIAN(H25:K25),"")</f>
        <v/>
      </c>
      <c r="M69" s="18">
        <f>IFERROR(MEDIAN(I25:L25),"")</f>
        <v/>
      </c>
      <c r="N69" s="18">
        <f>IFERROR(MEDIAN(J25:M25),"")</f>
        <v/>
      </c>
      <c r="O69" s="18">
        <f>IFERROR(MEDIAN(K25:N25),"")</f>
        <v/>
      </c>
      <c r="P69" s="18">
        <f>IFERROR(MEDIAN(L25:O25),"")</f>
        <v/>
      </c>
      <c r="Q69" s="18">
        <f>IFERROR(MEDIAN(M25:P25),"")</f>
        <v/>
      </c>
      <c r="R69" s="18">
        <f>IFERROR(MEDIAN(N25:Q25),"")</f>
        <v/>
      </c>
      <c r="S69" s="18">
        <f>IFERROR(MEDIAN(O25:R25),"")</f>
        <v/>
      </c>
      <c r="T69" s="18">
        <f>IFERROR(MEDIAN(P25:S25),"")</f>
        <v/>
      </c>
      <c r="U69" s="18">
        <f>IFERROR(MEDIAN(Q25:T25),"")</f>
        <v/>
      </c>
      <c r="V69" s="18">
        <f>IFERROR(MEDIAN(R25:U25),"")</f>
        <v/>
      </c>
      <c r="W69" s="18">
        <f>IFERROR(MEDIAN(S25:V25),"")</f>
        <v/>
      </c>
      <c r="X69" s="18">
        <f>IFERROR(MEDIAN(T25:W25),"")</f>
        <v/>
      </c>
      <c r="Y69" s="18">
        <f>IFERROR(MEDIAN(U25:X25),"")</f>
        <v/>
      </c>
      <c r="Z69" s="18">
        <f>IFERROR(MEDIAN(V25:Y25),"")</f>
        <v/>
      </c>
      <c r="AA69" s="18">
        <f>IFERROR(MEDIAN(W25:Z25),"")</f>
        <v/>
      </c>
      <c r="AB69" s="18">
        <f>IFERROR(MEDIAN(X25:AA25),"")</f>
        <v/>
      </c>
    </row>
    <row r="70">
      <c r="A70" t="inlineStr">
        <is>
          <t>Semáforo</t>
        </is>
      </c>
      <c r="B70" s="25" t="inlineStr">
        <is>
          <t>% visita → lead (conversión de la página)</t>
        </is>
      </c>
      <c r="C70" s="27">
        <f>IF(OR(C25="",C69=""),"",IF(C25&gt;=C69,"VERDE",IF(C25&gt;=C69*(1-Config!$C$15),"AMARILLO","ROJO")))</f>
        <v/>
      </c>
      <c r="D70" s="27">
        <f>IF(OR(D25="",D69=""),"",IF(D25&gt;=D69,"VERDE",IF(D25&gt;=D69*(1-Config!$C$15),"AMARILLO","ROJO")))</f>
        <v/>
      </c>
      <c r="E70" s="27">
        <f>IF(OR(E25="",E69=""),"",IF(E25&gt;=E69,"VERDE",IF(E25&gt;=E69*(1-Config!$C$15),"AMARILLO","ROJO")))</f>
        <v/>
      </c>
      <c r="F70" s="27">
        <f>IF(OR(F25="",F69=""),"",IF(F25&gt;=F69,"VERDE",IF(F25&gt;=F69*(1-Config!$C$15),"AMARILLO","ROJO")))</f>
        <v/>
      </c>
      <c r="G70" s="27">
        <f>IF(OR(G25="",G69=""),"",IF(G25&gt;=G69,"VERDE",IF(G25&gt;=G69*(1-Config!$C$15),"AMARILLO","ROJO")))</f>
        <v/>
      </c>
      <c r="H70" s="27">
        <f>IF(OR(H25="",H69=""),"",IF(H25&gt;=H69,"VERDE",IF(H25&gt;=H69*(1-Config!$C$15),"AMARILLO","ROJO")))</f>
        <v/>
      </c>
      <c r="I70" s="27">
        <f>IF(OR(I25="",I69=""),"",IF(I25&gt;=I69,"VERDE",IF(I25&gt;=I69*(1-Config!$C$15),"AMARILLO","ROJO")))</f>
        <v/>
      </c>
      <c r="J70" s="27">
        <f>IF(OR(J25="",J69=""),"",IF(J25&gt;=J69,"VERDE",IF(J25&gt;=J69*(1-Config!$C$15),"AMARILLO","ROJO")))</f>
        <v/>
      </c>
      <c r="K70" s="27">
        <f>IF(OR(K25="",K69=""),"",IF(K25&gt;=K69,"VERDE",IF(K25&gt;=K69*(1-Config!$C$15),"AMARILLO","ROJO")))</f>
        <v/>
      </c>
      <c r="L70" s="27">
        <f>IF(OR(L25="",L69=""),"",IF(L25&gt;=L69,"VERDE",IF(L25&gt;=L69*(1-Config!$C$15),"AMARILLO","ROJO")))</f>
        <v/>
      </c>
      <c r="M70" s="27">
        <f>IF(OR(M25="",M69=""),"",IF(M25&gt;=M69,"VERDE",IF(M25&gt;=M69*(1-Config!$C$15),"AMARILLO","ROJO")))</f>
        <v/>
      </c>
      <c r="N70" s="27">
        <f>IF(OR(N25="",N69=""),"",IF(N25&gt;=N69,"VERDE",IF(N25&gt;=N69*(1-Config!$C$15),"AMARILLO","ROJO")))</f>
        <v/>
      </c>
      <c r="O70" s="27">
        <f>IF(OR(O25="",O69=""),"",IF(O25&gt;=O69,"VERDE",IF(O25&gt;=O69*(1-Config!$C$15),"AMARILLO","ROJO")))</f>
        <v/>
      </c>
      <c r="P70" s="27">
        <f>IF(OR(P25="",P69=""),"",IF(P25&gt;=P69,"VERDE",IF(P25&gt;=P69*(1-Config!$C$15),"AMARILLO","ROJO")))</f>
        <v/>
      </c>
      <c r="Q70" s="27">
        <f>IF(OR(Q25="",Q69=""),"",IF(Q25&gt;=Q69,"VERDE",IF(Q25&gt;=Q69*(1-Config!$C$15),"AMARILLO","ROJO")))</f>
        <v/>
      </c>
      <c r="R70" s="27">
        <f>IF(OR(R25="",R69=""),"",IF(R25&gt;=R69,"VERDE",IF(R25&gt;=R69*(1-Config!$C$15),"AMARILLO","ROJO")))</f>
        <v/>
      </c>
      <c r="S70" s="27">
        <f>IF(OR(S25="",S69=""),"",IF(S25&gt;=S69,"VERDE",IF(S25&gt;=S69*(1-Config!$C$15),"AMARILLO","ROJO")))</f>
        <v/>
      </c>
      <c r="T70" s="27">
        <f>IF(OR(T25="",T69=""),"",IF(T25&gt;=T69,"VERDE",IF(T25&gt;=T69*(1-Config!$C$15),"AMARILLO","ROJO")))</f>
        <v/>
      </c>
      <c r="U70" s="27">
        <f>IF(OR(U25="",U69=""),"",IF(U25&gt;=U69,"VERDE",IF(U25&gt;=U69*(1-Config!$C$15),"AMARILLO","ROJO")))</f>
        <v/>
      </c>
      <c r="V70" s="27">
        <f>IF(OR(V25="",V69=""),"",IF(V25&gt;=V69,"VERDE",IF(V25&gt;=V69*(1-Config!$C$15),"AMARILLO","ROJO")))</f>
        <v/>
      </c>
      <c r="W70" s="27">
        <f>IF(OR(W25="",W69=""),"",IF(W25&gt;=W69,"VERDE",IF(W25&gt;=W69*(1-Config!$C$15),"AMARILLO","ROJO")))</f>
        <v/>
      </c>
      <c r="X70" s="27">
        <f>IF(OR(X25="",X69=""),"",IF(X25&gt;=X69,"VERDE",IF(X25&gt;=X69*(1-Config!$C$15),"AMARILLO","ROJO")))</f>
        <v/>
      </c>
      <c r="Y70" s="27">
        <f>IF(OR(Y25="",Y69=""),"",IF(Y25&gt;=Y69,"VERDE",IF(Y25&gt;=Y69*(1-Config!$C$15),"AMARILLO","ROJO")))</f>
        <v/>
      </c>
      <c r="Z70" s="27">
        <f>IF(OR(Z25="",Z69=""),"",IF(Z25&gt;=Z69,"VERDE",IF(Z25&gt;=Z69*(1-Config!$C$15),"AMARILLO","ROJO")))</f>
        <v/>
      </c>
      <c r="AA70" s="27">
        <f>IF(OR(AA25="",AA69=""),"",IF(AA25&gt;=AA69,"VERDE",IF(AA25&gt;=AA69*(1-Config!$C$15),"AMARILLO","ROJO")))</f>
        <v/>
      </c>
      <c r="AB70" s="27">
        <f>IF(OR(AB25="",AB69=""),"",IF(AB25&gt;=AB69,"VERDE",IF(AB25&gt;=AB69*(1-Config!$C$15),"AMARILLO","ROJO")))</f>
        <v/>
      </c>
    </row>
    <row r="71">
      <c r="A71" t="inlineStr">
        <is>
          <t>Mediana 4 semanas anteriores</t>
        </is>
      </c>
      <c r="B71" s="5" t="inlineStr">
        <is>
          <t>CPM</t>
        </is>
      </c>
      <c r="C71" s="26" t="inlineStr"/>
      <c r="D71" s="15">
        <f>IFERROR(MEDIAN(C15:C15),"")</f>
        <v/>
      </c>
      <c r="E71" s="15">
        <f>IFERROR(MEDIAN(C15:D15),"")</f>
        <v/>
      </c>
      <c r="F71" s="15">
        <f>IFERROR(MEDIAN(C15:E15),"")</f>
        <v/>
      </c>
      <c r="G71" s="15">
        <f>IFERROR(MEDIAN(C15:F15),"")</f>
        <v/>
      </c>
      <c r="H71" s="15">
        <f>IFERROR(MEDIAN(D15:G15),"")</f>
        <v/>
      </c>
      <c r="I71" s="15">
        <f>IFERROR(MEDIAN(E15:H15),"")</f>
        <v/>
      </c>
      <c r="J71" s="15">
        <f>IFERROR(MEDIAN(F15:I15),"")</f>
        <v/>
      </c>
      <c r="K71" s="15">
        <f>IFERROR(MEDIAN(G15:J15),"")</f>
        <v/>
      </c>
      <c r="L71" s="15">
        <f>IFERROR(MEDIAN(H15:K15),"")</f>
        <v/>
      </c>
      <c r="M71" s="15">
        <f>IFERROR(MEDIAN(I15:L15),"")</f>
        <v/>
      </c>
      <c r="N71" s="15">
        <f>IFERROR(MEDIAN(J15:M15),"")</f>
        <v/>
      </c>
      <c r="O71" s="15">
        <f>IFERROR(MEDIAN(K15:N15),"")</f>
        <v/>
      </c>
      <c r="P71" s="15">
        <f>IFERROR(MEDIAN(L15:O15),"")</f>
        <v/>
      </c>
      <c r="Q71" s="15">
        <f>IFERROR(MEDIAN(M15:P15),"")</f>
        <v/>
      </c>
      <c r="R71" s="15">
        <f>IFERROR(MEDIAN(N15:Q15),"")</f>
        <v/>
      </c>
      <c r="S71" s="15">
        <f>IFERROR(MEDIAN(O15:R15),"")</f>
        <v/>
      </c>
      <c r="T71" s="15">
        <f>IFERROR(MEDIAN(P15:S15),"")</f>
        <v/>
      </c>
      <c r="U71" s="15">
        <f>IFERROR(MEDIAN(Q15:T15),"")</f>
        <v/>
      </c>
      <c r="V71" s="15">
        <f>IFERROR(MEDIAN(R15:U15),"")</f>
        <v/>
      </c>
      <c r="W71" s="15">
        <f>IFERROR(MEDIAN(S15:V15),"")</f>
        <v/>
      </c>
      <c r="X71" s="15">
        <f>IFERROR(MEDIAN(T15:W15),"")</f>
        <v/>
      </c>
      <c r="Y71" s="15">
        <f>IFERROR(MEDIAN(U15:X15),"")</f>
        <v/>
      </c>
      <c r="Z71" s="15">
        <f>IFERROR(MEDIAN(V15:Y15),"")</f>
        <v/>
      </c>
      <c r="AA71" s="15">
        <f>IFERROR(MEDIAN(W15:Z15),"")</f>
        <v/>
      </c>
      <c r="AB71" s="15">
        <f>IFERROR(MEDIAN(X15:AA15),"")</f>
        <v/>
      </c>
    </row>
    <row r="72">
      <c r="A72" t="inlineStr">
        <is>
          <t>Semáforo</t>
        </is>
      </c>
      <c r="B72" s="25" t="inlineStr">
        <is>
          <t>CPM</t>
        </is>
      </c>
      <c r="C72" s="27">
        <f>IF(OR(C15="",C71=""),"",IF(C15&lt;=C71,"VERDE",IF(C15&lt;=C71*(1+Config!$C$15),"AMARILLO","ROJO")))</f>
        <v/>
      </c>
      <c r="D72" s="27">
        <f>IF(OR(D15="",D71=""),"",IF(D15&lt;=D71,"VERDE",IF(D15&lt;=D71*(1+Config!$C$15),"AMARILLO","ROJO")))</f>
        <v/>
      </c>
      <c r="E72" s="27">
        <f>IF(OR(E15="",E71=""),"",IF(E15&lt;=E71,"VERDE",IF(E15&lt;=E71*(1+Config!$C$15),"AMARILLO","ROJO")))</f>
        <v/>
      </c>
      <c r="F72" s="27">
        <f>IF(OR(F15="",F71=""),"",IF(F15&lt;=F71,"VERDE",IF(F15&lt;=F71*(1+Config!$C$15),"AMARILLO","ROJO")))</f>
        <v/>
      </c>
      <c r="G72" s="27">
        <f>IF(OR(G15="",G71=""),"",IF(G15&lt;=G71,"VERDE",IF(G15&lt;=G71*(1+Config!$C$15),"AMARILLO","ROJO")))</f>
        <v/>
      </c>
      <c r="H72" s="27">
        <f>IF(OR(H15="",H71=""),"",IF(H15&lt;=H71,"VERDE",IF(H15&lt;=H71*(1+Config!$C$15),"AMARILLO","ROJO")))</f>
        <v/>
      </c>
      <c r="I72" s="27">
        <f>IF(OR(I15="",I71=""),"",IF(I15&lt;=I71,"VERDE",IF(I15&lt;=I71*(1+Config!$C$15),"AMARILLO","ROJO")))</f>
        <v/>
      </c>
      <c r="J72" s="27">
        <f>IF(OR(J15="",J71=""),"",IF(J15&lt;=J71,"VERDE",IF(J15&lt;=J71*(1+Config!$C$15),"AMARILLO","ROJO")))</f>
        <v/>
      </c>
      <c r="K72" s="27">
        <f>IF(OR(K15="",K71=""),"",IF(K15&lt;=K71,"VERDE",IF(K15&lt;=K71*(1+Config!$C$15),"AMARILLO","ROJO")))</f>
        <v/>
      </c>
      <c r="L72" s="27">
        <f>IF(OR(L15="",L71=""),"",IF(L15&lt;=L71,"VERDE",IF(L15&lt;=L71*(1+Config!$C$15),"AMARILLO","ROJO")))</f>
        <v/>
      </c>
      <c r="M72" s="27">
        <f>IF(OR(M15="",M71=""),"",IF(M15&lt;=M71,"VERDE",IF(M15&lt;=M71*(1+Config!$C$15),"AMARILLO","ROJO")))</f>
        <v/>
      </c>
      <c r="N72" s="27">
        <f>IF(OR(N15="",N71=""),"",IF(N15&lt;=N71,"VERDE",IF(N15&lt;=N71*(1+Config!$C$15),"AMARILLO","ROJO")))</f>
        <v/>
      </c>
      <c r="O72" s="27">
        <f>IF(OR(O15="",O71=""),"",IF(O15&lt;=O71,"VERDE",IF(O15&lt;=O71*(1+Config!$C$15),"AMARILLO","ROJO")))</f>
        <v/>
      </c>
      <c r="P72" s="27">
        <f>IF(OR(P15="",P71=""),"",IF(P15&lt;=P71,"VERDE",IF(P15&lt;=P71*(1+Config!$C$15),"AMARILLO","ROJO")))</f>
        <v/>
      </c>
      <c r="Q72" s="27">
        <f>IF(OR(Q15="",Q71=""),"",IF(Q15&lt;=Q71,"VERDE",IF(Q15&lt;=Q71*(1+Config!$C$15),"AMARILLO","ROJO")))</f>
        <v/>
      </c>
      <c r="R72" s="27">
        <f>IF(OR(R15="",R71=""),"",IF(R15&lt;=R71,"VERDE",IF(R15&lt;=R71*(1+Config!$C$15),"AMARILLO","ROJO")))</f>
        <v/>
      </c>
      <c r="S72" s="27">
        <f>IF(OR(S15="",S71=""),"",IF(S15&lt;=S71,"VERDE",IF(S15&lt;=S71*(1+Config!$C$15),"AMARILLO","ROJO")))</f>
        <v/>
      </c>
      <c r="T72" s="27">
        <f>IF(OR(T15="",T71=""),"",IF(T15&lt;=T71,"VERDE",IF(T15&lt;=T71*(1+Config!$C$15),"AMARILLO","ROJO")))</f>
        <v/>
      </c>
      <c r="U72" s="27">
        <f>IF(OR(U15="",U71=""),"",IF(U15&lt;=U71,"VERDE",IF(U15&lt;=U71*(1+Config!$C$15),"AMARILLO","ROJO")))</f>
        <v/>
      </c>
      <c r="V72" s="27">
        <f>IF(OR(V15="",V71=""),"",IF(V15&lt;=V71,"VERDE",IF(V15&lt;=V71*(1+Config!$C$15),"AMARILLO","ROJO")))</f>
        <v/>
      </c>
      <c r="W72" s="27">
        <f>IF(OR(W15="",W71=""),"",IF(W15&lt;=W71,"VERDE",IF(W15&lt;=W71*(1+Config!$C$15),"AMARILLO","ROJO")))</f>
        <v/>
      </c>
      <c r="X72" s="27">
        <f>IF(OR(X15="",X71=""),"",IF(X15&lt;=X71,"VERDE",IF(X15&lt;=X71*(1+Config!$C$15),"AMARILLO","ROJO")))</f>
        <v/>
      </c>
      <c r="Y72" s="27">
        <f>IF(OR(Y15="",Y71=""),"",IF(Y15&lt;=Y71,"VERDE",IF(Y15&lt;=Y71*(1+Config!$C$15),"AMARILLO","ROJO")))</f>
        <v/>
      </c>
      <c r="Z72" s="27">
        <f>IF(OR(Z15="",Z71=""),"",IF(Z15&lt;=Z71,"VERDE",IF(Z15&lt;=Z71*(1+Config!$C$15),"AMARILLO","ROJO")))</f>
        <v/>
      </c>
      <c r="AA72" s="27">
        <f>IF(OR(AA15="",AA71=""),"",IF(AA15&lt;=AA71,"VERDE",IF(AA15&lt;=AA71*(1+Config!$C$15),"AMARILLO","ROJO")))</f>
        <v/>
      </c>
      <c r="AB72" s="27">
        <f>IF(OR(AB15="",AB71=""),"",IF(AB15&lt;=AB71,"VERDE",IF(AB15&lt;=AB71*(1+Config!$C$15),"AMARILLO","ROJO")))</f>
        <v/>
      </c>
    </row>
    <row r="73">
      <c r="A73" t="inlineStr">
        <is>
          <t>Mediana 4 semanas anteriores</t>
        </is>
      </c>
      <c r="B73" s="5" t="inlineStr">
        <is>
          <t>CTR al enlace</t>
        </is>
      </c>
      <c r="C73" s="26" t="inlineStr"/>
      <c r="D73" s="17">
        <f>IFERROR(MEDIAN(C17:C17),"")</f>
        <v/>
      </c>
      <c r="E73" s="17">
        <f>IFERROR(MEDIAN(C17:D17),"")</f>
        <v/>
      </c>
      <c r="F73" s="17">
        <f>IFERROR(MEDIAN(C17:E17),"")</f>
        <v/>
      </c>
      <c r="G73" s="17">
        <f>IFERROR(MEDIAN(C17:F17),"")</f>
        <v/>
      </c>
      <c r="H73" s="17">
        <f>IFERROR(MEDIAN(D17:G17),"")</f>
        <v/>
      </c>
      <c r="I73" s="17">
        <f>IFERROR(MEDIAN(E17:H17),"")</f>
        <v/>
      </c>
      <c r="J73" s="17">
        <f>IFERROR(MEDIAN(F17:I17),"")</f>
        <v/>
      </c>
      <c r="K73" s="17">
        <f>IFERROR(MEDIAN(G17:J17),"")</f>
        <v/>
      </c>
      <c r="L73" s="17">
        <f>IFERROR(MEDIAN(H17:K17),"")</f>
        <v/>
      </c>
      <c r="M73" s="17">
        <f>IFERROR(MEDIAN(I17:L17),"")</f>
        <v/>
      </c>
      <c r="N73" s="17">
        <f>IFERROR(MEDIAN(J17:M17),"")</f>
        <v/>
      </c>
      <c r="O73" s="17">
        <f>IFERROR(MEDIAN(K17:N17),"")</f>
        <v/>
      </c>
      <c r="P73" s="17">
        <f>IFERROR(MEDIAN(L17:O17),"")</f>
        <v/>
      </c>
      <c r="Q73" s="17">
        <f>IFERROR(MEDIAN(M17:P17),"")</f>
        <v/>
      </c>
      <c r="R73" s="17">
        <f>IFERROR(MEDIAN(N17:Q17),"")</f>
        <v/>
      </c>
      <c r="S73" s="17">
        <f>IFERROR(MEDIAN(O17:R17),"")</f>
        <v/>
      </c>
      <c r="T73" s="17">
        <f>IFERROR(MEDIAN(P17:S17),"")</f>
        <v/>
      </c>
      <c r="U73" s="17">
        <f>IFERROR(MEDIAN(Q17:T17),"")</f>
        <v/>
      </c>
      <c r="V73" s="17">
        <f>IFERROR(MEDIAN(R17:U17),"")</f>
        <v/>
      </c>
      <c r="W73" s="17">
        <f>IFERROR(MEDIAN(S17:V17),"")</f>
        <v/>
      </c>
      <c r="X73" s="17">
        <f>IFERROR(MEDIAN(T17:W17),"")</f>
        <v/>
      </c>
      <c r="Y73" s="17">
        <f>IFERROR(MEDIAN(U17:X17),"")</f>
        <v/>
      </c>
      <c r="Z73" s="17">
        <f>IFERROR(MEDIAN(V17:Y17),"")</f>
        <v/>
      </c>
      <c r="AA73" s="17">
        <f>IFERROR(MEDIAN(W17:Z17),"")</f>
        <v/>
      </c>
      <c r="AB73" s="17">
        <f>IFERROR(MEDIAN(X17:AA17),"")</f>
        <v/>
      </c>
    </row>
    <row r="74">
      <c r="A74" t="inlineStr">
        <is>
          <t>Semáforo</t>
        </is>
      </c>
      <c r="B74" s="25" t="inlineStr">
        <is>
          <t>CTR al enlace</t>
        </is>
      </c>
      <c r="C74" s="27">
        <f>IF(OR(C17="",C73=""),"",IF(C17&gt;=C73,"VERDE",IF(C17&gt;=C73*(1-Config!$C$15),"AMARILLO","ROJO")))</f>
        <v/>
      </c>
      <c r="D74" s="27">
        <f>IF(OR(D17="",D73=""),"",IF(D17&gt;=D73,"VERDE",IF(D17&gt;=D73*(1-Config!$C$15),"AMARILLO","ROJO")))</f>
        <v/>
      </c>
      <c r="E74" s="27">
        <f>IF(OR(E17="",E73=""),"",IF(E17&gt;=E73,"VERDE",IF(E17&gt;=E73*(1-Config!$C$15),"AMARILLO","ROJO")))</f>
        <v/>
      </c>
      <c r="F74" s="27">
        <f>IF(OR(F17="",F73=""),"",IF(F17&gt;=F73,"VERDE",IF(F17&gt;=F73*(1-Config!$C$15),"AMARILLO","ROJO")))</f>
        <v/>
      </c>
      <c r="G74" s="27">
        <f>IF(OR(G17="",G73=""),"",IF(G17&gt;=G73,"VERDE",IF(G17&gt;=G73*(1-Config!$C$15),"AMARILLO","ROJO")))</f>
        <v/>
      </c>
      <c r="H74" s="27">
        <f>IF(OR(H17="",H73=""),"",IF(H17&gt;=H73,"VERDE",IF(H17&gt;=H73*(1-Config!$C$15),"AMARILLO","ROJO")))</f>
        <v/>
      </c>
      <c r="I74" s="27">
        <f>IF(OR(I17="",I73=""),"",IF(I17&gt;=I73,"VERDE",IF(I17&gt;=I73*(1-Config!$C$15),"AMARILLO","ROJO")))</f>
        <v/>
      </c>
      <c r="J74" s="27">
        <f>IF(OR(J17="",J73=""),"",IF(J17&gt;=J73,"VERDE",IF(J17&gt;=J73*(1-Config!$C$15),"AMARILLO","ROJO")))</f>
        <v/>
      </c>
      <c r="K74" s="27">
        <f>IF(OR(K17="",K73=""),"",IF(K17&gt;=K73,"VERDE",IF(K17&gt;=K73*(1-Config!$C$15),"AMARILLO","ROJO")))</f>
        <v/>
      </c>
      <c r="L74" s="27">
        <f>IF(OR(L17="",L73=""),"",IF(L17&gt;=L73,"VERDE",IF(L17&gt;=L73*(1-Config!$C$15),"AMARILLO","ROJO")))</f>
        <v/>
      </c>
      <c r="M74" s="27">
        <f>IF(OR(M17="",M73=""),"",IF(M17&gt;=M73,"VERDE",IF(M17&gt;=M73*(1-Config!$C$15),"AMARILLO","ROJO")))</f>
        <v/>
      </c>
      <c r="N74" s="27">
        <f>IF(OR(N17="",N73=""),"",IF(N17&gt;=N73,"VERDE",IF(N17&gt;=N73*(1-Config!$C$15),"AMARILLO","ROJO")))</f>
        <v/>
      </c>
      <c r="O74" s="27">
        <f>IF(OR(O17="",O73=""),"",IF(O17&gt;=O73,"VERDE",IF(O17&gt;=O73*(1-Config!$C$15),"AMARILLO","ROJO")))</f>
        <v/>
      </c>
      <c r="P74" s="27">
        <f>IF(OR(P17="",P73=""),"",IF(P17&gt;=P73,"VERDE",IF(P17&gt;=P73*(1-Config!$C$15),"AMARILLO","ROJO")))</f>
        <v/>
      </c>
      <c r="Q74" s="27">
        <f>IF(OR(Q17="",Q73=""),"",IF(Q17&gt;=Q73,"VERDE",IF(Q17&gt;=Q73*(1-Config!$C$15),"AMARILLO","ROJO")))</f>
        <v/>
      </c>
      <c r="R74" s="27">
        <f>IF(OR(R17="",R73=""),"",IF(R17&gt;=R73,"VERDE",IF(R17&gt;=R73*(1-Config!$C$15),"AMARILLO","ROJO")))</f>
        <v/>
      </c>
      <c r="S74" s="27">
        <f>IF(OR(S17="",S73=""),"",IF(S17&gt;=S73,"VERDE",IF(S17&gt;=S73*(1-Config!$C$15),"AMARILLO","ROJO")))</f>
        <v/>
      </c>
      <c r="T74" s="27">
        <f>IF(OR(T17="",T73=""),"",IF(T17&gt;=T73,"VERDE",IF(T17&gt;=T73*(1-Config!$C$15),"AMARILLO","ROJO")))</f>
        <v/>
      </c>
      <c r="U74" s="27">
        <f>IF(OR(U17="",U73=""),"",IF(U17&gt;=U73,"VERDE",IF(U17&gt;=U73*(1-Config!$C$15),"AMARILLO","ROJO")))</f>
        <v/>
      </c>
      <c r="V74" s="27">
        <f>IF(OR(V17="",V73=""),"",IF(V17&gt;=V73,"VERDE",IF(V17&gt;=V73*(1-Config!$C$15),"AMARILLO","ROJO")))</f>
        <v/>
      </c>
      <c r="W74" s="27">
        <f>IF(OR(W17="",W73=""),"",IF(W17&gt;=W73,"VERDE",IF(W17&gt;=W73*(1-Config!$C$15),"AMARILLO","ROJO")))</f>
        <v/>
      </c>
      <c r="X74" s="27">
        <f>IF(OR(X17="",X73=""),"",IF(X17&gt;=X73,"VERDE",IF(X17&gt;=X73*(1-Config!$C$15),"AMARILLO","ROJO")))</f>
        <v/>
      </c>
      <c r="Y74" s="27">
        <f>IF(OR(Y17="",Y73=""),"",IF(Y17&gt;=Y73,"VERDE",IF(Y17&gt;=Y73*(1-Config!$C$15),"AMARILLO","ROJO")))</f>
        <v/>
      </c>
      <c r="Z74" s="27">
        <f>IF(OR(Z17="",Z73=""),"",IF(Z17&gt;=Z73,"VERDE",IF(Z17&gt;=Z73*(1-Config!$C$15),"AMARILLO","ROJO")))</f>
        <v/>
      </c>
      <c r="AA74" s="27">
        <f>IF(OR(AA17="",AA73=""),"",IF(AA17&gt;=AA73,"VERDE",IF(AA17&gt;=AA73*(1-Config!$C$15),"AMARILLO","ROJO")))</f>
        <v/>
      </c>
      <c r="AB74" s="27">
        <f>IF(OR(AB17="",AB73=""),"",IF(AB17&gt;=AB73,"VERDE",IF(AB17&gt;=AB73*(1-Config!$C$15),"AMARILLO","ROJO")))</f>
        <v/>
      </c>
    </row>
    <row r="75">
      <c r="A75" t="inlineStr">
        <is>
          <t>Mediana 4 semanas anteriores</t>
        </is>
      </c>
      <c r="B75" s="5" t="inlineStr">
        <is>
          <t>Frecuencia</t>
        </is>
      </c>
      <c r="C75" s="26" t="inlineStr"/>
      <c r="D75" s="16">
        <f>IFERROR(MEDIAN(C16:C16),"")</f>
        <v/>
      </c>
      <c r="E75" s="16">
        <f>IFERROR(MEDIAN(C16:D16),"")</f>
        <v/>
      </c>
      <c r="F75" s="16">
        <f>IFERROR(MEDIAN(C16:E16),"")</f>
        <v/>
      </c>
      <c r="G75" s="16">
        <f>IFERROR(MEDIAN(C16:F16),"")</f>
        <v/>
      </c>
      <c r="H75" s="16">
        <f>IFERROR(MEDIAN(D16:G16),"")</f>
        <v/>
      </c>
      <c r="I75" s="16">
        <f>IFERROR(MEDIAN(E16:H16),"")</f>
        <v/>
      </c>
      <c r="J75" s="16">
        <f>IFERROR(MEDIAN(F16:I16),"")</f>
        <v/>
      </c>
      <c r="K75" s="16">
        <f>IFERROR(MEDIAN(G16:J16),"")</f>
        <v/>
      </c>
      <c r="L75" s="16">
        <f>IFERROR(MEDIAN(H16:K16),"")</f>
        <v/>
      </c>
      <c r="M75" s="16">
        <f>IFERROR(MEDIAN(I16:L16),"")</f>
        <v/>
      </c>
      <c r="N75" s="16">
        <f>IFERROR(MEDIAN(J16:M16),"")</f>
        <v/>
      </c>
      <c r="O75" s="16">
        <f>IFERROR(MEDIAN(K16:N16),"")</f>
        <v/>
      </c>
      <c r="P75" s="16">
        <f>IFERROR(MEDIAN(L16:O16),"")</f>
        <v/>
      </c>
      <c r="Q75" s="16">
        <f>IFERROR(MEDIAN(M16:P16),"")</f>
        <v/>
      </c>
      <c r="R75" s="16">
        <f>IFERROR(MEDIAN(N16:Q16),"")</f>
        <v/>
      </c>
      <c r="S75" s="16">
        <f>IFERROR(MEDIAN(O16:R16),"")</f>
        <v/>
      </c>
      <c r="T75" s="16">
        <f>IFERROR(MEDIAN(P16:S16),"")</f>
        <v/>
      </c>
      <c r="U75" s="16">
        <f>IFERROR(MEDIAN(Q16:T16),"")</f>
        <v/>
      </c>
      <c r="V75" s="16">
        <f>IFERROR(MEDIAN(R16:U16),"")</f>
        <v/>
      </c>
      <c r="W75" s="16">
        <f>IFERROR(MEDIAN(S16:V16),"")</f>
        <v/>
      </c>
      <c r="X75" s="16">
        <f>IFERROR(MEDIAN(T16:W16),"")</f>
        <v/>
      </c>
      <c r="Y75" s="16">
        <f>IFERROR(MEDIAN(U16:X16),"")</f>
        <v/>
      </c>
      <c r="Z75" s="16">
        <f>IFERROR(MEDIAN(V16:Y16),"")</f>
        <v/>
      </c>
      <c r="AA75" s="16">
        <f>IFERROR(MEDIAN(W16:Z16),"")</f>
        <v/>
      </c>
      <c r="AB75" s="16">
        <f>IFERROR(MEDIAN(X16:AA16),"")</f>
        <v/>
      </c>
    </row>
    <row r="76">
      <c r="A76" t="inlineStr">
        <is>
          <t>Semáforo</t>
        </is>
      </c>
      <c r="B76" s="25" t="inlineStr">
        <is>
          <t>Frecuencia</t>
        </is>
      </c>
      <c r="C76" s="27">
        <f>IF(OR(C16="",C75=""),"",IF(C16&lt;=C75,"VERDE",IF(C16&lt;=C75*(1+Config!$C$15),"AMARILLO","ROJO")))</f>
        <v/>
      </c>
      <c r="D76" s="27">
        <f>IF(OR(D16="",D75=""),"",IF(D16&lt;=D75,"VERDE",IF(D16&lt;=D75*(1+Config!$C$15),"AMARILLO","ROJO")))</f>
        <v/>
      </c>
      <c r="E76" s="27">
        <f>IF(OR(E16="",E75=""),"",IF(E16&lt;=E75,"VERDE",IF(E16&lt;=E75*(1+Config!$C$15),"AMARILLO","ROJO")))</f>
        <v/>
      </c>
      <c r="F76" s="27">
        <f>IF(OR(F16="",F75=""),"",IF(F16&lt;=F75,"VERDE",IF(F16&lt;=F75*(1+Config!$C$15),"AMARILLO","ROJO")))</f>
        <v/>
      </c>
      <c r="G76" s="27">
        <f>IF(OR(G16="",G75=""),"",IF(G16&lt;=G75,"VERDE",IF(G16&lt;=G75*(1+Config!$C$15),"AMARILLO","ROJO")))</f>
        <v/>
      </c>
      <c r="H76" s="27">
        <f>IF(OR(H16="",H75=""),"",IF(H16&lt;=H75,"VERDE",IF(H16&lt;=H75*(1+Config!$C$15),"AMARILLO","ROJO")))</f>
        <v/>
      </c>
      <c r="I76" s="27">
        <f>IF(OR(I16="",I75=""),"",IF(I16&lt;=I75,"VERDE",IF(I16&lt;=I75*(1+Config!$C$15),"AMARILLO","ROJO")))</f>
        <v/>
      </c>
      <c r="J76" s="27">
        <f>IF(OR(J16="",J75=""),"",IF(J16&lt;=J75,"VERDE",IF(J16&lt;=J75*(1+Config!$C$15),"AMARILLO","ROJO")))</f>
        <v/>
      </c>
      <c r="K76" s="27">
        <f>IF(OR(K16="",K75=""),"",IF(K16&lt;=K75,"VERDE",IF(K16&lt;=K75*(1+Config!$C$15),"AMARILLO","ROJO")))</f>
        <v/>
      </c>
      <c r="L76" s="27">
        <f>IF(OR(L16="",L75=""),"",IF(L16&lt;=L75,"VERDE",IF(L16&lt;=L75*(1+Config!$C$15),"AMARILLO","ROJO")))</f>
        <v/>
      </c>
      <c r="M76" s="27">
        <f>IF(OR(M16="",M75=""),"",IF(M16&lt;=M75,"VERDE",IF(M16&lt;=M75*(1+Config!$C$15),"AMARILLO","ROJO")))</f>
        <v/>
      </c>
      <c r="N76" s="27">
        <f>IF(OR(N16="",N75=""),"",IF(N16&lt;=N75,"VERDE",IF(N16&lt;=N75*(1+Config!$C$15),"AMARILLO","ROJO")))</f>
        <v/>
      </c>
      <c r="O76" s="27">
        <f>IF(OR(O16="",O75=""),"",IF(O16&lt;=O75,"VERDE",IF(O16&lt;=O75*(1+Config!$C$15),"AMARILLO","ROJO")))</f>
        <v/>
      </c>
      <c r="P76" s="27">
        <f>IF(OR(P16="",P75=""),"",IF(P16&lt;=P75,"VERDE",IF(P16&lt;=P75*(1+Config!$C$15),"AMARILLO","ROJO")))</f>
        <v/>
      </c>
      <c r="Q76" s="27">
        <f>IF(OR(Q16="",Q75=""),"",IF(Q16&lt;=Q75,"VERDE",IF(Q16&lt;=Q75*(1+Config!$C$15),"AMARILLO","ROJO")))</f>
        <v/>
      </c>
      <c r="R76" s="27">
        <f>IF(OR(R16="",R75=""),"",IF(R16&lt;=R75,"VERDE",IF(R16&lt;=R75*(1+Config!$C$15),"AMARILLO","ROJO")))</f>
        <v/>
      </c>
      <c r="S76" s="27">
        <f>IF(OR(S16="",S75=""),"",IF(S16&lt;=S75,"VERDE",IF(S16&lt;=S75*(1+Config!$C$15),"AMARILLO","ROJO")))</f>
        <v/>
      </c>
      <c r="T76" s="27">
        <f>IF(OR(T16="",T75=""),"",IF(T16&lt;=T75,"VERDE",IF(T16&lt;=T75*(1+Config!$C$15),"AMARILLO","ROJO")))</f>
        <v/>
      </c>
      <c r="U76" s="27">
        <f>IF(OR(U16="",U75=""),"",IF(U16&lt;=U75,"VERDE",IF(U16&lt;=U75*(1+Config!$C$15),"AMARILLO","ROJO")))</f>
        <v/>
      </c>
      <c r="V76" s="27">
        <f>IF(OR(V16="",V75=""),"",IF(V16&lt;=V75,"VERDE",IF(V16&lt;=V75*(1+Config!$C$15),"AMARILLO","ROJO")))</f>
        <v/>
      </c>
      <c r="W76" s="27">
        <f>IF(OR(W16="",W75=""),"",IF(W16&lt;=W75,"VERDE",IF(W16&lt;=W75*(1+Config!$C$15),"AMARILLO","ROJO")))</f>
        <v/>
      </c>
      <c r="X76" s="27">
        <f>IF(OR(X16="",X75=""),"",IF(X16&lt;=X75,"VERDE",IF(X16&lt;=X75*(1+Config!$C$15),"AMARILLO","ROJO")))</f>
        <v/>
      </c>
      <c r="Y76" s="27">
        <f>IF(OR(Y16="",Y75=""),"",IF(Y16&lt;=Y75,"VERDE",IF(Y16&lt;=Y75*(1+Config!$C$15),"AMARILLO","ROJO")))</f>
        <v/>
      </c>
      <c r="Z76" s="27">
        <f>IF(OR(Z16="",Z75=""),"",IF(Z16&lt;=Z75,"VERDE",IF(Z16&lt;=Z75*(1+Config!$C$15),"AMARILLO","ROJO")))</f>
        <v/>
      </c>
      <c r="AA76" s="27">
        <f>IF(OR(AA16="",AA75=""),"",IF(AA16&lt;=AA75,"VERDE",IF(AA16&lt;=AA75*(1+Config!$C$15),"AMARILLO","ROJO")))</f>
        <v/>
      </c>
      <c r="AB76" s="27">
        <f>IF(OR(AB16="",AB75=""),"",IF(AB16&lt;=AB75,"VERDE",IF(AB16&lt;=AB75*(1+Config!$C$15),"AMARILLO","ROJO")))</f>
        <v/>
      </c>
    </row>
    <row r="77">
      <c r="A77" t="inlineStr">
        <is>
          <t>Mediana 4 semanas anteriores</t>
        </is>
      </c>
      <c r="B77" s="5" t="inlineStr">
        <is>
          <t>% lead → aplicación</t>
        </is>
      </c>
      <c r="C77" s="26" t="inlineStr"/>
      <c r="D77" s="18">
        <f>IFERROR(MEDIAN(C35:C35),"")</f>
        <v/>
      </c>
      <c r="E77" s="18">
        <f>IFERROR(MEDIAN(C35:D35),"")</f>
        <v/>
      </c>
      <c r="F77" s="18">
        <f>IFERROR(MEDIAN(C35:E35),"")</f>
        <v/>
      </c>
      <c r="G77" s="18">
        <f>IFERROR(MEDIAN(C35:F35),"")</f>
        <v/>
      </c>
      <c r="H77" s="18">
        <f>IFERROR(MEDIAN(D35:G35),"")</f>
        <v/>
      </c>
      <c r="I77" s="18">
        <f>IFERROR(MEDIAN(E35:H35),"")</f>
        <v/>
      </c>
      <c r="J77" s="18">
        <f>IFERROR(MEDIAN(F35:I35),"")</f>
        <v/>
      </c>
      <c r="K77" s="18">
        <f>IFERROR(MEDIAN(G35:J35),"")</f>
        <v/>
      </c>
      <c r="L77" s="18">
        <f>IFERROR(MEDIAN(H35:K35),"")</f>
        <v/>
      </c>
      <c r="M77" s="18">
        <f>IFERROR(MEDIAN(I35:L35),"")</f>
        <v/>
      </c>
      <c r="N77" s="18">
        <f>IFERROR(MEDIAN(J35:M35),"")</f>
        <v/>
      </c>
      <c r="O77" s="18">
        <f>IFERROR(MEDIAN(K35:N35),"")</f>
        <v/>
      </c>
      <c r="P77" s="18">
        <f>IFERROR(MEDIAN(L35:O35),"")</f>
        <v/>
      </c>
      <c r="Q77" s="18">
        <f>IFERROR(MEDIAN(M35:P35),"")</f>
        <v/>
      </c>
      <c r="R77" s="18">
        <f>IFERROR(MEDIAN(N35:Q35),"")</f>
        <v/>
      </c>
      <c r="S77" s="18">
        <f>IFERROR(MEDIAN(O35:R35),"")</f>
        <v/>
      </c>
      <c r="T77" s="18">
        <f>IFERROR(MEDIAN(P35:S35),"")</f>
        <v/>
      </c>
      <c r="U77" s="18">
        <f>IFERROR(MEDIAN(Q35:T35),"")</f>
        <v/>
      </c>
      <c r="V77" s="18">
        <f>IFERROR(MEDIAN(R35:U35),"")</f>
        <v/>
      </c>
      <c r="W77" s="18">
        <f>IFERROR(MEDIAN(S35:V35),"")</f>
        <v/>
      </c>
      <c r="X77" s="18">
        <f>IFERROR(MEDIAN(T35:W35),"")</f>
        <v/>
      </c>
      <c r="Y77" s="18">
        <f>IFERROR(MEDIAN(U35:X35),"")</f>
        <v/>
      </c>
      <c r="Z77" s="18">
        <f>IFERROR(MEDIAN(V35:Y35),"")</f>
        <v/>
      </c>
      <c r="AA77" s="18">
        <f>IFERROR(MEDIAN(W35:Z35),"")</f>
        <v/>
      </c>
      <c r="AB77" s="18">
        <f>IFERROR(MEDIAN(X35:AA35),"")</f>
        <v/>
      </c>
    </row>
    <row r="78">
      <c r="A78" t="inlineStr">
        <is>
          <t>Semáforo</t>
        </is>
      </c>
      <c r="B78" s="25" t="inlineStr">
        <is>
          <t>% lead → aplicación</t>
        </is>
      </c>
      <c r="C78" s="27">
        <f>IF(OR(C35="",C77=""),"",IF(C35&gt;=C77,"VERDE",IF(C35&gt;=C77*(1-Config!$C$15),"AMARILLO","ROJO")))</f>
        <v/>
      </c>
      <c r="D78" s="27">
        <f>IF(OR(D35="",D77=""),"",IF(D35&gt;=D77,"VERDE",IF(D35&gt;=D77*(1-Config!$C$15),"AMARILLO","ROJO")))</f>
        <v/>
      </c>
      <c r="E78" s="27">
        <f>IF(OR(E35="",E77=""),"",IF(E35&gt;=E77,"VERDE",IF(E35&gt;=E77*(1-Config!$C$15),"AMARILLO","ROJO")))</f>
        <v/>
      </c>
      <c r="F78" s="27">
        <f>IF(OR(F35="",F77=""),"",IF(F35&gt;=F77,"VERDE",IF(F35&gt;=F77*(1-Config!$C$15),"AMARILLO","ROJO")))</f>
        <v/>
      </c>
      <c r="G78" s="27">
        <f>IF(OR(G35="",G77=""),"",IF(G35&gt;=G77,"VERDE",IF(G35&gt;=G77*(1-Config!$C$15),"AMARILLO","ROJO")))</f>
        <v/>
      </c>
      <c r="H78" s="27">
        <f>IF(OR(H35="",H77=""),"",IF(H35&gt;=H77,"VERDE",IF(H35&gt;=H77*(1-Config!$C$15),"AMARILLO","ROJO")))</f>
        <v/>
      </c>
      <c r="I78" s="27">
        <f>IF(OR(I35="",I77=""),"",IF(I35&gt;=I77,"VERDE",IF(I35&gt;=I77*(1-Config!$C$15),"AMARILLO","ROJO")))</f>
        <v/>
      </c>
      <c r="J78" s="27">
        <f>IF(OR(J35="",J77=""),"",IF(J35&gt;=J77,"VERDE",IF(J35&gt;=J77*(1-Config!$C$15),"AMARILLO","ROJO")))</f>
        <v/>
      </c>
      <c r="K78" s="27">
        <f>IF(OR(K35="",K77=""),"",IF(K35&gt;=K77,"VERDE",IF(K35&gt;=K77*(1-Config!$C$15),"AMARILLO","ROJO")))</f>
        <v/>
      </c>
      <c r="L78" s="27">
        <f>IF(OR(L35="",L77=""),"",IF(L35&gt;=L77,"VERDE",IF(L35&gt;=L77*(1-Config!$C$15),"AMARILLO","ROJO")))</f>
        <v/>
      </c>
      <c r="M78" s="27">
        <f>IF(OR(M35="",M77=""),"",IF(M35&gt;=M77,"VERDE",IF(M35&gt;=M77*(1-Config!$C$15),"AMARILLO","ROJO")))</f>
        <v/>
      </c>
      <c r="N78" s="27">
        <f>IF(OR(N35="",N77=""),"",IF(N35&gt;=N77,"VERDE",IF(N35&gt;=N77*(1-Config!$C$15),"AMARILLO","ROJO")))</f>
        <v/>
      </c>
      <c r="O78" s="27">
        <f>IF(OR(O35="",O77=""),"",IF(O35&gt;=O77,"VERDE",IF(O35&gt;=O77*(1-Config!$C$15),"AMARILLO","ROJO")))</f>
        <v/>
      </c>
      <c r="P78" s="27">
        <f>IF(OR(P35="",P77=""),"",IF(P35&gt;=P77,"VERDE",IF(P35&gt;=P77*(1-Config!$C$15),"AMARILLO","ROJO")))</f>
        <v/>
      </c>
      <c r="Q78" s="27">
        <f>IF(OR(Q35="",Q77=""),"",IF(Q35&gt;=Q77,"VERDE",IF(Q35&gt;=Q77*(1-Config!$C$15),"AMARILLO","ROJO")))</f>
        <v/>
      </c>
      <c r="R78" s="27">
        <f>IF(OR(R35="",R77=""),"",IF(R35&gt;=R77,"VERDE",IF(R35&gt;=R77*(1-Config!$C$15),"AMARILLO","ROJO")))</f>
        <v/>
      </c>
      <c r="S78" s="27">
        <f>IF(OR(S35="",S77=""),"",IF(S35&gt;=S77,"VERDE",IF(S35&gt;=S77*(1-Config!$C$15),"AMARILLO","ROJO")))</f>
        <v/>
      </c>
      <c r="T78" s="27">
        <f>IF(OR(T35="",T77=""),"",IF(T35&gt;=T77,"VERDE",IF(T35&gt;=T77*(1-Config!$C$15),"AMARILLO","ROJO")))</f>
        <v/>
      </c>
      <c r="U78" s="27">
        <f>IF(OR(U35="",U77=""),"",IF(U35&gt;=U77,"VERDE",IF(U35&gt;=U77*(1-Config!$C$15),"AMARILLO","ROJO")))</f>
        <v/>
      </c>
      <c r="V78" s="27">
        <f>IF(OR(V35="",V77=""),"",IF(V35&gt;=V77,"VERDE",IF(V35&gt;=V77*(1-Config!$C$15),"AMARILLO","ROJO")))</f>
        <v/>
      </c>
      <c r="W78" s="27">
        <f>IF(OR(W35="",W77=""),"",IF(W35&gt;=W77,"VERDE",IF(W35&gt;=W77*(1-Config!$C$15),"AMARILLO","ROJO")))</f>
        <v/>
      </c>
      <c r="X78" s="27">
        <f>IF(OR(X35="",X77=""),"",IF(X35&gt;=X77,"VERDE",IF(X35&gt;=X77*(1-Config!$C$15),"AMARILLO","ROJO")))</f>
        <v/>
      </c>
      <c r="Y78" s="27">
        <f>IF(OR(Y35="",Y77=""),"",IF(Y35&gt;=Y77,"VERDE",IF(Y35&gt;=Y77*(1-Config!$C$15),"AMARILLO","ROJO")))</f>
        <v/>
      </c>
      <c r="Z78" s="27">
        <f>IF(OR(Z35="",Z77=""),"",IF(Z35&gt;=Z77,"VERDE",IF(Z35&gt;=Z77*(1-Config!$C$15),"AMARILLO","ROJO")))</f>
        <v/>
      </c>
      <c r="AA78" s="27">
        <f>IF(OR(AA35="",AA77=""),"",IF(AA35&gt;=AA77,"VERDE",IF(AA35&gt;=AA77*(1-Config!$C$15),"AMARILLO","ROJO")))</f>
        <v/>
      </c>
      <c r="AB78" s="27">
        <f>IF(OR(AB35="",AB77=""),"",IF(AB35&gt;=AB77,"VERDE",IF(AB35&gt;=AB77*(1-Config!$C$15),"AMARILLO","ROJO")))</f>
        <v/>
      </c>
    </row>
    <row r="79">
      <c r="A79" t="inlineStr">
        <is>
          <t>Mediana 4 semanas anteriores</t>
        </is>
      </c>
      <c r="B79" s="5" t="inlineStr">
        <is>
          <t>Costo por agenda</t>
        </is>
      </c>
      <c r="C79" s="26" t="inlineStr"/>
      <c r="D79" s="15">
        <f>IFERROR(MEDIAN(C38:C38),"")</f>
        <v/>
      </c>
      <c r="E79" s="15">
        <f>IFERROR(MEDIAN(C38:D38),"")</f>
        <v/>
      </c>
      <c r="F79" s="15">
        <f>IFERROR(MEDIAN(C38:E38),"")</f>
        <v/>
      </c>
      <c r="G79" s="15">
        <f>IFERROR(MEDIAN(C38:F38),"")</f>
        <v/>
      </c>
      <c r="H79" s="15">
        <f>IFERROR(MEDIAN(D38:G38),"")</f>
        <v/>
      </c>
      <c r="I79" s="15">
        <f>IFERROR(MEDIAN(E38:H38),"")</f>
        <v/>
      </c>
      <c r="J79" s="15">
        <f>IFERROR(MEDIAN(F38:I38),"")</f>
        <v/>
      </c>
      <c r="K79" s="15">
        <f>IFERROR(MEDIAN(G38:J38),"")</f>
        <v/>
      </c>
      <c r="L79" s="15">
        <f>IFERROR(MEDIAN(H38:K38),"")</f>
        <v/>
      </c>
      <c r="M79" s="15">
        <f>IFERROR(MEDIAN(I38:L38),"")</f>
        <v/>
      </c>
      <c r="N79" s="15">
        <f>IFERROR(MEDIAN(J38:M38),"")</f>
        <v/>
      </c>
      <c r="O79" s="15">
        <f>IFERROR(MEDIAN(K38:N38),"")</f>
        <v/>
      </c>
      <c r="P79" s="15">
        <f>IFERROR(MEDIAN(L38:O38),"")</f>
        <v/>
      </c>
      <c r="Q79" s="15">
        <f>IFERROR(MEDIAN(M38:P38),"")</f>
        <v/>
      </c>
      <c r="R79" s="15">
        <f>IFERROR(MEDIAN(N38:Q38),"")</f>
        <v/>
      </c>
      <c r="S79" s="15">
        <f>IFERROR(MEDIAN(O38:R38),"")</f>
        <v/>
      </c>
      <c r="T79" s="15">
        <f>IFERROR(MEDIAN(P38:S38),"")</f>
        <v/>
      </c>
      <c r="U79" s="15">
        <f>IFERROR(MEDIAN(Q38:T38),"")</f>
        <v/>
      </c>
      <c r="V79" s="15">
        <f>IFERROR(MEDIAN(R38:U38),"")</f>
        <v/>
      </c>
      <c r="W79" s="15">
        <f>IFERROR(MEDIAN(S38:V38),"")</f>
        <v/>
      </c>
      <c r="X79" s="15">
        <f>IFERROR(MEDIAN(T38:W38),"")</f>
        <v/>
      </c>
      <c r="Y79" s="15">
        <f>IFERROR(MEDIAN(U38:X38),"")</f>
        <v/>
      </c>
      <c r="Z79" s="15">
        <f>IFERROR(MEDIAN(V38:Y38),"")</f>
        <v/>
      </c>
      <c r="AA79" s="15">
        <f>IFERROR(MEDIAN(W38:Z38),"")</f>
        <v/>
      </c>
      <c r="AB79" s="15">
        <f>IFERROR(MEDIAN(X38:AA38),"")</f>
        <v/>
      </c>
    </row>
    <row r="80">
      <c r="A80" t="inlineStr">
        <is>
          <t>Semáforo</t>
        </is>
      </c>
      <c r="B80" s="25" t="inlineStr">
        <is>
          <t>Costo por agenda</t>
        </is>
      </c>
      <c r="C80" s="27">
        <f>IF(OR(C38="",C79=""),"",IF(C38&lt;=C79,"VERDE",IF(C38&lt;=C79*(1+Config!$C$15),"AMARILLO","ROJO")))</f>
        <v/>
      </c>
      <c r="D80" s="27">
        <f>IF(OR(D38="",D79=""),"",IF(D38&lt;=D79,"VERDE",IF(D38&lt;=D79*(1+Config!$C$15),"AMARILLO","ROJO")))</f>
        <v/>
      </c>
      <c r="E80" s="27">
        <f>IF(OR(E38="",E79=""),"",IF(E38&lt;=E79,"VERDE",IF(E38&lt;=E79*(1+Config!$C$15),"AMARILLO","ROJO")))</f>
        <v/>
      </c>
      <c r="F80" s="27">
        <f>IF(OR(F38="",F79=""),"",IF(F38&lt;=F79,"VERDE",IF(F38&lt;=F79*(1+Config!$C$15),"AMARILLO","ROJO")))</f>
        <v/>
      </c>
      <c r="G80" s="27">
        <f>IF(OR(G38="",G79=""),"",IF(G38&lt;=G79,"VERDE",IF(G38&lt;=G79*(1+Config!$C$15),"AMARILLO","ROJO")))</f>
        <v/>
      </c>
      <c r="H80" s="27">
        <f>IF(OR(H38="",H79=""),"",IF(H38&lt;=H79,"VERDE",IF(H38&lt;=H79*(1+Config!$C$15),"AMARILLO","ROJO")))</f>
        <v/>
      </c>
      <c r="I80" s="27">
        <f>IF(OR(I38="",I79=""),"",IF(I38&lt;=I79,"VERDE",IF(I38&lt;=I79*(1+Config!$C$15),"AMARILLO","ROJO")))</f>
        <v/>
      </c>
      <c r="J80" s="27">
        <f>IF(OR(J38="",J79=""),"",IF(J38&lt;=J79,"VERDE",IF(J38&lt;=J79*(1+Config!$C$15),"AMARILLO","ROJO")))</f>
        <v/>
      </c>
      <c r="K80" s="27">
        <f>IF(OR(K38="",K79=""),"",IF(K38&lt;=K79,"VERDE",IF(K38&lt;=K79*(1+Config!$C$15),"AMARILLO","ROJO")))</f>
        <v/>
      </c>
      <c r="L80" s="27">
        <f>IF(OR(L38="",L79=""),"",IF(L38&lt;=L79,"VERDE",IF(L38&lt;=L79*(1+Config!$C$15),"AMARILLO","ROJO")))</f>
        <v/>
      </c>
      <c r="M80" s="27">
        <f>IF(OR(M38="",M79=""),"",IF(M38&lt;=M79,"VERDE",IF(M38&lt;=M79*(1+Config!$C$15),"AMARILLO","ROJO")))</f>
        <v/>
      </c>
      <c r="N80" s="27">
        <f>IF(OR(N38="",N79=""),"",IF(N38&lt;=N79,"VERDE",IF(N38&lt;=N79*(1+Config!$C$15),"AMARILLO","ROJO")))</f>
        <v/>
      </c>
      <c r="O80" s="27">
        <f>IF(OR(O38="",O79=""),"",IF(O38&lt;=O79,"VERDE",IF(O38&lt;=O79*(1+Config!$C$15),"AMARILLO","ROJO")))</f>
        <v/>
      </c>
      <c r="P80" s="27">
        <f>IF(OR(P38="",P79=""),"",IF(P38&lt;=P79,"VERDE",IF(P38&lt;=P79*(1+Config!$C$15),"AMARILLO","ROJO")))</f>
        <v/>
      </c>
      <c r="Q80" s="27">
        <f>IF(OR(Q38="",Q79=""),"",IF(Q38&lt;=Q79,"VERDE",IF(Q38&lt;=Q79*(1+Config!$C$15),"AMARILLO","ROJO")))</f>
        <v/>
      </c>
      <c r="R80" s="27">
        <f>IF(OR(R38="",R79=""),"",IF(R38&lt;=R79,"VERDE",IF(R38&lt;=R79*(1+Config!$C$15),"AMARILLO","ROJO")))</f>
        <v/>
      </c>
      <c r="S80" s="27">
        <f>IF(OR(S38="",S79=""),"",IF(S38&lt;=S79,"VERDE",IF(S38&lt;=S79*(1+Config!$C$15),"AMARILLO","ROJO")))</f>
        <v/>
      </c>
      <c r="T80" s="27">
        <f>IF(OR(T38="",T79=""),"",IF(T38&lt;=T79,"VERDE",IF(T38&lt;=T79*(1+Config!$C$15),"AMARILLO","ROJO")))</f>
        <v/>
      </c>
      <c r="U80" s="27">
        <f>IF(OR(U38="",U79=""),"",IF(U38&lt;=U79,"VERDE",IF(U38&lt;=U79*(1+Config!$C$15),"AMARILLO","ROJO")))</f>
        <v/>
      </c>
      <c r="V80" s="27">
        <f>IF(OR(V38="",V79=""),"",IF(V38&lt;=V79,"VERDE",IF(V38&lt;=V79*(1+Config!$C$15),"AMARILLO","ROJO")))</f>
        <v/>
      </c>
      <c r="W80" s="27">
        <f>IF(OR(W38="",W79=""),"",IF(W38&lt;=W79,"VERDE",IF(W38&lt;=W79*(1+Config!$C$15),"AMARILLO","ROJO")))</f>
        <v/>
      </c>
      <c r="X80" s="27">
        <f>IF(OR(X38="",X79=""),"",IF(X38&lt;=X79,"VERDE",IF(X38&lt;=X79*(1+Config!$C$15),"AMARILLO","ROJO")))</f>
        <v/>
      </c>
      <c r="Y80" s="27">
        <f>IF(OR(Y38="",Y79=""),"",IF(Y38&lt;=Y79,"VERDE",IF(Y38&lt;=Y79*(1+Config!$C$15),"AMARILLO","ROJO")))</f>
        <v/>
      </c>
      <c r="Z80" s="27">
        <f>IF(OR(Z38="",Z79=""),"",IF(Z38&lt;=Z79,"VERDE",IF(Z38&lt;=Z79*(1+Config!$C$15),"AMARILLO","ROJO")))</f>
        <v/>
      </c>
      <c r="AA80" s="27">
        <f>IF(OR(AA38="",AA79=""),"",IF(AA38&lt;=AA79,"VERDE",IF(AA38&lt;=AA79*(1+Config!$C$15),"AMARILLO","ROJO")))</f>
        <v/>
      </c>
      <c r="AB80" s="27">
        <f>IF(OR(AB38="",AB79=""),"",IF(AB38&lt;=AB79,"VERDE",IF(AB38&lt;=AB79*(1+Config!$C$15),"AMARILLO","ROJO")))</f>
        <v/>
      </c>
    </row>
    <row r="81">
      <c r="A81" t="inlineStr">
        <is>
          <t>Mediana 4 semanas anteriores</t>
        </is>
      </c>
      <c r="B81" s="5" t="inlineStr">
        <is>
          <t>% agenda → llamada (show)</t>
        </is>
      </c>
      <c r="C81" s="26" t="inlineStr"/>
      <c r="D81" s="18">
        <f>IFERROR(MEDIAN(C39:C39),"")</f>
        <v/>
      </c>
      <c r="E81" s="18">
        <f>IFERROR(MEDIAN(C39:D39),"")</f>
        <v/>
      </c>
      <c r="F81" s="18">
        <f>IFERROR(MEDIAN(C39:E39),"")</f>
        <v/>
      </c>
      <c r="G81" s="18">
        <f>IFERROR(MEDIAN(C39:F39),"")</f>
        <v/>
      </c>
      <c r="H81" s="18">
        <f>IFERROR(MEDIAN(D39:G39),"")</f>
        <v/>
      </c>
      <c r="I81" s="18">
        <f>IFERROR(MEDIAN(E39:H39),"")</f>
        <v/>
      </c>
      <c r="J81" s="18">
        <f>IFERROR(MEDIAN(F39:I39),"")</f>
        <v/>
      </c>
      <c r="K81" s="18">
        <f>IFERROR(MEDIAN(G39:J39),"")</f>
        <v/>
      </c>
      <c r="L81" s="18">
        <f>IFERROR(MEDIAN(H39:K39),"")</f>
        <v/>
      </c>
      <c r="M81" s="18">
        <f>IFERROR(MEDIAN(I39:L39),"")</f>
        <v/>
      </c>
      <c r="N81" s="18">
        <f>IFERROR(MEDIAN(J39:M39),"")</f>
        <v/>
      </c>
      <c r="O81" s="18">
        <f>IFERROR(MEDIAN(K39:N39),"")</f>
        <v/>
      </c>
      <c r="P81" s="18">
        <f>IFERROR(MEDIAN(L39:O39),"")</f>
        <v/>
      </c>
      <c r="Q81" s="18">
        <f>IFERROR(MEDIAN(M39:P39),"")</f>
        <v/>
      </c>
      <c r="R81" s="18">
        <f>IFERROR(MEDIAN(N39:Q39),"")</f>
        <v/>
      </c>
      <c r="S81" s="18">
        <f>IFERROR(MEDIAN(O39:R39),"")</f>
        <v/>
      </c>
      <c r="T81" s="18">
        <f>IFERROR(MEDIAN(P39:S39),"")</f>
        <v/>
      </c>
      <c r="U81" s="18">
        <f>IFERROR(MEDIAN(Q39:T39),"")</f>
        <v/>
      </c>
      <c r="V81" s="18">
        <f>IFERROR(MEDIAN(R39:U39),"")</f>
        <v/>
      </c>
      <c r="W81" s="18">
        <f>IFERROR(MEDIAN(S39:V39),"")</f>
        <v/>
      </c>
      <c r="X81" s="18">
        <f>IFERROR(MEDIAN(T39:W39),"")</f>
        <v/>
      </c>
      <c r="Y81" s="18">
        <f>IFERROR(MEDIAN(U39:X39),"")</f>
        <v/>
      </c>
      <c r="Z81" s="18">
        <f>IFERROR(MEDIAN(V39:Y39),"")</f>
        <v/>
      </c>
      <c r="AA81" s="18">
        <f>IFERROR(MEDIAN(W39:Z39),"")</f>
        <v/>
      </c>
      <c r="AB81" s="18">
        <f>IFERROR(MEDIAN(X39:AA39),"")</f>
        <v/>
      </c>
    </row>
    <row r="82">
      <c r="A82" t="inlineStr">
        <is>
          <t>Semáforo</t>
        </is>
      </c>
      <c r="B82" s="25" t="inlineStr">
        <is>
          <t>% agenda → llamada (show)</t>
        </is>
      </c>
      <c r="C82" s="27">
        <f>IF(OR(C39="",C81=""),"",IF(C39&gt;=C81,"VERDE",IF(C39&gt;=C81*(1-Config!$C$15),"AMARILLO","ROJO")))</f>
        <v/>
      </c>
      <c r="D82" s="27">
        <f>IF(OR(D39="",D81=""),"",IF(D39&gt;=D81,"VERDE",IF(D39&gt;=D81*(1-Config!$C$15),"AMARILLO","ROJO")))</f>
        <v/>
      </c>
      <c r="E82" s="27">
        <f>IF(OR(E39="",E81=""),"",IF(E39&gt;=E81,"VERDE",IF(E39&gt;=E81*(1-Config!$C$15),"AMARILLO","ROJO")))</f>
        <v/>
      </c>
      <c r="F82" s="27">
        <f>IF(OR(F39="",F81=""),"",IF(F39&gt;=F81,"VERDE",IF(F39&gt;=F81*(1-Config!$C$15),"AMARILLO","ROJO")))</f>
        <v/>
      </c>
      <c r="G82" s="27">
        <f>IF(OR(G39="",G81=""),"",IF(G39&gt;=G81,"VERDE",IF(G39&gt;=G81*(1-Config!$C$15),"AMARILLO","ROJO")))</f>
        <v/>
      </c>
      <c r="H82" s="27">
        <f>IF(OR(H39="",H81=""),"",IF(H39&gt;=H81,"VERDE",IF(H39&gt;=H81*(1-Config!$C$15),"AMARILLO","ROJO")))</f>
        <v/>
      </c>
      <c r="I82" s="27">
        <f>IF(OR(I39="",I81=""),"",IF(I39&gt;=I81,"VERDE",IF(I39&gt;=I81*(1-Config!$C$15),"AMARILLO","ROJO")))</f>
        <v/>
      </c>
      <c r="J82" s="27">
        <f>IF(OR(J39="",J81=""),"",IF(J39&gt;=J81,"VERDE",IF(J39&gt;=J81*(1-Config!$C$15),"AMARILLO","ROJO")))</f>
        <v/>
      </c>
      <c r="K82" s="27">
        <f>IF(OR(K39="",K81=""),"",IF(K39&gt;=K81,"VERDE",IF(K39&gt;=K81*(1-Config!$C$15),"AMARILLO","ROJO")))</f>
        <v/>
      </c>
      <c r="L82" s="27">
        <f>IF(OR(L39="",L81=""),"",IF(L39&gt;=L81,"VERDE",IF(L39&gt;=L81*(1-Config!$C$15),"AMARILLO","ROJO")))</f>
        <v/>
      </c>
      <c r="M82" s="27">
        <f>IF(OR(M39="",M81=""),"",IF(M39&gt;=M81,"VERDE",IF(M39&gt;=M81*(1-Config!$C$15),"AMARILLO","ROJO")))</f>
        <v/>
      </c>
      <c r="N82" s="27">
        <f>IF(OR(N39="",N81=""),"",IF(N39&gt;=N81,"VERDE",IF(N39&gt;=N81*(1-Config!$C$15),"AMARILLO","ROJO")))</f>
        <v/>
      </c>
      <c r="O82" s="27">
        <f>IF(OR(O39="",O81=""),"",IF(O39&gt;=O81,"VERDE",IF(O39&gt;=O81*(1-Config!$C$15),"AMARILLO","ROJO")))</f>
        <v/>
      </c>
      <c r="P82" s="27">
        <f>IF(OR(P39="",P81=""),"",IF(P39&gt;=P81,"VERDE",IF(P39&gt;=P81*(1-Config!$C$15),"AMARILLO","ROJO")))</f>
        <v/>
      </c>
      <c r="Q82" s="27">
        <f>IF(OR(Q39="",Q81=""),"",IF(Q39&gt;=Q81,"VERDE",IF(Q39&gt;=Q81*(1-Config!$C$15),"AMARILLO","ROJO")))</f>
        <v/>
      </c>
      <c r="R82" s="27">
        <f>IF(OR(R39="",R81=""),"",IF(R39&gt;=R81,"VERDE",IF(R39&gt;=R81*(1-Config!$C$15),"AMARILLO","ROJO")))</f>
        <v/>
      </c>
      <c r="S82" s="27">
        <f>IF(OR(S39="",S81=""),"",IF(S39&gt;=S81,"VERDE",IF(S39&gt;=S81*(1-Config!$C$15),"AMARILLO","ROJO")))</f>
        <v/>
      </c>
      <c r="T82" s="27">
        <f>IF(OR(T39="",T81=""),"",IF(T39&gt;=T81,"VERDE",IF(T39&gt;=T81*(1-Config!$C$15),"AMARILLO","ROJO")))</f>
        <v/>
      </c>
      <c r="U82" s="27">
        <f>IF(OR(U39="",U81=""),"",IF(U39&gt;=U81,"VERDE",IF(U39&gt;=U81*(1-Config!$C$15),"AMARILLO","ROJO")))</f>
        <v/>
      </c>
      <c r="V82" s="27">
        <f>IF(OR(V39="",V81=""),"",IF(V39&gt;=V81,"VERDE",IF(V39&gt;=V81*(1-Config!$C$15),"AMARILLO","ROJO")))</f>
        <v/>
      </c>
      <c r="W82" s="27">
        <f>IF(OR(W39="",W81=""),"",IF(W39&gt;=W81,"VERDE",IF(W39&gt;=W81*(1-Config!$C$15),"AMARILLO","ROJO")))</f>
        <v/>
      </c>
      <c r="X82" s="27">
        <f>IF(OR(X39="",X81=""),"",IF(X39&gt;=X81,"VERDE",IF(X39&gt;=X81*(1-Config!$C$15),"AMARILLO","ROJO")))</f>
        <v/>
      </c>
      <c r="Y82" s="27">
        <f>IF(OR(Y39="",Y81=""),"",IF(Y39&gt;=Y81,"VERDE",IF(Y39&gt;=Y81*(1-Config!$C$15),"AMARILLO","ROJO")))</f>
        <v/>
      </c>
      <c r="Z82" s="27">
        <f>IF(OR(Z39="",Z81=""),"",IF(Z39&gt;=Z81,"VERDE",IF(Z39&gt;=Z81*(1-Config!$C$15),"AMARILLO","ROJO")))</f>
        <v/>
      </c>
      <c r="AA82" s="27">
        <f>IF(OR(AA39="",AA81=""),"",IF(AA39&gt;=AA81,"VERDE",IF(AA39&gt;=AA81*(1-Config!$C$15),"AMARILLO","ROJO")))</f>
        <v/>
      </c>
      <c r="AB82" s="27">
        <f>IF(OR(AB39="",AB81=""),"",IF(AB39&gt;=AB81,"VERDE",IF(AB39&gt;=AB81*(1-Config!$C$15),"AMARILLO","ROJO")))</f>
        <v/>
      </c>
    </row>
    <row r="83">
      <c r="A83" t="inlineStr">
        <is>
          <t>Mediana 4 semanas anteriores</t>
        </is>
      </c>
      <c r="B83" s="5" t="inlineStr">
        <is>
          <t>% llamada → venta (cierre)</t>
        </is>
      </c>
      <c r="C83" s="26" t="inlineStr"/>
      <c r="D83" s="18">
        <f>IFERROR(MEDIAN(C44:C44),"")</f>
        <v/>
      </c>
      <c r="E83" s="18">
        <f>IFERROR(MEDIAN(C44:D44),"")</f>
        <v/>
      </c>
      <c r="F83" s="18">
        <f>IFERROR(MEDIAN(C44:E44),"")</f>
        <v/>
      </c>
      <c r="G83" s="18">
        <f>IFERROR(MEDIAN(C44:F44),"")</f>
        <v/>
      </c>
      <c r="H83" s="18">
        <f>IFERROR(MEDIAN(D44:G44),"")</f>
        <v/>
      </c>
      <c r="I83" s="18">
        <f>IFERROR(MEDIAN(E44:H44),"")</f>
        <v/>
      </c>
      <c r="J83" s="18">
        <f>IFERROR(MEDIAN(F44:I44),"")</f>
        <v/>
      </c>
      <c r="K83" s="18">
        <f>IFERROR(MEDIAN(G44:J44),"")</f>
        <v/>
      </c>
      <c r="L83" s="18">
        <f>IFERROR(MEDIAN(H44:K44),"")</f>
        <v/>
      </c>
      <c r="M83" s="18">
        <f>IFERROR(MEDIAN(I44:L44),"")</f>
        <v/>
      </c>
      <c r="N83" s="18">
        <f>IFERROR(MEDIAN(J44:M44),"")</f>
        <v/>
      </c>
      <c r="O83" s="18">
        <f>IFERROR(MEDIAN(K44:N44),"")</f>
        <v/>
      </c>
      <c r="P83" s="18">
        <f>IFERROR(MEDIAN(L44:O44),"")</f>
        <v/>
      </c>
      <c r="Q83" s="18">
        <f>IFERROR(MEDIAN(M44:P44),"")</f>
        <v/>
      </c>
      <c r="R83" s="18">
        <f>IFERROR(MEDIAN(N44:Q44),"")</f>
        <v/>
      </c>
      <c r="S83" s="18">
        <f>IFERROR(MEDIAN(O44:R44),"")</f>
        <v/>
      </c>
      <c r="T83" s="18">
        <f>IFERROR(MEDIAN(P44:S44),"")</f>
        <v/>
      </c>
      <c r="U83" s="18">
        <f>IFERROR(MEDIAN(Q44:T44),"")</f>
        <v/>
      </c>
      <c r="V83" s="18">
        <f>IFERROR(MEDIAN(R44:U44),"")</f>
        <v/>
      </c>
      <c r="W83" s="18">
        <f>IFERROR(MEDIAN(S44:V44),"")</f>
        <v/>
      </c>
      <c r="X83" s="18">
        <f>IFERROR(MEDIAN(T44:W44),"")</f>
        <v/>
      </c>
      <c r="Y83" s="18">
        <f>IFERROR(MEDIAN(U44:X44),"")</f>
        <v/>
      </c>
      <c r="Z83" s="18">
        <f>IFERROR(MEDIAN(V44:Y44),"")</f>
        <v/>
      </c>
      <c r="AA83" s="18">
        <f>IFERROR(MEDIAN(W44:Z44),"")</f>
        <v/>
      </c>
      <c r="AB83" s="18">
        <f>IFERROR(MEDIAN(X44:AA44),"")</f>
        <v/>
      </c>
    </row>
    <row r="84">
      <c r="A84" t="inlineStr">
        <is>
          <t>Semáforo</t>
        </is>
      </c>
      <c r="B84" s="25" t="inlineStr">
        <is>
          <t>% llamada → venta (cierre)</t>
        </is>
      </c>
      <c r="C84" s="27">
        <f>IF(OR(C44="",C83=""),"",IF(C44&gt;=C83,"VERDE",IF(C44&gt;=C83*(1-Config!$C$15),"AMARILLO","ROJO")))</f>
        <v/>
      </c>
      <c r="D84" s="27">
        <f>IF(OR(D44="",D83=""),"",IF(D44&gt;=D83,"VERDE",IF(D44&gt;=D83*(1-Config!$C$15),"AMARILLO","ROJO")))</f>
        <v/>
      </c>
      <c r="E84" s="27">
        <f>IF(OR(E44="",E83=""),"",IF(E44&gt;=E83,"VERDE",IF(E44&gt;=E83*(1-Config!$C$15),"AMARILLO","ROJO")))</f>
        <v/>
      </c>
      <c r="F84" s="27">
        <f>IF(OR(F44="",F83=""),"",IF(F44&gt;=F83,"VERDE",IF(F44&gt;=F83*(1-Config!$C$15),"AMARILLO","ROJO")))</f>
        <v/>
      </c>
      <c r="G84" s="27">
        <f>IF(OR(G44="",G83=""),"",IF(G44&gt;=G83,"VERDE",IF(G44&gt;=G83*(1-Config!$C$15),"AMARILLO","ROJO")))</f>
        <v/>
      </c>
      <c r="H84" s="27">
        <f>IF(OR(H44="",H83=""),"",IF(H44&gt;=H83,"VERDE",IF(H44&gt;=H83*(1-Config!$C$15),"AMARILLO","ROJO")))</f>
        <v/>
      </c>
      <c r="I84" s="27">
        <f>IF(OR(I44="",I83=""),"",IF(I44&gt;=I83,"VERDE",IF(I44&gt;=I83*(1-Config!$C$15),"AMARILLO","ROJO")))</f>
        <v/>
      </c>
      <c r="J84" s="27">
        <f>IF(OR(J44="",J83=""),"",IF(J44&gt;=J83,"VERDE",IF(J44&gt;=J83*(1-Config!$C$15),"AMARILLO","ROJO")))</f>
        <v/>
      </c>
      <c r="K84" s="27">
        <f>IF(OR(K44="",K83=""),"",IF(K44&gt;=K83,"VERDE",IF(K44&gt;=K83*(1-Config!$C$15),"AMARILLO","ROJO")))</f>
        <v/>
      </c>
      <c r="L84" s="27">
        <f>IF(OR(L44="",L83=""),"",IF(L44&gt;=L83,"VERDE",IF(L44&gt;=L83*(1-Config!$C$15),"AMARILLO","ROJO")))</f>
        <v/>
      </c>
      <c r="M84" s="27">
        <f>IF(OR(M44="",M83=""),"",IF(M44&gt;=M83,"VERDE",IF(M44&gt;=M83*(1-Config!$C$15),"AMARILLO","ROJO")))</f>
        <v/>
      </c>
      <c r="N84" s="27">
        <f>IF(OR(N44="",N83=""),"",IF(N44&gt;=N83,"VERDE",IF(N44&gt;=N83*(1-Config!$C$15),"AMARILLO","ROJO")))</f>
        <v/>
      </c>
      <c r="O84" s="27">
        <f>IF(OR(O44="",O83=""),"",IF(O44&gt;=O83,"VERDE",IF(O44&gt;=O83*(1-Config!$C$15),"AMARILLO","ROJO")))</f>
        <v/>
      </c>
      <c r="P84" s="27">
        <f>IF(OR(P44="",P83=""),"",IF(P44&gt;=P83,"VERDE",IF(P44&gt;=P83*(1-Config!$C$15),"AMARILLO","ROJO")))</f>
        <v/>
      </c>
      <c r="Q84" s="27">
        <f>IF(OR(Q44="",Q83=""),"",IF(Q44&gt;=Q83,"VERDE",IF(Q44&gt;=Q83*(1-Config!$C$15),"AMARILLO","ROJO")))</f>
        <v/>
      </c>
      <c r="R84" s="27">
        <f>IF(OR(R44="",R83=""),"",IF(R44&gt;=R83,"VERDE",IF(R44&gt;=R83*(1-Config!$C$15),"AMARILLO","ROJO")))</f>
        <v/>
      </c>
      <c r="S84" s="27">
        <f>IF(OR(S44="",S83=""),"",IF(S44&gt;=S83,"VERDE",IF(S44&gt;=S83*(1-Config!$C$15),"AMARILLO","ROJO")))</f>
        <v/>
      </c>
      <c r="T84" s="27">
        <f>IF(OR(T44="",T83=""),"",IF(T44&gt;=T83,"VERDE",IF(T44&gt;=T83*(1-Config!$C$15),"AMARILLO","ROJO")))</f>
        <v/>
      </c>
      <c r="U84" s="27">
        <f>IF(OR(U44="",U83=""),"",IF(U44&gt;=U83,"VERDE",IF(U44&gt;=U83*(1-Config!$C$15),"AMARILLO","ROJO")))</f>
        <v/>
      </c>
      <c r="V84" s="27">
        <f>IF(OR(V44="",V83=""),"",IF(V44&gt;=V83,"VERDE",IF(V44&gt;=V83*(1-Config!$C$15),"AMARILLO","ROJO")))</f>
        <v/>
      </c>
      <c r="W84" s="27">
        <f>IF(OR(W44="",W83=""),"",IF(W44&gt;=W83,"VERDE",IF(W44&gt;=W83*(1-Config!$C$15),"AMARILLO","ROJO")))</f>
        <v/>
      </c>
      <c r="X84" s="27">
        <f>IF(OR(X44="",X83=""),"",IF(X44&gt;=X83,"VERDE",IF(X44&gt;=X83*(1-Config!$C$15),"AMARILLO","ROJO")))</f>
        <v/>
      </c>
      <c r="Y84" s="27">
        <f>IF(OR(Y44="",Y83=""),"",IF(Y44&gt;=Y83,"VERDE",IF(Y44&gt;=Y83*(1-Config!$C$15),"AMARILLO","ROJO")))</f>
        <v/>
      </c>
      <c r="Z84" s="27">
        <f>IF(OR(Z44="",Z83=""),"",IF(Z44&gt;=Z83,"VERDE",IF(Z44&gt;=Z83*(1-Config!$C$15),"AMARILLO","ROJO")))</f>
        <v/>
      </c>
      <c r="AA84" s="27">
        <f>IF(OR(AA44="",AA83=""),"",IF(AA44&gt;=AA83,"VERDE",IF(AA44&gt;=AA83*(1-Config!$C$15),"AMARILLO","ROJO")))</f>
        <v/>
      </c>
      <c r="AB84" s="27">
        <f>IF(OR(AB44="",AB83=""),"",IF(AB44&gt;=AB83,"VERDE",IF(AB44&gt;=AB83*(1-Config!$C$15),"AMARILLO","ROJO")))</f>
        <v/>
      </c>
    </row>
    <row r="85">
      <c r="A85" t="inlineStr">
        <is>
          <t>Mediana 4 semanas anteriores</t>
        </is>
      </c>
      <c r="B85" s="5" t="inlineStr">
        <is>
          <t>ROAS sobre cash neto</t>
        </is>
      </c>
      <c r="C85" s="26" t="inlineStr"/>
      <c r="D85" s="21">
        <f>IFERROR(MEDIAN(C54:C54),"")</f>
        <v/>
      </c>
      <c r="E85" s="21">
        <f>IFERROR(MEDIAN(C54:D54),"")</f>
        <v/>
      </c>
      <c r="F85" s="21">
        <f>IFERROR(MEDIAN(C54:E54),"")</f>
        <v/>
      </c>
      <c r="G85" s="21">
        <f>IFERROR(MEDIAN(C54:F54),"")</f>
        <v/>
      </c>
      <c r="H85" s="21">
        <f>IFERROR(MEDIAN(D54:G54),"")</f>
        <v/>
      </c>
      <c r="I85" s="21">
        <f>IFERROR(MEDIAN(E54:H54),"")</f>
        <v/>
      </c>
      <c r="J85" s="21">
        <f>IFERROR(MEDIAN(F54:I54),"")</f>
        <v/>
      </c>
      <c r="K85" s="21">
        <f>IFERROR(MEDIAN(G54:J54),"")</f>
        <v/>
      </c>
      <c r="L85" s="21">
        <f>IFERROR(MEDIAN(H54:K54),"")</f>
        <v/>
      </c>
      <c r="M85" s="21">
        <f>IFERROR(MEDIAN(I54:L54),"")</f>
        <v/>
      </c>
      <c r="N85" s="21">
        <f>IFERROR(MEDIAN(J54:M54),"")</f>
        <v/>
      </c>
      <c r="O85" s="21">
        <f>IFERROR(MEDIAN(K54:N54),"")</f>
        <v/>
      </c>
      <c r="P85" s="21">
        <f>IFERROR(MEDIAN(L54:O54),"")</f>
        <v/>
      </c>
      <c r="Q85" s="21">
        <f>IFERROR(MEDIAN(M54:P54),"")</f>
        <v/>
      </c>
      <c r="R85" s="21">
        <f>IFERROR(MEDIAN(N54:Q54),"")</f>
        <v/>
      </c>
      <c r="S85" s="21">
        <f>IFERROR(MEDIAN(O54:R54),"")</f>
        <v/>
      </c>
      <c r="T85" s="21">
        <f>IFERROR(MEDIAN(P54:S54),"")</f>
        <v/>
      </c>
      <c r="U85" s="21">
        <f>IFERROR(MEDIAN(Q54:T54),"")</f>
        <v/>
      </c>
      <c r="V85" s="21">
        <f>IFERROR(MEDIAN(R54:U54),"")</f>
        <v/>
      </c>
      <c r="W85" s="21">
        <f>IFERROR(MEDIAN(S54:V54),"")</f>
        <v/>
      </c>
      <c r="X85" s="21">
        <f>IFERROR(MEDIAN(T54:W54),"")</f>
        <v/>
      </c>
      <c r="Y85" s="21">
        <f>IFERROR(MEDIAN(U54:X54),"")</f>
        <v/>
      </c>
      <c r="Z85" s="21">
        <f>IFERROR(MEDIAN(V54:Y54),"")</f>
        <v/>
      </c>
      <c r="AA85" s="21">
        <f>IFERROR(MEDIAN(W54:Z54),"")</f>
        <v/>
      </c>
      <c r="AB85" s="21">
        <f>IFERROR(MEDIAN(X54:AA54),"")</f>
        <v/>
      </c>
    </row>
    <row r="86">
      <c r="A86" t="inlineStr">
        <is>
          <t>Semáforo</t>
        </is>
      </c>
      <c r="B86" s="25" t="inlineStr">
        <is>
          <t>ROAS sobre cash neto</t>
        </is>
      </c>
      <c r="C86" s="27">
        <f>IF(OR(C54="",C85=""),"",IF(C54&lt;=1,"ROJO",IF(C54&gt;=C85,"VERDE",IF(C54&gt;=C85*(1-Config!$C$15),"AMARILLO","ROJO"))))</f>
        <v/>
      </c>
      <c r="D86" s="27">
        <f>IF(OR(D54="",D85=""),"",IF(D54&lt;=1,"ROJO",IF(D54&gt;=D85,"VERDE",IF(D54&gt;=D85*(1-Config!$C$15),"AMARILLO","ROJO"))))</f>
        <v/>
      </c>
      <c r="E86" s="27">
        <f>IF(OR(E54="",E85=""),"",IF(E54&lt;=1,"ROJO",IF(E54&gt;=E85,"VERDE",IF(E54&gt;=E85*(1-Config!$C$15),"AMARILLO","ROJO"))))</f>
        <v/>
      </c>
      <c r="F86" s="27">
        <f>IF(OR(F54="",F85=""),"",IF(F54&lt;=1,"ROJO",IF(F54&gt;=F85,"VERDE",IF(F54&gt;=F85*(1-Config!$C$15),"AMARILLO","ROJO"))))</f>
        <v/>
      </c>
      <c r="G86" s="27">
        <f>IF(OR(G54="",G85=""),"",IF(G54&lt;=1,"ROJO",IF(G54&gt;=G85,"VERDE",IF(G54&gt;=G85*(1-Config!$C$15),"AMARILLO","ROJO"))))</f>
        <v/>
      </c>
      <c r="H86" s="27">
        <f>IF(OR(H54="",H85=""),"",IF(H54&lt;=1,"ROJO",IF(H54&gt;=H85,"VERDE",IF(H54&gt;=H85*(1-Config!$C$15),"AMARILLO","ROJO"))))</f>
        <v/>
      </c>
      <c r="I86" s="27">
        <f>IF(OR(I54="",I85=""),"",IF(I54&lt;=1,"ROJO",IF(I54&gt;=I85,"VERDE",IF(I54&gt;=I85*(1-Config!$C$15),"AMARILLO","ROJO"))))</f>
        <v/>
      </c>
      <c r="J86" s="27">
        <f>IF(OR(J54="",J85=""),"",IF(J54&lt;=1,"ROJO",IF(J54&gt;=J85,"VERDE",IF(J54&gt;=J85*(1-Config!$C$15),"AMARILLO","ROJO"))))</f>
        <v/>
      </c>
      <c r="K86" s="27">
        <f>IF(OR(K54="",K85=""),"",IF(K54&lt;=1,"ROJO",IF(K54&gt;=K85,"VERDE",IF(K54&gt;=K85*(1-Config!$C$15),"AMARILLO","ROJO"))))</f>
        <v/>
      </c>
      <c r="L86" s="27">
        <f>IF(OR(L54="",L85=""),"",IF(L54&lt;=1,"ROJO",IF(L54&gt;=L85,"VERDE",IF(L54&gt;=L85*(1-Config!$C$15),"AMARILLO","ROJO"))))</f>
        <v/>
      </c>
      <c r="M86" s="27">
        <f>IF(OR(M54="",M85=""),"",IF(M54&lt;=1,"ROJO",IF(M54&gt;=M85,"VERDE",IF(M54&gt;=M85*(1-Config!$C$15),"AMARILLO","ROJO"))))</f>
        <v/>
      </c>
      <c r="N86" s="27">
        <f>IF(OR(N54="",N85=""),"",IF(N54&lt;=1,"ROJO",IF(N54&gt;=N85,"VERDE",IF(N54&gt;=N85*(1-Config!$C$15),"AMARILLO","ROJO"))))</f>
        <v/>
      </c>
      <c r="O86" s="27">
        <f>IF(OR(O54="",O85=""),"",IF(O54&lt;=1,"ROJO",IF(O54&gt;=O85,"VERDE",IF(O54&gt;=O85*(1-Config!$C$15),"AMARILLO","ROJO"))))</f>
        <v/>
      </c>
      <c r="P86" s="27">
        <f>IF(OR(P54="",P85=""),"",IF(P54&lt;=1,"ROJO",IF(P54&gt;=P85,"VERDE",IF(P54&gt;=P85*(1-Config!$C$15),"AMARILLO","ROJO"))))</f>
        <v/>
      </c>
      <c r="Q86" s="27">
        <f>IF(OR(Q54="",Q85=""),"",IF(Q54&lt;=1,"ROJO",IF(Q54&gt;=Q85,"VERDE",IF(Q54&gt;=Q85*(1-Config!$C$15),"AMARILLO","ROJO"))))</f>
        <v/>
      </c>
      <c r="R86" s="27">
        <f>IF(OR(R54="",R85=""),"",IF(R54&lt;=1,"ROJO",IF(R54&gt;=R85,"VERDE",IF(R54&gt;=R85*(1-Config!$C$15),"AMARILLO","ROJO"))))</f>
        <v/>
      </c>
      <c r="S86" s="27">
        <f>IF(OR(S54="",S85=""),"",IF(S54&lt;=1,"ROJO",IF(S54&gt;=S85,"VERDE",IF(S54&gt;=S85*(1-Config!$C$15),"AMARILLO","ROJO"))))</f>
        <v/>
      </c>
      <c r="T86" s="27">
        <f>IF(OR(T54="",T85=""),"",IF(T54&lt;=1,"ROJO",IF(T54&gt;=T85,"VERDE",IF(T54&gt;=T85*(1-Config!$C$15),"AMARILLO","ROJO"))))</f>
        <v/>
      </c>
      <c r="U86" s="27">
        <f>IF(OR(U54="",U85=""),"",IF(U54&lt;=1,"ROJO",IF(U54&gt;=U85,"VERDE",IF(U54&gt;=U85*(1-Config!$C$15),"AMARILLO","ROJO"))))</f>
        <v/>
      </c>
      <c r="V86" s="27">
        <f>IF(OR(V54="",V85=""),"",IF(V54&lt;=1,"ROJO",IF(V54&gt;=V85,"VERDE",IF(V54&gt;=V85*(1-Config!$C$15),"AMARILLO","ROJO"))))</f>
        <v/>
      </c>
      <c r="W86" s="27">
        <f>IF(OR(W54="",W85=""),"",IF(W54&lt;=1,"ROJO",IF(W54&gt;=W85,"VERDE",IF(W54&gt;=W85*(1-Config!$C$15),"AMARILLO","ROJO"))))</f>
        <v/>
      </c>
      <c r="X86" s="27">
        <f>IF(OR(X54="",X85=""),"",IF(X54&lt;=1,"ROJO",IF(X54&gt;=X85,"VERDE",IF(X54&gt;=X85*(1-Config!$C$15),"AMARILLO","ROJO"))))</f>
        <v/>
      </c>
      <c r="Y86" s="27">
        <f>IF(OR(Y54="",Y85=""),"",IF(Y54&lt;=1,"ROJO",IF(Y54&gt;=Y85,"VERDE",IF(Y54&gt;=Y85*(1-Config!$C$15),"AMARILLO","ROJO"))))</f>
        <v/>
      </c>
      <c r="Z86" s="27">
        <f>IF(OR(Z54="",Z85=""),"",IF(Z54&lt;=1,"ROJO",IF(Z54&gt;=Z85,"VERDE",IF(Z54&gt;=Z85*(1-Config!$C$15),"AMARILLO","ROJO"))))</f>
        <v/>
      </c>
      <c r="AA86" s="27">
        <f>IF(OR(AA54="",AA85=""),"",IF(AA54&lt;=1,"ROJO",IF(AA54&gt;=AA85,"VERDE",IF(AA54&gt;=AA85*(1-Config!$C$15),"AMARILLO","ROJO"))))</f>
        <v/>
      </c>
      <c r="AB86" s="27">
        <f>IF(OR(AB54="",AB85=""),"",IF(AB54&lt;=1,"ROJO",IF(AB54&gt;=AB85,"VERDE",IF(AB54&gt;=AB85*(1-Config!$C$15),"AMARILLO","ROJO"))))</f>
        <v/>
      </c>
    </row>
    <row r="88">
      <c r="A88" s="3" t="inlineStr">
        <is>
          <t>Modelo financiero de embudos · creado por Jesús Tassarolo · TooAudience · youtube.com/@JesusTassaroloSinFiltro · v1.2 · octubre 2026</t>
        </is>
      </c>
    </row>
  </sheetData>
  <conditionalFormatting sqref="C62:AB62">
    <cfRule type="cellIs" priority="1" operator="equal" dxfId="0">
      <formula>"VERDE"</formula>
    </cfRule>
    <cfRule type="cellIs" priority="2" operator="equal" dxfId="1">
      <formula>"AMARILLO"</formula>
    </cfRule>
    <cfRule type="cellIs" priority="3" operator="equal" dxfId="2">
      <formula>"ROJO"</formula>
    </cfRule>
  </conditionalFormatting>
  <conditionalFormatting sqref="C64:AB64">
    <cfRule type="cellIs" priority="4" operator="equal" dxfId="0">
      <formula>"VERDE"</formula>
    </cfRule>
    <cfRule type="cellIs" priority="5" operator="equal" dxfId="1">
      <formula>"AMARILLO"</formula>
    </cfRule>
    <cfRule type="cellIs" priority="6" operator="equal" dxfId="2">
      <formula>"ROJO"</formula>
    </cfRule>
  </conditionalFormatting>
  <conditionalFormatting sqref="C66:AB66">
    <cfRule type="cellIs" priority="7" operator="equal" dxfId="0">
      <formula>"VERDE"</formula>
    </cfRule>
    <cfRule type="cellIs" priority="8" operator="equal" dxfId="1">
      <formula>"AMARILLO"</formula>
    </cfRule>
    <cfRule type="cellIs" priority="9" operator="equal" dxfId="2">
      <formula>"ROJO"</formula>
    </cfRule>
  </conditionalFormatting>
  <conditionalFormatting sqref="C68:AB68">
    <cfRule type="cellIs" priority="10" operator="equal" dxfId="0">
      <formula>"VERDE"</formula>
    </cfRule>
    <cfRule type="cellIs" priority="11" operator="equal" dxfId="1">
      <formula>"AMARILLO"</formula>
    </cfRule>
    <cfRule type="cellIs" priority="12" operator="equal" dxfId="2">
      <formula>"ROJO"</formula>
    </cfRule>
  </conditionalFormatting>
  <conditionalFormatting sqref="C70:AB70">
    <cfRule type="cellIs" priority="13" operator="equal" dxfId="0">
      <formula>"VERDE"</formula>
    </cfRule>
    <cfRule type="cellIs" priority="14" operator="equal" dxfId="1">
      <formula>"AMARILLO"</formula>
    </cfRule>
    <cfRule type="cellIs" priority="15" operator="equal" dxfId="2">
      <formula>"ROJO"</formula>
    </cfRule>
  </conditionalFormatting>
  <conditionalFormatting sqref="C72:AB72">
    <cfRule type="cellIs" priority="16" operator="equal" dxfId="0">
      <formula>"VERDE"</formula>
    </cfRule>
    <cfRule type="cellIs" priority="17" operator="equal" dxfId="1">
      <formula>"AMARILLO"</formula>
    </cfRule>
    <cfRule type="cellIs" priority="18" operator="equal" dxfId="2">
      <formula>"ROJO"</formula>
    </cfRule>
  </conditionalFormatting>
  <conditionalFormatting sqref="C74:AB74">
    <cfRule type="cellIs" priority="19" operator="equal" dxfId="0">
      <formula>"VERDE"</formula>
    </cfRule>
    <cfRule type="cellIs" priority="20" operator="equal" dxfId="1">
      <formula>"AMARILLO"</formula>
    </cfRule>
    <cfRule type="cellIs" priority="21" operator="equal" dxfId="2">
      <formula>"ROJO"</formula>
    </cfRule>
  </conditionalFormatting>
  <conditionalFormatting sqref="C76:AB76">
    <cfRule type="cellIs" priority="22" operator="equal" dxfId="0">
      <formula>"VERDE"</formula>
    </cfRule>
    <cfRule type="cellIs" priority="23" operator="equal" dxfId="1">
      <formula>"AMARILLO"</formula>
    </cfRule>
    <cfRule type="cellIs" priority="24" operator="equal" dxfId="2">
      <formula>"ROJO"</formula>
    </cfRule>
  </conditionalFormatting>
  <conditionalFormatting sqref="C78:AB78">
    <cfRule type="cellIs" priority="25" operator="equal" dxfId="0">
      <formula>"VERDE"</formula>
    </cfRule>
    <cfRule type="cellIs" priority="26" operator="equal" dxfId="1">
      <formula>"AMARILLO"</formula>
    </cfRule>
    <cfRule type="cellIs" priority="27" operator="equal" dxfId="2">
      <formula>"ROJO"</formula>
    </cfRule>
  </conditionalFormatting>
  <conditionalFormatting sqref="C80:AB80">
    <cfRule type="cellIs" priority="28" operator="equal" dxfId="0">
      <formula>"VERDE"</formula>
    </cfRule>
    <cfRule type="cellIs" priority="29" operator="equal" dxfId="1">
      <formula>"AMARILLO"</formula>
    </cfRule>
    <cfRule type="cellIs" priority="30" operator="equal" dxfId="2">
      <formula>"ROJO"</formula>
    </cfRule>
  </conditionalFormatting>
  <conditionalFormatting sqref="C82:AB82">
    <cfRule type="cellIs" priority="31" operator="equal" dxfId="0">
      <formula>"VERDE"</formula>
    </cfRule>
    <cfRule type="cellIs" priority="32" operator="equal" dxfId="1">
      <formula>"AMARILLO"</formula>
    </cfRule>
    <cfRule type="cellIs" priority="33" operator="equal" dxfId="2">
      <formula>"ROJO"</formula>
    </cfRule>
  </conditionalFormatting>
  <conditionalFormatting sqref="C84:AB84">
    <cfRule type="cellIs" priority="34" operator="equal" dxfId="0">
      <formula>"VERDE"</formula>
    </cfRule>
    <cfRule type="cellIs" priority="35" operator="equal" dxfId="1">
      <formula>"AMARILLO"</formula>
    </cfRule>
    <cfRule type="cellIs" priority="36" operator="equal" dxfId="2">
      <formula>"ROJO"</formula>
    </cfRule>
  </conditionalFormatting>
  <conditionalFormatting sqref="C86:AB86">
    <cfRule type="cellIs" priority="37" operator="equal" dxfId="0">
      <formula>"VERDE"</formula>
    </cfRule>
    <cfRule type="cellIs" priority="38" operator="equal" dxfId="1">
      <formula>"AMARILLO"</formula>
    </cfRule>
    <cfRule type="cellIs" priority="39" operator="equal" dxfId="2">
      <formula>"ROJO"</formula>
    </cfRule>
  </conditionalFormatting>
  <pageMargins left="0.75" right="0.75" top="1" bottom="1" header="0.5" footer="0.5"/>
  <headerFooter>
    <oddHeader>&amp;CJesús Tassarolo · TooAudience&amp;R&amp;D</oddHeader>
    <oddFooter>&amp;LModelo financiero de embudos · creado por Jesús Tassarolo · TooAudience · youtube.com/@JesusTassaroloSinFiltro&amp;RPágina &amp;P de &amp;N</oddFooter>
    <evenHeader>&amp;CJesús Tassarolo · TooAudience</evenHeader>
    <evenFooter>&amp;LModelo financiero de embudos · creado por Jesús Tassarolo · TooAudience · youtube.com/@JesusTassaroloSinFiltro&amp;RPágina &amp;P de &amp;N</evenFooter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1" customWidth="1" min="4" max="4"/>
    <col width="16" customWidth="1" min="5" max="5"/>
    <col width="18" customWidth="1" min="6" max="6"/>
    <col width="13" customWidth="1" min="7" max="7"/>
    <col width="14" customWidth="1" min="8" max="8"/>
  </cols>
  <sheetData>
    <row r="1">
      <c r="A1" s="1" t="inlineStr">
        <is>
          <t>© Jesús Tassarolo · TooAudience · youtube.com/@JesusTassaroloSinFiltro · uso personal; no redistribuir modificado</t>
        </is>
      </c>
    </row>
    <row r="2">
      <c r="A2" s="2" t="inlineStr">
        <is>
          <t>Resumen: la semana elegida contra la anterior, contra tu mediana y contra tu meta</t>
        </is>
      </c>
    </row>
    <row r="3">
      <c r="A3" s="3" t="inlineStr">
        <is>
          <t>Las filas están en el orden en que miro un embudo. El semáforo compara con la mediana de tus 4 semanas anteriores, con la tolerancia de Config.</t>
        </is>
      </c>
    </row>
    <row r="4">
      <c r="A4" s="4" t="inlineStr">
        <is>
          <t>Semana a mostrar</t>
        </is>
      </c>
      <c r="B4" s="14">
        <f>MAX(Semanal!$C$7:$AB$7)</f>
        <v/>
      </c>
      <c r="C4" s="3" t="inlineStr">
        <is>
          <t>← la última con datos; escribí otro número para ver otra semana</t>
        </is>
      </c>
    </row>
    <row r="6" ht="44" customHeight="1">
      <c r="A6" s="6" t="inlineStr">
        <is>
          <t>KPI</t>
        </is>
      </c>
      <c r="B6" s="6" t="inlineStr">
        <is>
          <t>Esta semana</t>
        </is>
      </c>
      <c r="C6" s="6" t="inlineStr">
        <is>
          <t>Semana anterior</t>
        </is>
      </c>
      <c r="D6" s="6" t="inlineStr">
        <is>
          <t>Variación</t>
        </is>
      </c>
      <c r="E6" s="6" t="inlineStr">
        <is>
          <t>Mediana 4 semanas previas</t>
        </is>
      </c>
      <c r="F6" s="6" t="inlineStr">
        <is>
          <t>Semáforo contra tu promedio</t>
        </is>
      </c>
      <c r="G6" s="6" t="inlineStr">
        <is>
          <t>Mejor semana</t>
        </is>
      </c>
      <c r="H6" s="6" t="inlineStr">
        <is>
          <t>Meta (tu objetivo)</t>
        </is>
      </c>
    </row>
    <row r="7">
      <c r="A7" s="5" t="inlineStr">
        <is>
          <t>Inversión en publicidad (USD)</t>
        </is>
      </c>
      <c r="B7" s="28">
        <f>IFERROR(INDEX(Semanal!$C$10:$AB$10,1,$B$4),"")</f>
        <v/>
      </c>
      <c r="C7" s="20">
        <f>IF($B$4&lt;=1,"",IFERROR(INDEX(Semanal!$C$10:$AB$10,1,$B$4-1),""))</f>
        <v/>
      </c>
      <c r="D7" s="18">
        <f>IFERROR(IF(OR(B7="",C7=""),"",(B7-C7)/C7),"")</f>
        <v/>
      </c>
      <c r="E7" s="26" t="inlineStr"/>
      <c r="F7" s="26" t="inlineStr"/>
      <c r="G7" s="20">
        <f>Semanal!$AE$10</f>
        <v/>
      </c>
      <c r="H7" s="10" t="n"/>
    </row>
    <row r="8">
      <c r="A8" s="5" t="inlineStr">
        <is>
          <t>Visitas a la página</t>
        </is>
      </c>
      <c r="B8" s="29">
        <f>IFERROR(INDEX(Semanal!$C$14:$AB$14,1,$B$4),"")</f>
        <v/>
      </c>
      <c r="C8" s="13">
        <f>IF($B$4&lt;=1,"",IFERROR(INDEX(Semanal!$C$14:$AB$14,1,$B$4-1),""))</f>
        <v/>
      </c>
      <c r="D8" s="18">
        <f>IFERROR(IF(OR(B8="",C8=""),"",(B8-C8)/C8),"")</f>
        <v/>
      </c>
      <c r="E8" s="26" t="inlineStr"/>
      <c r="F8" s="26" t="inlineStr"/>
      <c r="G8" s="13">
        <f>Semanal!$AE$14</f>
        <v/>
      </c>
      <c r="H8" s="14" t="n"/>
    </row>
    <row r="9">
      <c r="A9" s="25" t="inlineStr">
        <is>
          <t>Costo por visita</t>
        </is>
      </c>
      <c r="B9" s="30">
        <f>IFERROR(INDEX(Semanal!$C$20:$AB$20,1,$B$4),"")</f>
        <v/>
      </c>
      <c r="C9" s="15">
        <f>IF($B$4&lt;=1,"",IFERROR(INDEX(Semanal!$C$20:$AB$20,1,$B$4-1),""))</f>
        <v/>
      </c>
      <c r="D9" s="18">
        <f>IFERROR(IF(OR(B9="",C9=""),"",(B9-C9)/C9),"")</f>
        <v/>
      </c>
      <c r="E9" s="15">
        <f>IFERROR(INDEX(Semanal!$C$63:$AB$63,1,$B$4),"")</f>
        <v/>
      </c>
      <c r="F9" s="27">
        <f>IFERROR(INDEX(Semanal!$C$64:$AB$64,1,$B$4),"")</f>
        <v/>
      </c>
      <c r="G9" s="15">
        <f>Semanal!$AE$20</f>
        <v/>
      </c>
      <c r="H9" s="8" t="n"/>
    </row>
    <row r="10">
      <c r="A10" s="5" t="inlineStr">
        <is>
          <t>Leads</t>
        </is>
      </c>
      <c r="B10" s="29">
        <f>IFERROR(INDEX(Semanal!$C$24:$AB$24,1,$B$4),"")</f>
        <v/>
      </c>
      <c r="C10" s="13">
        <f>IF($B$4&lt;=1,"",IFERROR(INDEX(Semanal!$C$24:$AB$24,1,$B$4-1),""))</f>
        <v/>
      </c>
      <c r="D10" s="18">
        <f>IFERROR(IF(OR(B10="",C10=""),"",(B10-C10)/C10),"")</f>
        <v/>
      </c>
      <c r="E10" s="26" t="inlineStr"/>
      <c r="F10" s="26" t="inlineStr"/>
      <c r="G10" s="13">
        <f>Semanal!$AE$24</f>
        <v/>
      </c>
      <c r="H10" s="14" t="n"/>
    </row>
    <row r="11">
      <c r="A11" s="25" t="inlineStr">
        <is>
          <t>CPL (costo por lead)</t>
        </is>
      </c>
      <c r="B11" s="30">
        <f>IFERROR(INDEX(Semanal!$C$26:$AB$26,1,$B$4),"")</f>
        <v/>
      </c>
      <c r="C11" s="15">
        <f>IF($B$4&lt;=1,"",IFERROR(INDEX(Semanal!$C$26:$AB$26,1,$B$4-1),""))</f>
        <v/>
      </c>
      <c r="D11" s="18">
        <f>IFERROR(IF(OR(B11="",C11=""),"",(B11-C11)/C11),"")</f>
        <v/>
      </c>
      <c r="E11" s="15">
        <f>IFERROR(INDEX(Semanal!$C$65:$AB$65,1,$B$4),"")</f>
        <v/>
      </c>
      <c r="F11" s="27">
        <f>IFERROR(INDEX(Semanal!$C$66:$AB$66,1,$B$4),"")</f>
        <v/>
      </c>
      <c r="G11" s="15">
        <f>Semanal!$AE$26</f>
        <v/>
      </c>
      <c r="H11" s="8" t="n"/>
    </row>
    <row r="12">
      <c r="A12" s="25" t="inlineStr">
        <is>
          <t>CPL como % del CPM (el umbral depende del nicho)</t>
        </is>
      </c>
      <c r="B12" s="31">
        <f>IFERROR(INDEX(Semanal!$C$27:$AB$27,1,$B$4),"")</f>
        <v/>
      </c>
      <c r="C12" s="18">
        <f>IF($B$4&lt;=1,"",IFERROR(INDEX(Semanal!$C$27:$AB$27,1,$B$4-1),""))</f>
        <v/>
      </c>
      <c r="D12" s="18">
        <f>IFERROR(IF(OR(B12="",C12=""),"",(B12-C12)/C12),"")</f>
        <v/>
      </c>
      <c r="E12" s="18">
        <f>IFERROR(INDEX(Semanal!$C$67:$AB$67,1,$B$4),"")</f>
        <v/>
      </c>
      <c r="F12" s="27">
        <f>IFERROR(INDEX(Semanal!$C$68:$AB$68,1,$B$4),"")</f>
        <v/>
      </c>
      <c r="G12" s="18">
        <f>Semanal!$AE$27</f>
        <v/>
      </c>
      <c r="H12" s="9" t="n"/>
    </row>
    <row r="13">
      <c r="A13" s="25" t="inlineStr">
        <is>
          <t>% visita → lead (conversión de la página)</t>
        </is>
      </c>
      <c r="B13" s="31">
        <f>IFERROR(INDEX(Semanal!$C$25:$AB$25,1,$B$4),"")</f>
        <v/>
      </c>
      <c r="C13" s="18">
        <f>IF($B$4&lt;=1,"",IFERROR(INDEX(Semanal!$C$25:$AB$25,1,$B$4-1),""))</f>
        <v/>
      </c>
      <c r="D13" s="18">
        <f>IFERROR(IF(OR(B13="",C13=""),"",(B13-C13)/C13),"")</f>
        <v/>
      </c>
      <c r="E13" s="18">
        <f>IFERROR(INDEX(Semanal!$C$69:$AB$69,1,$B$4),"")</f>
        <v/>
      </c>
      <c r="F13" s="27">
        <f>IFERROR(INDEX(Semanal!$C$70:$AB$70,1,$B$4),"")</f>
        <v/>
      </c>
      <c r="G13" s="18">
        <f>Semanal!$AE$25</f>
        <v/>
      </c>
      <c r="H13" s="9" t="n"/>
    </row>
    <row r="14">
      <c r="A14" s="5" t="inlineStr">
        <is>
          <t>Completan la aplicación</t>
        </is>
      </c>
      <c r="B14" s="29">
        <f>IFERROR(INDEX(Semanal!$C$31:$AB$31,1,$B$4),"")</f>
        <v/>
      </c>
      <c r="C14" s="13">
        <f>IF($B$4&lt;=1,"",IFERROR(INDEX(Semanal!$C$31:$AB$31,1,$B$4-1),""))</f>
        <v/>
      </c>
      <c r="D14" s="18">
        <f>IFERROR(IF(OR(B14="",C14=""),"",(B14-C14)/C14),"")</f>
        <v/>
      </c>
      <c r="E14" s="26" t="inlineStr"/>
      <c r="F14" s="26" t="inlineStr"/>
      <c r="G14" s="13">
        <f>Semanal!$AE$31</f>
        <v/>
      </c>
      <c r="H14" s="14" t="n"/>
    </row>
    <row r="15">
      <c r="A15" s="5" t="inlineStr">
        <is>
          <t>Agendan la llamada</t>
        </is>
      </c>
      <c r="B15" s="29">
        <f>IFERROR(INDEX(Semanal!$C$33:$AB$33,1,$B$4),"")</f>
        <v/>
      </c>
      <c r="C15" s="13">
        <f>IF($B$4&lt;=1,"",IFERROR(INDEX(Semanal!$C$33:$AB$33,1,$B$4-1),""))</f>
        <v/>
      </c>
      <c r="D15" s="18">
        <f>IFERROR(IF(OR(B15="",C15=""),"",(B15-C15)/C15),"")</f>
        <v/>
      </c>
      <c r="E15" s="26" t="inlineStr"/>
      <c r="F15" s="26" t="inlineStr"/>
      <c r="G15" s="13">
        <f>Semanal!$AE$33</f>
        <v/>
      </c>
      <c r="H15" s="14" t="n"/>
    </row>
    <row r="16">
      <c r="A16" s="25" t="inlineStr">
        <is>
          <t>Costo por agenda</t>
        </is>
      </c>
      <c r="B16" s="30">
        <f>IFERROR(INDEX(Semanal!$C$38:$AB$38,1,$B$4),"")</f>
        <v/>
      </c>
      <c r="C16" s="15">
        <f>IF($B$4&lt;=1,"",IFERROR(INDEX(Semanal!$C$38:$AB$38,1,$B$4-1),""))</f>
        <v/>
      </c>
      <c r="D16" s="18">
        <f>IFERROR(IF(OR(B16="",C16=""),"",(B16-C16)/C16),"")</f>
        <v/>
      </c>
      <c r="E16" s="15">
        <f>IFERROR(INDEX(Semanal!$C$79:$AB$79,1,$B$4),"")</f>
        <v/>
      </c>
      <c r="F16" s="27">
        <f>IFERROR(INDEX(Semanal!$C$80:$AB$80,1,$B$4),"")</f>
        <v/>
      </c>
      <c r="G16" s="15">
        <f>Semanal!$AE$38</f>
        <v/>
      </c>
      <c r="H16" s="8" t="n"/>
    </row>
    <row r="17">
      <c r="A17" s="5" t="inlineStr">
        <is>
          <t>Llamadas realizadas (show)</t>
        </is>
      </c>
      <c r="B17" s="29">
        <f>IFERROR(INDEX(Semanal!$C$34:$AB$34,1,$B$4),"")</f>
        <v/>
      </c>
      <c r="C17" s="13">
        <f>IF($B$4&lt;=1,"",IFERROR(INDEX(Semanal!$C$34:$AB$34,1,$B$4-1),""))</f>
        <v/>
      </c>
      <c r="D17" s="18">
        <f>IFERROR(IF(OR(B17="",C17=""),"",(B17-C17)/C17),"")</f>
        <v/>
      </c>
      <c r="E17" s="26" t="inlineStr"/>
      <c r="F17" s="26" t="inlineStr"/>
      <c r="G17" s="13">
        <f>Semanal!$AE$34</f>
        <v/>
      </c>
      <c r="H17" s="14" t="n"/>
    </row>
    <row r="18">
      <c r="A18" s="25" t="inlineStr">
        <is>
          <t>% agenda → llamada (show)</t>
        </is>
      </c>
      <c r="B18" s="31">
        <f>IFERROR(INDEX(Semanal!$C$39:$AB$39,1,$B$4),"")</f>
        <v/>
      </c>
      <c r="C18" s="18">
        <f>IF($B$4&lt;=1,"",IFERROR(INDEX(Semanal!$C$39:$AB$39,1,$B$4-1),""))</f>
        <v/>
      </c>
      <c r="D18" s="18">
        <f>IFERROR(IF(OR(B18="",C18=""),"",(B18-C18)/C18),"")</f>
        <v/>
      </c>
      <c r="E18" s="18">
        <f>IFERROR(INDEX(Semanal!$C$81:$AB$81,1,$B$4),"")</f>
        <v/>
      </c>
      <c r="F18" s="27">
        <f>IFERROR(INDEX(Semanal!$C$82:$AB$82,1,$B$4),"")</f>
        <v/>
      </c>
      <c r="G18" s="18">
        <f>Semanal!$AE$39</f>
        <v/>
      </c>
      <c r="H18" s="9" t="n"/>
    </row>
    <row r="19">
      <c r="A19" s="5" t="inlineStr">
        <is>
          <t>Compran el programa</t>
        </is>
      </c>
      <c r="B19" s="29">
        <f>IFERROR(INDEX(Semanal!$C$42:$AB$42,1,$B$4),"")</f>
        <v/>
      </c>
      <c r="C19" s="13">
        <f>IF($B$4&lt;=1,"",IFERROR(INDEX(Semanal!$C$42:$AB$42,1,$B$4-1),""))</f>
        <v/>
      </c>
      <c r="D19" s="18">
        <f>IFERROR(IF(OR(B19="",C19=""),"",(B19-C19)/C19),"")</f>
        <v/>
      </c>
      <c r="E19" s="26" t="inlineStr"/>
      <c r="F19" s="26" t="inlineStr"/>
      <c r="G19" s="13">
        <f>Semanal!$AE$42</f>
        <v/>
      </c>
      <c r="H19" s="14" t="n"/>
    </row>
    <row r="20">
      <c r="A20" s="25" t="inlineStr">
        <is>
          <t>% llamada → venta (cierre)</t>
        </is>
      </c>
      <c r="B20" s="31">
        <f>IFERROR(INDEX(Semanal!$C$44:$AB$44,1,$B$4),"")</f>
        <v/>
      </c>
      <c r="C20" s="18">
        <f>IF($B$4&lt;=1,"",IFERROR(INDEX(Semanal!$C$44:$AB$44,1,$B$4-1),""))</f>
        <v/>
      </c>
      <c r="D20" s="18">
        <f>IFERROR(IF(OR(B20="",C20=""),"",(B20-C20)/C20),"")</f>
        <v/>
      </c>
      <c r="E20" s="18">
        <f>IFERROR(INDEX(Semanal!$C$83:$AB$83,1,$B$4),"")</f>
        <v/>
      </c>
      <c r="F20" s="27">
        <f>IFERROR(INDEX(Semanal!$C$84:$AB$84,1,$B$4),"")</f>
        <v/>
      </c>
      <c r="G20" s="18">
        <f>Semanal!$AE$44</f>
        <v/>
      </c>
      <c r="H20" s="9" t="n"/>
    </row>
    <row r="21">
      <c r="A21" s="5" t="inlineStr">
        <is>
          <t>CAC (costo por venta)</t>
        </is>
      </c>
      <c r="B21" s="30">
        <f>IFERROR(INDEX(Semanal!$C$46:$AB$46,1,$B$4),"")</f>
        <v/>
      </c>
      <c r="C21" s="15">
        <f>IF($B$4&lt;=1,"",IFERROR(INDEX(Semanal!$C$46:$AB$46,1,$B$4-1),""))</f>
        <v/>
      </c>
      <c r="D21" s="18">
        <f>IFERROR(IF(OR(B21="",C21=""),"",(B21-C21)/C21),"")</f>
        <v/>
      </c>
      <c r="E21" s="26" t="inlineStr"/>
      <c r="F21" s="26" t="inlineStr"/>
      <c r="G21" s="15">
        <f>Semanal!$AE$46</f>
        <v/>
      </c>
      <c r="H21" s="8" t="n"/>
    </row>
    <row r="22">
      <c r="A22" s="5" t="inlineStr">
        <is>
          <t>Facturado a precio de lista</t>
        </is>
      </c>
      <c r="B22" s="28">
        <f>IFERROR(INDEX(Semanal!$C$47:$AB$47,1,$B$4),"")</f>
        <v/>
      </c>
      <c r="C22" s="20">
        <f>IF($B$4&lt;=1,"",IFERROR(INDEX(Semanal!$C$47:$AB$47,1,$B$4-1),""))</f>
        <v/>
      </c>
      <c r="D22" s="18">
        <f>IFERROR(IF(OR(B22="",C22=""),"",(B22-C22)/C22),"")</f>
        <v/>
      </c>
      <c r="E22" s="26" t="inlineStr"/>
      <c r="F22" s="26" t="inlineStr"/>
      <c r="G22" s="20">
        <f>Semanal!$AE$47</f>
        <v/>
      </c>
      <c r="H22" s="10" t="n"/>
    </row>
    <row r="23">
      <c r="A23" s="5" t="inlineStr">
        <is>
          <t>Cash cobrado (real, o estimado con el % del primer mes)</t>
        </is>
      </c>
      <c r="B23" s="28">
        <f>IFERROR(INDEX(Semanal!$C$49:$AB$49,1,$B$4),"")</f>
        <v/>
      </c>
      <c r="C23" s="20">
        <f>IF($B$4&lt;=1,"",IFERROR(INDEX(Semanal!$C$49:$AB$49,1,$B$4-1),""))</f>
        <v/>
      </c>
      <c r="D23" s="18">
        <f>IFERROR(IF(OR(B23="",C23=""),"",(B23-C23)/C23),"")</f>
        <v/>
      </c>
      <c r="E23" s="26" t="inlineStr"/>
      <c r="F23" s="26" t="inlineStr"/>
      <c r="G23" s="20">
        <f>Semanal!$AE$49</f>
        <v/>
      </c>
      <c r="H23" s="10" t="n"/>
    </row>
    <row r="24">
      <c r="A24" s="5" t="inlineStr">
        <is>
          <t>Cash neto (después de comisiones, closers y reembolsos)</t>
        </is>
      </c>
      <c r="B24" s="28">
        <f>IFERROR(INDEX(Semanal!$C$52:$AB$52,1,$B$4),"")</f>
        <v/>
      </c>
      <c r="C24" s="20">
        <f>IF($B$4&lt;=1,"",IFERROR(INDEX(Semanal!$C$52:$AB$52,1,$B$4-1),""))</f>
        <v/>
      </c>
      <c r="D24" s="18">
        <f>IFERROR(IF(OR(B24="",C24=""),"",(B24-C24)/C24),"")</f>
        <v/>
      </c>
      <c r="E24" s="26" t="inlineStr"/>
      <c r="F24" s="26" t="inlineStr"/>
      <c r="G24" s="20">
        <f>Semanal!$AE$52</f>
        <v/>
      </c>
      <c r="H24" s="10" t="n"/>
    </row>
    <row r="25">
      <c r="A25" s="5" t="inlineStr">
        <is>
          <t>Ganancia de caja (cash neto − pauta − fijos)</t>
        </is>
      </c>
      <c r="B25" s="28">
        <f>IFERROR(INDEX(Semanal!$C$53:$AB$53,1,$B$4),"")</f>
        <v/>
      </c>
      <c r="C25" s="20">
        <f>IF($B$4&lt;=1,"",IFERROR(INDEX(Semanal!$C$53:$AB$53,1,$B$4-1),""))</f>
        <v/>
      </c>
      <c r="D25" s="18">
        <f>IFERROR(IF(OR(B25="",C25=""),"",(B25-C25)/C25),"")</f>
        <v/>
      </c>
      <c r="E25" s="26" t="inlineStr"/>
      <c r="F25" s="26" t="inlineStr"/>
      <c r="G25" s="20">
        <f>Semanal!$AE$53</f>
        <v/>
      </c>
      <c r="H25" s="10" t="n"/>
    </row>
    <row r="26">
      <c r="A26" s="25" t="inlineStr">
        <is>
          <t>Ganancia por visita (la métrica más valiosa)</t>
        </is>
      </c>
      <c r="B26" s="30">
        <f>IFERROR(INDEX(Semanal!$C$56:$AB$56,1,$B$4),"")</f>
        <v/>
      </c>
      <c r="C26" s="15">
        <f>IF($B$4&lt;=1,"",IFERROR(INDEX(Semanal!$C$56:$AB$56,1,$B$4-1),""))</f>
        <v/>
      </c>
      <c r="D26" s="18">
        <f>IFERROR(IF(OR(B26="",C26=""),"",(B26-C26)/C26),"")</f>
        <v/>
      </c>
      <c r="E26" s="15">
        <f>IFERROR(INDEX(Semanal!$C$61:$AB$61,1,$B$4),"")</f>
        <v/>
      </c>
      <c r="F26" s="27">
        <f>IFERROR(INDEX(Semanal!$C$62:$AB$62,1,$B$4),"")</f>
        <v/>
      </c>
      <c r="G26" s="15">
        <f>Semanal!$AE$56</f>
        <v/>
      </c>
      <c r="H26" s="8" t="n"/>
    </row>
    <row r="27">
      <c r="A27" s="25" t="inlineStr">
        <is>
          <t>ROAS sobre cash neto</t>
        </is>
      </c>
      <c r="B27" s="32">
        <f>IFERROR(INDEX(Semanal!$C$54:$AB$54,1,$B$4),"")</f>
        <v/>
      </c>
      <c r="C27" s="21">
        <f>IF($B$4&lt;=1,"",IFERROR(INDEX(Semanal!$C$54:$AB$54,1,$B$4-1),""))</f>
        <v/>
      </c>
      <c r="D27" s="18">
        <f>IFERROR(IF(OR(B27="",C27=""),"",(B27-C27)/C27),"")</f>
        <v/>
      </c>
      <c r="E27" s="21">
        <f>IFERROR(INDEX(Semanal!$C$85:$AB$85,1,$B$4),"")</f>
        <v/>
      </c>
      <c r="F27" s="27">
        <f>IFERROR(INDEX(Semanal!$C$86:$AB$86,1,$B$4),"")</f>
        <v/>
      </c>
      <c r="G27" s="21">
        <f>Semanal!$AE$54</f>
        <v/>
      </c>
      <c r="H27" s="11" t="n"/>
    </row>
    <row r="28">
      <c r="A28" s="25" t="inlineStr">
        <is>
          <t>CPM</t>
        </is>
      </c>
      <c r="B28" s="30">
        <f>IFERROR(INDEX(Semanal!$C$15:$AB$15,1,$B$4),"")</f>
        <v/>
      </c>
      <c r="C28" s="15">
        <f>IF($B$4&lt;=1,"",IFERROR(INDEX(Semanal!$C$15:$AB$15,1,$B$4-1),""))</f>
        <v/>
      </c>
      <c r="D28" s="18">
        <f>IFERROR(IF(OR(B28="",C28=""),"",(B28-C28)/C28),"")</f>
        <v/>
      </c>
      <c r="E28" s="15">
        <f>IFERROR(INDEX(Semanal!$C$71:$AB$71,1,$B$4),"")</f>
        <v/>
      </c>
      <c r="F28" s="27">
        <f>IFERROR(INDEX(Semanal!$C$72:$AB$72,1,$B$4),"")</f>
        <v/>
      </c>
      <c r="G28" s="15">
        <f>Semanal!$AE$15</f>
        <v/>
      </c>
      <c r="H28" s="8" t="n"/>
    </row>
    <row r="29">
      <c r="A29" s="25" t="inlineStr">
        <is>
          <t>CTR al enlace</t>
        </is>
      </c>
      <c r="B29" s="33">
        <f>IFERROR(INDEX(Semanal!$C$17:$AB$17,1,$B$4),"")</f>
        <v/>
      </c>
      <c r="C29" s="17">
        <f>IF($B$4&lt;=1,"",IFERROR(INDEX(Semanal!$C$17:$AB$17,1,$B$4-1),""))</f>
        <v/>
      </c>
      <c r="D29" s="18">
        <f>IFERROR(IF(OR(B29="",C29=""),"",(B29-C29)/C29),"")</f>
        <v/>
      </c>
      <c r="E29" s="17">
        <f>IFERROR(INDEX(Semanal!$C$73:$AB$73,1,$B$4),"")</f>
        <v/>
      </c>
      <c r="F29" s="27">
        <f>IFERROR(INDEX(Semanal!$C$74:$AB$74,1,$B$4),"")</f>
        <v/>
      </c>
      <c r="G29" s="17">
        <f>Semanal!$AE$17</f>
        <v/>
      </c>
      <c r="H29" s="34" t="n"/>
    </row>
    <row r="31">
      <c r="A31" s="4" t="inlineStr">
        <is>
          <t>Cómo se lee</t>
        </is>
      </c>
    </row>
    <row r="32" ht="30" customHeight="1">
      <c r="A32" s="5" t="inlineStr">
        <is>
          <t>• Se mira de arriba hacia abajo y se para en el primer rojo: un rojo arriba (costo por visita, CPL) arrastra todo lo de abajo.</t>
        </is>
      </c>
    </row>
    <row r="33" ht="30" customHeight="1">
      <c r="A33" s="5" t="inlineStr">
        <is>
          <t>• La ganancia por visita resume todo lo que pasa después de la página: si está en rojo con el costo por visita en verde, el problema no es el tráfico.</t>
        </is>
      </c>
    </row>
    <row r="34" ht="30" customHeight="1">
      <c r="A34" s="5" t="inlineStr">
        <is>
          <t>• El CPL se lee también como % del CPM: el umbral de costo depende del nicho. Con CPM de 3 un CPL de 1 y con CPM de 25 un CPL de 10 son el mismo embudo.</t>
        </is>
      </c>
    </row>
    <row r="35" ht="30" customHeight="1">
      <c r="A35" s="5" t="inlineStr">
        <is>
          <t>• Una decisión por semana, anotada, y a los 7 días mirar qué pasó. Nunca por un día. En llamada, 3 o 4 eventos.</t>
        </is>
      </c>
    </row>
    <row r="36" ht="30" customHeight="1">
      <c r="A36" s="5" t="inlineStr">
        <is>
          <t>• La fila de la semana se copia a la hoja Seguimiento del modelo financiero de este embudo: ahí está el techo (hasta cuánto pagar) y el guardarraíl para subir o bajar.</t>
        </is>
      </c>
    </row>
    <row r="38">
      <c r="A38" s="3" t="inlineStr">
        <is>
          <t>Modelo financiero de embudos · creado por Jesús Tassarolo · TooAudience · youtube.com/@JesusTassaroloSinFiltro · v1.2 · octubre 2026</t>
        </is>
      </c>
    </row>
  </sheetData>
  <mergeCells count="5">
    <mergeCell ref="A35:H35"/>
    <mergeCell ref="A33:H33"/>
    <mergeCell ref="A36:H36"/>
    <mergeCell ref="A32:H32"/>
    <mergeCell ref="A34:H34"/>
  </mergeCells>
  <conditionalFormatting sqref="F7:F29">
    <cfRule type="cellIs" priority="1" operator="equal" dxfId="0">
      <formula>"VERDE"</formula>
    </cfRule>
    <cfRule type="cellIs" priority="2" operator="equal" dxfId="1">
      <formula>"AMARILLO"</formula>
    </cfRule>
    <cfRule type="cellIs" priority="3" operator="equal" dxfId="2">
      <formula>"ROJO"</formula>
    </cfRule>
  </conditionalFormatting>
  <pageMargins left="0.75" right="0.75" top="1" bottom="1" header="0.5" footer="0.5"/>
  <headerFooter>
    <oddHeader>&amp;CJesús Tassarolo · TooAudience&amp;R&amp;D</oddHeader>
    <oddFooter>&amp;LModelo financiero de embudos · creado por Jesús Tassarolo · TooAudience · youtube.com/@JesusTassaroloSinFiltro&amp;RPágina &amp;P de &amp;N</oddFooter>
    <evenHeader>&amp;CJesús Tassarolo · TooAudience</evenHeader>
    <evenFooter>&amp;LModelo financiero de embudos · creado por Jesús Tassarolo · TooAudience · youtube.com/@JesusTassaroloSinFiltro&amp;RPágina &amp;P de &amp;N</evenFooter>
    <firstHeader/>
    <firstFooter/>
  </headerFooter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2" t="inlineStr">
        <is>
          <t>Autoría y licencia</t>
        </is>
      </c>
    </row>
    <row r="4">
      <c r="B4" s="5" t="inlineStr">
        <is>
          <t>Métricas diarias · Embudo de llamada (high ticket)</t>
        </is>
      </c>
    </row>
    <row r="5">
      <c r="B5" s="5" t="inlineStr">
        <is>
          <t>Modelo financiero de embudos · creado por Jesús Tassarolo · TooAudience · youtube.com/@JesusTassaroloSinFiltro</t>
        </is>
      </c>
    </row>
    <row r="6">
      <c r="B6" s="5" t="inlineStr">
        <is>
          <t>v1.2 · octubre 2026</t>
        </is>
      </c>
    </row>
    <row r="7">
      <c r="B7" s="5" t="inlineStr"/>
    </row>
    <row r="8">
      <c r="B8" s="5" t="inlineStr">
        <is>
          <t>Licencia Creative Commons BY-NC-ND 4.0: podés usar este archivo con tus números y compartirlo tal cual, citando al autor. No podés venderlo, modificar su estructura para redistribuirlo ni quitar la línea de autoría.</t>
        </is>
      </c>
    </row>
    <row r="9">
      <c r="B9" s="5" t="inlineStr"/>
    </row>
    <row r="10">
      <c r="B10" s="5" t="inlineStr">
        <is>
          <t>Este archivo, sus fórmulas, sus umbrales y su método son obra de Jesús Tassarolo (TooAudience). Si lo compartís, compartilo entero y con esta hoja.</t>
        </is>
      </c>
    </row>
    <row r="11">
      <c r="B11" s="5" t="inlineStr">
        <is>
          <t>Canal: youtube.com/@JesusTassaroloSinFiltro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Jesús Tassarolo</dc:creator>
  <dc:title xmlns:dc="http://purl.org/dc/elements/1.1/">Métricas diarias · Embudo de llamada (high ticket)</dc:title>
  <dc:description xmlns:dc="http://purl.org/dc/elements/1.1/">Modelo financiero de embudos · creado por Jesús Tassarolo · TooAudience · youtube.com/@JesusTassaroloSinFiltro · Licencia Creative Commons BY-NC-ND 4.0: podés usar este archivo con tus números y compartirlo tal cual, citando al autor. No podés venderlo, modificar su estructura para redistribuirlo ni quitar la línea de autoría. · Métricas diarias · v1.2 · octubre 2026</dc:description>
  <dc:subject xmlns:dc="http://purl.org/dc/elements/1.1/">Modelo financiero de embudos · Jesús Tassarolo · TooAudience</dc:subject>
  <dcterms:created xmlns:dcterms="http://purl.org/dc/terms/" xmlns:xsi="http://www.w3.org/2001/XMLSchema-instance" xsi:type="dcterms:W3CDTF">2026-10-02T16:03:50Z</dcterms:created>
  <dcterms:modified xmlns:dcterms="http://purl.org/dc/terms/" xmlns:xsi="http://www.w3.org/2001/XMLSchema-instance" xsi:type="dcterms:W3CDTF">2026-10-02T16:03:50Z</dcterms:modified>
  <cp:lastModifiedBy>Jesús Tassarolo</cp:lastModifiedBy>
  <cp:category>TooAudience · Mastermind</cp:category>
  <cp:keywords>Jesús Tassarolo, TooAudience, modelo financiero, embudos, mastermind</cp:keywords>
</cp:coreProperties>
</file>

<file path=docProps/custom.xml><?xml version="1.0" encoding="utf-8"?>
<Properties xmlns="http://schemas.openxmlformats.org/officeDocument/2006/custom-properties">
  <property name="Autor" fmtid="{D5CDD505-2E9C-101B-9397-08002B2CF9AE}" pid="2">
    <vt:lpwstr xmlns:vt="http://schemas.openxmlformats.org/officeDocument/2006/docPropsVTypes">Jesús Tassarolo</vt:lpwstr>
  </property>
  <property name="Marca" fmtid="{D5CDD505-2E9C-101B-9397-08002B2CF9AE}" pid="3">
    <vt:lpwstr xmlns:vt="http://schemas.openxmlformats.org/officeDocument/2006/docPropsVTypes">Modelo financiero de embudos · creado por Jesús Tassarolo · TooAudience · youtube.com/@JesusTassaroloSinFiltro</vt:lpwstr>
  </property>
  <property name="Licencia" fmtid="{D5CDD505-2E9C-101B-9397-08002B2CF9AE}" pid="4">
    <vt:lpwstr xmlns:vt="http://schemas.openxmlformats.org/officeDocument/2006/docPropsVTypes">CC BY-NC-ND 4.0</vt:lpwstr>
  </property>
  <property name="YouTube" fmtid="{D5CDD505-2E9C-101B-9397-08002B2CF9AE}" pid="5">
    <vt:lpwstr xmlns:vt="http://schemas.openxmlformats.org/officeDocument/2006/docPropsVTypes">youtube.com/@JesusTassaroloSinFiltro</vt:lpwstr>
  </property>
  <property name="Version" fmtid="{D5CDD505-2E9C-101B-9397-08002B2CF9AE}" pid="6">
    <vt:lpwstr xmlns:vt="http://schemas.openxmlformats.org/officeDocument/2006/docPropsVTypes">v1.2 · octubre 2026</vt:lpwstr>
  </property>
</Properties>
</file>