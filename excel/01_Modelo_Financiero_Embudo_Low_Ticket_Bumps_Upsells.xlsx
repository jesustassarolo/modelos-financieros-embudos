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icio" sheetId="1" state="visible" r:id="rId1"/>
    <sheet xmlns:r="http://schemas.openxmlformats.org/officeDocument/2006/relationships" name="Resumen" sheetId="2" state="visible" r:id="rId2"/>
    <sheet xmlns:r="http://schemas.openxmlformats.org/officeDocument/2006/relationships" name="Embudo" sheetId="3" state="visible" r:id="rId3"/>
    <sheet xmlns:r="http://schemas.openxmlformats.org/officeDocument/2006/relationships" name="Supuestos" sheetId="4" state="visible" r:id="rId4"/>
    <sheet xmlns:r="http://schemas.openxmlformats.org/officeDocument/2006/relationships" name="Modelo" sheetId="5" state="visible" r:id="rId5"/>
    <sheet xmlns:r="http://schemas.openxmlformats.org/officeDocument/2006/relationships" name="Escenarios" sheetId="6" state="visible" r:id="rId6"/>
    <sheet xmlns:r="http://schemas.openxmlformats.org/officeDocument/2006/relationships" name="Sensibilidad" sheetId="7" state="visible" r:id="rId7"/>
    <sheet xmlns:r="http://schemas.openxmlformats.org/officeDocument/2006/relationships" name="Proyección 12 meses" sheetId="8" state="visible" r:id="rId8"/>
    <sheet xmlns:r="http://schemas.openxmlformats.org/officeDocument/2006/relationships" name="Seguimiento" sheetId="9" state="visible" r:id="rId9"/>
    <sheet xmlns:r="http://schemas.openxmlformats.org/officeDocument/2006/relationships" name="Benchmarks" sheetId="10" state="visible" r:id="rId10"/>
    <sheet xmlns:r="http://schemas.openxmlformats.org/officeDocument/2006/relationships" name="Glosario" sheetId="11" state="visible" r:id="rId11"/>
    <sheet xmlns:r="http://schemas.openxmlformats.org/officeDocument/2006/relationships" name="Chequeos" sheetId="12" state="visible" r:id="rId12"/>
    <sheet xmlns:r="http://schemas.openxmlformats.org/officeDocument/2006/relationships" name="Licencia" sheetId="13" state="visible" r:id="rId13"/>
  </sheets>
  <definedNames>
    <definedName name="Autor_Jesus_Tassarolo">"Modelo financiero de embudos · creado por Jesús Tassarolo · TooAudience · youtube.com/@JesusTassaroloSinFiltro"</definedName>
  </definedNames>
  <calcPr calcId="124519" fullCalcOnLoad="1"/>
</workbook>
</file>

<file path=xl/styles.xml><?xml version="1.0" encoding="utf-8"?>
<styleSheet xmlns="http://schemas.openxmlformats.org/spreadsheetml/2006/main">
  <numFmts count="5">
    <numFmt numFmtId="164" formatCode="&quot;$&quot;#,##0"/>
    <numFmt numFmtId="165" formatCode="&quot;$&quot;#,##0.00"/>
    <numFmt numFmtId="166" formatCode="0.0%"/>
    <numFmt numFmtId="167" formatCode="0.00&quot;x&quot;"/>
    <numFmt numFmtId="168" formatCode="0.0"/>
  </numFmts>
  <fonts count="6">
    <font>
      <name val="Calibri"/>
      <family val="2"/>
      <color theme="1"/>
      <sz val="11"/>
      <scheme val="minor"/>
    </font>
    <font>
      <b val="1"/>
      <sz val="14"/>
    </font>
    <font>
      <i val="1"/>
      <color rgb="00595959"/>
    </font>
    <font>
      <b val="1"/>
    </font>
    <font>
      <b val="1"/>
      <color rgb="00FFFFFF"/>
    </font>
    <font>
      <i val="1"/>
      <color rgb="008C8C8C"/>
      <sz val="8"/>
    </font>
  </fonts>
  <fills count="6">
    <fill>
      <patternFill/>
    </fill>
    <fill>
      <patternFill patternType="gray125"/>
    </fill>
    <fill>
      <patternFill patternType="solid">
        <fgColor rgb="001F3864"/>
      </patternFill>
    </fill>
    <fill>
      <patternFill patternType="solid">
        <fgColor rgb="00FFF2CC"/>
      </patternFill>
    </fill>
    <fill>
      <patternFill patternType="solid">
        <fgColor rgb="00D9E1F2"/>
      </patternFill>
    </fill>
    <fill>
      <patternFill patternType="solid">
        <fgColor rgb="00DDEBF7"/>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38">
    <xf numFmtId="0" fontId="0" fillId="0" borderId="0" pivotButton="0" quotePrefix="0" xfId="0"/>
    <xf numFmtId="0" fontId="5"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horizontal="center" vertical="center"/>
    </xf>
    <xf numFmtId="0" fontId="3" fillId="4" borderId="0" pivotButton="0" quotePrefix="0" xfId="0"/>
    <xf numFmtId="0" fontId="0" fillId="4" borderId="0" pivotButton="0" quotePrefix="0" xfId="0"/>
    <xf numFmtId="164" fontId="3" fillId="5" borderId="1" pivotButton="0" quotePrefix="0" xfId="0"/>
    <xf numFmtId="167" fontId="3" fillId="5" borderId="1" pivotButton="0" quotePrefix="0" xfId="0"/>
    <xf numFmtId="168" fontId="3" fillId="5" borderId="1" pivotButton="0" quotePrefix="0" xfId="0"/>
    <xf numFmtId="165" fontId="3" fillId="5" borderId="1" pivotButton="0" quotePrefix="0" xfId="0"/>
    <xf numFmtId="49" fontId="3" fillId="5" borderId="1" pivotButton="0" quotePrefix="0" xfId="0"/>
    <xf numFmtId="0" fontId="0" fillId="5" borderId="1" applyAlignment="1" pivotButton="0" quotePrefix="0" xfId="0">
      <alignment vertical="top" wrapText="1"/>
    </xf>
    <xf numFmtId="0" fontId="0" fillId="0" borderId="4" pivotButton="0" quotePrefix="0" xfId="0"/>
    <xf numFmtId="3" fontId="0" fillId="5" borderId="1" pivotButton="0" quotePrefix="0" xfId="0"/>
    <xf numFmtId="10" fontId="0" fillId="5" borderId="1" pivotButton="0" quotePrefix="0" xfId="0"/>
    <xf numFmtId="166" fontId="0" fillId="5" borderId="1" pivotButton="0" quotePrefix="0" xfId="0"/>
    <xf numFmtId="165" fontId="0" fillId="5" borderId="1" pivotButton="0" quotePrefix="0" xfId="0"/>
    <xf numFmtId="3" fontId="0" fillId="3" borderId="1" pivotButton="0" quotePrefix="0" xfId="0"/>
    <xf numFmtId="164" fontId="0" fillId="3" borderId="1" pivotButton="0" quotePrefix="0" xfId="0"/>
    <xf numFmtId="165" fontId="0" fillId="3" borderId="1" pivotButton="0" quotePrefix="0" xfId="0"/>
    <xf numFmtId="166" fontId="0" fillId="3" borderId="1" pivotButton="0" quotePrefix="0" xfId="0"/>
    <xf numFmtId="167" fontId="0" fillId="3" borderId="1" pivotButton="0" quotePrefix="0" xfId="0"/>
    <xf numFmtId="3" fontId="3" fillId="5" borderId="1" pivotButton="0" quotePrefix="0" xfId="0"/>
    <xf numFmtId="164" fontId="0" fillId="5" borderId="1" pivotButton="0" quotePrefix="0" xfId="0"/>
    <xf numFmtId="168" fontId="0" fillId="5" borderId="1" pivotButton="0" quotePrefix="0" xfId="0"/>
    <xf numFmtId="167" fontId="0" fillId="5" borderId="1" pivotButton="0" quotePrefix="0" xfId="0"/>
    <xf numFmtId="49" fontId="0" fillId="5" borderId="1" pivotButton="0" quotePrefix="0" xfId="0"/>
    <xf numFmtId="166" fontId="3" fillId="3" borderId="1" pivotButton="0" quotePrefix="0" xfId="0"/>
    <xf numFmtId="164" fontId="3" fillId="3" borderId="1" pivotButton="0" quotePrefix="0" xfId="0"/>
    <xf numFmtId="165" fontId="3" fillId="3" borderId="1" pivotButton="0" quotePrefix="0" xfId="0"/>
    <xf numFmtId="167" fontId="3" fillId="3" borderId="1" pivotButton="0" quotePrefix="0" xfId="0"/>
    <xf numFmtId="164" fontId="0" fillId="0" borderId="0" pivotButton="0" quotePrefix="0" xfId="0"/>
    <xf numFmtId="167" fontId="3" fillId="0" borderId="0" pivotButton="0" quotePrefix="0" xfId="0"/>
    <xf numFmtId="0" fontId="0" fillId="5" borderId="1" pivotButton="0" quotePrefix="0" xfId="0"/>
    <xf numFmtId="0" fontId="3" fillId="5" borderId="1" pivotButton="0" quotePrefix="0" xfId="0"/>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showGridLines="0" workbookViewId="0">
      <selection activeCell="A1" sqref="A1"/>
    </sheetView>
  </sheetViews>
  <sheetFormatPr baseColWidth="8" defaultRowHeight="15"/>
  <cols>
    <col width="2" customWidth="1" min="1" max="1"/>
    <col width="118" customWidth="1" min="2" max="2"/>
  </cols>
  <sheetData>
    <row r="1">
      <c r="B1" s="1" t="inlineStr">
        <is>
          <t>© Jesús Tassarolo · TooAudience · youtube.com/@JesusTassaroloSinFiltro · uso personal; no redistribuir modificado</t>
        </is>
      </c>
    </row>
    <row r="2">
      <c r="B2" s="2" t="inlineStr">
        <is>
          <t>Modelo financiero · Embudo low-ticket con bumps y upsells</t>
        </is>
      </c>
    </row>
    <row r="3">
      <c r="B3" s="3" t="inlineStr">
        <is>
          <t>Anuncios → página de ventas (VSL) → checkout → producto principal + bumps + OTOs + ascenso</t>
        </is>
      </c>
    </row>
    <row r="5">
      <c r="B5" s="4" t="inlineStr">
        <is>
          <t>Para qué sirve este modelo</t>
        </is>
      </c>
    </row>
    <row r="6" ht="75" customHeight="1">
      <c r="B6" s="5" t="inlineStr">
        <is>
          <t>Es el modelo financiero de un embudo de venta directa: anuncios que llevan a una página de ventas con video (VSL), un producto principal de precio bajo y una escalera de bumps, OTOs y un programa de ascenso. Con tus números (o con el ejemplo cargado) te dice cuánto vale cada visita que comprás con publicidad, hasta cuánto podés pagar por visita y por cada etapa siguiente, cuánto invertir para una meta de ventas, cuánta caja necesitás y qué palanca mejora más la ganancia.</t>
        </is>
      </c>
    </row>
    <row r="7" ht="30" customHeight="1">
      <c r="B7" s="5" t="inlineStr">
        <is>
          <t>La unidad que comprás es la visita a la página. El número que manda es la diferencia entre lo que deja cada comprador sumando toda la escalera (AOV neto) y lo que te cuesta conseguirlo (CPA).</t>
        </is>
      </c>
    </row>
    <row r="9">
      <c r="B9" s="4" t="inlineStr">
        <is>
          <t>Cómo usarlo en 6 pasos</t>
        </is>
      </c>
    </row>
    <row r="10" ht="30" customHeight="1">
      <c r="B10" s="5" t="inlineStr">
        <is>
          <t>1. Andá a Supuestos y reemplazá el ejemplo por tus números. Si todavía no tenés datos, dejá el escenario en 1 (conservador) y usá Benchmarks como referencia.</t>
        </is>
      </c>
    </row>
    <row r="11" ht="30" customHeight="1">
      <c r="B11" s="5" t="inlineStr">
        <is>
          <t>2. Mirá Resumen: ganancia del mes, ROAS, el techo y el objetivo de costo por visita, y el semáforo. Después Embudo: todos los pasos en orden con cuántos pasan, qué porcentaje se pierde y cuánto cuesta cada paso.</t>
        </is>
      </c>
    </row>
    <row r="12" ht="30" customHeight="1">
      <c r="B12" s="5" t="inlineStr">
        <is>
          <t>3. Abrí Escenarios para ver qué pasa si cambia el precio, la conversión o el costo. Las celdas amarillas de cada tabla se pueden cambiar.</t>
        </is>
      </c>
    </row>
    <row r="13" ht="15" customHeight="1">
      <c r="B13" s="5" t="inlineStr">
        <is>
          <t>4. Abrí Sensibilidad para saber qué variable conviene trabajar primero.</t>
        </is>
      </c>
    </row>
    <row r="14" ht="30" customHeight="1">
      <c r="B14" s="5" t="inlineStr">
        <is>
          <t>5. Antes de invertir, mirá Proyección 12 meses: la caja necesaria es la plata que tenés que tener para no frenar la pauta mientras cobrás. Si da 0, el embudo se autofinancia.</t>
        </is>
      </c>
    </row>
    <row r="15" ht="30" customHeight="1">
      <c r="B15" s="5" t="inlineStr">
        <is>
          <t>6. Cuando el embudo esté andando, completá una columna de Seguimiento por mes. El semáforo te dice si estás pagando de más por cada visita.</t>
        </is>
      </c>
    </row>
    <row r="17">
      <c r="B17" s="4" t="inlineStr">
        <is>
          <t>Colores y hojas</t>
        </is>
      </c>
    </row>
    <row r="18" ht="15" customHeight="1">
      <c r="B18" s="5" t="inlineStr">
        <is>
          <t>Amarillo = celda que editás vos. Azul = resultado calculado: no lo toques, se recalcula solo.</t>
        </is>
      </c>
    </row>
    <row r="19" ht="45" customHeight="1">
      <c r="B19" s="5" t="inlineStr">
        <is>
          <t>Resumen, Embudo y Modelo leen de Supuestos. Escenarios y Sensibilidad recalculan el modelo entero cambiando una o dos variables. Proyección usa los mismos supuestos mes a mes. Seguimiento es la única hoja, además de Supuestos, donde cargás datos.</t>
        </is>
      </c>
    </row>
    <row r="20" ht="15" customHeight="1">
      <c r="B20" s="5" t="inlineStr">
        <is>
          <t>Chequeos avisa si un supuesto quedó fuera de rango. Si dice REVISAR, arreglalo antes de leer los resultados.</t>
        </is>
      </c>
    </row>
    <row r="21" ht="30" customHeight="1">
      <c r="B21" s="5" t="inlineStr">
        <is>
          <t>Cómo elegir escenario: en Supuestos, la celda 'Escenario en uso' (1, 2 o 3) elige la columna conservador, base u optimista de cada fila que tiene tres valores. Las filas con un solo valor se usan tal cual.</t>
        </is>
      </c>
    </row>
    <row r="23">
      <c r="B23" s="4" t="inlineStr">
        <is>
          <t>El ejemplo que viene cargado</t>
        </is>
      </c>
    </row>
    <row r="24" ht="30" customHeight="1">
      <c r="B24" s="5" t="inlineStr">
        <is>
          <t>Un curso de 37 USD vendido con VSL a tráfico frío. Se invierten 9.000 USD por mes a 0,30 por visita (30.000 visitas). El 3,5 % llega al checkout y el 26 % de esos compra: 273 ventas al mes, CPA de 33 USD.</t>
        </is>
      </c>
    </row>
    <row r="25" ht="45" customHeight="1">
      <c r="B25" s="5" t="inlineStr">
        <is>
          <t>La escalera: dos bumps de 17 (25 % y 18 %); cuatro OTOs después del pago, una por página: 47 (10 %), 17 (6 %), 97 (3 %) y 27 (4 %); y la ascensión a un programa de 297 que toma el 2 %. El AOV queda cerca de 60 USD: la escalera multiplica el precio del principal por 1,6.</t>
        </is>
      </c>
    </row>
    <row r="26" ht="15" customHeight="1">
      <c r="B26" s="5" t="inlineStr">
        <is>
          <t>Costos: pasarela 10 %, reembolsos 5 %, fijos 1.500 por mes. Pago único: la cobranza entra 100 % el primer mes.</t>
        </is>
      </c>
    </row>
    <row r="27" ht="60" customHeight="1">
      <c r="B27" s="5" t="inlineStr">
        <is>
          <t>Resultado: ganancia mensual positiva y ROAS sobre cash neto de 1,5, con techo de costo por visita cerca de 0,46 y objetivo cerca de 0,36. El semáforo queda en amarillo: el costo por visita está bien, pero el ROAS no llega al objetivo de 2. Sensibilidad dice que las palancas son el costo por visita y la conversión de la página, no el precio. Cambiá los números por los tuyos.</t>
        </is>
      </c>
    </row>
    <row r="29">
      <c r="B29" s="4" t="inlineStr">
        <is>
          <t>Reglas de decisión (el protocolo corto)</t>
        </is>
      </c>
    </row>
    <row r="30" ht="30" customHeight="1">
      <c r="B30" s="5" t="inlineStr">
        <is>
          <t>1. Antes de invertir: cargá tus números en Supuestos (si no tenés datos, escenario 1, conservador) y mirá en Resumen el techo y el objetivo de costo por visita.</t>
        </is>
      </c>
    </row>
    <row r="31" ht="45" customHeight="1">
      <c r="B31" s="5" t="inlineStr">
        <is>
          <t>2. Primeros días: compará tu costo real por visita con el objetivo. Verde: seguí. Amarillo: no subas la inversión y revisá en este orden: CPM (público y frecuencia), creativo (CTR) y página (conversión). Rojo: bajá un escalón (−25 %) y arreglá antes de volver a subir.</t>
        </is>
      </c>
    </row>
    <row r="32" ht="30" customHeight="1">
      <c r="B32" s="5" t="inlineStr">
        <is>
          <t>3. Cada mes: completá una columna de Seguimiento. El semáforo compara tu costo con el techo móvil (lo que rindieron tus últimas 4 columnas), no con un número fijo.</t>
        </is>
      </c>
    </row>
    <row r="33" ht="30" customHeight="1">
      <c r="B33" s="5" t="inlineStr">
        <is>
          <t>4. Subí la inversión de a 25 % y esperá 7 días (o 3 a 4 eventos si vendés por llamada) antes de volver a subir. Un día bueno o malo no decide nada.</t>
        </is>
      </c>
    </row>
    <row r="34" ht="30" customHeight="1">
      <c r="B34" s="5" t="inlineStr">
        <is>
          <t>5. Si el costo está en verde y aun así no hay ganancia, el problema no es el tráfico: mirá asistencia, conversión de la oferta y cobranza, en ese orden.</t>
        </is>
      </c>
    </row>
    <row r="35" ht="15" customHeight="1">
      <c r="B35" s="5" t="inlineStr">
        <is>
          <t>6. Cambiá una sola cosa por vez. Si cambiás precio, creativo y página la misma semana no vas a saber qué funcionó.</t>
        </is>
      </c>
    </row>
    <row r="36" ht="30" customHeight="1">
      <c r="B36" s="5" t="inlineStr">
        <is>
          <t>7. Trabajá siempre con cash neto (lo que entra menos comisiones y reembolsos), nunca con facturado. En Proyección ves cuánta caja necesitás para sostener la pauta mientras cobrás.</t>
        </is>
      </c>
    </row>
    <row r="37" ht="30" customHeight="1">
      <c r="B37" s="5" t="inlineStr">
        <is>
          <t>8. En este embudo el techo de CPA es el AOV neto. Si tu CPA se acerca al AOV neto, subir los bumps y las OTOs es la forma más rápida de recuperar margen sin tocar el tráfico.</t>
        </is>
      </c>
    </row>
    <row r="39">
      <c r="B39" s="4" t="inlineStr">
        <is>
          <t>Lo que este modelo no hace</t>
        </is>
      </c>
    </row>
    <row r="40" ht="30" customHeight="1">
      <c r="B40" s="5" t="inlineStr">
        <is>
          <t>No adivina tus conversiones: usa las que cargás. Cuando una conversión cambia, el techo cambia; por eso Seguimiento recalcula el techo móvil con tus últimas 4 columnas.</t>
        </is>
      </c>
    </row>
    <row r="41" ht="15" customHeight="1">
      <c r="B41" s="5" t="inlineStr">
        <is>
          <t>No reemplaza la decisión: la informa. Las reglas de arriba dicen qué hacer con cada color.</t>
        </is>
      </c>
    </row>
    <row r="42" ht="15" customHeight="1">
      <c r="B42" s="5" t="inlineStr">
        <is>
          <t>Los benchmarks son orden de magnitud para tráfico frío en español. Tus datos mandan.</t>
        </is>
      </c>
    </row>
    <row r="44">
      <c r="B44" s="4" t="inlineStr">
        <is>
          <t>Autor y versión</t>
        </is>
      </c>
    </row>
    <row r="45" ht="30" customHeight="1">
      <c r="B45" s="5" t="inlineStr">
        <is>
          <t>Modelo financiero de embudos · creado por Jesús Tassarolo · TooAudience · youtube.com/@JesusTassaroloSinFiltro. v1.2 · octubre 2026. Fórmulas compatibles con Excel, Google Sheets y Numbers. Sin macros.</t>
        </is>
      </c>
    </row>
    <row r="46" ht="30" customHeight="1">
      <c r="B46" s="5" t="inlineStr">
        <is>
          <t>Este modelo se comparte para que lo uses con tus números. Si lo compartís, dejá esta línea: es la forma de saber de dónde salió.</t>
        </is>
      </c>
    </row>
  </sheetData>
  <pageMargins left="0.75" right="0.75" top="1" bottom="1" header="0.5" footer="0.5"/>
  <headerFooter>
    <oddHeader>&amp;CJesús Tassarolo · TooAudience&amp;R&amp;D</oddHeader>
    <oddFooter>&amp;LModelo financiero de embudos · creado por Jesús Tassarolo · TooAudience · youtube.com/@JesusTassaroloSinFiltro&amp;C&amp;7 Modelo financiero de embudos · creado por Jesús Tassarolo · TooAudience · youtube.com/@JesusTassaroloSinFiltro&amp;RPágina &amp;P de &amp;N</oddFooter>
    <evenHeader>&amp;CJesús Tassarolo · TooAudience</evenHeader>
    <evenFooter>&amp;LModelo financiero de embudos · creado por Jesús Tassarolo · TooAudience · youtube.com/@JesusTassaroloSinFiltro&amp;C&amp;7 Modelo financiero de embudos · creado por Jesús Tassarolo · TooAudience · youtube.com/@JesusTassaroloSinFiltro&amp;RPágina &amp;P de &amp;N</evenFooter>
    <firstHeader/>
    <firstFooter/>
  </headerFooter>
</worksheet>
</file>

<file path=xl/worksheets/sheet2.xml><?xml version="1.0" encoding="utf-8"?>
<worksheet xmlns="http://schemas.openxmlformats.org/spreadsheetml/2006/main">
  <sheetPr>
    <outlinePr summaryBelow="1" summaryRight="1"/>
    <pageSetUpPr/>
  </sheetPr>
  <dimension ref="A1:D36"/>
  <sheetViews>
    <sheetView showGridLines="0" workbookViewId="0">
      <selection activeCell="A1" sqref="A1"/>
    </sheetView>
  </sheetViews>
  <sheetFormatPr baseColWidth="8" defaultRowHeight="15"/>
  <cols>
    <col width="2" customWidth="1" min="1" max="1"/>
    <col width="52" customWidth="1" min="2" max="2"/>
    <col width="18" customWidth="1" min="3" max="3"/>
    <col width="60" customWidth="1" min="4" max="4"/>
  </cols>
  <sheetData>
    <row r="1">
      <c r="B1" s="1" t="inlineStr">
        <is>
          <t>© Jesús Tassarolo · TooAudience · youtube.com/@JesusTassaroloSinFiltro · uso personal; no redistribuir modificado</t>
        </is>
      </c>
    </row>
    <row r="2">
      <c r="B2" s="2" t="inlineStr">
        <is>
          <t>Resumen: lo que hay que mirar</t>
        </is>
      </c>
    </row>
    <row r="3">
      <c r="B3" s="3" t="inlineStr">
        <is>
          <t>Todo sale de Modelo con los supuestos del escenario en uso. Cambiá Supuestos y esto se actualiza.</t>
        </is>
      </c>
    </row>
    <row r="5">
      <c r="B5" s="6" t="inlineStr">
        <is>
          <t>Indicador</t>
        </is>
      </c>
      <c r="C5" s="6" t="inlineStr">
        <is>
          <t>Valor</t>
        </is>
      </c>
      <c r="D5" s="6" t="inlineStr">
        <is>
          <t>Qué significa</t>
        </is>
      </c>
    </row>
    <row r="6">
      <c r="B6" s="7" t="inlineStr">
        <is>
          <t>Resultado del mes</t>
        </is>
      </c>
      <c r="C6" s="8" t="n"/>
      <c r="D6" s="8" t="n"/>
    </row>
    <row r="7">
      <c r="B7" t="inlineStr">
        <is>
          <t>Ganancia del período</t>
        </is>
      </c>
      <c r="C7" s="9">
        <f>'Modelo'!$C$41</f>
        <v/>
      </c>
      <c r="D7" s="5" t="inlineStr">
        <is>
          <t>Cash neto menos costos y menos inversión. Lo que queda.</t>
        </is>
      </c>
    </row>
    <row r="8">
      <c r="B8" t="inlineStr">
        <is>
          <t>ROAS sobre cash neto</t>
        </is>
      </c>
      <c r="C8" s="10">
        <f>'Modelo'!$C$43</f>
        <v/>
      </c>
      <c r="D8" s="5" t="inlineStr">
        <is>
          <t>Cada dólar invertido vuelve como esto, ya neto.</t>
        </is>
      </c>
    </row>
    <row r="9">
      <c r="B9" t="inlineStr">
        <is>
          <t>ROAS sobre facturado</t>
        </is>
      </c>
      <c r="C9" s="10">
        <f>'Modelo'!$C$42</f>
        <v/>
      </c>
      <c r="D9" s="5" t="inlineStr">
        <is>
          <t>Sobre facturado. Se infla con cuotas y comisiones: no decidas con este.</t>
        </is>
      </c>
    </row>
    <row r="10">
      <c r="B10" t="inlineStr">
        <is>
          <t>Ventas del producto principal</t>
        </is>
      </c>
      <c r="C10" s="11">
        <f>'Modelo'!$C$10</f>
        <v/>
      </c>
      <c r="D10" s="5" t="inlineStr">
        <is>
          <t>Ventas del producto principal por mes.</t>
        </is>
      </c>
    </row>
    <row r="11">
      <c r="B11" s="7" t="inlineStr">
        <is>
          <t>Unit economics</t>
        </is>
      </c>
      <c r="C11" s="8" t="n"/>
      <c r="D11" s="8" t="n"/>
    </row>
    <row r="12">
      <c r="B12" t="inlineStr">
        <is>
          <t>Facturado por comprador (AOV)</t>
        </is>
      </c>
      <c r="C12" s="12">
        <f>'Modelo'!$C$30</f>
        <v/>
      </c>
      <c r="D12" s="5" t="inlineStr">
        <is>
          <t>Facturado por comprador sumando toda la escalera.</t>
        </is>
      </c>
    </row>
    <row r="13">
      <c r="B13" t="inlineStr">
        <is>
          <t>Costo por comprador (CPA)</t>
        </is>
      </c>
      <c r="C13" s="12">
        <f>'Modelo'!$C$12</f>
        <v/>
      </c>
      <c r="D13" s="5" t="inlineStr">
        <is>
          <t>Lo que te cuesta cada comprador.</t>
        </is>
      </c>
    </row>
    <row r="14">
      <c r="B14" t="inlineStr">
        <is>
          <t>AOV neto − CPA (lo que queda por comprador)</t>
        </is>
      </c>
      <c r="C14" s="12">
        <f>'Modelo'!$C$54</f>
        <v/>
      </c>
      <c r="D14" s="5" t="inlineStr">
        <is>
          <t>Si es negativo, cada venta pierde plata.</t>
        </is>
      </c>
    </row>
    <row r="15">
      <c r="B15" t="inlineStr">
        <is>
          <t>Valor neto por visita</t>
        </is>
      </c>
      <c r="C15" s="12">
        <f>'Modelo'!$C$47</f>
        <v/>
      </c>
      <c r="D15" s="5" t="inlineStr">
        <is>
          <t>Lo que vale una visita en cash neto.</t>
        </is>
      </c>
    </row>
    <row r="16">
      <c r="B16" s="7" t="inlineStr">
        <is>
          <t>Las dos caras de cada número</t>
        </is>
      </c>
      <c r="C16" s="8" t="n"/>
      <c r="D16" s="8" t="n"/>
    </row>
    <row r="17">
      <c r="B17" t="inlineStr">
        <is>
          <t>Costo por visita</t>
        </is>
      </c>
      <c r="C17" s="12">
        <f>'Modelo'!$C$7</f>
        <v/>
      </c>
      <c r="D17" s="5" t="inlineStr">
        <is>
          <t>Lo que pagás por cada visita.</t>
        </is>
      </c>
    </row>
    <row r="18">
      <c r="B18" t="inlineStr">
        <is>
          <t>Ganancia por visita</t>
        </is>
      </c>
      <c r="C18" s="12">
        <f>'Modelo'!$C$60</f>
        <v/>
      </c>
      <c r="D18" s="5" t="inlineStr">
        <is>
          <t>Lo que te queda por cada visita después de todo. La métrica más valiosa del embudo.</t>
        </is>
      </c>
    </row>
    <row r="19">
      <c r="B19" t="inlineStr">
        <is>
          <t>Costo por cliente (CPA)</t>
        </is>
      </c>
      <c r="C19" s="12">
        <f>'Modelo'!$C$12</f>
        <v/>
      </c>
      <c r="D19" s="5" t="inlineStr">
        <is>
          <t>Lo que pagás por cada comprador.</t>
        </is>
      </c>
    </row>
    <row r="20">
      <c r="B20" t="inlineStr">
        <is>
          <t>Ganancia por cliente</t>
        </is>
      </c>
      <c r="C20" s="12">
        <f>'Modelo'!$C$62</f>
        <v/>
      </c>
      <c r="D20" s="5" t="inlineStr">
        <is>
          <t>Lo que te queda por cada comprador después de todo.</t>
        </is>
      </c>
    </row>
    <row r="21">
      <c r="B21" t="inlineStr">
        <is>
          <t>Order value (AOV)</t>
        </is>
      </c>
      <c r="C21" s="12">
        <f>'Modelo'!$C$30</f>
        <v/>
      </c>
      <c r="D21" s="5" t="inlineStr">
        <is>
          <t>Facturado por comprador con toda la escalera.</t>
        </is>
      </c>
    </row>
    <row r="22">
      <c r="B22" t="inlineStr">
        <is>
          <t>Order value neto (AOV neto)</t>
        </is>
      </c>
      <c r="C22" s="12">
        <f>'Modelo'!$C$53</f>
        <v/>
      </c>
      <c r="D22" s="5" t="inlineStr">
        <is>
          <t>Lo mismo después de comisiones, reembolsos y costos por unidad.</t>
        </is>
      </c>
    </row>
    <row r="23">
      <c r="B23" s="7" t="inlineStr">
        <is>
          <t>Hasta cuánto pagar</t>
        </is>
      </c>
      <c r="C23" s="8" t="n"/>
      <c r="D23" s="8" t="n"/>
    </row>
    <row r="24">
      <c r="B24" t="inlineStr">
        <is>
          <t>Techo de costo por visita (break-even)</t>
        </is>
      </c>
      <c r="C24" s="12">
        <f>'Modelo'!$C$48</f>
        <v/>
      </c>
      <c r="D24" s="5" t="inlineStr">
        <is>
          <t>Costo por visita donde no ganás ni perdés.</t>
        </is>
      </c>
    </row>
    <row r="25">
      <c r="B25" t="inlineStr">
        <is>
          <t>Objetivo de costo por visita</t>
        </is>
      </c>
      <c r="C25" s="12">
        <f>'Modelo'!$C$49</f>
        <v/>
      </c>
      <c r="D25" s="5" t="inlineStr">
        <is>
          <t>A este costo o menos estás en verde.</t>
        </is>
      </c>
    </row>
    <row r="26">
      <c r="B26" t="inlineStr">
        <is>
          <t>Techo de costo por comprador (CPA máximo)</t>
        </is>
      </c>
      <c r="C26" s="12">
        <f>'Modelo'!$C$51</f>
        <v/>
      </c>
      <c r="D26" s="5" t="inlineStr">
        <is>
          <t>CPA máximo si lo demás se mantiene.</t>
        </is>
      </c>
    </row>
    <row r="27">
      <c r="B27" t="inlineStr">
        <is>
          <t>Semáforo del costo por visita actual</t>
        </is>
      </c>
      <c r="C27" s="13">
        <f>'Modelo'!$C$56</f>
        <v/>
      </c>
      <c r="D27" s="5" t="inlineStr">
        <is>
          <t>Tu costo por visita actual contra techo y objetivo.</t>
        </is>
      </c>
    </row>
    <row r="28">
      <c r="B28" s="7" t="inlineStr">
        <is>
          <t>Cuánto invertir y cuánta caja</t>
        </is>
      </c>
      <c r="C28" s="8" t="n"/>
      <c r="D28" s="8" t="n"/>
    </row>
    <row r="29">
      <c r="B29" t="inlineStr">
        <is>
          <t>Inversión necesaria para la meta de ventas (al costo actual)</t>
        </is>
      </c>
      <c r="C29" s="9">
        <f>'Modelo'!$C$57</f>
        <v/>
      </c>
      <c r="D29" s="5" t="inlineStr">
        <is>
          <t>Para llegar a la meta de ventas de Supuestos, al costo actual.</t>
        </is>
      </c>
    </row>
    <row r="30">
      <c r="B30" t="inlineStr">
        <is>
          <t>Caja que hay que tener (peor momento de la proyección)</t>
        </is>
      </c>
      <c r="C30" s="9">
        <f>'Proyección 12 meses'!$C$18</f>
        <v/>
      </c>
      <c r="D30" s="5" t="inlineStr">
        <is>
          <t>Si da 0, el embudo se autofinancia: cada mes cobra más de lo que invierte.</t>
        </is>
      </c>
    </row>
    <row r="31">
      <c r="B31" t="inlineStr">
        <is>
          <t>Saldo mínimo de caja con tu caja inicial</t>
        </is>
      </c>
      <c r="C31" s="9">
        <f>'Proyección 12 meses'!$C$19</f>
        <v/>
      </c>
      <c r="D31" s="5" t="inlineStr">
        <is>
          <t>Si es negativo, la caja inicial no alcanza.</t>
        </is>
      </c>
    </row>
    <row r="32">
      <c r="B32" t="inlineStr">
        <is>
          <t>Ganancia acumulada en 12 meses</t>
        </is>
      </c>
      <c r="C32" s="9">
        <f>'Proyección 12 meses'!$C$20</f>
        <v/>
      </c>
      <c r="D32" s="5" t="inlineStr">
        <is>
          <t>Con la inversión creciendo según el supuesto.</t>
        </is>
      </c>
    </row>
    <row r="34" ht="32" customHeight="1">
      <c r="B34" s="4" t="inlineStr">
        <is>
          <t>Recomendación según el semáforo</t>
        </is>
      </c>
      <c r="C34" s="14">
        <f>IF('Modelo'!$C$56="VERDE","Sostener o subir un escalón (+25 %) y medir 7 días",IF('Modelo'!$C$56="AMARILLO","No subir. Si el costo está bien, el ROAS no llega al objetivo: mirá Sensibilidad. Si no, revisar en orden: CPM, creativo, página",IF('Modelo'!$C$56="ROJO","Bajar un escalón (−25 %) y arreglar antes de volver a subir","")))</f>
        <v/>
      </c>
      <c r="D34" s="15" t="n"/>
    </row>
    <row r="36">
      <c r="B36" s="3" t="inlineStr">
        <is>
          <t>Modelo financiero de embudos · creado por Jesús Tassarolo · TooAudience · youtube.com/@JesusTassaroloSinFiltro · v1.2 · octubre 2026</t>
        </is>
      </c>
    </row>
  </sheetData>
  <mergeCells count="1">
    <mergeCell ref="C34:D34"/>
  </mergeCells>
  <conditionalFormatting sqref="C5:C34">
    <cfRule type="expression" priority="1" dxfId="0">
      <formula>LEFT(C5,5)="VERDE"</formula>
    </cfRule>
    <cfRule type="expression" priority="2" dxfId="1">
      <formula>LEFT(C5,8)="AMARILLO"</formula>
    </cfRule>
    <cfRule type="expression" priority="3" dxfId="2">
      <formula>LEFT(C5,4)="ROJO"</formula>
    </cfRule>
  </conditionalFormatting>
  <pageMargins left="0.75" right="0.75" top="1" bottom="1" header="0.5" footer="0.5"/>
  <headerFooter>
    <oddHeader>&amp;CJesús Tassarolo · TooAudience&amp;R&amp;D</oddHeader>
    <oddFooter>&amp;LModelo financiero de embudos · creado por Jesús Tassarolo · TooAudience · youtube.com/@JesusTassaroloSinFiltro&amp;C&amp;7 Modelo financiero de embudos · creado por Jesús Tassarolo · TooAudience · youtube.com/@JesusTassaroloSinFiltro&amp;RPágina &amp;P de &amp;N</oddFooter>
    <evenHeader>&amp;CJesús Tassarolo · TooAudience</evenHeader>
    <evenFooter>&amp;LModelo financiero de embudos · creado por Jesús Tassarolo · TooAudience · youtube.com/@JesusTassaroloSinFiltro&amp;C&amp;7 Modelo financiero de embudos · creado por Jesús Tassarolo · TooAudience · youtube.com/@JesusTassaroloSinFiltro&amp;RPágina &amp;P de &amp;N</evenFooter>
    <firstHeader/>
    <firstFooter/>
  </headerFooter>
</worksheet>
</file>

<file path=xl/worksheets/sheet3.xml><?xml version="1.0" encoding="utf-8"?>
<worksheet xmlns="http://schemas.openxmlformats.org/spreadsheetml/2006/main">
  <sheetPr>
    <outlinePr summaryBelow="1" summaryRight="1"/>
    <pageSetUpPr/>
  </sheetPr>
  <dimension ref="A1:I2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 customWidth="1" min="1" max="1"/>
    <col width="46" customWidth="1" min="2" max="2"/>
    <col width="13" customWidth="1" min="3" max="3"/>
    <col width="13" customWidth="1" min="4" max="4"/>
    <col width="13" customWidth="1" min="5" max="5"/>
    <col width="15" customWidth="1" min="6" max="6"/>
    <col width="15" customWidth="1" min="7" max="7"/>
    <col width="15" customWidth="1" min="8" max="8"/>
    <col width="50" customWidth="1" min="9" max="9"/>
  </cols>
  <sheetData>
    <row r="1">
      <c r="B1" s="1" t="inlineStr">
        <is>
          <t>© Jesús Tassarolo · TooAudience · youtube.com/@JesusTassaroloSinFiltro · uso personal; no redistribuir modificado</t>
        </is>
      </c>
    </row>
    <row r="2">
      <c r="B2" s="2" t="inlineStr">
        <is>
          <t>Embudo: todos los pasos, cuántos pasan y, por cada uno, qué pagás, qué te queda y hasta cuánto podrías pagar</t>
        </is>
      </c>
    </row>
    <row r="3">
      <c r="B3" s="3" t="inlineStr">
        <is>
          <t>Cada fila es un paso del embudo en orden. '% que pasa' compara con el paso anterior (o con el que dice la nota). Tres números por paso: lo que pagás hoy por cada uno (inversión ÷ cantidad), lo que te queda por cada uno (ganancia ÷ cantidad) y lo máximo que podrías pagar (el techo: lo que cada uno genera en cash neto). Techo = costo + ganancia + fijos repartidos.</t>
        </is>
      </c>
    </row>
    <row r="5">
      <c r="B5" s="6" t="inlineStr">
        <is>
          <t>Paso</t>
        </is>
      </c>
      <c r="C5" s="6" t="inlineStr">
        <is>
          <t>Cantidad</t>
        </is>
      </c>
      <c r="D5" s="6" t="inlineStr">
        <is>
          <t>% que pasa</t>
        </is>
      </c>
      <c r="E5" s="6" t="inlineStr">
        <is>
          <t>% acumulado</t>
        </is>
      </c>
      <c r="F5" s="6" t="inlineStr">
        <is>
          <t>Costo por paso (pagás hoy)</t>
        </is>
      </c>
      <c r="G5" s="6" t="inlineStr">
        <is>
          <t>Ganancia por paso (te queda)</t>
        </is>
      </c>
      <c r="H5" s="6" t="inlineStr">
        <is>
          <t>Techo por paso (máximo a pagar)</t>
        </is>
      </c>
      <c r="I5" s="6" t="inlineStr">
        <is>
          <t>Qué se paga acá / cómo se lee</t>
        </is>
      </c>
    </row>
    <row r="6">
      <c r="B6" s="4" t="inlineStr">
        <is>
          <t>Visitas a la página de ventas (VSL)</t>
        </is>
      </c>
      <c r="C6" s="16">
        <f>'Modelo'!$C$8</f>
        <v/>
      </c>
      <c r="D6" t="inlineStr">
        <is>
          <t>—</t>
        </is>
      </c>
      <c r="E6" s="17">
        <f>IF('Modelo'!$C$8=0,0,'Modelo'!$C$8/'Modelo'!$C$8)</f>
        <v/>
      </c>
      <c r="F6" s="12">
        <f>IF('Modelo'!$C$8=0,0,'Supuestos'!$C$8*1/'Modelo'!$C$8)</f>
        <v/>
      </c>
      <c r="G6" s="12">
        <f>IF('Modelo'!$C$8=0,0,'Modelo'!$C$41*1/'Modelo'!$C$8)</f>
        <v/>
      </c>
      <c r="H6" s="12">
        <f>IF('Modelo'!$C$8=0,0,'Modelo'!$C$47*'Modelo'!$C$8*1/'Modelo'!$C$8)</f>
        <v/>
      </c>
      <c r="I6" s="5" t="inlineStr">
        <is>
          <t>La unidad que compra la pauta. Costo por visita.</t>
        </is>
      </c>
    </row>
    <row r="7">
      <c r="B7" t="inlineStr">
        <is>
          <t>Abren el checkout</t>
        </is>
      </c>
      <c r="C7" s="16">
        <f>'Modelo'!$C$9</f>
        <v/>
      </c>
      <c r="D7" s="18">
        <f>IF('Modelo'!$C$8=0,0,'Modelo'!$C$9/'Modelo'!$C$8)</f>
        <v/>
      </c>
      <c r="E7" s="17">
        <f>IF('Modelo'!$C$8=0,0,'Modelo'!$C$9/'Modelo'!$C$8)</f>
        <v/>
      </c>
      <c r="F7" s="12">
        <f>IF('Modelo'!$C$9=0,0,'Supuestos'!$C$8*1/'Modelo'!$C$9)</f>
        <v/>
      </c>
      <c r="G7" s="12">
        <f>IF('Modelo'!$C$9=0,0,'Modelo'!$C$41*1/'Modelo'!$C$9)</f>
        <v/>
      </c>
      <c r="H7" s="12">
        <f>IF('Modelo'!$C$9=0,0,'Modelo'!$C$47*'Modelo'!$C$8*1/'Modelo'!$C$9)</f>
        <v/>
      </c>
      <c r="I7" s="5" t="inlineStr">
        <is>
          <t>Costo por checkout. Si se pierde mucho acá, es la VSL.</t>
        </is>
      </c>
    </row>
    <row r="8">
      <c r="B8" s="4" t="inlineStr">
        <is>
          <t>Compran el producto principal</t>
        </is>
      </c>
      <c r="C8" s="16">
        <f>'Modelo'!$C$10</f>
        <v/>
      </c>
      <c r="D8" s="18">
        <f>IF('Modelo'!$C$9=0,0,'Modelo'!$C$10/'Modelo'!$C$9)</f>
        <v/>
      </c>
      <c r="E8" s="17">
        <f>IF('Modelo'!$C$8=0,0,'Modelo'!$C$10/'Modelo'!$C$8)</f>
        <v/>
      </c>
      <c r="F8" s="12">
        <f>IF('Modelo'!$C$10=0,0,'Supuestos'!$C$8*1/'Modelo'!$C$10)</f>
        <v/>
      </c>
      <c r="G8" s="12">
        <f>IF('Modelo'!$C$10=0,0,'Modelo'!$C$41*1/'Modelo'!$C$10)</f>
        <v/>
      </c>
      <c r="H8" s="12">
        <f>IF('Modelo'!$C$10=0,0,'Modelo'!$C$47*'Modelo'!$C$8*1/'Modelo'!$C$10)</f>
        <v/>
      </c>
      <c r="I8" s="5" t="inlineStr">
        <is>
          <t>CPA: costo por comprador. Si se pierde mucho acá, es el checkout o la oferta.</t>
        </is>
      </c>
    </row>
    <row r="9">
      <c r="B9" t="inlineStr">
        <is>
          <t>Toman el bump 1</t>
        </is>
      </c>
      <c r="C9" s="16">
        <f>'Modelo'!$C$15</f>
        <v/>
      </c>
      <c r="D9" s="18">
        <f>IF('Modelo'!$C$10=0,0,'Modelo'!$C$15/'Modelo'!$C$10)</f>
        <v/>
      </c>
      <c r="E9" s="17">
        <f>IF('Modelo'!$C$8=0,0,'Modelo'!$C$15/'Modelo'!$C$8)</f>
        <v/>
      </c>
      <c r="F9" t="inlineStr">
        <is>
          <t>sin costo propio</t>
        </is>
      </c>
      <c r="G9" t="inlineStr">
        <is>
          <t>—</t>
        </is>
      </c>
      <c r="H9" t="inlineStr">
        <is>
          <t>—</t>
        </is>
      </c>
      <c r="I9" s="5" t="inlineStr">
        <is>
          <t>Sobre compradores del principal. Se pagó con el CPA; suma al AOV.</t>
        </is>
      </c>
    </row>
    <row r="10">
      <c r="B10" t="inlineStr">
        <is>
          <t>Toman el bump 2</t>
        </is>
      </c>
      <c r="C10" s="16">
        <f>'Modelo'!$C$17</f>
        <v/>
      </c>
      <c r="D10" s="18">
        <f>IF('Modelo'!$C$10=0,0,'Modelo'!$C$17/'Modelo'!$C$10)</f>
        <v/>
      </c>
      <c r="E10" s="17">
        <f>IF('Modelo'!$C$8=0,0,'Modelo'!$C$17/'Modelo'!$C$8)</f>
        <v/>
      </c>
      <c r="F10" t="inlineStr">
        <is>
          <t>sin costo propio</t>
        </is>
      </c>
      <c r="G10" t="inlineStr">
        <is>
          <t>—</t>
        </is>
      </c>
      <c r="H10" t="inlineStr">
        <is>
          <t>—</t>
        </is>
      </c>
      <c r="I10" s="5" t="inlineStr">
        <is>
          <t>Sobre compradores del principal.</t>
        </is>
      </c>
    </row>
    <row r="11">
      <c r="B11" t="inlineStr">
        <is>
          <t>Toman la OTO 1</t>
        </is>
      </c>
      <c r="C11" s="16">
        <f>'Modelo'!$C$19</f>
        <v/>
      </c>
      <c r="D11" s="18">
        <f>IF('Modelo'!$C$10=0,0,'Modelo'!$C$19/'Modelo'!$C$10)</f>
        <v/>
      </c>
      <c r="E11" s="17">
        <f>IF('Modelo'!$C$8=0,0,'Modelo'!$C$19/'Modelo'!$C$8)</f>
        <v/>
      </c>
      <c r="F11" t="inlineStr">
        <is>
          <t>sin costo propio</t>
        </is>
      </c>
      <c r="G11" t="inlineStr">
        <is>
          <t>—</t>
        </is>
      </c>
      <c r="H11" t="inlineStr">
        <is>
          <t>—</t>
        </is>
      </c>
      <c r="I11" s="5" t="inlineStr">
        <is>
          <t>Página 1 después del pago.</t>
        </is>
      </c>
    </row>
    <row r="12">
      <c r="B12" t="inlineStr">
        <is>
          <t>Toman la OTO 2</t>
        </is>
      </c>
      <c r="C12" s="16">
        <f>'Modelo'!$C$21</f>
        <v/>
      </c>
      <c r="D12" s="18">
        <f>IF('Modelo'!$C$10=0,0,'Modelo'!$C$21/'Modelo'!$C$10)</f>
        <v/>
      </c>
      <c r="E12" s="17">
        <f>IF('Modelo'!$C$8=0,0,'Modelo'!$C$21/'Modelo'!$C$8)</f>
        <v/>
      </c>
      <c r="F12" t="inlineStr">
        <is>
          <t>sin costo propio</t>
        </is>
      </c>
      <c r="G12" t="inlineStr">
        <is>
          <t>—</t>
        </is>
      </c>
      <c r="H12" t="inlineStr">
        <is>
          <t>—</t>
        </is>
      </c>
      <c r="I12" s="5" t="inlineStr">
        <is>
          <t>Página 2 (downsell de la OTO 1).</t>
        </is>
      </c>
    </row>
    <row r="13">
      <c r="B13" t="inlineStr">
        <is>
          <t>Toman la OTO 3</t>
        </is>
      </c>
      <c r="C13" s="16">
        <f>'Modelo'!$C$23</f>
        <v/>
      </c>
      <c r="D13" s="18">
        <f>IF('Modelo'!$C$10=0,0,'Modelo'!$C$23/'Modelo'!$C$10)</f>
        <v/>
      </c>
      <c r="E13" s="17">
        <f>IF('Modelo'!$C$8=0,0,'Modelo'!$C$23/'Modelo'!$C$8)</f>
        <v/>
      </c>
      <c r="F13" t="inlineStr">
        <is>
          <t>sin costo propio</t>
        </is>
      </c>
      <c r="G13" t="inlineStr">
        <is>
          <t>—</t>
        </is>
      </c>
      <c r="H13" t="inlineStr">
        <is>
          <t>—</t>
        </is>
      </c>
      <c r="I13" s="5" t="inlineStr">
        <is>
          <t>Página 3.</t>
        </is>
      </c>
    </row>
    <row r="14">
      <c r="B14" t="inlineStr">
        <is>
          <t>Toman la OTO 4</t>
        </is>
      </c>
      <c r="C14" s="16">
        <f>'Modelo'!$C$25</f>
        <v/>
      </c>
      <c r="D14" s="18">
        <f>IF('Modelo'!$C$10=0,0,'Modelo'!$C$25/'Modelo'!$C$10)</f>
        <v/>
      </c>
      <c r="E14" s="17">
        <f>IF('Modelo'!$C$8=0,0,'Modelo'!$C$25/'Modelo'!$C$8)</f>
        <v/>
      </c>
      <c r="F14" t="inlineStr">
        <is>
          <t>sin costo propio</t>
        </is>
      </c>
      <c r="G14" t="inlineStr">
        <is>
          <t>—</t>
        </is>
      </c>
      <c r="H14" t="inlineStr">
        <is>
          <t>—</t>
        </is>
      </c>
      <c r="I14" s="5" t="inlineStr">
        <is>
          <t>Página 4.</t>
        </is>
      </c>
    </row>
    <row r="15">
      <c r="B15" t="inlineStr">
        <is>
          <t>Ascienden al programa</t>
        </is>
      </c>
      <c r="C15" s="16">
        <f>'Modelo'!$C$27</f>
        <v/>
      </c>
      <c r="D15" s="18">
        <f>IF('Modelo'!$C$10=0,0,'Modelo'!$C$27/'Modelo'!$C$10)</f>
        <v/>
      </c>
      <c r="E15" s="17">
        <f>IF('Modelo'!$C$8=0,0,'Modelo'!$C$27/'Modelo'!$C$8)</f>
        <v/>
      </c>
      <c r="F15" t="inlineStr">
        <is>
          <t>sin costo propio</t>
        </is>
      </c>
      <c r="G15" t="inlineStr">
        <is>
          <t>—</t>
        </is>
      </c>
      <c r="H15" t="inlineStr">
        <is>
          <t>—</t>
        </is>
      </c>
      <c r="I15" s="5" t="inlineStr">
        <is>
          <t>Sobre compradores del principal. El AOV neto resultante contra el CPA es lo que decide el embudo.</t>
        </is>
      </c>
    </row>
    <row r="17">
      <c r="B17" s="4" t="inlineStr">
        <is>
          <t>Comprobalo con la fila de la unidad: costo + ganancia + fijos repartidos = techo</t>
        </is>
      </c>
      <c r="F17" s="19">
        <f>F6</f>
        <v/>
      </c>
      <c r="G17" s="19">
        <f>G6</f>
        <v/>
      </c>
      <c r="H17" s="12">
        <f>F6+G6+'Supuestos'!$C$37/'Modelo'!$C$8</f>
        <v/>
      </c>
      <c r="I17" s="5" t="inlineStr">
        <is>
          <t>Techo = costo + ganancia + fijos ÷ unidades. Lo que falta entre (costo + ganancia) y el techo son los costos fijos repartidos entre las unidades.</t>
        </is>
      </c>
    </row>
    <row r="18">
      <c r="B18" s="4" t="inlineStr">
        <is>
          <t>Cómo se lee</t>
        </is>
      </c>
    </row>
    <row r="19" ht="28" customHeight="1">
      <c r="B19" s="5" t="inlineStr">
        <is>
          <t>Cantidad: cuántas acciones o personas hubo en ese paso con los supuestos del escenario en uso.</t>
        </is>
      </c>
    </row>
    <row r="20" ht="28" customHeight="1">
      <c r="B20" s="5" t="inlineStr">
        <is>
          <t>% que pasa: de los que estaban en el paso anterior (o en el paso que indica la nota), cuántos llegan a este. % acumulado: cuántos llegan a este paso por cada 100 unidades que compra la pauta.</t>
        </is>
      </c>
    </row>
    <row r="21" ht="28" customHeight="1">
      <c r="B21" s="5" t="inlineStr">
        <is>
          <t>Costo por paso: inversión ÷ cantidad. Es lo que te está costando hoy cada persona que llega a ese paso.</t>
        </is>
      </c>
    </row>
    <row r="22" ht="28" customHeight="1">
      <c r="B22" s="5" t="inlineStr">
        <is>
          <t>Ganancia por paso: ganancia del período ÷ cantidad. Lo que te queda por cada persona de ese paso después de pagar la pauta, las comisiones, los reembolsos y los fijos. La ganancia por visita es la métrica más valiosa del embudo: resume todo lo que pasa después.</t>
        </is>
      </c>
    </row>
    <row r="23" ht="28" customHeight="1">
      <c r="B23" s="5" t="inlineStr">
        <is>
          <t>Techo por paso: lo que cada persona de ese paso genera en cash neto (cash neto menos costos por unidad, dividido por la cantidad). Es lo máximo que podrías pagar por ese paso antes de que la ganancia llegue a cero, si lo demás se mantiene. Por eso siempre es mayor que la ganancia: techo = costo + ganancia + fijos repartidos.</t>
        </is>
      </c>
    </row>
    <row r="24" ht="28" customHeight="1">
      <c r="B24" s="5" t="inlineStr">
        <is>
          <t>Los bumps, las OTOs y la ascensión no tienen costo propio: se pagan con el CPA del comprador principal y se miden por lo que suman al AOV.</t>
        </is>
      </c>
    </row>
  </sheetData>
  <mergeCells count="6">
    <mergeCell ref="B21:I21"/>
    <mergeCell ref="B24:I24"/>
    <mergeCell ref="B20:I20"/>
    <mergeCell ref="B22:I22"/>
    <mergeCell ref="B19:I19"/>
    <mergeCell ref="B23:I23"/>
  </mergeCells>
  <pageMargins left="0.75" right="0.75" top="1" bottom="1" header="0.5" footer="0.5"/>
  <headerFooter>
    <oddHeader>&amp;CJesús Tassarolo · TooAudience&amp;R&amp;D</oddHeader>
    <oddFooter>&amp;LModelo financiero de embudos · creado por Jesús Tassarolo · TooAudience · youtube.com/@JesusTassaroloSinFiltro&amp;C&amp;7 Modelo financiero de embudos · creado por Jesús Tassarolo · TooAudience · youtube.com/@JesusTassaroloSinFiltro&amp;RPágina &amp;P de &amp;N</oddFooter>
    <evenHeader>&amp;CJesús Tassarolo · TooAudience</evenHeader>
    <evenFooter>&amp;LModelo financiero de embudos · creado por Jesús Tassarolo · TooAudience · youtube.com/@JesusTassaroloSinFiltro&amp;C&amp;7 Modelo financiero de embudos · creado por Jesús Tassarolo · TooAudience · youtube.com/@JesusTassaroloSinFiltro&amp;RPágina &amp;P de &amp;N</evenFooter>
    <firstHeader/>
    <firstFooter/>
  </headerFooter>
</worksheet>
</file>

<file path=xl/worksheets/sheet4.xml><?xml version="1.0" encoding="utf-8"?>
<worksheet xmlns="http://schemas.openxmlformats.org/spreadsheetml/2006/main">
  <sheetPr>
    <outlinePr summaryBelow="1" summaryRight="1"/>
    <pageSetUpPr/>
  </sheetPr>
  <dimension ref="A1:H4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 customWidth="1" min="1" max="1"/>
    <col width="58" customWidth="1" min="2" max="2"/>
    <col width="16" customWidth="1" min="3" max="3"/>
    <col width="14" customWidth="1" min="4" max="4"/>
    <col width="14" customWidth="1" min="5" max="5"/>
    <col width="14" customWidth="1" min="6" max="6"/>
    <col width="12" customWidth="1" min="7" max="7"/>
    <col width="70" customWidth="1" min="8" max="8"/>
  </cols>
  <sheetData>
    <row r="1">
      <c r="B1" s="1" t="inlineStr">
        <is>
          <t>© Jesús Tassarolo · TooAudience · youtube.com/@JesusTassaroloSinFiltro · uso personal; no redistribuir modificado</t>
        </is>
      </c>
    </row>
    <row r="2">
      <c r="B2" s="2" t="inlineStr">
        <is>
          <t>Supuestos</t>
        </is>
      </c>
    </row>
    <row r="3">
      <c r="B3" s="3" t="inlineStr">
        <is>
          <t>Celdas amarillas = las editás vos. Celdas azules = se calculan solas. Cada fila dice en qué unidad va y de dónde sale el valor del ejemplo.</t>
        </is>
      </c>
    </row>
    <row r="5">
      <c r="B5" s="6" t="inlineStr">
        <is>
          <t>Supuesto</t>
        </is>
      </c>
      <c r="C5" s="6" t="inlineStr">
        <is>
          <t>Valor en uso</t>
        </is>
      </c>
      <c r="D5" s="6" t="inlineStr">
        <is>
          <t>Conservador</t>
        </is>
      </c>
      <c r="E5" s="6" t="inlineStr">
        <is>
          <t>Base</t>
        </is>
      </c>
      <c r="F5" s="6" t="inlineStr">
        <is>
          <t>Optimista</t>
        </is>
      </c>
      <c r="G5" s="6" t="inlineStr">
        <is>
          <t>Unidad</t>
        </is>
      </c>
      <c r="H5" s="6" t="inlineStr">
        <is>
          <t>Nota / fuente del ejemplo</t>
        </is>
      </c>
    </row>
    <row r="6">
      <c r="B6" s="4" t="inlineStr">
        <is>
          <t>Escenario en uso (1 = conservador · 2 = base · 3 = optimista)</t>
        </is>
      </c>
      <c r="C6" s="20" t="n">
        <v>2</v>
      </c>
      <c r="G6" t="inlineStr">
        <is>
          <t>1 / 2 / 3</t>
        </is>
      </c>
      <c r="H6" s="5" t="inlineStr">
        <is>
          <t>Cambia todas las filas que tienen tres valores. Si una fila no tiene tres valores, se usa el de 'Valor en uso'.</t>
        </is>
      </c>
    </row>
    <row r="7">
      <c r="B7" s="7" t="inlineStr">
        <is>
          <t>1. Inversión y tráfico</t>
        </is>
      </c>
      <c r="C7" s="8" t="n"/>
      <c r="D7" s="8" t="n"/>
      <c r="E7" s="8" t="n"/>
      <c r="F7" s="8" t="n"/>
      <c r="G7" s="8" t="n"/>
      <c r="H7" s="8" t="n"/>
    </row>
    <row r="8">
      <c r="B8" t="inlineStr">
        <is>
          <t>Inversión en publicidad por mes</t>
        </is>
      </c>
      <c r="C8" s="21" t="n">
        <v>9000</v>
      </c>
      <c r="G8" t="inlineStr">
        <is>
          <t>USD / mes</t>
        </is>
      </c>
      <c r="H8" s="5" t="inlineStr">
        <is>
          <t>El ejemplo invierte 300 USD por día.</t>
        </is>
      </c>
    </row>
    <row r="9">
      <c r="B9" t="inlineStr">
        <is>
          <t>Costo por visita a la página de ventas (VSL)</t>
        </is>
      </c>
      <c r="C9" s="19">
        <f>IF('Supuestos'!$C$6=1,D9,IF('Supuestos'!$C$6=2,E9,F9))</f>
        <v/>
      </c>
      <c r="D9" s="22" t="n">
        <v>0.4</v>
      </c>
      <c r="E9" s="22" t="n">
        <v>0.3</v>
      </c>
      <c r="F9" s="22" t="n">
        <v>0.22</v>
      </c>
      <c r="G9" t="inlineStr">
        <is>
          <t>USD / visita</t>
        </is>
      </c>
      <c r="H9" s="5" t="inlineStr">
        <is>
          <t>Lo que pagás por cada persona que llega a la página. En tráfico frío hispano se mueve entre 0,20 y 0,50.</t>
        </is>
      </c>
    </row>
    <row r="11">
      <c r="B11" s="7" t="inlineStr">
        <is>
          <t>2. Conversión de la página de ventas</t>
        </is>
      </c>
      <c r="C11" s="8" t="n"/>
      <c r="D11" s="8" t="n"/>
      <c r="E11" s="8" t="n"/>
      <c r="F11" s="8" t="n"/>
      <c r="G11" s="8" t="n"/>
      <c r="H11" s="8" t="n"/>
    </row>
    <row r="12">
      <c r="B12" t="inlineStr">
        <is>
          <t>% de visitas que llegan al checkout</t>
        </is>
      </c>
      <c r="C12" s="18">
        <f>IF('Supuestos'!$C$6=1,D12,IF('Supuestos'!$C$6=2,E12,F12))</f>
        <v/>
      </c>
      <c r="D12" s="23" t="n">
        <v>0.025</v>
      </c>
      <c r="E12" s="23" t="n">
        <v>0.035</v>
      </c>
      <c r="F12" s="23" t="n">
        <v>0.045</v>
      </c>
      <c r="G12" t="inlineStr">
        <is>
          <t>%</t>
        </is>
      </c>
      <c r="H12" s="5" t="inlineStr">
        <is>
          <t>Visitas que tocan 'comprar' y abren el checkout.</t>
        </is>
      </c>
    </row>
    <row r="13">
      <c r="B13" t="inlineStr">
        <is>
          <t>% de checkouts que terminan en compra</t>
        </is>
      </c>
      <c r="C13" s="18">
        <f>IF('Supuestos'!$C$6=1,D13,IF('Supuestos'!$C$6=2,E13,F13))</f>
        <v/>
      </c>
      <c r="D13" s="23" t="n">
        <v>0.2</v>
      </c>
      <c r="E13" s="23" t="n">
        <v>0.26</v>
      </c>
      <c r="F13" s="23" t="n">
        <v>0.3</v>
      </c>
      <c r="G13" t="inlineStr">
        <is>
          <t>%</t>
        </is>
      </c>
      <c r="H13" s="5" t="inlineStr">
        <is>
          <t>Checkouts que pagan.</t>
        </is>
      </c>
    </row>
    <row r="15">
      <c r="B15" s="7" t="inlineStr">
        <is>
          <t>3. Escalera: producto principal → bumps 1 y 2 → OTO 1 a 4 → ascensión (precio y % sobre compradores del principal)</t>
        </is>
      </c>
      <c r="C15" s="8" t="n"/>
      <c r="D15" s="8" t="n"/>
      <c r="E15" s="8" t="n"/>
      <c r="F15" s="8" t="n"/>
      <c r="G15" s="8" t="n"/>
      <c r="H15" s="8" t="n"/>
    </row>
    <row r="16">
      <c r="B16" t="inlineStr">
        <is>
          <t>Producto principal: precio</t>
        </is>
      </c>
      <c r="C16" s="22" t="n">
        <v>37</v>
      </c>
      <c r="G16" t="inlineStr">
        <is>
          <t>USD</t>
        </is>
      </c>
      <c r="H16" s="5" t="inlineStr">
        <is>
          <t>El producto que vende la VSL. Todo lo demás se mide como % de sus compradores.</t>
        </is>
      </c>
    </row>
    <row r="17">
      <c r="B17" t="inlineStr">
        <is>
          <t>Bump 1: precio</t>
        </is>
      </c>
      <c r="C17" s="22" t="n">
        <v>17</v>
      </c>
      <c r="G17" t="inlineStr">
        <is>
          <t>USD</t>
        </is>
      </c>
      <c r="H17" s="5" t="inlineStr">
        <is>
          <t>Oferta extra en el checkout del principal (una casilla). % sobre compradores del principal.</t>
        </is>
      </c>
    </row>
    <row r="18">
      <c r="B18" t="inlineStr">
        <is>
          <t>Bump 1: % de compradores que lo toman</t>
        </is>
      </c>
      <c r="C18" s="18">
        <f>IF('Supuestos'!$C$6=1,D18,IF('Supuestos'!$C$6=2,E18,F18))</f>
        <v/>
      </c>
      <c r="D18" s="23" t="n">
        <v>0.18</v>
      </c>
      <c r="E18" s="23" t="n">
        <v>0.25</v>
      </c>
      <c r="F18" s="23" t="n">
        <v>0.35</v>
      </c>
      <c r="G18" t="inlineStr">
        <is>
          <t>%</t>
        </is>
      </c>
      <c r="H18" s="5" t="inlineStr"/>
    </row>
    <row r="19">
      <c r="B19" t="inlineStr">
        <is>
          <t>Bump 2: precio</t>
        </is>
      </c>
      <c r="C19" s="22" t="n">
        <v>17</v>
      </c>
      <c r="G19" t="inlineStr">
        <is>
          <t>USD</t>
        </is>
      </c>
      <c r="H19" s="5" t="inlineStr">
        <is>
          <t>Segundo bump en el mismo checkout. Rinde algo menos que el primero.</t>
        </is>
      </c>
    </row>
    <row r="20">
      <c r="B20" t="inlineStr">
        <is>
          <t>Bump 2: % de compradores que lo toman</t>
        </is>
      </c>
      <c r="C20" s="18">
        <f>IF('Supuestos'!$C$6=1,D20,IF('Supuestos'!$C$6=2,E20,F20))</f>
        <v/>
      </c>
      <c r="D20" s="23" t="n">
        <v>0.12</v>
      </c>
      <c r="E20" s="23" t="n">
        <v>0.18</v>
      </c>
      <c r="F20" s="23" t="n">
        <v>0.25</v>
      </c>
      <c r="G20" t="inlineStr">
        <is>
          <t>%</t>
        </is>
      </c>
      <c r="H20" s="5" t="inlineStr"/>
    </row>
    <row r="21">
      <c r="B21" t="inlineStr">
        <is>
          <t>OTO 1: precio</t>
        </is>
      </c>
      <c r="C21" s="22" t="n">
        <v>47</v>
      </c>
      <c r="G21" t="inlineStr">
        <is>
          <t>USD</t>
        </is>
      </c>
      <c r="H21" s="5" t="inlineStr">
        <is>
          <t>Página 1 después del pago: el primer upsell. % sobre compradores del principal.</t>
        </is>
      </c>
    </row>
    <row r="22">
      <c r="B22" t="inlineStr">
        <is>
          <t>OTO 1: % de compradores que lo toman</t>
        </is>
      </c>
      <c r="C22" s="18">
        <f>IF('Supuestos'!$C$6=1,D22,IF('Supuestos'!$C$6=2,E22,F22))</f>
        <v/>
      </c>
      <c r="D22" s="23" t="n">
        <v>0.07000000000000001</v>
      </c>
      <c r="E22" s="23" t="n">
        <v>0.1</v>
      </c>
      <c r="F22" s="23" t="n">
        <v>0.14</v>
      </c>
      <c r="G22" t="inlineStr">
        <is>
          <t>%</t>
        </is>
      </c>
      <c r="H22" s="5" t="inlineStr"/>
    </row>
    <row r="23">
      <c r="B23" t="inlineStr">
        <is>
          <t>OTO 2: precio</t>
        </is>
      </c>
      <c r="C23" s="22" t="n">
        <v>17</v>
      </c>
      <c r="G23" t="inlineStr">
        <is>
          <t>USD</t>
        </is>
      </c>
      <c r="H23" s="5" t="inlineStr">
        <is>
          <t>Página 2: suele ser el downsell de la OTO 1 (más barato). El % va sobre todos los compradores, para simplificar.</t>
        </is>
      </c>
    </row>
    <row r="24">
      <c r="B24" t="inlineStr">
        <is>
          <t>OTO 2: % de compradores que lo toman</t>
        </is>
      </c>
      <c r="C24" s="18">
        <f>IF('Supuestos'!$C$6=1,D24,IF('Supuestos'!$C$6=2,E24,F24))</f>
        <v/>
      </c>
      <c r="D24" s="23" t="n">
        <v>0.04</v>
      </c>
      <c r="E24" s="23" t="n">
        <v>0.06</v>
      </c>
      <c r="F24" s="23" t="n">
        <v>0.09</v>
      </c>
      <c r="G24" t="inlineStr">
        <is>
          <t>%</t>
        </is>
      </c>
      <c r="H24" s="5" t="inlineStr"/>
    </row>
    <row r="25">
      <c r="B25" t="inlineStr">
        <is>
          <t>OTO 3: precio</t>
        </is>
      </c>
      <c r="C25" s="22" t="n">
        <v>97</v>
      </c>
      <c r="G25" t="inlineStr">
        <is>
          <t>USD</t>
        </is>
      </c>
      <c r="H25" s="5" t="inlineStr">
        <is>
          <t>Página 3: el segundo upsell.</t>
        </is>
      </c>
    </row>
    <row r="26">
      <c r="B26" t="inlineStr">
        <is>
          <t>OTO 3: % de compradores que lo toman</t>
        </is>
      </c>
      <c r="C26" s="18">
        <f>IF('Supuestos'!$C$6=1,D26,IF('Supuestos'!$C$6=2,E26,F26))</f>
        <v/>
      </c>
      <c r="D26" s="23" t="n">
        <v>0.02</v>
      </c>
      <c r="E26" s="23" t="n">
        <v>0.03</v>
      </c>
      <c r="F26" s="23" t="n">
        <v>0.05</v>
      </c>
      <c r="G26" t="inlineStr">
        <is>
          <t>%</t>
        </is>
      </c>
      <c r="H26" s="5" t="inlineStr"/>
    </row>
    <row r="27">
      <c r="B27" t="inlineStr">
        <is>
          <t>OTO 4: precio</t>
        </is>
      </c>
      <c r="C27" s="22" t="n">
        <v>27</v>
      </c>
      <c r="G27" t="inlineStr">
        <is>
          <t>USD</t>
        </is>
      </c>
      <c r="H27" s="5" t="inlineStr">
        <is>
          <t>Página 4: el downsell del segundo upsell.</t>
        </is>
      </c>
    </row>
    <row r="28">
      <c r="B28" t="inlineStr">
        <is>
          <t>OTO 4: % de compradores que lo toman</t>
        </is>
      </c>
      <c r="C28" s="18">
        <f>IF('Supuestos'!$C$6=1,D28,IF('Supuestos'!$C$6=2,E28,F28))</f>
        <v/>
      </c>
      <c r="D28" s="23" t="n">
        <v>0.03</v>
      </c>
      <c r="E28" s="23" t="n">
        <v>0.04</v>
      </c>
      <c r="F28" s="23" t="n">
        <v>0.06</v>
      </c>
      <c r="G28" t="inlineStr">
        <is>
          <t>%</t>
        </is>
      </c>
      <c r="H28" s="5" t="inlineStr"/>
    </row>
    <row r="29">
      <c r="B29" t="inlineStr">
        <is>
          <t>Ascensión (programa de mayor valor): precio</t>
        </is>
      </c>
      <c r="C29" s="22" t="n">
        <v>297</v>
      </c>
      <c r="G29" t="inlineStr">
        <is>
          <t>USD</t>
        </is>
      </c>
      <c r="H29" s="5" t="inlineStr">
        <is>
          <t>El upsell de ascensión: el programa que se vende después del embudo, por checkout o por llamada. % sobre compradores del principal.</t>
        </is>
      </c>
    </row>
    <row r="30">
      <c r="B30" t="inlineStr">
        <is>
          <t>Ascensión (programa de mayor valor): % de compradores que lo toman</t>
        </is>
      </c>
      <c r="C30" s="18">
        <f>IF('Supuestos'!$C$6=1,D30,IF('Supuestos'!$C$6=2,E30,F30))</f>
        <v/>
      </c>
      <c r="D30" s="23" t="n">
        <v>0.01</v>
      </c>
      <c r="E30" s="23" t="n">
        <v>0.02</v>
      </c>
      <c r="F30" s="23" t="n">
        <v>0.04</v>
      </c>
      <c r="G30" t="inlineStr">
        <is>
          <t>%</t>
        </is>
      </c>
      <c r="H30" s="5" t="inlineStr"/>
    </row>
    <row r="32">
      <c r="B32" s="7" t="inlineStr">
        <is>
          <t>4. Costos</t>
        </is>
      </c>
      <c r="C32" s="8" t="n"/>
      <c r="D32" s="8" t="n"/>
      <c r="E32" s="8" t="n"/>
      <c r="F32" s="8" t="n"/>
      <c r="G32" s="8" t="n"/>
      <c r="H32" s="8" t="n"/>
    </row>
    <row r="33">
      <c r="B33" t="inlineStr">
        <is>
          <t>Comisión de la pasarela o plataforma de pago</t>
        </is>
      </c>
      <c r="C33" s="23" t="n">
        <v>0.1</v>
      </c>
      <c r="G33" t="inlineStr">
        <is>
          <t>% del cash</t>
        </is>
      </c>
      <c r="H33" s="5" t="inlineStr">
        <is>
          <t>Hotmart, Stripe, Mercado Pago: lo que se queda la plataforma.</t>
        </is>
      </c>
    </row>
    <row r="34">
      <c r="B34" t="inlineStr">
        <is>
          <t>Comisión del equipo de ventas</t>
        </is>
      </c>
      <c r="C34" s="23" t="n">
        <v>0</v>
      </c>
      <c r="G34" t="inlineStr">
        <is>
          <t>% del cash</t>
        </is>
      </c>
      <c r="H34" s="5" t="inlineStr">
        <is>
          <t>Sobre el cash cobrado. En este embudo no hay llamadas: 0 %.</t>
        </is>
      </c>
    </row>
    <row r="35">
      <c r="B35" t="inlineStr">
        <is>
          <t>Reembolsos y contracargos</t>
        </is>
      </c>
      <c r="C35" s="23" t="n">
        <v>0.05</v>
      </c>
      <c r="G35" t="inlineStr">
        <is>
          <t>% del cash</t>
        </is>
      </c>
      <c r="H35" s="5" t="inlineStr">
        <is>
          <t>5 % es normal en productos digitales. Más de 10 % es un problema de oferta o de expectativa.</t>
        </is>
      </c>
    </row>
    <row r="36">
      <c r="B36" t="inlineStr">
        <is>
          <t>Costos por visita (herramientas, WhatsApp, IA)</t>
        </is>
      </c>
      <c r="C36" s="22" t="n">
        <v>0</v>
      </c>
      <c r="G36" t="inlineStr">
        <is>
          <t>USD / visita</t>
        </is>
      </c>
      <c r="H36" s="5" t="inlineStr">
        <is>
          <t>Costos que crecen con el volumen. En venta directa suele ser 0.</t>
        </is>
      </c>
    </row>
    <row r="37">
      <c r="B37" t="inlineStr">
        <is>
          <t>Costos fijos por mes</t>
        </is>
      </c>
      <c r="C37" s="21" t="n">
        <v>1500</v>
      </c>
      <c r="G37" t="inlineStr">
        <is>
          <t>USD / mes</t>
        </is>
      </c>
      <c r="H37" s="5" t="inlineStr">
        <is>
          <t>Equipo, herramientas, edición: lo que pagás aunque no vendas.</t>
        </is>
      </c>
    </row>
    <row r="39">
      <c r="B39" s="7" t="inlineStr">
        <is>
          <t>5. Cobranza</t>
        </is>
      </c>
      <c r="C39" s="8" t="n"/>
      <c r="D39" s="8" t="n"/>
      <c r="E39" s="8" t="n"/>
      <c r="F39" s="8" t="n"/>
      <c r="G39" s="8" t="n"/>
      <c r="H39" s="8" t="n"/>
    </row>
    <row r="40">
      <c r="B40" t="inlineStr">
        <is>
          <t>% del facturado que entra en el mes 1</t>
        </is>
      </c>
      <c r="C40" s="23" t="n">
        <v>1</v>
      </c>
      <c r="G40" t="inlineStr">
        <is>
          <t>%</t>
        </is>
      </c>
      <c r="H40" s="5" t="inlineStr">
        <is>
          <t>Pago único digital: 100 % en el mes 1.</t>
        </is>
      </c>
    </row>
    <row r="41">
      <c r="B41" t="inlineStr">
        <is>
          <t>% que entra en el mes 2</t>
        </is>
      </c>
      <c r="C41" s="23" t="n">
        <v>0</v>
      </c>
      <c r="G41" t="inlineStr">
        <is>
          <t>%</t>
        </is>
      </c>
      <c r="H41" s="5" t="inlineStr">
        <is>
          <t>Cuotas o pagos diferidos.</t>
        </is>
      </c>
    </row>
    <row r="42">
      <c r="B42" t="inlineStr">
        <is>
          <t>% que entra en el mes 3</t>
        </is>
      </c>
      <c r="C42" s="23" t="n">
        <v>0</v>
      </c>
      <c r="G42" t="inlineStr">
        <is>
          <t>%</t>
        </is>
      </c>
      <c r="H42" s="5" t="inlineStr">
        <is>
          <t>Los tres deben sumar 100 %.</t>
        </is>
      </c>
    </row>
    <row r="44">
      <c r="B44" s="7" t="inlineStr">
        <is>
          <t>6. Objetivos y proyección</t>
        </is>
      </c>
      <c r="C44" s="8" t="n"/>
      <c r="D44" s="8" t="n"/>
      <c r="E44" s="8" t="n"/>
      <c r="F44" s="8" t="n"/>
      <c r="G44" s="8" t="n"/>
      <c r="H44" s="8" t="n"/>
    </row>
    <row r="45">
      <c r="B45" t="inlineStr">
        <is>
          <t>ROAS objetivo sobre cash neto</t>
        </is>
      </c>
      <c r="C45" s="24" t="n">
        <v>2</v>
      </c>
      <c r="G45" t="inlineStr">
        <is>
          <t>x</t>
        </is>
      </c>
      <c r="H45" s="5" t="inlineStr">
        <is>
          <t>El retorno mínimo que querés por cada dólar invertido, después de comisiones y reembolsos. Entra en el semáforo: sin llegar a este ROAS no hay verde.</t>
        </is>
      </c>
    </row>
    <row r="46">
      <c r="B46" t="inlineStr">
        <is>
          <t>Margen de seguridad</t>
        </is>
      </c>
      <c r="C46" s="23" t="n">
        <v>0.3</v>
      </c>
      <c r="G46" t="inlineStr">
        <is>
          <t>%</t>
        </is>
      </c>
      <c r="H46" s="5" t="inlineStr">
        <is>
          <t>Colchón entre el techo (donde no ganás ni perdés) y el objetivo. 30 % es el estándar que usamos.</t>
        </is>
      </c>
    </row>
    <row r="47">
      <c r="B47" t="inlineStr">
        <is>
          <t>Meta de ventas del producto principal</t>
        </is>
      </c>
      <c r="C47" s="20" t="n">
        <v>500</v>
      </c>
      <c r="G47" t="inlineStr">
        <is>
          <t>ventas / mes</t>
        </is>
      </c>
      <c r="H47" s="5" t="inlineStr">
        <is>
          <t>Para calcular cuánto invertir.</t>
        </is>
      </c>
    </row>
    <row r="48">
      <c r="B48" t="inlineStr">
        <is>
          <t>Crecimiento de la inversión por mes (proyección)</t>
        </is>
      </c>
      <c r="C48" s="23" t="n">
        <v>0.1</v>
      </c>
      <c r="G48" t="inlineStr">
        <is>
          <t>% / mes</t>
        </is>
      </c>
      <c r="H48" s="5" t="inlineStr">
        <is>
          <t>Cuánto sube la inversión cada mes en la proyección. 10 % por mes es un ritmo prudente; más de 25 % suele encarecer el CPM.</t>
        </is>
      </c>
    </row>
    <row r="49">
      <c r="B49" t="inlineStr">
        <is>
          <t>Caja inicial</t>
        </is>
      </c>
      <c r="C49" s="21" t="n">
        <v>5000</v>
      </c>
      <c r="G49" t="inlineStr">
        <is>
          <t>USD</t>
        </is>
      </c>
      <c r="H49" s="5" t="inlineStr">
        <is>
          <t>Con cuánta plata arrancás. La proyección te dice si alcanza.</t>
        </is>
      </c>
    </row>
  </sheetData>
  <pageMargins left="0.75" right="0.75" top="1" bottom="1" header="0.5" footer="0.5"/>
  <headerFooter>
    <oddHeader>&amp;CJesús Tassarolo · TooAudience&amp;R&amp;D</oddHeader>
    <oddFooter>&amp;LModelo financiero de embudos · creado por Jesús Tassarolo · TooAudience · youtube.com/@JesusTassaroloSinFiltro&amp;C&amp;7 Modelo financiero de embudos · creado por Jesús Tassarolo · TooAudience · youtube.com/@JesusTassaroloSinFiltro&amp;RPágina &amp;P de &amp;N</oddFooter>
    <evenHeader>&amp;CJesús Tassarolo · TooAudience</evenHeader>
    <evenFooter>&amp;LModelo financiero de embudos · creado por Jesús Tassarolo · TooAudience · youtube.com/@JesusTassaroloSinFiltro&amp;C&amp;7 Modelo financiero de embudos · creado por Jesús Tassarolo · TooAudience · youtube.com/@JesusTassaroloSinFiltro&amp;RPágina &amp;P de &amp;N</evenFooter>
    <firstHeader/>
    <firstFooter/>
  </headerFooter>
</worksheet>
</file>

<file path=xl/worksheets/sheet5.xml><?xml version="1.0" encoding="utf-8"?>
<worksheet xmlns="http://schemas.openxmlformats.org/spreadsheetml/2006/main">
  <sheetPr>
    <outlinePr summaryBelow="1" summaryRight="1"/>
    <pageSetUpPr/>
  </sheetPr>
  <dimension ref="A1:D6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 customWidth="1" min="1" max="1"/>
    <col width="60" customWidth="1" min="2" max="2"/>
    <col width="18" customWidth="1" min="3" max="3"/>
    <col width="72" customWidth="1" min="4" max="4"/>
  </cols>
  <sheetData>
    <row r="1">
      <c r="B1" s="1" t="inlineStr">
        <is>
          <t>© Jesús Tassarolo · TooAudience · youtube.com/@JesusTassaroloSinFiltro · uso personal; no redistribuir modificado</t>
        </is>
      </c>
    </row>
    <row r="2">
      <c r="B2" s="2" t="inlineStr">
        <is>
          <t>Modelo: la cadena completa del embudo</t>
        </is>
      </c>
    </row>
    <row r="3">
      <c r="B3" s="3" t="inlineStr">
        <is>
          <t>Cada fila es una etapa o un resultado. No se edita: todo sale de Supuestos. La columna de la derecha dice cómo se calcula.</t>
        </is>
      </c>
    </row>
    <row r="5">
      <c r="B5" s="6" t="inlineStr">
        <is>
          <t>Etapa / resultado</t>
        </is>
      </c>
      <c r="C5" s="6" t="inlineStr">
        <is>
          <t>Valor</t>
        </is>
      </c>
      <c r="D5" s="6" t="inlineStr">
        <is>
          <t>Cómo se calcula</t>
        </is>
      </c>
    </row>
    <row r="6">
      <c r="B6" s="7" t="inlineStr">
        <is>
          <t>Tráfico y unidades</t>
        </is>
      </c>
      <c r="C6" s="8" t="n"/>
      <c r="D6" s="8" t="n"/>
    </row>
    <row r="7">
      <c r="B7" t="inlineStr">
        <is>
          <t>Costo por visita (unidad de adquisición)</t>
        </is>
      </c>
      <c r="C7" s="19">
        <f>'Supuestos'!$C$9</f>
        <v/>
      </c>
      <c r="D7" s="5" t="inlineStr">
        <is>
          <t>El supuesto 'costo por visita'.</t>
        </is>
      </c>
    </row>
    <row r="8">
      <c r="B8" s="4" t="inlineStr">
        <is>
          <t>Visitas a la página de ventas</t>
        </is>
      </c>
      <c r="C8" s="25">
        <f>IF('Modelo'!$C$7=0,0,'Supuestos'!$C$8/'Modelo'!$C$7)</f>
        <v/>
      </c>
      <c r="D8" s="5" t="inlineStr">
        <is>
          <t>Inversión ÷ costo por visita.</t>
        </is>
      </c>
    </row>
    <row r="9">
      <c r="B9" t="inlineStr">
        <is>
          <t>Checkouts iniciados</t>
        </is>
      </c>
      <c r="C9" s="16">
        <f>'Modelo'!$C$8*'Supuestos'!$C$12</f>
        <v/>
      </c>
      <c r="D9" s="5" t="inlineStr">
        <is>
          <t>Visitas × % que llega al checkout.</t>
        </is>
      </c>
    </row>
    <row r="10">
      <c r="B10" s="4" t="inlineStr">
        <is>
          <t>Ventas del producto principal</t>
        </is>
      </c>
      <c r="C10" s="11">
        <f>'Modelo'!$C$9*'Supuestos'!$C$13</f>
        <v/>
      </c>
      <c r="D10" s="5" t="inlineStr">
        <is>
          <t>Checkouts × % que compra.</t>
        </is>
      </c>
    </row>
    <row r="11">
      <c r="B11" t="inlineStr">
        <is>
          <t>% de visitas que compran</t>
        </is>
      </c>
      <c r="C11" s="17">
        <f>IF('Modelo'!$C$8=0,0,'Modelo'!$C$10/'Modelo'!$C$8)</f>
        <v/>
      </c>
      <c r="D11" s="5" t="inlineStr">
        <is>
          <t>Ventas ÷ visitas. Las dos conversiones multiplicadas.</t>
        </is>
      </c>
    </row>
    <row r="12">
      <c r="B12" s="4" t="inlineStr">
        <is>
          <t>Costo por comprador (CPA)</t>
        </is>
      </c>
      <c r="C12" s="12">
        <f>IF('Modelo'!$C$10=0,0,'Supuestos'!$C$8/'Modelo'!$C$10)</f>
        <v/>
      </c>
      <c r="D12" s="5" t="inlineStr">
        <is>
          <t>Inversión ÷ ventas del principal.</t>
        </is>
      </c>
    </row>
    <row r="13">
      <c r="B13" s="7" t="inlineStr">
        <is>
          <t>Facturación por producto</t>
        </is>
      </c>
      <c r="C13" s="8" t="n"/>
      <c r="D13" s="8" t="n"/>
    </row>
    <row r="14">
      <c r="B14" t="inlineStr">
        <is>
          <t>Facturado: producto principal</t>
        </is>
      </c>
      <c r="C14" s="26">
        <f>'Modelo'!$C$10*'Supuestos'!$C$16</f>
        <v/>
      </c>
      <c r="D14" s="5" t="inlineStr">
        <is>
          <t>Ventas × precio.</t>
        </is>
      </c>
    </row>
    <row r="15">
      <c r="B15" t="inlineStr">
        <is>
          <t>Ventas: Bump 1</t>
        </is>
      </c>
      <c r="C15" s="27">
        <f>'Modelo'!$C$10*'Supuestos'!$C$18</f>
        <v/>
      </c>
      <c r="D15" s="5" t="inlineStr">
        <is>
          <t>Compradores del principal × % que lo toma.</t>
        </is>
      </c>
    </row>
    <row r="16">
      <c r="B16" t="inlineStr">
        <is>
          <t>Facturado: Bump 1</t>
        </is>
      </c>
      <c r="C16" s="26">
        <f>'Modelo'!$C$15*'Supuestos'!$C$17</f>
        <v/>
      </c>
      <c r="D16" s="5" t="inlineStr">
        <is>
          <t>Ventas × precio.</t>
        </is>
      </c>
    </row>
    <row r="17">
      <c r="B17" t="inlineStr">
        <is>
          <t>Ventas: Bump 2</t>
        </is>
      </c>
      <c r="C17" s="27">
        <f>'Modelo'!$C$10*'Supuestos'!$C$20</f>
        <v/>
      </c>
      <c r="D17" s="5" t="inlineStr">
        <is>
          <t>Compradores del principal × % que lo toma.</t>
        </is>
      </c>
    </row>
    <row r="18">
      <c r="B18" t="inlineStr">
        <is>
          <t>Facturado: Bump 2</t>
        </is>
      </c>
      <c r="C18" s="26">
        <f>'Modelo'!$C$17*'Supuestos'!$C$19</f>
        <v/>
      </c>
      <c r="D18" s="5" t="inlineStr">
        <is>
          <t>Ventas × precio.</t>
        </is>
      </c>
    </row>
    <row r="19">
      <c r="B19" t="inlineStr">
        <is>
          <t>Ventas: OTO 1</t>
        </is>
      </c>
      <c r="C19" s="27">
        <f>'Modelo'!$C$10*'Supuestos'!$C$22</f>
        <v/>
      </c>
      <c r="D19" s="5" t="inlineStr">
        <is>
          <t>Compradores del principal × % que lo toma.</t>
        </is>
      </c>
    </row>
    <row r="20">
      <c r="B20" t="inlineStr">
        <is>
          <t>Facturado: OTO 1</t>
        </is>
      </c>
      <c r="C20" s="26">
        <f>'Modelo'!$C$19*'Supuestos'!$C$21</f>
        <v/>
      </c>
      <c r="D20" s="5" t="inlineStr">
        <is>
          <t>Ventas × precio.</t>
        </is>
      </c>
    </row>
    <row r="21">
      <c r="B21" t="inlineStr">
        <is>
          <t>Ventas: OTO 2</t>
        </is>
      </c>
      <c r="C21" s="27">
        <f>'Modelo'!$C$10*'Supuestos'!$C$24</f>
        <v/>
      </c>
      <c r="D21" s="5" t="inlineStr">
        <is>
          <t>Compradores del principal × % que lo toma.</t>
        </is>
      </c>
    </row>
    <row r="22">
      <c r="B22" t="inlineStr">
        <is>
          <t>Facturado: OTO 2</t>
        </is>
      </c>
      <c r="C22" s="26">
        <f>'Modelo'!$C$21*'Supuestos'!$C$23</f>
        <v/>
      </c>
      <c r="D22" s="5" t="inlineStr">
        <is>
          <t>Ventas × precio.</t>
        </is>
      </c>
    </row>
    <row r="23">
      <c r="B23" t="inlineStr">
        <is>
          <t>Ventas: OTO 3</t>
        </is>
      </c>
      <c r="C23" s="27">
        <f>'Modelo'!$C$10*'Supuestos'!$C$26</f>
        <v/>
      </c>
      <c r="D23" s="5" t="inlineStr">
        <is>
          <t>Compradores del principal × % que lo toma.</t>
        </is>
      </c>
    </row>
    <row r="24">
      <c r="B24" t="inlineStr">
        <is>
          <t>Facturado: OTO 3</t>
        </is>
      </c>
      <c r="C24" s="26">
        <f>'Modelo'!$C$23*'Supuestos'!$C$25</f>
        <v/>
      </c>
      <c r="D24" s="5" t="inlineStr">
        <is>
          <t>Ventas × precio.</t>
        </is>
      </c>
    </row>
    <row r="25">
      <c r="B25" t="inlineStr">
        <is>
          <t>Ventas: OTO 4</t>
        </is>
      </c>
      <c r="C25" s="27">
        <f>'Modelo'!$C$10*'Supuestos'!$C$28</f>
        <v/>
      </c>
      <c r="D25" s="5" t="inlineStr">
        <is>
          <t>Compradores del principal × % que lo toma.</t>
        </is>
      </c>
    </row>
    <row r="26">
      <c r="B26" t="inlineStr">
        <is>
          <t>Facturado: OTO 4</t>
        </is>
      </c>
      <c r="C26" s="26">
        <f>'Modelo'!$C$25*'Supuestos'!$C$27</f>
        <v/>
      </c>
      <c r="D26" s="5" t="inlineStr">
        <is>
          <t>Ventas × precio.</t>
        </is>
      </c>
    </row>
    <row r="27">
      <c r="B27" t="inlineStr">
        <is>
          <t>Ventas: Ascensión (programa de mayor valor)</t>
        </is>
      </c>
      <c r="C27" s="27">
        <f>'Modelo'!$C$10*'Supuestos'!$C$30</f>
        <v/>
      </c>
      <c r="D27" s="5" t="inlineStr">
        <is>
          <t>Compradores del principal × % que lo toma.</t>
        </is>
      </c>
    </row>
    <row r="28">
      <c r="B28" t="inlineStr">
        <is>
          <t>Facturado: Ascensión (programa de mayor valor)</t>
        </is>
      </c>
      <c r="C28" s="26">
        <f>'Modelo'!$C$27*'Supuestos'!$C$29</f>
        <v/>
      </c>
      <c r="D28" s="5" t="inlineStr">
        <is>
          <t>Ventas × precio.</t>
        </is>
      </c>
    </row>
    <row r="29">
      <c r="B29" s="4" t="inlineStr">
        <is>
          <t>Facturado total</t>
        </is>
      </c>
      <c r="C29" s="9">
        <f>'Modelo'!$C$14+'Modelo'!$C$16+'Modelo'!$C$18+'Modelo'!$C$20+'Modelo'!$C$22+'Modelo'!$C$24+'Modelo'!$C$26+'Modelo'!$C$28</f>
        <v/>
      </c>
      <c r="D29" s="5" t="inlineStr">
        <is>
          <t>Suma de todos los productos.</t>
        </is>
      </c>
    </row>
    <row r="30">
      <c r="B30" s="4" t="inlineStr">
        <is>
          <t>Facturado por comprador (AOV)</t>
        </is>
      </c>
      <c r="C30" s="12">
        <f>IF('Modelo'!$C$10=0,0,'Modelo'!$C$29/'Modelo'!$C$10)</f>
        <v/>
      </c>
      <c r="D30" s="5" t="inlineStr">
        <is>
          <t>Facturado total ÷ ventas del principal.</t>
        </is>
      </c>
    </row>
    <row r="31">
      <c r="B31" t="inlineStr">
        <is>
          <t>AOV ÷ precio del principal</t>
        </is>
      </c>
      <c r="C31" s="28">
        <f>IF('Supuestos'!$C$16=0,0,'Modelo'!$C$30/'Supuestos'!$C$16)</f>
        <v/>
      </c>
      <c r="D31" s="5" t="inlineStr">
        <is>
          <t>Cuánto multiplica la escalera al precio del front.</t>
        </is>
      </c>
    </row>
    <row r="32">
      <c r="B32" t="inlineStr">
        <is>
          <t>Ventas del principal por visita (para la proyección)</t>
        </is>
      </c>
      <c r="C32" s="17">
        <f>IF('Modelo'!$C$8=0,0,'Modelo'!$C$10/'Modelo'!$C$8)</f>
        <v/>
      </c>
      <c r="D32" s="5" t="inlineStr">
        <is>
          <t>Igual a '% de visitas que compran'.</t>
        </is>
      </c>
    </row>
    <row r="33">
      <c r="B33" t="inlineStr">
        <is>
          <t>Facturado por visita</t>
        </is>
      </c>
      <c r="C33" s="19">
        <f>IF('Modelo'!$C$8=0,0,'Modelo'!$C$29/'Modelo'!$C$8)</f>
        <v/>
      </c>
      <c r="D33" s="5" t="inlineStr">
        <is>
          <t>Facturado total ÷ visitas.</t>
        </is>
      </c>
    </row>
    <row r="34">
      <c r="B34" s="7" t="inlineStr">
        <is>
          <t>Cash, costos y ganancia del período</t>
        </is>
      </c>
      <c r="C34" s="8" t="n"/>
      <c r="D34" s="8" t="n"/>
    </row>
    <row r="35">
      <c r="B35" t="inlineStr">
        <is>
          <t>Cash a cobrar (facturado × cobranza completa)</t>
        </is>
      </c>
      <c r="C35" s="26">
        <f>'Modelo'!$C$29*('Supuestos'!$C$40+'Supuestos'!$C$41+'Supuestos'!$C$42)</f>
        <v/>
      </c>
      <c r="D35" s="5" t="inlineStr">
        <is>
          <t>Facturado × (mes 1 + mes 2 + mes 3). Si la cobranza suma 100 %, es igual al facturado.</t>
        </is>
      </c>
    </row>
    <row r="36">
      <c r="B36" t="inlineStr">
        <is>
          <t>Cash que entra en el primer mes</t>
        </is>
      </c>
      <c r="C36" s="26">
        <f>'Modelo'!$C$29*'Supuestos'!$C$40</f>
        <v/>
      </c>
      <c r="D36" s="5" t="inlineStr">
        <is>
          <t>Facturado × % del mes 1.</t>
        </is>
      </c>
    </row>
    <row r="37">
      <c r="B37" t="inlineStr">
        <is>
          <t>Comisiones (pasarela + ventas)</t>
        </is>
      </c>
      <c r="C37" s="26">
        <f>'Modelo'!$C$35*('Supuestos'!$C$33+'Supuestos'!$C$34)</f>
        <v/>
      </c>
      <c r="D37" s="5" t="inlineStr">
        <is>
          <t>Cash × (pasarela + equipo de ventas).</t>
        </is>
      </c>
    </row>
    <row r="38">
      <c r="B38" t="inlineStr">
        <is>
          <t>Reembolsos</t>
        </is>
      </c>
      <c r="C38" s="26">
        <f>'Modelo'!$C$35*'Supuestos'!$C$35</f>
        <v/>
      </c>
      <c r="D38" s="5" t="inlineStr">
        <is>
          <t>Cash × % de reembolsos.</t>
        </is>
      </c>
    </row>
    <row r="39">
      <c r="B39" s="4" t="inlineStr">
        <is>
          <t>Cash neto</t>
        </is>
      </c>
      <c r="C39" s="9">
        <f>'Modelo'!$C$35*(1-'Supuestos'!$C$33-'Supuestos'!$C$34-'Supuestos'!$C$35)</f>
        <v/>
      </c>
      <c r="D39" s="5" t="inlineStr">
        <is>
          <t>Cash − comisiones − reembolsos. La base de verdad.</t>
        </is>
      </c>
    </row>
    <row r="40">
      <c r="B40" t="inlineStr">
        <is>
          <t>Costos por visita (herramientas, WhatsApp, IA)</t>
        </is>
      </c>
      <c r="C40" s="26">
        <f>'Modelo'!$C$8*'Supuestos'!$C$36</f>
        <v/>
      </c>
      <c r="D40" s="5" t="inlineStr">
        <is>
          <t>Visitas × costo por visita.</t>
        </is>
      </c>
    </row>
    <row r="41">
      <c r="B41" s="4" t="inlineStr">
        <is>
          <t>Ganancia del período</t>
        </is>
      </c>
      <c r="C41" s="9">
        <f>'Modelo'!$C$39-'Modelo'!$C$40-'Supuestos'!$C$37-'Supuestos'!$C$8</f>
        <v/>
      </c>
      <c r="D41" s="5" t="inlineStr">
        <is>
          <t>Cash neto − costos por unidad − fijos − inversión.</t>
        </is>
      </c>
    </row>
    <row r="42">
      <c r="B42" t="inlineStr">
        <is>
          <t>ROAS sobre facturado</t>
        </is>
      </c>
      <c r="C42" s="28">
        <f>IF('Supuestos'!$C$8=0,0,'Modelo'!$C$29/'Supuestos'!$C$8)</f>
        <v/>
      </c>
      <c r="D42" s="5" t="inlineStr">
        <is>
          <t>Facturado ÷ inversión. El número que más se infla: no decidas con este.</t>
        </is>
      </c>
    </row>
    <row r="43">
      <c r="B43" s="4" t="inlineStr">
        <is>
          <t>ROAS sobre cash neto</t>
        </is>
      </c>
      <c r="C43" s="10">
        <f>IF('Supuestos'!$C$8=0,0,'Modelo'!$C$39/'Supuestos'!$C$8)</f>
        <v/>
      </c>
      <c r="D43" s="5" t="inlineStr">
        <is>
          <t>Cash neto ÷ inversión. Con este se decide.</t>
        </is>
      </c>
    </row>
    <row r="44">
      <c r="B44" t="inlineStr">
        <is>
          <t>Margen sobre cash</t>
        </is>
      </c>
      <c r="C44" s="18">
        <f>IF('Modelo'!$C$35=0,0,'Modelo'!$C$41/'Modelo'!$C$35)</f>
        <v/>
      </c>
      <c r="D44" s="5" t="inlineStr">
        <is>
          <t>Ganancia ÷ cash.</t>
        </is>
      </c>
    </row>
    <row r="45">
      <c r="B45" t="inlineStr">
        <is>
          <t>¿Cumple el ROAS objetivo?</t>
        </is>
      </c>
      <c r="C45" s="29">
        <f>IF('Modelo'!$C$43&gt;='Supuestos'!$C$45,"SÍ","NO")</f>
        <v/>
      </c>
      <c r="D45" s="5" t="inlineStr">
        <is>
          <t>ROAS sobre cash neto contra el objetivo de Supuestos.</t>
        </is>
      </c>
    </row>
    <row r="46">
      <c r="B46" s="7" t="inlineStr">
        <is>
          <t>Cuánto vale cada unidad y hasta cuánto pagar</t>
        </is>
      </c>
      <c r="C46" s="8" t="n"/>
      <c r="D46" s="8" t="n"/>
    </row>
    <row r="47">
      <c r="B47" s="4" t="inlineStr">
        <is>
          <t>Valor neto por visita</t>
        </is>
      </c>
      <c r="C47" s="12">
        <f>IF('Modelo'!$C$8=0,0,('Modelo'!$C$39-'Modelo'!$C$40)/'Modelo'!$C$8)</f>
        <v/>
      </c>
      <c r="D47" s="5" t="inlineStr">
        <is>
          <t>(Cash neto − costos por unidad) ÷ visitas. Lo que vale una visita.</t>
        </is>
      </c>
    </row>
    <row r="48">
      <c r="B48" s="4" t="inlineStr">
        <is>
          <t>Techo de costo por visita (break-even)</t>
        </is>
      </c>
      <c r="C48" s="12">
        <f>'Modelo'!$C$47</f>
        <v/>
      </c>
      <c r="D48" s="5" t="inlineStr">
        <is>
          <t>Igual al valor neto por visita: pagando esto no ganás ni perdés.</t>
        </is>
      </c>
    </row>
    <row r="49">
      <c r="B49" s="4" t="inlineStr">
        <is>
          <t>Objetivo de costo por visita</t>
        </is>
      </c>
      <c r="C49" s="12">
        <f>'Modelo'!$C$48/(1+'Supuestos'!$C$46)</f>
        <v/>
      </c>
      <c r="D49" s="5" t="inlineStr">
        <is>
          <t>Techo ÷ (1 + margen de seguridad).</t>
        </is>
      </c>
    </row>
    <row r="50">
      <c r="B50" t="inlineStr">
        <is>
          <t>Techo de costo por checkout</t>
        </is>
      </c>
      <c r="C50" s="19">
        <f>IF('Supuestos'!$C$12=0,0,'Modelo'!$C$47/'Supuestos'!$C$12)</f>
        <v/>
      </c>
      <c r="D50" s="5" t="inlineStr">
        <is>
          <t>Valor por visita ÷ % que llega al checkout.</t>
        </is>
      </c>
    </row>
    <row r="51">
      <c r="B51" s="4" t="inlineStr">
        <is>
          <t>Techo de costo por comprador (CPA máximo)</t>
        </is>
      </c>
      <c r="C51" s="12">
        <f>IF('Modelo'!$C$11=0,0,'Modelo'!$C$47/'Modelo'!$C$11)</f>
        <v/>
      </c>
      <c r="D51" s="5" t="inlineStr">
        <is>
          <t>Valor por visita ÷ % de visitas que compran.</t>
        </is>
      </c>
    </row>
    <row r="52">
      <c r="B52" t="inlineStr">
        <is>
          <t>Objetivo de CPA</t>
        </is>
      </c>
      <c r="C52" s="19">
        <f>'Modelo'!$C$51/(1+'Supuestos'!$C$46)</f>
        <v/>
      </c>
      <c r="D52" s="5" t="inlineStr">
        <is>
          <t>CPA máximo ÷ (1 + margen de seguridad).</t>
        </is>
      </c>
    </row>
    <row r="53">
      <c r="B53" t="inlineStr">
        <is>
          <t>Cash neto por comprador (AOV neto)</t>
        </is>
      </c>
      <c r="C53" s="19">
        <f>IF('Modelo'!$C$10=0,0,('Modelo'!$C$39-'Modelo'!$C$40)/'Modelo'!$C$10)</f>
        <v/>
      </c>
      <c r="D53" s="5" t="inlineStr">
        <is>
          <t>Lo que deja cada comprador después de comisiones y reembolsos.</t>
        </is>
      </c>
    </row>
    <row r="54">
      <c r="B54" s="4" t="inlineStr">
        <is>
          <t>AOV neto − CPA (lo que queda por comprador)</t>
        </is>
      </c>
      <c r="C54" s="12">
        <f>'Modelo'!$C$53-'Modelo'!$C$12</f>
        <v/>
      </c>
      <c r="D54" s="5" t="inlineStr">
        <is>
          <t>Si es negativo, perdés plata con cada venta.</t>
        </is>
      </c>
    </row>
    <row r="55">
      <c r="B55" s="7" t="inlineStr">
        <is>
          <t>Semáforo y cuánto invertir</t>
        </is>
      </c>
      <c r="C55" s="8" t="n"/>
      <c r="D55" s="8" t="n"/>
    </row>
    <row r="56">
      <c r="B56" s="4" t="inlineStr">
        <is>
          <t>Semáforo del costo por visita actual</t>
        </is>
      </c>
      <c r="C56" s="13">
        <f>IF('Modelo'!$C$7&gt;'Modelo'!$C$48,"ROJO",IF(AND('Modelo'!$C$7&lt;='Modelo'!$C$49,'Modelo'!$C$43&gt;='Supuestos'!$C$45),"VERDE","AMARILLO"))</f>
        <v/>
      </c>
      <c r="D56" s="5" t="inlineStr">
        <is>
          <t>Rojo: costo &gt; techo. Verde: costo ≤ objetivo y ROAS sobre cash neto ≥ objetivo. Amarillo: el resto.</t>
        </is>
      </c>
    </row>
    <row r="57">
      <c r="B57" s="4" t="inlineStr">
        <is>
          <t>Inversión necesaria para la meta de ventas (al costo actual)</t>
        </is>
      </c>
      <c r="C57" s="9">
        <f>IF('Modelo'!$C$11=0,"inalcanzable con estos supuestos",'Supuestos'!$C$47/'Modelo'!$C$11*'Modelo'!$C$7)</f>
        <v/>
      </c>
      <c r="D57" s="5" t="inlineStr">
        <is>
          <t>Meta ÷ % de visitas que compran × costo por visita.</t>
        </is>
      </c>
    </row>
    <row r="58">
      <c r="B58" t="inlineStr">
        <is>
          <t>Inversión para la meta al costo objetivo (lo máximo que conviene pagar)</t>
        </is>
      </c>
      <c r="C58" s="26">
        <f>IF('Modelo'!$C$11=0,"inalcanzable con estos supuestos",'Supuestos'!$C$47/'Modelo'!$C$11*'Modelo'!$C$49)</f>
        <v/>
      </c>
      <c r="D58" s="5" t="inlineStr">
        <is>
          <t>Lo mismo, al costo objetivo.</t>
        </is>
      </c>
    </row>
    <row r="59">
      <c r="B59" s="7" t="inlineStr">
        <is>
          <t>Ganancia por paso (las dos caras de cada número: costo por X y ganancia por X)</t>
        </is>
      </c>
      <c r="C59" s="8" t="n"/>
      <c r="D59" s="8" t="n"/>
    </row>
    <row r="60">
      <c r="B60" s="4" t="inlineStr">
        <is>
          <t>Ganancia por visita</t>
        </is>
      </c>
      <c r="C60" s="12">
        <f>IF('Modelo'!$C$8=0,0,'Modelo'!$C$41/'Modelo'!$C$8)</f>
        <v/>
      </c>
      <c r="D60" s="5" t="inlineStr">
        <is>
          <t>Ganancia del período ÷ visitas. La métrica más valiosa del embudo: resume todo lo que pasa después de la página. Su par es el costo por visita.</t>
        </is>
      </c>
    </row>
    <row r="61">
      <c r="B61" t="inlineStr">
        <is>
          <t>Ganancia por checkout</t>
        </is>
      </c>
      <c r="C61" s="19">
        <f>IF('Modelo'!$C$9=0,0,'Modelo'!$C$41/'Modelo'!$C$9)</f>
        <v/>
      </c>
      <c r="D61" s="5" t="inlineStr">
        <is>
          <t>Ganancia del período ÷ checkouts. Su par es el costo por checkout.</t>
        </is>
      </c>
    </row>
    <row r="62">
      <c r="B62" s="4" t="inlineStr">
        <is>
          <t>Ganancia por cliente</t>
        </is>
      </c>
      <c r="C62" s="12">
        <f>IF('Modelo'!$C$10=0,0,'Modelo'!$C$41/'Modelo'!$C$10)</f>
        <v/>
      </c>
      <c r="D62" s="5" t="inlineStr">
        <is>
          <t>Ganancia del período ÷ compradores del principal. Su par es el CPA; la diferencia entre AOV neto y CPA es lo que queda por cliente antes de fijos.</t>
        </is>
      </c>
    </row>
  </sheetData>
  <conditionalFormatting sqref="C5:C63">
    <cfRule type="expression" priority="1" dxfId="0">
      <formula>LEFT(C5,5)="VERDE"</formula>
    </cfRule>
    <cfRule type="expression" priority="2" dxfId="1">
      <formula>LEFT(C5,8)="AMARILLO"</formula>
    </cfRule>
    <cfRule type="expression" priority="3" dxfId="2">
      <formula>LEFT(C5,4)="ROJO"</formula>
    </cfRule>
  </conditionalFormatting>
  <pageMargins left="0.75" right="0.75" top="1" bottom="1" header="0.5" footer="0.5"/>
  <headerFooter>
    <oddHeader>&amp;CJesús Tassarolo · TooAudience&amp;R&amp;D</oddHeader>
    <oddFooter>&amp;LModelo financiero de embudos · creado por Jesús Tassarolo · TooAudience · youtube.com/@JesusTassaroloSinFiltro&amp;C&amp;7 Modelo financiero de embudos · creado por Jesús Tassarolo · TooAudience · youtube.com/@JesusTassaroloSinFiltro&amp;RPágina &amp;P de &amp;N</oddFooter>
    <evenHeader>&amp;CJesús Tassarolo · TooAudience</evenHeader>
    <evenFooter>&amp;LModelo financiero de embudos · creado por Jesús Tassarolo · TooAudience · youtube.com/@JesusTassaroloSinFiltro&amp;C&amp;7 Modelo financiero de embudos · creado por Jesús Tassarolo · TooAudience · youtube.com/@JesusTassaroloSinFiltro&amp;RPágina &amp;P de &amp;N</evenFooter>
    <firstHeader/>
    <firstFooter/>
  </headerFooter>
</worksheet>
</file>

<file path=xl/worksheets/sheet6.xml><?xml version="1.0" encoding="utf-8"?>
<worksheet xmlns="http://schemas.openxmlformats.org/spreadsheetml/2006/main">
  <sheetPr>
    <outlinePr summaryBelow="1" summaryRight="1"/>
    <pageSetUpPr/>
  </sheetPr>
  <dimension ref="A1:H57"/>
  <sheetViews>
    <sheetView showGridLines="0" workbookViewId="0">
      <selection activeCell="A1" sqref="A1"/>
    </sheetView>
  </sheetViews>
  <sheetFormatPr baseColWidth="8" defaultRowHeight="15"/>
  <cols>
    <col width="2" customWidth="1" min="1" max="1"/>
    <col width="24"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B1" s="1" t="inlineStr">
        <is>
          <t>© Jesús Tassarolo · TooAudience · youtube.com/@JesusTassaroloSinFiltro · uso personal; no redistribuir modificado</t>
        </is>
      </c>
    </row>
    <row r="2">
      <c r="B2" s="2" t="inlineStr">
        <is>
          <t>Escenarios: qué pasa si cambian el precio, la conversión o el costo</t>
        </is>
      </c>
    </row>
    <row r="3">
      <c r="B3" s="3" t="inlineStr">
        <is>
          <t>Las celdas amarillas de cada tabla (fila y columna) se pueden cambiar. Verde = ganancia, amarillo = cerca del cero, rojo = pérdida. Todo lo demás queda como en Supuestos.</t>
        </is>
      </c>
    </row>
    <row r="5">
      <c r="B5" t="inlineStr">
        <is>
          <t>Umbral de 'cerca del cero' (inversión × margen de seguridad)</t>
        </is>
      </c>
      <c r="C5" s="26">
        <f>'Supuestos'!$C$8*'Supuestos'!$C$46</f>
        <v/>
      </c>
    </row>
    <row r="7">
      <c r="B7" s="4" t="inlineStr">
        <is>
          <t>Precio del producto principal × % de checkouts que compran → ganancia del mes</t>
        </is>
      </c>
    </row>
    <row r="8">
      <c r="B8" s="3" t="inlineStr">
        <is>
          <t>Subir el precio suele bajar la conversión: la tabla muestra qué combinación gana.</t>
        </is>
      </c>
    </row>
    <row r="9">
      <c r="B9" s="4" t="inlineStr">
        <is>
          <t>Precio ↓  /  % checkout → compra →</t>
        </is>
      </c>
      <c r="C9" s="30" t="n">
        <v>0.18</v>
      </c>
      <c r="D9" s="30" t="n">
        <v>0.22</v>
      </c>
      <c r="E9" s="30" t="n">
        <v>0.26</v>
      </c>
      <c r="F9" s="30" t="n">
        <v>0.3</v>
      </c>
      <c r="G9" s="30" t="n">
        <v>0.34</v>
      </c>
    </row>
    <row r="10">
      <c r="B10" s="31" t="n">
        <v>27</v>
      </c>
      <c r="C10" s="26">
        <f>((((((((IF(('Supuestos'!$C$9)=0,0,'Supuestos'!$C$8/('Supuestos'!$C$9)))*'Supuestos'!$C$12)*C$9)*$B10)+(((((IF(('Supuestos'!$C$9)=0,0,'Supuestos'!$C$8/('Supuestos'!$C$9)))*'Supuestos'!$C$12)*C$9)*'Supuestos'!$C$18)*'Supuestos'!$C$17)+(((((IF(('Supuestos'!$C$9)=0,0,'Supuestos'!$C$8/('Supuestos'!$C$9)))*'Supuestos'!$C$12)*C$9)*'Supuestos'!$C$20)*'Supuestos'!$C$19)+(((((IF(('Supuestos'!$C$9)=0,0,'Supuestos'!$C$8/('Supuestos'!$C$9)))*'Supuestos'!$C$12)*C$9)*'Supuestos'!$C$22)*'Supuestos'!$C$21)+(((((IF(('Supuestos'!$C$9)=0,0,'Supuestos'!$C$8/('Supuestos'!$C$9)))*'Supuestos'!$C$12)*C$9)*'Supuestos'!$C$24)*'Supuestos'!$C$23)+(((((IF(('Supuestos'!$C$9)=0,0,'Supuestos'!$C$8/('Supuestos'!$C$9)))*'Supuestos'!$C$12)*C$9)*'Supuestos'!$C$26)*'Supuestos'!$C$25)+(((((IF(('Supuestos'!$C$9)=0,0,'Supuestos'!$C$8/('Supuestos'!$C$9)))*'Supuestos'!$C$12)*C$9)*'Supuestos'!$C$28)*'Supuestos'!$C$27)+(((((IF(('Supuestos'!$C$9)=0,0,'Supuestos'!$C$8/('Supuestos'!$C$9)))*'Supuestos'!$C$12)*C$9)*'Supuestos'!$C$30)*'Supuestos'!$C$29))*('Supuestos'!$C$40+'Supuestos'!$C$41+'Supuestos'!$C$42))*(1-'Supuestos'!$C$33-'Supuestos'!$C$34-'Supuestos'!$C$35))-((IF(('Supuestos'!$C$9)=0,0,'Supuestos'!$C$8/('Supuestos'!$C$9)))*'Supuestos'!$C$36)-'Supuestos'!$C$37-'Supuestos'!$C$8)</f>
        <v/>
      </c>
      <c r="D10" s="26">
        <f>((((((((IF(('Supuestos'!$C$9)=0,0,'Supuestos'!$C$8/('Supuestos'!$C$9)))*'Supuestos'!$C$12)*D$9)*$B10)+(((((IF(('Supuestos'!$C$9)=0,0,'Supuestos'!$C$8/('Supuestos'!$C$9)))*'Supuestos'!$C$12)*D$9)*'Supuestos'!$C$18)*'Supuestos'!$C$17)+(((((IF(('Supuestos'!$C$9)=0,0,'Supuestos'!$C$8/('Supuestos'!$C$9)))*'Supuestos'!$C$12)*D$9)*'Supuestos'!$C$20)*'Supuestos'!$C$19)+(((((IF(('Supuestos'!$C$9)=0,0,'Supuestos'!$C$8/('Supuestos'!$C$9)))*'Supuestos'!$C$12)*D$9)*'Supuestos'!$C$22)*'Supuestos'!$C$21)+(((((IF(('Supuestos'!$C$9)=0,0,'Supuestos'!$C$8/('Supuestos'!$C$9)))*'Supuestos'!$C$12)*D$9)*'Supuestos'!$C$24)*'Supuestos'!$C$23)+(((((IF(('Supuestos'!$C$9)=0,0,'Supuestos'!$C$8/('Supuestos'!$C$9)))*'Supuestos'!$C$12)*D$9)*'Supuestos'!$C$26)*'Supuestos'!$C$25)+(((((IF(('Supuestos'!$C$9)=0,0,'Supuestos'!$C$8/('Supuestos'!$C$9)))*'Supuestos'!$C$12)*D$9)*'Supuestos'!$C$28)*'Supuestos'!$C$27)+(((((IF(('Supuestos'!$C$9)=0,0,'Supuestos'!$C$8/('Supuestos'!$C$9)))*'Supuestos'!$C$12)*D$9)*'Supuestos'!$C$30)*'Supuestos'!$C$29))*('Supuestos'!$C$40+'Supuestos'!$C$41+'Supuestos'!$C$42))*(1-'Supuestos'!$C$33-'Supuestos'!$C$34-'Supuestos'!$C$35))-((IF(('Supuestos'!$C$9)=0,0,'Supuestos'!$C$8/('Supuestos'!$C$9)))*'Supuestos'!$C$36)-'Supuestos'!$C$37-'Supuestos'!$C$8)</f>
        <v/>
      </c>
      <c r="E10" s="26">
        <f>((((((((IF(('Supuestos'!$C$9)=0,0,'Supuestos'!$C$8/('Supuestos'!$C$9)))*'Supuestos'!$C$12)*E$9)*$B10)+(((((IF(('Supuestos'!$C$9)=0,0,'Supuestos'!$C$8/('Supuestos'!$C$9)))*'Supuestos'!$C$12)*E$9)*'Supuestos'!$C$18)*'Supuestos'!$C$17)+(((((IF(('Supuestos'!$C$9)=0,0,'Supuestos'!$C$8/('Supuestos'!$C$9)))*'Supuestos'!$C$12)*E$9)*'Supuestos'!$C$20)*'Supuestos'!$C$19)+(((((IF(('Supuestos'!$C$9)=0,0,'Supuestos'!$C$8/('Supuestos'!$C$9)))*'Supuestos'!$C$12)*E$9)*'Supuestos'!$C$22)*'Supuestos'!$C$21)+(((((IF(('Supuestos'!$C$9)=0,0,'Supuestos'!$C$8/('Supuestos'!$C$9)))*'Supuestos'!$C$12)*E$9)*'Supuestos'!$C$24)*'Supuestos'!$C$23)+(((((IF(('Supuestos'!$C$9)=0,0,'Supuestos'!$C$8/('Supuestos'!$C$9)))*'Supuestos'!$C$12)*E$9)*'Supuestos'!$C$26)*'Supuestos'!$C$25)+(((((IF(('Supuestos'!$C$9)=0,0,'Supuestos'!$C$8/('Supuestos'!$C$9)))*'Supuestos'!$C$12)*E$9)*'Supuestos'!$C$28)*'Supuestos'!$C$27)+(((((IF(('Supuestos'!$C$9)=0,0,'Supuestos'!$C$8/('Supuestos'!$C$9)))*'Supuestos'!$C$12)*E$9)*'Supuestos'!$C$30)*'Supuestos'!$C$29))*('Supuestos'!$C$40+'Supuestos'!$C$41+'Supuestos'!$C$42))*(1-'Supuestos'!$C$33-'Supuestos'!$C$34-'Supuestos'!$C$35))-((IF(('Supuestos'!$C$9)=0,0,'Supuestos'!$C$8/('Supuestos'!$C$9)))*'Supuestos'!$C$36)-'Supuestos'!$C$37-'Supuestos'!$C$8)</f>
        <v/>
      </c>
      <c r="F10" s="26">
        <f>((((((((IF(('Supuestos'!$C$9)=0,0,'Supuestos'!$C$8/('Supuestos'!$C$9)))*'Supuestos'!$C$12)*F$9)*$B10)+(((((IF(('Supuestos'!$C$9)=0,0,'Supuestos'!$C$8/('Supuestos'!$C$9)))*'Supuestos'!$C$12)*F$9)*'Supuestos'!$C$18)*'Supuestos'!$C$17)+(((((IF(('Supuestos'!$C$9)=0,0,'Supuestos'!$C$8/('Supuestos'!$C$9)))*'Supuestos'!$C$12)*F$9)*'Supuestos'!$C$20)*'Supuestos'!$C$19)+(((((IF(('Supuestos'!$C$9)=0,0,'Supuestos'!$C$8/('Supuestos'!$C$9)))*'Supuestos'!$C$12)*F$9)*'Supuestos'!$C$22)*'Supuestos'!$C$21)+(((((IF(('Supuestos'!$C$9)=0,0,'Supuestos'!$C$8/('Supuestos'!$C$9)))*'Supuestos'!$C$12)*F$9)*'Supuestos'!$C$24)*'Supuestos'!$C$23)+(((((IF(('Supuestos'!$C$9)=0,0,'Supuestos'!$C$8/('Supuestos'!$C$9)))*'Supuestos'!$C$12)*F$9)*'Supuestos'!$C$26)*'Supuestos'!$C$25)+(((((IF(('Supuestos'!$C$9)=0,0,'Supuestos'!$C$8/('Supuestos'!$C$9)))*'Supuestos'!$C$12)*F$9)*'Supuestos'!$C$28)*'Supuestos'!$C$27)+(((((IF(('Supuestos'!$C$9)=0,0,'Supuestos'!$C$8/('Supuestos'!$C$9)))*'Supuestos'!$C$12)*F$9)*'Supuestos'!$C$30)*'Supuestos'!$C$29))*('Supuestos'!$C$40+'Supuestos'!$C$41+'Supuestos'!$C$42))*(1-'Supuestos'!$C$33-'Supuestos'!$C$34-'Supuestos'!$C$35))-((IF(('Supuestos'!$C$9)=0,0,'Supuestos'!$C$8/('Supuestos'!$C$9)))*'Supuestos'!$C$36)-'Supuestos'!$C$37-'Supuestos'!$C$8)</f>
        <v/>
      </c>
      <c r="G10" s="26">
        <f>((((((((IF(('Supuestos'!$C$9)=0,0,'Supuestos'!$C$8/('Supuestos'!$C$9)))*'Supuestos'!$C$12)*G$9)*$B10)+(((((IF(('Supuestos'!$C$9)=0,0,'Supuestos'!$C$8/('Supuestos'!$C$9)))*'Supuestos'!$C$12)*G$9)*'Supuestos'!$C$18)*'Supuestos'!$C$17)+(((((IF(('Supuestos'!$C$9)=0,0,'Supuestos'!$C$8/('Supuestos'!$C$9)))*'Supuestos'!$C$12)*G$9)*'Supuestos'!$C$20)*'Supuestos'!$C$19)+(((((IF(('Supuestos'!$C$9)=0,0,'Supuestos'!$C$8/('Supuestos'!$C$9)))*'Supuestos'!$C$12)*G$9)*'Supuestos'!$C$22)*'Supuestos'!$C$21)+(((((IF(('Supuestos'!$C$9)=0,0,'Supuestos'!$C$8/('Supuestos'!$C$9)))*'Supuestos'!$C$12)*G$9)*'Supuestos'!$C$24)*'Supuestos'!$C$23)+(((((IF(('Supuestos'!$C$9)=0,0,'Supuestos'!$C$8/('Supuestos'!$C$9)))*'Supuestos'!$C$12)*G$9)*'Supuestos'!$C$26)*'Supuestos'!$C$25)+(((((IF(('Supuestos'!$C$9)=0,0,'Supuestos'!$C$8/('Supuestos'!$C$9)))*'Supuestos'!$C$12)*G$9)*'Supuestos'!$C$28)*'Supuestos'!$C$27)+(((((IF(('Supuestos'!$C$9)=0,0,'Supuestos'!$C$8/('Supuestos'!$C$9)))*'Supuestos'!$C$12)*G$9)*'Supuestos'!$C$30)*'Supuestos'!$C$29))*('Supuestos'!$C$40+'Supuestos'!$C$41+'Supuestos'!$C$42))*(1-'Supuestos'!$C$33-'Supuestos'!$C$34-'Supuestos'!$C$35))-((IF(('Supuestos'!$C$9)=0,0,'Supuestos'!$C$8/('Supuestos'!$C$9)))*'Supuestos'!$C$36)-'Supuestos'!$C$37-'Supuestos'!$C$8)</f>
        <v/>
      </c>
    </row>
    <row r="11">
      <c r="B11" s="31" t="n">
        <v>37</v>
      </c>
      <c r="C11" s="26">
        <f>((((((((IF(('Supuestos'!$C$9)=0,0,'Supuestos'!$C$8/('Supuestos'!$C$9)))*'Supuestos'!$C$12)*C$9)*$B11)+(((((IF(('Supuestos'!$C$9)=0,0,'Supuestos'!$C$8/('Supuestos'!$C$9)))*'Supuestos'!$C$12)*C$9)*'Supuestos'!$C$18)*'Supuestos'!$C$17)+(((((IF(('Supuestos'!$C$9)=0,0,'Supuestos'!$C$8/('Supuestos'!$C$9)))*'Supuestos'!$C$12)*C$9)*'Supuestos'!$C$20)*'Supuestos'!$C$19)+(((((IF(('Supuestos'!$C$9)=0,0,'Supuestos'!$C$8/('Supuestos'!$C$9)))*'Supuestos'!$C$12)*C$9)*'Supuestos'!$C$22)*'Supuestos'!$C$21)+(((((IF(('Supuestos'!$C$9)=0,0,'Supuestos'!$C$8/('Supuestos'!$C$9)))*'Supuestos'!$C$12)*C$9)*'Supuestos'!$C$24)*'Supuestos'!$C$23)+(((((IF(('Supuestos'!$C$9)=0,0,'Supuestos'!$C$8/('Supuestos'!$C$9)))*'Supuestos'!$C$12)*C$9)*'Supuestos'!$C$26)*'Supuestos'!$C$25)+(((((IF(('Supuestos'!$C$9)=0,0,'Supuestos'!$C$8/('Supuestos'!$C$9)))*'Supuestos'!$C$12)*C$9)*'Supuestos'!$C$28)*'Supuestos'!$C$27)+(((((IF(('Supuestos'!$C$9)=0,0,'Supuestos'!$C$8/('Supuestos'!$C$9)))*'Supuestos'!$C$12)*C$9)*'Supuestos'!$C$30)*'Supuestos'!$C$29))*('Supuestos'!$C$40+'Supuestos'!$C$41+'Supuestos'!$C$42))*(1-'Supuestos'!$C$33-'Supuestos'!$C$34-'Supuestos'!$C$35))-((IF(('Supuestos'!$C$9)=0,0,'Supuestos'!$C$8/('Supuestos'!$C$9)))*'Supuestos'!$C$36)-'Supuestos'!$C$37-'Supuestos'!$C$8)</f>
        <v/>
      </c>
      <c r="D11" s="26">
        <f>((((((((IF(('Supuestos'!$C$9)=0,0,'Supuestos'!$C$8/('Supuestos'!$C$9)))*'Supuestos'!$C$12)*D$9)*$B11)+(((((IF(('Supuestos'!$C$9)=0,0,'Supuestos'!$C$8/('Supuestos'!$C$9)))*'Supuestos'!$C$12)*D$9)*'Supuestos'!$C$18)*'Supuestos'!$C$17)+(((((IF(('Supuestos'!$C$9)=0,0,'Supuestos'!$C$8/('Supuestos'!$C$9)))*'Supuestos'!$C$12)*D$9)*'Supuestos'!$C$20)*'Supuestos'!$C$19)+(((((IF(('Supuestos'!$C$9)=0,0,'Supuestos'!$C$8/('Supuestos'!$C$9)))*'Supuestos'!$C$12)*D$9)*'Supuestos'!$C$22)*'Supuestos'!$C$21)+(((((IF(('Supuestos'!$C$9)=0,0,'Supuestos'!$C$8/('Supuestos'!$C$9)))*'Supuestos'!$C$12)*D$9)*'Supuestos'!$C$24)*'Supuestos'!$C$23)+(((((IF(('Supuestos'!$C$9)=0,0,'Supuestos'!$C$8/('Supuestos'!$C$9)))*'Supuestos'!$C$12)*D$9)*'Supuestos'!$C$26)*'Supuestos'!$C$25)+(((((IF(('Supuestos'!$C$9)=0,0,'Supuestos'!$C$8/('Supuestos'!$C$9)))*'Supuestos'!$C$12)*D$9)*'Supuestos'!$C$28)*'Supuestos'!$C$27)+(((((IF(('Supuestos'!$C$9)=0,0,'Supuestos'!$C$8/('Supuestos'!$C$9)))*'Supuestos'!$C$12)*D$9)*'Supuestos'!$C$30)*'Supuestos'!$C$29))*('Supuestos'!$C$40+'Supuestos'!$C$41+'Supuestos'!$C$42))*(1-'Supuestos'!$C$33-'Supuestos'!$C$34-'Supuestos'!$C$35))-((IF(('Supuestos'!$C$9)=0,0,'Supuestos'!$C$8/('Supuestos'!$C$9)))*'Supuestos'!$C$36)-'Supuestos'!$C$37-'Supuestos'!$C$8)</f>
        <v/>
      </c>
      <c r="E11" s="26">
        <f>((((((((IF(('Supuestos'!$C$9)=0,0,'Supuestos'!$C$8/('Supuestos'!$C$9)))*'Supuestos'!$C$12)*E$9)*$B11)+(((((IF(('Supuestos'!$C$9)=0,0,'Supuestos'!$C$8/('Supuestos'!$C$9)))*'Supuestos'!$C$12)*E$9)*'Supuestos'!$C$18)*'Supuestos'!$C$17)+(((((IF(('Supuestos'!$C$9)=0,0,'Supuestos'!$C$8/('Supuestos'!$C$9)))*'Supuestos'!$C$12)*E$9)*'Supuestos'!$C$20)*'Supuestos'!$C$19)+(((((IF(('Supuestos'!$C$9)=0,0,'Supuestos'!$C$8/('Supuestos'!$C$9)))*'Supuestos'!$C$12)*E$9)*'Supuestos'!$C$22)*'Supuestos'!$C$21)+(((((IF(('Supuestos'!$C$9)=0,0,'Supuestos'!$C$8/('Supuestos'!$C$9)))*'Supuestos'!$C$12)*E$9)*'Supuestos'!$C$24)*'Supuestos'!$C$23)+(((((IF(('Supuestos'!$C$9)=0,0,'Supuestos'!$C$8/('Supuestos'!$C$9)))*'Supuestos'!$C$12)*E$9)*'Supuestos'!$C$26)*'Supuestos'!$C$25)+(((((IF(('Supuestos'!$C$9)=0,0,'Supuestos'!$C$8/('Supuestos'!$C$9)))*'Supuestos'!$C$12)*E$9)*'Supuestos'!$C$28)*'Supuestos'!$C$27)+(((((IF(('Supuestos'!$C$9)=0,0,'Supuestos'!$C$8/('Supuestos'!$C$9)))*'Supuestos'!$C$12)*E$9)*'Supuestos'!$C$30)*'Supuestos'!$C$29))*('Supuestos'!$C$40+'Supuestos'!$C$41+'Supuestos'!$C$42))*(1-'Supuestos'!$C$33-'Supuestos'!$C$34-'Supuestos'!$C$35))-((IF(('Supuestos'!$C$9)=0,0,'Supuestos'!$C$8/('Supuestos'!$C$9)))*'Supuestos'!$C$36)-'Supuestos'!$C$37-'Supuestos'!$C$8)</f>
        <v/>
      </c>
      <c r="F11" s="26">
        <f>((((((((IF(('Supuestos'!$C$9)=0,0,'Supuestos'!$C$8/('Supuestos'!$C$9)))*'Supuestos'!$C$12)*F$9)*$B11)+(((((IF(('Supuestos'!$C$9)=0,0,'Supuestos'!$C$8/('Supuestos'!$C$9)))*'Supuestos'!$C$12)*F$9)*'Supuestos'!$C$18)*'Supuestos'!$C$17)+(((((IF(('Supuestos'!$C$9)=0,0,'Supuestos'!$C$8/('Supuestos'!$C$9)))*'Supuestos'!$C$12)*F$9)*'Supuestos'!$C$20)*'Supuestos'!$C$19)+(((((IF(('Supuestos'!$C$9)=0,0,'Supuestos'!$C$8/('Supuestos'!$C$9)))*'Supuestos'!$C$12)*F$9)*'Supuestos'!$C$22)*'Supuestos'!$C$21)+(((((IF(('Supuestos'!$C$9)=0,0,'Supuestos'!$C$8/('Supuestos'!$C$9)))*'Supuestos'!$C$12)*F$9)*'Supuestos'!$C$24)*'Supuestos'!$C$23)+(((((IF(('Supuestos'!$C$9)=0,0,'Supuestos'!$C$8/('Supuestos'!$C$9)))*'Supuestos'!$C$12)*F$9)*'Supuestos'!$C$26)*'Supuestos'!$C$25)+(((((IF(('Supuestos'!$C$9)=0,0,'Supuestos'!$C$8/('Supuestos'!$C$9)))*'Supuestos'!$C$12)*F$9)*'Supuestos'!$C$28)*'Supuestos'!$C$27)+(((((IF(('Supuestos'!$C$9)=0,0,'Supuestos'!$C$8/('Supuestos'!$C$9)))*'Supuestos'!$C$12)*F$9)*'Supuestos'!$C$30)*'Supuestos'!$C$29))*('Supuestos'!$C$40+'Supuestos'!$C$41+'Supuestos'!$C$42))*(1-'Supuestos'!$C$33-'Supuestos'!$C$34-'Supuestos'!$C$35))-((IF(('Supuestos'!$C$9)=0,0,'Supuestos'!$C$8/('Supuestos'!$C$9)))*'Supuestos'!$C$36)-'Supuestos'!$C$37-'Supuestos'!$C$8)</f>
        <v/>
      </c>
      <c r="G11" s="26">
        <f>((((((((IF(('Supuestos'!$C$9)=0,0,'Supuestos'!$C$8/('Supuestos'!$C$9)))*'Supuestos'!$C$12)*G$9)*$B11)+(((((IF(('Supuestos'!$C$9)=0,0,'Supuestos'!$C$8/('Supuestos'!$C$9)))*'Supuestos'!$C$12)*G$9)*'Supuestos'!$C$18)*'Supuestos'!$C$17)+(((((IF(('Supuestos'!$C$9)=0,0,'Supuestos'!$C$8/('Supuestos'!$C$9)))*'Supuestos'!$C$12)*G$9)*'Supuestos'!$C$20)*'Supuestos'!$C$19)+(((((IF(('Supuestos'!$C$9)=0,0,'Supuestos'!$C$8/('Supuestos'!$C$9)))*'Supuestos'!$C$12)*G$9)*'Supuestos'!$C$22)*'Supuestos'!$C$21)+(((((IF(('Supuestos'!$C$9)=0,0,'Supuestos'!$C$8/('Supuestos'!$C$9)))*'Supuestos'!$C$12)*G$9)*'Supuestos'!$C$24)*'Supuestos'!$C$23)+(((((IF(('Supuestos'!$C$9)=0,0,'Supuestos'!$C$8/('Supuestos'!$C$9)))*'Supuestos'!$C$12)*G$9)*'Supuestos'!$C$26)*'Supuestos'!$C$25)+(((((IF(('Supuestos'!$C$9)=0,0,'Supuestos'!$C$8/('Supuestos'!$C$9)))*'Supuestos'!$C$12)*G$9)*'Supuestos'!$C$28)*'Supuestos'!$C$27)+(((((IF(('Supuestos'!$C$9)=0,0,'Supuestos'!$C$8/('Supuestos'!$C$9)))*'Supuestos'!$C$12)*G$9)*'Supuestos'!$C$30)*'Supuestos'!$C$29))*('Supuestos'!$C$40+'Supuestos'!$C$41+'Supuestos'!$C$42))*(1-'Supuestos'!$C$33-'Supuestos'!$C$34-'Supuestos'!$C$35))-((IF(('Supuestos'!$C$9)=0,0,'Supuestos'!$C$8/('Supuestos'!$C$9)))*'Supuestos'!$C$36)-'Supuestos'!$C$37-'Supuestos'!$C$8)</f>
        <v/>
      </c>
    </row>
    <row r="12">
      <c r="B12" s="31" t="n">
        <v>47</v>
      </c>
      <c r="C12" s="26">
        <f>((((((((IF(('Supuestos'!$C$9)=0,0,'Supuestos'!$C$8/('Supuestos'!$C$9)))*'Supuestos'!$C$12)*C$9)*$B12)+(((((IF(('Supuestos'!$C$9)=0,0,'Supuestos'!$C$8/('Supuestos'!$C$9)))*'Supuestos'!$C$12)*C$9)*'Supuestos'!$C$18)*'Supuestos'!$C$17)+(((((IF(('Supuestos'!$C$9)=0,0,'Supuestos'!$C$8/('Supuestos'!$C$9)))*'Supuestos'!$C$12)*C$9)*'Supuestos'!$C$20)*'Supuestos'!$C$19)+(((((IF(('Supuestos'!$C$9)=0,0,'Supuestos'!$C$8/('Supuestos'!$C$9)))*'Supuestos'!$C$12)*C$9)*'Supuestos'!$C$22)*'Supuestos'!$C$21)+(((((IF(('Supuestos'!$C$9)=0,0,'Supuestos'!$C$8/('Supuestos'!$C$9)))*'Supuestos'!$C$12)*C$9)*'Supuestos'!$C$24)*'Supuestos'!$C$23)+(((((IF(('Supuestos'!$C$9)=0,0,'Supuestos'!$C$8/('Supuestos'!$C$9)))*'Supuestos'!$C$12)*C$9)*'Supuestos'!$C$26)*'Supuestos'!$C$25)+(((((IF(('Supuestos'!$C$9)=0,0,'Supuestos'!$C$8/('Supuestos'!$C$9)))*'Supuestos'!$C$12)*C$9)*'Supuestos'!$C$28)*'Supuestos'!$C$27)+(((((IF(('Supuestos'!$C$9)=0,0,'Supuestos'!$C$8/('Supuestos'!$C$9)))*'Supuestos'!$C$12)*C$9)*'Supuestos'!$C$30)*'Supuestos'!$C$29))*('Supuestos'!$C$40+'Supuestos'!$C$41+'Supuestos'!$C$42))*(1-'Supuestos'!$C$33-'Supuestos'!$C$34-'Supuestos'!$C$35))-((IF(('Supuestos'!$C$9)=0,0,'Supuestos'!$C$8/('Supuestos'!$C$9)))*'Supuestos'!$C$36)-'Supuestos'!$C$37-'Supuestos'!$C$8)</f>
        <v/>
      </c>
      <c r="D12" s="26">
        <f>((((((((IF(('Supuestos'!$C$9)=0,0,'Supuestos'!$C$8/('Supuestos'!$C$9)))*'Supuestos'!$C$12)*D$9)*$B12)+(((((IF(('Supuestos'!$C$9)=0,0,'Supuestos'!$C$8/('Supuestos'!$C$9)))*'Supuestos'!$C$12)*D$9)*'Supuestos'!$C$18)*'Supuestos'!$C$17)+(((((IF(('Supuestos'!$C$9)=0,0,'Supuestos'!$C$8/('Supuestos'!$C$9)))*'Supuestos'!$C$12)*D$9)*'Supuestos'!$C$20)*'Supuestos'!$C$19)+(((((IF(('Supuestos'!$C$9)=0,0,'Supuestos'!$C$8/('Supuestos'!$C$9)))*'Supuestos'!$C$12)*D$9)*'Supuestos'!$C$22)*'Supuestos'!$C$21)+(((((IF(('Supuestos'!$C$9)=0,0,'Supuestos'!$C$8/('Supuestos'!$C$9)))*'Supuestos'!$C$12)*D$9)*'Supuestos'!$C$24)*'Supuestos'!$C$23)+(((((IF(('Supuestos'!$C$9)=0,0,'Supuestos'!$C$8/('Supuestos'!$C$9)))*'Supuestos'!$C$12)*D$9)*'Supuestos'!$C$26)*'Supuestos'!$C$25)+(((((IF(('Supuestos'!$C$9)=0,0,'Supuestos'!$C$8/('Supuestos'!$C$9)))*'Supuestos'!$C$12)*D$9)*'Supuestos'!$C$28)*'Supuestos'!$C$27)+(((((IF(('Supuestos'!$C$9)=0,0,'Supuestos'!$C$8/('Supuestos'!$C$9)))*'Supuestos'!$C$12)*D$9)*'Supuestos'!$C$30)*'Supuestos'!$C$29))*('Supuestos'!$C$40+'Supuestos'!$C$41+'Supuestos'!$C$42))*(1-'Supuestos'!$C$33-'Supuestos'!$C$34-'Supuestos'!$C$35))-((IF(('Supuestos'!$C$9)=0,0,'Supuestos'!$C$8/('Supuestos'!$C$9)))*'Supuestos'!$C$36)-'Supuestos'!$C$37-'Supuestos'!$C$8)</f>
        <v/>
      </c>
      <c r="E12" s="26">
        <f>((((((((IF(('Supuestos'!$C$9)=0,0,'Supuestos'!$C$8/('Supuestos'!$C$9)))*'Supuestos'!$C$12)*E$9)*$B12)+(((((IF(('Supuestos'!$C$9)=0,0,'Supuestos'!$C$8/('Supuestos'!$C$9)))*'Supuestos'!$C$12)*E$9)*'Supuestos'!$C$18)*'Supuestos'!$C$17)+(((((IF(('Supuestos'!$C$9)=0,0,'Supuestos'!$C$8/('Supuestos'!$C$9)))*'Supuestos'!$C$12)*E$9)*'Supuestos'!$C$20)*'Supuestos'!$C$19)+(((((IF(('Supuestos'!$C$9)=0,0,'Supuestos'!$C$8/('Supuestos'!$C$9)))*'Supuestos'!$C$12)*E$9)*'Supuestos'!$C$22)*'Supuestos'!$C$21)+(((((IF(('Supuestos'!$C$9)=0,0,'Supuestos'!$C$8/('Supuestos'!$C$9)))*'Supuestos'!$C$12)*E$9)*'Supuestos'!$C$24)*'Supuestos'!$C$23)+(((((IF(('Supuestos'!$C$9)=0,0,'Supuestos'!$C$8/('Supuestos'!$C$9)))*'Supuestos'!$C$12)*E$9)*'Supuestos'!$C$26)*'Supuestos'!$C$25)+(((((IF(('Supuestos'!$C$9)=0,0,'Supuestos'!$C$8/('Supuestos'!$C$9)))*'Supuestos'!$C$12)*E$9)*'Supuestos'!$C$28)*'Supuestos'!$C$27)+(((((IF(('Supuestos'!$C$9)=0,0,'Supuestos'!$C$8/('Supuestos'!$C$9)))*'Supuestos'!$C$12)*E$9)*'Supuestos'!$C$30)*'Supuestos'!$C$29))*('Supuestos'!$C$40+'Supuestos'!$C$41+'Supuestos'!$C$42))*(1-'Supuestos'!$C$33-'Supuestos'!$C$34-'Supuestos'!$C$35))-((IF(('Supuestos'!$C$9)=0,0,'Supuestos'!$C$8/('Supuestos'!$C$9)))*'Supuestos'!$C$36)-'Supuestos'!$C$37-'Supuestos'!$C$8)</f>
        <v/>
      </c>
      <c r="F12" s="26">
        <f>((((((((IF(('Supuestos'!$C$9)=0,0,'Supuestos'!$C$8/('Supuestos'!$C$9)))*'Supuestos'!$C$12)*F$9)*$B12)+(((((IF(('Supuestos'!$C$9)=0,0,'Supuestos'!$C$8/('Supuestos'!$C$9)))*'Supuestos'!$C$12)*F$9)*'Supuestos'!$C$18)*'Supuestos'!$C$17)+(((((IF(('Supuestos'!$C$9)=0,0,'Supuestos'!$C$8/('Supuestos'!$C$9)))*'Supuestos'!$C$12)*F$9)*'Supuestos'!$C$20)*'Supuestos'!$C$19)+(((((IF(('Supuestos'!$C$9)=0,0,'Supuestos'!$C$8/('Supuestos'!$C$9)))*'Supuestos'!$C$12)*F$9)*'Supuestos'!$C$22)*'Supuestos'!$C$21)+(((((IF(('Supuestos'!$C$9)=0,0,'Supuestos'!$C$8/('Supuestos'!$C$9)))*'Supuestos'!$C$12)*F$9)*'Supuestos'!$C$24)*'Supuestos'!$C$23)+(((((IF(('Supuestos'!$C$9)=0,0,'Supuestos'!$C$8/('Supuestos'!$C$9)))*'Supuestos'!$C$12)*F$9)*'Supuestos'!$C$26)*'Supuestos'!$C$25)+(((((IF(('Supuestos'!$C$9)=0,0,'Supuestos'!$C$8/('Supuestos'!$C$9)))*'Supuestos'!$C$12)*F$9)*'Supuestos'!$C$28)*'Supuestos'!$C$27)+(((((IF(('Supuestos'!$C$9)=0,0,'Supuestos'!$C$8/('Supuestos'!$C$9)))*'Supuestos'!$C$12)*F$9)*'Supuestos'!$C$30)*'Supuestos'!$C$29))*('Supuestos'!$C$40+'Supuestos'!$C$41+'Supuestos'!$C$42))*(1-'Supuestos'!$C$33-'Supuestos'!$C$34-'Supuestos'!$C$35))-((IF(('Supuestos'!$C$9)=0,0,'Supuestos'!$C$8/('Supuestos'!$C$9)))*'Supuestos'!$C$36)-'Supuestos'!$C$37-'Supuestos'!$C$8)</f>
        <v/>
      </c>
      <c r="G12" s="26">
        <f>((((((((IF(('Supuestos'!$C$9)=0,0,'Supuestos'!$C$8/('Supuestos'!$C$9)))*'Supuestos'!$C$12)*G$9)*$B12)+(((((IF(('Supuestos'!$C$9)=0,0,'Supuestos'!$C$8/('Supuestos'!$C$9)))*'Supuestos'!$C$12)*G$9)*'Supuestos'!$C$18)*'Supuestos'!$C$17)+(((((IF(('Supuestos'!$C$9)=0,0,'Supuestos'!$C$8/('Supuestos'!$C$9)))*'Supuestos'!$C$12)*G$9)*'Supuestos'!$C$20)*'Supuestos'!$C$19)+(((((IF(('Supuestos'!$C$9)=0,0,'Supuestos'!$C$8/('Supuestos'!$C$9)))*'Supuestos'!$C$12)*G$9)*'Supuestos'!$C$22)*'Supuestos'!$C$21)+(((((IF(('Supuestos'!$C$9)=0,0,'Supuestos'!$C$8/('Supuestos'!$C$9)))*'Supuestos'!$C$12)*G$9)*'Supuestos'!$C$24)*'Supuestos'!$C$23)+(((((IF(('Supuestos'!$C$9)=0,0,'Supuestos'!$C$8/('Supuestos'!$C$9)))*'Supuestos'!$C$12)*G$9)*'Supuestos'!$C$26)*'Supuestos'!$C$25)+(((((IF(('Supuestos'!$C$9)=0,0,'Supuestos'!$C$8/('Supuestos'!$C$9)))*'Supuestos'!$C$12)*G$9)*'Supuestos'!$C$28)*'Supuestos'!$C$27)+(((((IF(('Supuestos'!$C$9)=0,0,'Supuestos'!$C$8/('Supuestos'!$C$9)))*'Supuestos'!$C$12)*G$9)*'Supuestos'!$C$30)*'Supuestos'!$C$29))*('Supuestos'!$C$40+'Supuestos'!$C$41+'Supuestos'!$C$42))*(1-'Supuestos'!$C$33-'Supuestos'!$C$34-'Supuestos'!$C$35))-((IF(('Supuestos'!$C$9)=0,0,'Supuestos'!$C$8/('Supuestos'!$C$9)))*'Supuestos'!$C$36)-'Supuestos'!$C$37-'Supuestos'!$C$8)</f>
        <v/>
      </c>
    </row>
    <row r="13">
      <c r="B13" s="31" t="n">
        <v>67</v>
      </c>
      <c r="C13" s="26">
        <f>((((((((IF(('Supuestos'!$C$9)=0,0,'Supuestos'!$C$8/('Supuestos'!$C$9)))*'Supuestos'!$C$12)*C$9)*$B13)+(((((IF(('Supuestos'!$C$9)=0,0,'Supuestos'!$C$8/('Supuestos'!$C$9)))*'Supuestos'!$C$12)*C$9)*'Supuestos'!$C$18)*'Supuestos'!$C$17)+(((((IF(('Supuestos'!$C$9)=0,0,'Supuestos'!$C$8/('Supuestos'!$C$9)))*'Supuestos'!$C$12)*C$9)*'Supuestos'!$C$20)*'Supuestos'!$C$19)+(((((IF(('Supuestos'!$C$9)=0,0,'Supuestos'!$C$8/('Supuestos'!$C$9)))*'Supuestos'!$C$12)*C$9)*'Supuestos'!$C$22)*'Supuestos'!$C$21)+(((((IF(('Supuestos'!$C$9)=0,0,'Supuestos'!$C$8/('Supuestos'!$C$9)))*'Supuestos'!$C$12)*C$9)*'Supuestos'!$C$24)*'Supuestos'!$C$23)+(((((IF(('Supuestos'!$C$9)=0,0,'Supuestos'!$C$8/('Supuestos'!$C$9)))*'Supuestos'!$C$12)*C$9)*'Supuestos'!$C$26)*'Supuestos'!$C$25)+(((((IF(('Supuestos'!$C$9)=0,0,'Supuestos'!$C$8/('Supuestos'!$C$9)))*'Supuestos'!$C$12)*C$9)*'Supuestos'!$C$28)*'Supuestos'!$C$27)+(((((IF(('Supuestos'!$C$9)=0,0,'Supuestos'!$C$8/('Supuestos'!$C$9)))*'Supuestos'!$C$12)*C$9)*'Supuestos'!$C$30)*'Supuestos'!$C$29))*('Supuestos'!$C$40+'Supuestos'!$C$41+'Supuestos'!$C$42))*(1-'Supuestos'!$C$33-'Supuestos'!$C$34-'Supuestos'!$C$35))-((IF(('Supuestos'!$C$9)=0,0,'Supuestos'!$C$8/('Supuestos'!$C$9)))*'Supuestos'!$C$36)-'Supuestos'!$C$37-'Supuestos'!$C$8)</f>
        <v/>
      </c>
      <c r="D13" s="26">
        <f>((((((((IF(('Supuestos'!$C$9)=0,0,'Supuestos'!$C$8/('Supuestos'!$C$9)))*'Supuestos'!$C$12)*D$9)*$B13)+(((((IF(('Supuestos'!$C$9)=0,0,'Supuestos'!$C$8/('Supuestos'!$C$9)))*'Supuestos'!$C$12)*D$9)*'Supuestos'!$C$18)*'Supuestos'!$C$17)+(((((IF(('Supuestos'!$C$9)=0,0,'Supuestos'!$C$8/('Supuestos'!$C$9)))*'Supuestos'!$C$12)*D$9)*'Supuestos'!$C$20)*'Supuestos'!$C$19)+(((((IF(('Supuestos'!$C$9)=0,0,'Supuestos'!$C$8/('Supuestos'!$C$9)))*'Supuestos'!$C$12)*D$9)*'Supuestos'!$C$22)*'Supuestos'!$C$21)+(((((IF(('Supuestos'!$C$9)=0,0,'Supuestos'!$C$8/('Supuestos'!$C$9)))*'Supuestos'!$C$12)*D$9)*'Supuestos'!$C$24)*'Supuestos'!$C$23)+(((((IF(('Supuestos'!$C$9)=0,0,'Supuestos'!$C$8/('Supuestos'!$C$9)))*'Supuestos'!$C$12)*D$9)*'Supuestos'!$C$26)*'Supuestos'!$C$25)+(((((IF(('Supuestos'!$C$9)=0,0,'Supuestos'!$C$8/('Supuestos'!$C$9)))*'Supuestos'!$C$12)*D$9)*'Supuestos'!$C$28)*'Supuestos'!$C$27)+(((((IF(('Supuestos'!$C$9)=0,0,'Supuestos'!$C$8/('Supuestos'!$C$9)))*'Supuestos'!$C$12)*D$9)*'Supuestos'!$C$30)*'Supuestos'!$C$29))*('Supuestos'!$C$40+'Supuestos'!$C$41+'Supuestos'!$C$42))*(1-'Supuestos'!$C$33-'Supuestos'!$C$34-'Supuestos'!$C$35))-((IF(('Supuestos'!$C$9)=0,0,'Supuestos'!$C$8/('Supuestos'!$C$9)))*'Supuestos'!$C$36)-'Supuestos'!$C$37-'Supuestos'!$C$8)</f>
        <v/>
      </c>
      <c r="E13" s="26">
        <f>((((((((IF(('Supuestos'!$C$9)=0,0,'Supuestos'!$C$8/('Supuestos'!$C$9)))*'Supuestos'!$C$12)*E$9)*$B13)+(((((IF(('Supuestos'!$C$9)=0,0,'Supuestos'!$C$8/('Supuestos'!$C$9)))*'Supuestos'!$C$12)*E$9)*'Supuestos'!$C$18)*'Supuestos'!$C$17)+(((((IF(('Supuestos'!$C$9)=0,0,'Supuestos'!$C$8/('Supuestos'!$C$9)))*'Supuestos'!$C$12)*E$9)*'Supuestos'!$C$20)*'Supuestos'!$C$19)+(((((IF(('Supuestos'!$C$9)=0,0,'Supuestos'!$C$8/('Supuestos'!$C$9)))*'Supuestos'!$C$12)*E$9)*'Supuestos'!$C$22)*'Supuestos'!$C$21)+(((((IF(('Supuestos'!$C$9)=0,0,'Supuestos'!$C$8/('Supuestos'!$C$9)))*'Supuestos'!$C$12)*E$9)*'Supuestos'!$C$24)*'Supuestos'!$C$23)+(((((IF(('Supuestos'!$C$9)=0,0,'Supuestos'!$C$8/('Supuestos'!$C$9)))*'Supuestos'!$C$12)*E$9)*'Supuestos'!$C$26)*'Supuestos'!$C$25)+(((((IF(('Supuestos'!$C$9)=0,0,'Supuestos'!$C$8/('Supuestos'!$C$9)))*'Supuestos'!$C$12)*E$9)*'Supuestos'!$C$28)*'Supuestos'!$C$27)+(((((IF(('Supuestos'!$C$9)=0,0,'Supuestos'!$C$8/('Supuestos'!$C$9)))*'Supuestos'!$C$12)*E$9)*'Supuestos'!$C$30)*'Supuestos'!$C$29))*('Supuestos'!$C$40+'Supuestos'!$C$41+'Supuestos'!$C$42))*(1-'Supuestos'!$C$33-'Supuestos'!$C$34-'Supuestos'!$C$35))-((IF(('Supuestos'!$C$9)=0,0,'Supuestos'!$C$8/('Supuestos'!$C$9)))*'Supuestos'!$C$36)-'Supuestos'!$C$37-'Supuestos'!$C$8)</f>
        <v/>
      </c>
      <c r="F13" s="26">
        <f>((((((((IF(('Supuestos'!$C$9)=0,0,'Supuestos'!$C$8/('Supuestos'!$C$9)))*'Supuestos'!$C$12)*F$9)*$B13)+(((((IF(('Supuestos'!$C$9)=0,0,'Supuestos'!$C$8/('Supuestos'!$C$9)))*'Supuestos'!$C$12)*F$9)*'Supuestos'!$C$18)*'Supuestos'!$C$17)+(((((IF(('Supuestos'!$C$9)=0,0,'Supuestos'!$C$8/('Supuestos'!$C$9)))*'Supuestos'!$C$12)*F$9)*'Supuestos'!$C$20)*'Supuestos'!$C$19)+(((((IF(('Supuestos'!$C$9)=0,0,'Supuestos'!$C$8/('Supuestos'!$C$9)))*'Supuestos'!$C$12)*F$9)*'Supuestos'!$C$22)*'Supuestos'!$C$21)+(((((IF(('Supuestos'!$C$9)=0,0,'Supuestos'!$C$8/('Supuestos'!$C$9)))*'Supuestos'!$C$12)*F$9)*'Supuestos'!$C$24)*'Supuestos'!$C$23)+(((((IF(('Supuestos'!$C$9)=0,0,'Supuestos'!$C$8/('Supuestos'!$C$9)))*'Supuestos'!$C$12)*F$9)*'Supuestos'!$C$26)*'Supuestos'!$C$25)+(((((IF(('Supuestos'!$C$9)=0,0,'Supuestos'!$C$8/('Supuestos'!$C$9)))*'Supuestos'!$C$12)*F$9)*'Supuestos'!$C$28)*'Supuestos'!$C$27)+(((((IF(('Supuestos'!$C$9)=0,0,'Supuestos'!$C$8/('Supuestos'!$C$9)))*'Supuestos'!$C$12)*F$9)*'Supuestos'!$C$30)*'Supuestos'!$C$29))*('Supuestos'!$C$40+'Supuestos'!$C$41+'Supuestos'!$C$42))*(1-'Supuestos'!$C$33-'Supuestos'!$C$34-'Supuestos'!$C$35))-((IF(('Supuestos'!$C$9)=0,0,'Supuestos'!$C$8/('Supuestos'!$C$9)))*'Supuestos'!$C$36)-'Supuestos'!$C$37-'Supuestos'!$C$8)</f>
        <v/>
      </c>
      <c r="G13" s="26">
        <f>((((((((IF(('Supuestos'!$C$9)=0,0,'Supuestos'!$C$8/('Supuestos'!$C$9)))*'Supuestos'!$C$12)*G$9)*$B13)+(((((IF(('Supuestos'!$C$9)=0,0,'Supuestos'!$C$8/('Supuestos'!$C$9)))*'Supuestos'!$C$12)*G$9)*'Supuestos'!$C$18)*'Supuestos'!$C$17)+(((((IF(('Supuestos'!$C$9)=0,0,'Supuestos'!$C$8/('Supuestos'!$C$9)))*'Supuestos'!$C$12)*G$9)*'Supuestos'!$C$20)*'Supuestos'!$C$19)+(((((IF(('Supuestos'!$C$9)=0,0,'Supuestos'!$C$8/('Supuestos'!$C$9)))*'Supuestos'!$C$12)*G$9)*'Supuestos'!$C$22)*'Supuestos'!$C$21)+(((((IF(('Supuestos'!$C$9)=0,0,'Supuestos'!$C$8/('Supuestos'!$C$9)))*'Supuestos'!$C$12)*G$9)*'Supuestos'!$C$24)*'Supuestos'!$C$23)+(((((IF(('Supuestos'!$C$9)=0,0,'Supuestos'!$C$8/('Supuestos'!$C$9)))*'Supuestos'!$C$12)*G$9)*'Supuestos'!$C$26)*'Supuestos'!$C$25)+(((((IF(('Supuestos'!$C$9)=0,0,'Supuestos'!$C$8/('Supuestos'!$C$9)))*'Supuestos'!$C$12)*G$9)*'Supuestos'!$C$28)*'Supuestos'!$C$27)+(((((IF(('Supuestos'!$C$9)=0,0,'Supuestos'!$C$8/('Supuestos'!$C$9)))*'Supuestos'!$C$12)*G$9)*'Supuestos'!$C$30)*'Supuestos'!$C$29))*('Supuestos'!$C$40+'Supuestos'!$C$41+'Supuestos'!$C$42))*(1-'Supuestos'!$C$33-'Supuestos'!$C$34-'Supuestos'!$C$35))-((IF(('Supuestos'!$C$9)=0,0,'Supuestos'!$C$8/('Supuestos'!$C$9)))*'Supuestos'!$C$36)-'Supuestos'!$C$37-'Supuestos'!$C$8)</f>
        <v/>
      </c>
    </row>
    <row r="14">
      <c r="B14" s="31" t="n">
        <v>97</v>
      </c>
      <c r="C14" s="26">
        <f>((((((((IF(('Supuestos'!$C$9)=0,0,'Supuestos'!$C$8/('Supuestos'!$C$9)))*'Supuestos'!$C$12)*C$9)*$B14)+(((((IF(('Supuestos'!$C$9)=0,0,'Supuestos'!$C$8/('Supuestos'!$C$9)))*'Supuestos'!$C$12)*C$9)*'Supuestos'!$C$18)*'Supuestos'!$C$17)+(((((IF(('Supuestos'!$C$9)=0,0,'Supuestos'!$C$8/('Supuestos'!$C$9)))*'Supuestos'!$C$12)*C$9)*'Supuestos'!$C$20)*'Supuestos'!$C$19)+(((((IF(('Supuestos'!$C$9)=0,0,'Supuestos'!$C$8/('Supuestos'!$C$9)))*'Supuestos'!$C$12)*C$9)*'Supuestos'!$C$22)*'Supuestos'!$C$21)+(((((IF(('Supuestos'!$C$9)=0,0,'Supuestos'!$C$8/('Supuestos'!$C$9)))*'Supuestos'!$C$12)*C$9)*'Supuestos'!$C$24)*'Supuestos'!$C$23)+(((((IF(('Supuestos'!$C$9)=0,0,'Supuestos'!$C$8/('Supuestos'!$C$9)))*'Supuestos'!$C$12)*C$9)*'Supuestos'!$C$26)*'Supuestos'!$C$25)+(((((IF(('Supuestos'!$C$9)=0,0,'Supuestos'!$C$8/('Supuestos'!$C$9)))*'Supuestos'!$C$12)*C$9)*'Supuestos'!$C$28)*'Supuestos'!$C$27)+(((((IF(('Supuestos'!$C$9)=0,0,'Supuestos'!$C$8/('Supuestos'!$C$9)))*'Supuestos'!$C$12)*C$9)*'Supuestos'!$C$30)*'Supuestos'!$C$29))*('Supuestos'!$C$40+'Supuestos'!$C$41+'Supuestos'!$C$42))*(1-'Supuestos'!$C$33-'Supuestos'!$C$34-'Supuestos'!$C$35))-((IF(('Supuestos'!$C$9)=0,0,'Supuestos'!$C$8/('Supuestos'!$C$9)))*'Supuestos'!$C$36)-'Supuestos'!$C$37-'Supuestos'!$C$8)</f>
        <v/>
      </c>
      <c r="D14" s="26">
        <f>((((((((IF(('Supuestos'!$C$9)=0,0,'Supuestos'!$C$8/('Supuestos'!$C$9)))*'Supuestos'!$C$12)*D$9)*$B14)+(((((IF(('Supuestos'!$C$9)=0,0,'Supuestos'!$C$8/('Supuestos'!$C$9)))*'Supuestos'!$C$12)*D$9)*'Supuestos'!$C$18)*'Supuestos'!$C$17)+(((((IF(('Supuestos'!$C$9)=0,0,'Supuestos'!$C$8/('Supuestos'!$C$9)))*'Supuestos'!$C$12)*D$9)*'Supuestos'!$C$20)*'Supuestos'!$C$19)+(((((IF(('Supuestos'!$C$9)=0,0,'Supuestos'!$C$8/('Supuestos'!$C$9)))*'Supuestos'!$C$12)*D$9)*'Supuestos'!$C$22)*'Supuestos'!$C$21)+(((((IF(('Supuestos'!$C$9)=0,0,'Supuestos'!$C$8/('Supuestos'!$C$9)))*'Supuestos'!$C$12)*D$9)*'Supuestos'!$C$24)*'Supuestos'!$C$23)+(((((IF(('Supuestos'!$C$9)=0,0,'Supuestos'!$C$8/('Supuestos'!$C$9)))*'Supuestos'!$C$12)*D$9)*'Supuestos'!$C$26)*'Supuestos'!$C$25)+(((((IF(('Supuestos'!$C$9)=0,0,'Supuestos'!$C$8/('Supuestos'!$C$9)))*'Supuestos'!$C$12)*D$9)*'Supuestos'!$C$28)*'Supuestos'!$C$27)+(((((IF(('Supuestos'!$C$9)=0,0,'Supuestos'!$C$8/('Supuestos'!$C$9)))*'Supuestos'!$C$12)*D$9)*'Supuestos'!$C$30)*'Supuestos'!$C$29))*('Supuestos'!$C$40+'Supuestos'!$C$41+'Supuestos'!$C$42))*(1-'Supuestos'!$C$33-'Supuestos'!$C$34-'Supuestos'!$C$35))-((IF(('Supuestos'!$C$9)=0,0,'Supuestos'!$C$8/('Supuestos'!$C$9)))*'Supuestos'!$C$36)-'Supuestos'!$C$37-'Supuestos'!$C$8)</f>
        <v/>
      </c>
      <c r="E14" s="26">
        <f>((((((((IF(('Supuestos'!$C$9)=0,0,'Supuestos'!$C$8/('Supuestos'!$C$9)))*'Supuestos'!$C$12)*E$9)*$B14)+(((((IF(('Supuestos'!$C$9)=0,0,'Supuestos'!$C$8/('Supuestos'!$C$9)))*'Supuestos'!$C$12)*E$9)*'Supuestos'!$C$18)*'Supuestos'!$C$17)+(((((IF(('Supuestos'!$C$9)=0,0,'Supuestos'!$C$8/('Supuestos'!$C$9)))*'Supuestos'!$C$12)*E$9)*'Supuestos'!$C$20)*'Supuestos'!$C$19)+(((((IF(('Supuestos'!$C$9)=0,0,'Supuestos'!$C$8/('Supuestos'!$C$9)))*'Supuestos'!$C$12)*E$9)*'Supuestos'!$C$22)*'Supuestos'!$C$21)+(((((IF(('Supuestos'!$C$9)=0,0,'Supuestos'!$C$8/('Supuestos'!$C$9)))*'Supuestos'!$C$12)*E$9)*'Supuestos'!$C$24)*'Supuestos'!$C$23)+(((((IF(('Supuestos'!$C$9)=0,0,'Supuestos'!$C$8/('Supuestos'!$C$9)))*'Supuestos'!$C$12)*E$9)*'Supuestos'!$C$26)*'Supuestos'!$C$25)+(((((IF(('Supuestos'!$C$9)=0,0,'Supuestos'!$C$8/('Supuestos'!$C$9)))*'Supuestos'!$C$12)*E$9)*'Supuestos'!$C$28)*'Supuestos'!$C$27)+(((((IF(('Supuestos'!$C$9)=0,0,'Supuestos'!$C$8/('Supuestos'!$C$9)))*'Supuestos'!$C$12)*E$9)*'Supuestos'!$C$30)*'Supuestos'!$C$29))*('Supuestos'!$C$40+'Supuestos'!$C$41+'Supuestos'!$C$42))*(1-'Supuestos'!$C$33-'Supuestos'!$C$34-'Supuestos'!$C$35))-((IF(('Supuestos'!$C$9)=0,0,'Supuestos'!$C$8/('Supuestos'!$C$9)))*'Supuestos'!$C$36)-'Supuestos'!$C$37-'Supuestos'!$C$8)</f>
        <v/>
      </c>
      <c r="F14" s="26">
        <f>((((((((IF(('Supuestos'!$C$9)=0,0,'Supuestos'!$C$8/('Supuestos'!$C$9)))*'Supuestos'!$C$12)*F$9)*$B14)+(((((IF(('Supuestos'!$C$9)=0,0,'Supuestos'!$C$8/('Supuestos'!$C$9)))*'Supuestos'!$C$12)*F$9)*'Supuestos'!$C$18)*'Supuestos'!$C$17)+(((((IF(('Supuestos'!$C$9)=0,0,'Supuestos'!$C$8/('Supuestos'!$C$9)))*'Supuestos'!$C$12)*F$9)*'Supuestos'!$C$20)*'Supuestos'!$C$19)+(((((IF(('Supuestos'!$C$9)=0,0,'Supuestos'!$C$8/('Supuestos'!$C$9)))*'Supuestos'!$C$12)*F$9)*'Supuestos'!$C$22)*'Supuestos'!$C$21)+(((((IF(('Supuestos'!$C$9)=0,0,'Supuestos'!$C$8/('Supuestos'!$C$9)))*'Supuestos'!$C$12)*F$9)*'Supuestos'!$C$24)*'Supuestos'!$C$23)+(((((IF(('Supuestos'!$C$9)=0,0,'Supuestos'!$C$8/('Supuestos'!$C$9)))*'Supuestos'!$C$12)*F$9)*'Supuestos'!$C$26)*'Supuestos'!$C$25)+(((((IF(('Supuestos'!$C$9)=0,0,'Supuestos'!$C$8/('Supuestos'!$C$9)))*'Supuestos'!$C$12)*F$9)*'Supuestos'!$C$28)*'Supuestos'!$C$27)+(((((IF(('Supuestos'!$C$9)=0,0,'Supuestos'!$C$8/('Supuestos'!$C$9)))*'Supuestos'!$C$12)*F$9)*'Supuestos'!$C$30)*'Supuestos'!$C$29))*('Supuestos'!$C$40+'Supuestos'!$C$41+'Supuestos'!$C$42))*(1-'Supuestos'!$C$33-'Supuestos'!$C$34-'Supuestos'!$C$35))-((IF(('Supuestos'!$C$9)=0,0,'Supuestos'!$C$8/('Supuestos'!$C$9)))*'Supuestos'!$C$36)-'Supuestos'!$C$37-'Supuestos'!$C$8)</f>
        <v/>
      </c>
      <c r="G14" s="26">
        <f>((((((((IF(('Supuestos'!$C$9)=0,0,'Supuestos'!$C$8/('Supuestos'!$C$9)))*'Supuestos'!$C$12)*G$9)*$B14)+(((((IF(('Supuestos'!$C$9)=0,0,'Supuestos'!$C$8/('Supuestos'!$C$9)))*'Supuestos'!$C$12)*G$9)*'Supuestos'!$C$18)*'Supuestos'!$C$17)+(((((IF(('Supuestos'!$C$9)=0,0,'Supuestos'!$C$8/('Supuestos'!$C$9)))*'Supuestos'!$C$12)*G$9)*'Supuestos'!$C$20)*'Supuestos'!$C$19)+(((((IF(('Supuestos'!$C$9)=0,0,'Supuestos'!$C$8/('Supuestos'!$C$9)))*'Supuestos'!$C$12)*G$9)*'Supuestos'!$C$22)*'Supuestos'!$C$21)+(((((IF(('Supuestos'!$C$9)=0,0,'Supuestos'!$C$8/('Supuestos'!$C$9)))*'Supuestos'!$C$12)*G$9)*'Supuestos'!$C$24)*'Supuestos'!$C$23)+(((((IF(('Supuestos'!$C$9)=0,0,'Supuestos'!$C$8/('Supuestos'!$C$9)))*'Supuestos'!$C$12)*G$9)*'Supuestos'!$C$26)*'Supuestos'!$C$25)+(((((IF(('Supuestos'!$C$9)=0,0,'Supuestos'!$C$8/('Supuestos'!$C$9)))*'Supuestos'!$C$12)*G$9)*'Supuestos'!$C$28)*'Supuestos'!$C$27)+(((((IF(('Supuestos'!$C$9)=0,0,'Supuestos'!$C$8/('Supuestos'!$C$9)))*'Supuestos'!$C$12)*G$9)*'Supuestos'!$C$30)*'Supuestos'!$C$29))*('Supuestos'!$C$40+'Supuestos'!$C$41+'Supuestos'!$C$42))*(1-'Supuestos'!$C$33-'Supuestos'!$C$34-'Supuestos'!$C$35))-((IF(('Supuestos'!$C$9)=0,0,'Supuestos'!$C$8/('Supuestos'!$C$9)))*'Supuestos'!$C$36)-'Supuestos'!$C$37-'Supuestos'!$C$8)</f>
        <v/>
      </c>
    </row>
    <row r="17">
      <c r="B17" s="4" t="inlineStr">
        <is>
          <t>Costo por visita × % de visitas que llegan al checkout → ganancia del mes</t>
        </is>
      </c>
    </row>
    <row r="18">
      <c r="B18" s="3" t="inlineStr">
        <is>
          <t>La tabla del tráfico: cuánto podés pagar por visita según lo que convierte la página.</t>
        </is>
      </c>
    </row>
    <row r="19">
      <c r="B19" s="4" t="inlineStr">
        <is>
          <t>Costo por visita ↓  /  % visita → checkout →</t>
        </is>
      </c>
      <c r="C19" s="30" t="n">
        <v>0.02</v>
      </c>
      <c r="D19" s="30" t="n">
        <v>0.025</v>
      </c>
      <c r="E19" s="30" t="n">
        <v>0.03</v>
      </c>
      <c r="F19" s="30" t="n">
        <v>0.035</v>
      </c>
      <c r="G19" s="30" t="n">
        <v>0.04</v>
      </c>
      <c r="H19" s="30" t="n">
        <v>0.05</v>
      </c>
    </row>
    <row r="20">
      <c r="B20" s="32" t="n">
        <v>0.15</v>
      </c>
      <c r="C20" s="26">
        <f>((((((((IF($B20=0,0,'Supuestos'!$C$8/$B20))*C$19)*'Supuestos'!$C$13)*'Supuestos'!$C$16)+(((((IF($B20=0,0,'Supuestos'!$C$8/$B20))*C$19)*'Supuestos'!$C$13)*'Supuestos'!$C$18)*'Supuestos'!$C$17)+(((((IF($B20=0,0,'Supuestos'!$C$8/$B20))*C$19)*'Supuestos'!$C$13)*'Supuestos'!$C$20)*'Supuestos'!$C$19)+(((((IF($B20=0,0,'Supuestos'!$C$8/$B20))*C$19)*'Supuestos'!$C$13)*'Supuestos'!$C$22)*'Supuestos'!$C$21)+(((((IF($B20=0,0,'Supuestos'!$C$8/$B20))*C$19)*'Supuestos'!$C$13)*'Supuestos'!$C$24)*'Supuestos'!$C$23)+(((((IF($B20=0,0,'Supuestos'!$C$8/$B20))*C$19)*'Supuestos'!$C$13)*'Supuestos'!$C$26)*'Supuestos'!$C$25)+(((((IF($B20=0,0,'Supuestos'!$C$8/$B20))*C$19)*'Supuestos'!$C$13)*'Supuestos'!$C$28)*'Supuestos'!$C$27)+(((((IF($B20=0,0,'Supuestos'!$C$8/$B20))*C$19)*'Supuestos'!$C$13)*'Supuestos'!$C$30)*'Supuestos'!$C$29))*('Supuestos'!$C$40+'Supuestos'!$C$41+'Supuestos'!$C$42))*(1-'Supuestos'!$C$33-'Supuestos'!$C$34-'Supuestos'!$C$35))-((IF($B20=0,0,'Supuestos'!$C$8/$B20))*'Supuestos'!$C$36)-'Supuestos'!$C$37-'Supuestos'!$C$8)</f>
        <v/>
      </c>
      <c r="D20" s="26">
        <f>((((((((IF($B20=0,0,'Supuestos'!$C$8/$B20))*D$19)*'Supuestos'!$C$13)*'Supuestos'!$C$16)+(((((IF($B20=0,0,'Supuestos'!$C$8/$B20))*D$19)*'Supuestos'!$C$13)*'Supuestos'!$C$18)*'Supuestos'!$C$17)+(((((IF($B20=0,0,'Supuestos'!$C$8/$B20))*D$19)*'Supuestos'!$C$13)*'Supuestos'!$C$20)*'Supuestos'!$C$19)+(((((IF($B20=0,0,'Supuestos'!$C$8/$B20))*D$19)*'Supuestos'!$C$13)*'Supuestos'!$C$22)*'Supuestos'!$C$21)+(((((IF($B20=0,0,'Supuestos'!$C$8/$B20))*D$19)*'Supuestos'!$C$13)*'Supuestos'!$C$24)*'Supuestos'!$C$23)+(((((IF($B20=0,0,'Supuestos'!$C$8/$B20))*D$19)*'Supuestos'!$C$13)*'Supuestos'!$C$26)*'Supuestos'!$C$25)+(((((IF($B20=0,0,'Supuestos'!$C$8/$B20))*D$19)*'Supuestos'!$C$13)*'Supuestos'!$C$28)*'Supuestos'!$C$27)+(((((IF($B20=0,0,'Supuestos'!$C$8/$B20))*D$19)*'Supuestos'!$C$13)*'Supuestos'!$C$30)*'Supuestos'!$C$29))*('Supuestos'!$C$40+'Supuestos'!$C$41+'Supuestos'!$C$42))*(1-'Supuestos'!$C$33-'Supuestos'!$C$34-'Supuestos'!$C$35))-((IF($B20=0,0,'Supuestos'!$C$8/$B20))*'Supuestos'!$C$36)-'Supuestos'!$C$37-'Supuestos'!$C$8)</f>
        <v/>
      </c>
      <c r="E20" s="26">
        <f>((((((((IF($B20=0,0,'Supuestos'!$C$8/$B20))*E$19)*'Supuestos'!$C$13)*'Supuestos'!$C$16)+(((((IF($B20=0,0,'Supuestos'!$C$8/$B20))*E$19)*'Supuestos'!$C$13)*'Supuestos'!$C$18)*'Supuestos'!$C$17)+(((((IF($B20=0,0,'Supuestos'!$C$8/$B20))*E$19)*'Supuestos'!$C$13)*'Supuestos'!$C$20)*'Supuestos'!$C$19)+(((((IF($B20=0,0,'Supuestos'!$C$8/$B20))*E$19)*'Supuestos'!$C$13)*'Supuestos'!$C$22)*'Supuestos'!$C$21)+(((((IF($B20=0,0,'Supuestos'!$C$8/$B20))*E$19)*'Supuestos'!$C$13)*'Supuestos'!$C$24)*'Supuestos'!$C$23)+(((((IF($B20=0,0,'Supuestos'!$C$8/$B20))*E$19)*'Supuestos'!$C$13)*'Supuestos'!$C$26)*'Supuestos'!$C$25)+(((((IF($B20=0,0,'Supuestos'!$C$8/$B20))*E$19)*'Supuestos'!$C$13)*'Supuestos'!$C$28)*'Supuestos'!$C$27)+(((((IF($B20=0,0,'Supuestos'!$C$8/$B20))*E$19)*'Supuestos'!$C$13)*'Supuestos'!$C$30)*'Supuestos'!$C$29))*('Supuestos'!$C$40+'Supuestos'!$C$41+'Supuestos'!$C$42))*(1-'Supuestos'!$C$33-'Supuestos'!$C$34-'Supuestos'!$C$35))-((IF($B20=0,0,'Supuestos'!$C$8/$B20))*'Supuestos'!$C$36)-'Supuestos'!$C$37-'Supuestos'!$C$8)</f>
        <v/>
      </c>
      <c r="F20" s="26">
        <f>((((((((IF($B20=0,0,'Supuestos'!$C$8/$B20))*F$19)*'Supuestos'!$C$13)*'Supuestos'!$C$16)+(((((IF($B20=0,0,'Supuestos'!$C$8/$B20))*F$19)*'Supuestos'!$C$13)*'Supuestos'!$C$18)*'Supuestos'!$C$17)+(((((IF($B20=0,0,'Supuestos'!$C$8/$B20))*F$19)*'Supuestos'!$C$13)*'Supuestos'!$C$20)*'Supuestos'!$C$19)+(((((IF($B20=0,0,'Supuestos'!$C$8/$B20))*F$19)*'Supuestos'!$C$13)*'Supuestos'!$C$22)*'Supuestos'!$C$21)+(((((IF($B20=0,0,'Supuestos'!$C$8/$B20))*F$19)*'Supuestos'!$C$13)*'Supuestos'!$C$24)*'Supuestos'!$C$23)+(((((IF($B20=0,0,'Supuestos'!$C$8/$B20))*F$19)*'Supuestos'!$C$13)*'Supuestos'!$C$26)*'Supuestos'!$C$25)+(((((IF($B20=0,0,'Supuestos'!$C$8/$B20))*F$19)*'Supuestos'!$C$13)*'Supuestos'!$C$28)*'Supuestos'!$C$27)+(((((IF($B20=0,0,'Supuestos'!$C$8/$B20))*F$19)*'Supuestos'!$C$13)*'Supuestos'!$C$30)*'Supuestos'!$C$29))*('Supuestos'!$C$40+'Supuestos'!$C$41+'Supuestos'!$C$42))*(1-'Supuestos'!$C$33-'Supuestos'!$C$34-'Supuestos'!$C$35))-((IF($B20=0,0,'Supuestos'!$C$8/$B20))*'Supuestos'!$C$36)-'Supuestos'!$C$37-'Supuestos'!$C$8)</f>
        <v/>
      </c>
      <c r="G20" s="26">
        <f>((((((((IF($B20=0,0,'Supuestos'!$C$8/$B20))*G$19)*'Supuestos'!$C$13)*'Supuestos'!$C$16)+(((((IF($B20=0,0,'Supuestos'!$C$8/$B20))*G$19)*'Supuestos'!$C$13)*'Supuestos'!$C$18)*'Supuestos'!$C$17)+(((((IF($B20=0,0,'Supuestos'!$C$8/$B20))*G$19)*'Supuestos'!$C$13)*'Supuestos'!$C$20)*'Supuestos'!$C$19)+(((((IF($B20=0,0,'Supuestos'!$C$8/$B20))*G$19)*'Supuestos'!$C$13)*'Supuestos'!$C$22)*'Supuestos'!$C$21)+(((((IF($B20=0,0,'Supuestos'!$C$8/$B20))*G$19)*'Supuestos'!$C$13)*'Supuestos'!$C$24)*'Supuestos'!$C$23)+(((((IF($B20=0,0,'Supuestos'!$C$8/$B20))*G$19)*'Supuestos'!$C$13)*'Supuestos'!$C$26)*'Supuestos'!$C$25)+(((((IF($B20=0,0,'Supuestos'!$C$8/$B20))*G$19)*'Supuestos'!$C$13)*'Supuestos'!$C$28)*'Supuestos'!$C$27)+(((((IF($B20=0,0,'Supuestos'!$C$8/$B20))*G$19)*'Supuestos'!$C$13)*'Supuestos'!$C$30)*'Supuestos'!$C$29))*('Supuestos'!$C$40+'Supuestos'!$C$41+'Supuestos'!$C$42))*(1-'Supuestos'!$C$33-'Supuestos'!$C$34-'Supuestos'!$C$35))-((IF($B20=0,0,'Supuestos'!$C$8/$B20))*'Supuestos'!$C$36)-'Supuestos'!$C$37-'Supuestos'!$C$8)</f>
        <v/>
      </c>
      <c r="H20" s="26">
        <f>((((((((IF($B20=0,0,'Supuestos'!$C$8/$B20))*H$19)*'Supuestos'!$C$13)*'Supuestos'!$C$16)+(((((IF($B20=0,0,'Supuestos'!$C$8/$B20))*H$19)*'Supuestos'!$C$13)*'Supuestos'!$C$18)*'Supuestos'!$C$17)+(((((IF($B20=0,0,'Supuestos'!$C$8/$B20))*H$19)*'Supuestos'!$C$13)*'Supuestos'!$C$20)*'Supuestos'!$C$19)+(((((IF($B20=0,0,'Supuestos'!$C$8/$B20))*H$19)*'Supuestos'!$C$13)*'Supuestos'!$C$22)*'Supuestos'!$C$21)+(((((IF($B20=0,0,'Supuestos'!$C$8/$B20))*H$19)*'Supuestos'!$C$13)*'Supuestos'!$C$24)*'Supuestos'!$C$23)+(((((IF($B20=0,0,'Supuestos'!$C$8/$B20))*H$19)*'Supuestos'!$C$13)*'Supuestos'!$C$26)*'Supuestos'!$C$25)+(((((IF($B20=0,0,'Supuestos'!$C$8/$B20))*H$19)*'Supuestos'!$C$13)*'Supuestos'!$C$28)*'Supuestos'!$C$27)+(((((IF($B20=0,0,'Supuestos'!$C$8/$B20))*H$19)*'Supuestos'!$C$13)*'Supuestos'!$C$30)*'Supuestos'!$C$29))*('Supuestos'!$C$40+'Supuestos'!$C$41+'Supuestos'!$C$42))*(1-'Supuestos'!$C$33-'Supuestos'!$C$34-'Supuestos'!$C$35))-((IF($B20=0,0,'Supuestos'!$C$8/$B20))*'Supuestos'!$C$36)-'Supuestos'!$C$37-'Supuestos'!$C$8)</f>
        <v/>
      </c>
    </row>
    <row r="21">
      <c r="B21" s="32" t="n">
        <v>0.2</v>
      </c>
      <c r="C21" s="26">
        <f>((((((((IF($B21=0,0,'Supuestos'!$C$8/$B21))*C$19)*'Supuestos'!$C$13)*'Supuestos'!$C$16)+(((((IF($B21=0,0,'Supuestos'!$C$8/$B21))*C$19)*'Supuestos'!$C$13)*'Supuestos'!$C$18)*'Supuestos'!$C$17)+(((((IF($B21=0,0,'Supuestos'!$C$8/$B21))*C$19)*'Supuestos'!$C$13)*'Supuestos'!$C$20)*'Supuestos'!$C$19)+(((((IF($B21=0,0,'Supuestos'!$C$8/$B21))*C$19)*'Supuestos'!$C$13)*'Supuestos'!$C$22)*'Supuestos'!$C$21)+(((((IF($B21=0,0,'Supuestos'!$C$8/$B21))*C$19)*'Supuestos'!$C$13)*'Supuestos'!$C$24)*'Supuestos'!$C$23)+(((((IF($B21=0,0,'Supuestos'!$C$8/$B21))*C$19)*'Supuestos'!$C$13)*'Supuestos'!$C$26)*'Supuestos'!$C$25)+(((((IF($B21=0,0,'Supuestos'!$C$8/$B21))*C$19)*'Supuestos'!$C$13)*'Supuestos'!$C$28)*'Supuestos'!$C$27)+(((((IF($B21=0,0,'Supuestos'!$C$8/$B21))*C$19)*'Supuestos'!$C$13)*'Supuestos'!$C$30)*'Supuestos'!$C$29))*('Supuestos'!$C$40+'Supuestos'!$C$41+'Supuestos'!$C$42))*(1-'Supuestos'!$C$33-'Supuestos'!$C$34-'Supuestos'!$C$35))-((IF($B21=0,0,'Supuestos'!$C$8/$B21))*'Supuestos'!$C$36)-'Supuestos'!$C$37-'Supuestos'!$C$8)</f>
        <v/>
      </c>
      <c r="D21" s="26">
        <f>((((((((IF($B21=0,0,'Supuestos'!$C$8/$B21))*D$19)*'Supuestos'!$C$13)*'Supuestos'!$C$16)+(((((IF($B21=0,0,'Supuestos'!$C$8/$B21))*D$19)*'Supuestos'!$C$13)*'Supuestos'!$C$18)*'Supuestos'!$C$17)+(((((IF($B21=0,0,'Supuestos'!$C$8/$B21))*D$19)*'Supuestos'!$C$13)*'Supuestos'!$C$20)*'Supuestos'!$C$19)+(((((IF($B21=0,0,'Supuestos'!$C$8/$B21))*D$19)*'Supuestos'!$C$13)*'Supuestos'!$C$22)*'Supuestos'!$C$21)+(((((IF($B21=0,0,'Supuestos'!$C$8/$B21))*D$19)*'Supuestos'!$C$13)*'Supuestos'!$C$24)*'Supuestos'!$C$23)+(((((IF($B21=0,0,'Supuestos'!$C$8/$B21))*D$19)*'Supuestos'!$C$13)*'Supuestos'!$C$26)*'Supuestos'!$C$25)+(((((IF($B21=0,0,'Supuestos'!$C$8/$B21))*D$19)*'Supuestos'!$C$13)*'Supuestos'!$C$28)*'Supuestos'!$C$27)+(((((IF($B21=0,0,'Supuestos'!$C$8/$B21))*D$19)*'Supuestos'!$C$13)*'Supuestos'!$C$30)*'Supuestos'!$C$29))*('Supuestos'!$C$40+'Supuestos'!$C$41+'Supuestos'!$C$42))*(1-'Supuestos'!$C$33-'Supuestos'!$C$34-'Supuestos'!$C$35))-((IF($B21=0,0,'Supuestos'!$C$8/$B21))*'Supuestos'!$C$36)-'Supuestos'!$C$37-'Supuestos'!$C$8)</f>
        <v/>
      </c>
      <c r="E21" s="26">
        <f>((((((((IF($B21=0,0,'Supuestos'!$C$8/$B21))*E$19)*'Supuestos'!$C$13)*'Supuestos'!$C$16)+(((((IF($B21=0,0,'Supuestos'!$C$8/$B21))*E$19)*'Supuestos'!$C$13)*'Supuestos'!$C$18)*'Supuestos'!$C$17)+(((((IF($B21=0,0,'Supuestos'!$C$8/$B21))*E$19)*'Supuestos'!$C$13)*'Supuestos'!$C$20)*'Supuestos'!$C$19)+(((((IF($B21=0,0,'Supuestos'!$C$8/$B21))*E$19)*'Supuestos'!$C$13)*'Supuestos'!$C$22)*'Supuestos'!$C$21)+(((((IF($B21=0,0,'Supuestos'!$C$8/$B21))*E$19)*'Supuestos'!$C$13)*'Supuestos'!$C$24)*'Supuestos'!$C$23)+(((((IF($B21=0,0,'Supuestos'!$C$8/$B21))*E$19)*'Supuestos'!$C$13)*'Supuestos'!$C$26)*'Supuestos'!$C$25)+(((((IF($B21=0,0,'Supuestos'!$C$8/$B21))*E$19)*'Supuestos'!$C$13)*'Supuestos'!$C$28)*'Supuestos'!$C$27)+(((((IF($B21=0,0,'Supuestos'!$C$8/$B21))*E$19)*'Supuestos'!$C$13)*'Supuestos'!$C$30)*'Supuestos'!$C$29))*('Supuestos'!$C$40+'Supuestos'!$C$41+'Supuestos'!$C$42))*(1-'Supuestos'!$C$33-'Supuestos'!$C$34-'Supuestos'!$C$35))-((IF($B21=0,0,'Supuestos'!$C$8/$B21))*'Supuestos'!$C$36)-'Supuestos'!$C$37-'Supuestos'!$C$8)</f>
        <v/>
      </c>
      <c r="F21" s="26">
        <f>((((((((IF($B21=0,0,'Supuestos'!$C$8/$B21))*F$19)*'Supuestos'!$C$13)*'Supuestos'!$C$16)+(((((IF($B21=0,0,'Supuestos'!$C$8/$B21))*F$19)*'Supuestos'!$C$13)*'Supuestos'!$C$18)*'Supuestos'!$C$17)+(((((IF($B21=0,0,'Supuestos'!$C$8/$B21))*F$19)*'Supuestos'!$C$13)*'Supuestos'!$C$20)*'Supuestos'!$C$19)+(((((IF($B21=0,0,'Supuestos'!$C$8/$B21))*F$19)*'Supuestos'!$C$13)*'Supuestos'!$C$22)*'Supuestos'!$C$21)+(((((IF($B21=0,0,'Supuestos'!$C$8/$B21))*F$19)*'Supuestos'!$C$13)*'Supuestos'!$C$24)*'Supuestos'!$C$23)+(((((IF($B21=0,0,'Supuestos'!$C$8/$B21))*F$19)*'Supuestos'!$C$13)*'Supuestos'!$C$26)*'Supuestos'!$C$25)+(((((IF($B21=0,0,'Supuestos'!$C$8/$B21))*F$19)*'Supuestos'!$C$13)*'Supuestos'!$C$28)*'Supuestos'!$C$27)+(((((IF($B21=0,0,'Supuestos'!$C$8/$B21))*F$19)*'Supuestos'!$C$13)*'Supuestos'!$C$30)*'Supuestos'!$C$29))*('Supuestos'!$C$40+'Supuestos'!$C$41+'Supuestos'!$C$42))*(1-'Supuestos'!$C$33-'Supuestos'!$C$34-'Supuestos'!$C$35))-((IF($B21=0,0,'Supuestos'!$C$8/$B21))*'Supuestos'!$C$36)-'Supuestos'!$C$37-'Supuestos'!$C$8)</f>
        <v/>
      </c>
      <c r="G21" s="26">
        <f>((((((((IF($B21=0,0,'Supuestos'!$C$8/$B21))*G$19)*'Supuestos'!$C$13)*'Supuestos'!$C$16)+(((((IF($B21=0,0,'Supuestos'!$C$8/$B21))*G$19)*'Supuestos'!$C$13)*'Supuestos'!$C$18)*'Supuestos'!$C$17)+(((((IF($B21=0,0,'Supuestos'!$C$8/$B21))*G$19)*'Supuestos'!$C$13)*'Supuestos'!$C$20)*'Supuestos'!$C$19)+(((((IF($B21=0,0,'Supuestos'!$C$8/$B21))*G$19)*'Supuestos'!$C$13)*'Supuestos'!$C$22)*'Supuestos'!$C$21)+(((((IF($B21=0,0,'Supuestos'!$C$8/$B21))*G$19)*'Supuestos'!$C$13)*'Supuestos'!$C$24)*'Supuestos'!$C$23)+(((((IF($B21=0,0,'Supuestos'!$C$8/$B21))*G$19)*'Supuestos'!$C$13)*'Supuestos'!$C$26)*'Supuestos'!$C$25)+(((((IF($B21=0,0,'Supuestos'!$C$8/$B21))*G$19)*'Supuestos'!$C$13)*'Supuestos'!$C$28)*'Supuestos'!$C$27)+(((((IF($B21=0,0,'Supuestos'!$C$8/$B21))*G$19)*'Supuestos'!$C$13)*'Supuestos'!$C$30)*'Supuestos'!$C$29))*('Supuestos'!$C$40+'Supuestos'!$C$41+'Supuestos'!$C$42))*(1-'Supuestos'!$C$33-'Supuestos'!$C$34-'Supuestos'!$C$35))-((IF($B21=0,0,'Supuestos'!$C$8/$B21))*'Supuestos'!$C$36)-'Supuestos'!$C$37-'Supuestos'!$C$8)</f>
        <v/>
      </c>
      <c r="H21" s="26">
        <f>((((((((IF($B21=0,0,'Supuestos'!$C$8/$B21))*H$19)*'Supuestos'!$C$13)*'Supuestos'!$C$16)+(((((IF($B21=0,0,'Supuestos'!$C$8/$B21))*H$19)*'Supuestos'!$C$13)*'Supuestos'!$C$18)*'Supuestos'!$C$17)+(((((IF($B21=0,0,'Supuestos'!$C$8/$B21))*H$19)*'Supuestos'!$C$13)*'Supuestos'!$C$20)*'Supuestos'!$C$19)+(((((IF($B21=0,0,'Supuestos'!$C$8/$B21))*H$19)*'Supuestos'!$C$13)*'Supuestos'!$C$22)*'Supuestos'!$C$21)+(((((IF($B21=0,0,'Supuestos'!$C$8/$B21))*H$19)*'Supuestos'!$C$13)*'Supuestos'!$C$24)*'Supuestos'!$C$23)+(((((IF($B21=0,0,'Supuestos'!$C$8/$B21))*H$19)*'Supuestos'!$C$13)*'Supuestos'!$C$26)*'Supuestos'!$C$25)+(((((IF($B21=0,0,'Supuestos'!$C$8/$B21))*H$19)*'Supuestos'!$C$13)*'Supuestos'!$C$28)*'Supuestos'!$C$27)+(((((IF($B21=0,0,'Supuestos'!$C$8/$B21))*H$19)*'Supuestos'!$C$13)*'Supuestos'!$C$30)*'Supuestos'!$C$29))*('Supuestos'!$C$40+'Supuestos'!$C$41+'Supuestos'!$C$42))*(1-'Supuestos'!$C$33-'Supuestos'!$C$34-'Supuestos'!$C$35))-((IF($B21=0,0,'Supuestos'!$C$8/$B21))*'Supuestos'!$C$36)-'Supuestos'!$C$37-'Supuestos'!$C$8)</f>
        <v/>
      </c>
    </row>
    <row r="22">
      <c r="B22" s="32" t="n">
        <v>0.25</v>
      </c>
      <c r="C22" s="26">
        <f>((((((((IF($B22=0,0,'Supuestos'!$C$8/$B22))*C$19)*'Supuestos'!$C$13)*'Supuestos'!$C$16)+(((((IF($B22=0,0,'Supuestos'!$C$8/$B22))*C$19)*'Supuestos'!$C$13)*'Supuestos'!$C$18)*'Supuestos'!$C$17)+(((((IF($B22=0,0,'Supuestos'!$C$8/$B22))*C$19)*'Supuestos'!$C$13)*'Supuestos'!$C$20)*'Supuestos'!$C$19)+(((((IF($B22=0,0,'Supuestos'!$C$8/$B22))*C$19)*'Supuestos'!$C$13)*'Supuestos'!$C$22)*'Supuestos'!$C$21)+(((((IF($B22=0,0,'Supuestos'!$C$8/$B22))*C$19)*'Supuestos'!$C$13)*'Supuestos'!$C$24)*'Supuestos'!$C$23)+(((((IF($B22=0,0,'Supuestos'!$C$8/$B22))*C$19)*'Supuestos'!$C$13)*'Supuestos'!$C$26)*'Supuestos'!$C$25)+(((((IF($B22=0,0,'Supuestos'!$C$8/$B22))*C$19)*'Supuestos'!$C$13)*'Supuestos'!$C$28)*'Supuestos'!$C$27)+(((((IF($B22=0,0,'Supuestos'!$C$8/$B22))*C$19)*'Supuestos'!$C$13)*'Supuestos'!$C$30)*'Supuestos'!$C$29))*('Supuestos'!$C$40+'Supuestos'!$C$41+'Supuestos'!$C$42))*(1-'Supuestos'!$C$33-'Supuestos'!$C$34-'Supuestos'!$C$35))-((IF($B22=0,0,'Supuestos'!$C$8/$B22))*'Supuestos'!$C$36)-'Supuestos'!$C$37-'Supuestos'!$C$8)</f>
        <v/>
      </c>
      <c r="D22" s="26">
        <f>((((((((IF($B22=0,0,'Supuestos'!$C$8/$B22))*D$19)*'Supuestos'!$C$13)*'Supuestos'!$C$16)+(((((IF($B22=0,0,'Supuestos'!$C$8/$B22))*D$19)*'Supuestos'!$C$13)*'Supuestos'!$C$18)*'Supuestos'!$C$17)+(((((IF($B22=0,0,'Supuestos'!$C$8/$B22))*D$19)*'Supuestos'!$C$13)*'Supuestos'!$C$20)*'Supuestos'!$C$19)+(((((IF($B22=0,0,'Supuestos'!$C$8/$B22))*D$19)*'Supuestos'!$C$13)*'Supuestos'!$C$22)*'Supuestos'!$C$21)+(((((IF($B22=0,0,'Supuestos'!$C$8/$B22))*D$19)*'Supuestos'!$C$13)*'Supuestos'!$C$24)*'Supuestos'!$C$23)+(((((IF($B22=0,0,'Supuestos'!$C$8/$B22))*D$19)*'Supuestos'!$C$13)*'Supuestos'!$C$26)*'Supuestos'!$C$25)+(((((IF($B22=0,0,'Supuestos'!$C$8/$B22))*D$19)*'Supuestos'!$C$13)*'Supuestos'!$C$28)*'Supuestos'!$C$27)+(((((IF($B22=0,0,'Supuestos'!$C$8/$B22))*D$19)*'Supuestos'!$C$13)*'Supuestos'!$C$30)*'Supuestos'!$C$29))*('Supuestos'!$C$40+'Supuestos'!$C$41+'Supuestos'!$C$42))*(1-'Supuestos'!$C$33-'Supuestos'!$C$34-'Supuestos'!$C$35))-((IF($B22=0,0,'Supuestos'!$C$8/$B22))*'Supuestos'!$C$36)-'Supuestos'!$C$37-'Supuestos'!$C$8)</f>
        <v/>
      </c>
      <c r="E22" s="26">
        <f>((((((((IF($B22=0,0,'Supuestos'!$C$8/$B22))*E$19)*'Supuestos'!$C$13)*'Supuestos'!$C$16)+(((((IF($B22=0,0,'Supuestos'!$C$8/$B22))*E$19)*'Supuestos'!$C$13)*'Supuestos'!$C$18)*'Supuestos'!$C$17)+(((((IF($B22=0,0,'Supuestos'!$C$8/$B22))*E$19)*'Supuestos'!$C$13)*'Supuestos'!$C$20)*'Supuestos'!$C$19)+(((((IF($B22=0,0,'Supuestos'!$C$8/$B22))*E$19)*'Supuestos'!$C$13)*'Supuestos'!$C$22)*'Supuestos'!$C$21)+(((((IF($B22=0,0,'Supuestos'!$C$8/$B22))*E$19)*'Supuestos'!$C$13)*'Supuestos'!$C$24)*'Supuestos'!$C$23)+(((((IF($B22=0,0,'Supuestos'!$C$8/$B22))*E$19)*'Supuestos'!$C$13)*'Supuestos'!$C$26)*'Supuestos'!$C$25)+(((((IF($B22=0,0,'Supuestos'!$C$8/$B22))*E$19)*'Supuestos'!$C$13)*'Supuestos'!$C$28)*'Supuestos'!$C$27)+(((((IF($B22=0,0,'Supuestos'!$C$8/$B22))*E$19)*'Supuestos'!$C$13)*'Supuestos'!$C$30)*'Supuestos'!$C$29))*('Supuestos'!$C$40+'Supuestos'!$C$41+'Supuestos'!$C$42))*(1-'Supuestos'!$C$33-'Supuestos'!$C$34-'Supuestos'!$C$35))-((IF($B22=0,0,'Supuestos'!$C$8/$B22))*'Supuestos'!$C$36)-'Supuestos'!$C$37-'Supuestos'!$C$8)</f>
        <v/>
      </c>
      <c r="F22" s="26">
        <f>((((((((IF($B22=0,0,'Supuestos'!$C$8/$B22))*F$19)*'Supuestos'!$C$13)*'Supuestos'!$C$16)+(((((IF($B22=0,0,'Supuestos'!$C$8/$B22))*F$19)*'Supuestos'!$C$13)*'Supuestos'!$C$18)*'Supuestos'!$C$17)+(((((IF($B22=0,0,'Supuestos'!$C$8/$B22))*F$19)*'Supuestos'!$C$13)*'Supuestos'!$C$20)*'Supuestos'!$C$19)+(((((IF($B22=0,0,'Supuestos'!$C$8/$B22))*F$19)*'Supuestos'!$C$13)*'Supuestos'!$C$22)*'Supuestos'!$C$21)+(((((IF($B22=0,0,'Supuestos'!$C$8/$B22))*F$19)*'Supuestos'!$C$13)*'Supuestos'!$C$24)*'Supuestos'!$C$23)+(((((IF($B22=0,0,'Supuestos'!$C$8/$B22))*F$19)*'Supuestos'!$C$13)*'Supuestos'!$C$26)*'Supuestos'!$C$25)+(((((IF($B22=0,0,'Supuestos'!$C$8/$B22))*F$19)*'Supuestos'!$C$13)*'Supuestos'!$C$28)*'Supuestos'!$C$27)+(((((IF($B22=0,0,'Supuestos'!$C$8/$B22))*F$19)*'Supuestos'!$C$13)*'Supuestos'!$C$30)*'Supuestos'!$C$29))*('Supuestos'!$C$40+'Supuestos'!$C$41+'Supuestos'!$C$42))*(1-'Supuestos'!$C$33-'Supuestos'!$C$34-'Supuestos'!$C$35))-((IF($B22=0,0,'Supuestos'!$C$8/$B22))*'Supuestos'!$C$36)-'Supuestos'!$C$37-'Supuestos'!$C$8)</f>
        <v/>
      </c>
      <c r="G22" s="26">
        <f>((((((((IF($B22=0,0,'Supuestos'!$C$8/$B22))*G$19)*'Supuestos'!$C$13)*'Supuestos'!$C$16)+(((((IF($B22=0,0,'Supuestos'!$C$8/$B22))*G$19)*'Supuestos'!$C$13)*'Supuestos'!$C$18)*'Supuestos'!$C$17)+(((((IF($B22=0,0,'Supuestos'!$C$8/$B22))*G$19)*'Supuestos'!$C$13)*'Supuestos'!$C$20)*'Supuestos'!$C$19)+(((((IF($B22=0,0,'Supuestos'!$C$8/$B22))*G$19)*'Supuestos'!$C$13)*'Supuestos'!$C$22)*'Supuestos'!$C$21)+(((((IF($B22=0,0,'Supuestos'!$C$8/$B22))*G$19)*'Supuestos'!$C$13)*'Supuestos'!$C$24)*'Supuestos'!$C$23)+(((((IF($B22=0,0,'Supuestos'!$C$8/$B22))*G$19)*'Supuestos'!$C$13)*'Supuestos'!$C$26)*'Supuestos'!$C$25)+(((((IF($B22=0,0,'Supuestos'!$C$8/$B22))*G$19)*'Supuestos'!$C$13)*'Supuestos'!$C$28)*'Supuestos'!$C$27)+(((((IF($B22=0,0,'Supuestos'!$C$8/$B22))*G$19)*'Supuestos'!$C$13)*'Supuestos'!$C$30)*'Supuestos'!$C$29))*('Supuestos'!$C$40+'Supuestos'!$C$41+'Supuestos'!$C$42))*(1-'Supuestos'!$C$33-'Supuestos'!$C$34-'Supuestos'!$C$35))-((IF($B22=0,0,'Supuestos'!$C$8/$B22))*'Supuestos'!$C$36)-'Supuestos'!$C$37-'Supuestos'!$C$8)</f>
        <v/>
      </c>
      <c r="H22" s="26">
        <f>((((((((IF($B22=0,0,'Supuestos'!$C$8/$B22))*H$19)*'Supuestos'!$C$13)*'Supuestos'!$C$16)+(((((IF($B22=0,0,'Supuestos'!$C$8/$B22))*H$19)*'Supuestos'!$C$13)*'Supuestos'!$C$18)*'Supuestos'!$C$17)+(((((IF($B22=0,0,'Supuestos'!$C$8/$B22))*H$19)*'Supuestos'!$C$13)*'Supuestos'!$C$20)*'Supuestos'!$C$19)+(((((IF($B22=0,0,'Supuestos'!$C$8/$B22))*H$19)*'Supuestos'!$C$13)*'Supuestos'!$C$22)*'Supuestos'!$C$21)+(((((IF($B22=0,0,'Supuestos'!$C$8/$B22))*H$19)*'Supuestos'!$C$13)*'Supuestos'!$C$24)*'Supuestos'!$C$23)+(((((IF($B22=0,0,'Supuestos'!$C$8/$B22))*H$19)*'Supuestos'!$C$13)*'Supuestos'!$C$26)*'Supuestos'!$C$25)+(((((IF($B22=0,0,'Supuestos'!$C$8/$B22))*H$19)*'Supuestos'!$C$13)*'Supuestos'!$C$28)*'Supuestos'!$C$27)+(((((IF($B22=0,0,'Supuestos'!$C$8/$B22))*H$19)*'Supuestos'!$C$13)*'Supuestos'!$C$30)*'Supuestos'!$C$29))*('Supuestos'!$C$40+'Supuestos'!$C$41+'Supuestos'!$C$42))*(1-'Supuestos'!$C$33-'Supuestos'!$C$34-'Supuestos'!$C$35))-((IF($B22=0,0,'Supuestos'!$C$8/$B22))*'Supuestos'!$C$36)-'Supuestos'!$C$37-'Supuestos'!$C$8)</f>
        <v/>
      </c>
    </row>
    <row r="23">
      <c r="B23" s="32" t="n">
        <v>0.3</v>
      </c>
      <c r="C23" s="26">
        <f>((((((((IF($B23=0,0,'Supuestos'!$C$8/$B23))*C$19)*'Supuestos'!$C$13)*'Supuestos'!$C$16)+(((((IF($B23=0,0,'Supuestos'!$C$8/$B23))*C$19)*'Supuestos'!$C$13)*'Supuestos'!$C$18)*'Supuestos'!$C$17)+(((((IF($B23=0,0,'Supuestos'!$C$8/$B23))*C$19)*'Supuestos'!$C$13)*'Supuestos'!$C$20)*'Supuestos'!$C$19)+(((((IF($B23=0,0,'Supuestos'!$C$8/$B23))*C$19)*'Supuestos'!$C$13)*'Supuestos'!$C$22)*'Supuestos'!$C$21)+(((((IF($B23=0,0,'Supuestos'!$C$8/$B23))*C$19)*'Supuestos'!$C$13)*'Supuestos'!$C$24)*'Supuestos'!$C$23)+(((((IF($B23=0,0,'Supuestos'!$C$8/$B23))*C$19)*'Supuestos'!$C$13)*'Supuestos'!$C$26)*'Supuestos'!$C$25)+(((((IF($B23=0,0,'Supuestos'!$C$8/$B23))*C$19)*'Supuestos'!$C$13)*'Supuestos'!$C$28)*'Supuestos'!$C$27)+(((((IF($B23=0,0,'Supuestos'!$C$8/$B23))*C$19)*'Supuestos'!$C$13)*'Supuestos'!$C$30)*'Supuestos'!$C$29))*('Supuestos'!$C$40+'Supuestos'!$C$41+'Supuestos'!$C$42))*(1-'Supuestos'!$C$33-'Supuestos'!$C$34-'Supuestos'!$C$35))-((IF($B23=0,0,'Supuestos'!$C$8/$B23))*'Supuestos'!$C$36)-'Supuestos'!$C$37-'Supuestos'!$C$8)</f>
        <v/>
      </c>
      <c r="D23" s="26">
        <f>((((((((IF($B23=0,0,'Supuestos'!$C$8/$B23))*D$19)*'Supuestos'!$C$13)*'Supuestos'!$C$16)+(((((IF($B23=0,0,'Supuestos'!$C$8/$B23))*D$19)*'Supuestos'!$C$13)*'Supuestos'!$C$18)*'Supuestos'!$C$17)+(((((IF($B23=0,0,'Supuestos'!$C$8/$B23))*D$19)*'Supuestos'!$C$13)*'Supuestos'!$C$20)*'Supuestos'!$C$19)+(((((IF($B23=0,0,'Supuestos'!$C$8/$B23))*D$19)*'Supuestos'!$C$13)*'Supuestos'!$C$22)*'Supuestos'!$C$21)+(((((IF($B23=0,0,'Supuestos'!$C$8/$B23))*D$19)*'Supuestos'!$C$13)*'Supuestos'!$C$24)*'Supuestos'!$C$23)+(((((IF($B23=0,0,'Supuestos'!$C$8/$B23))*D$19)*'Supuestos'!$C$13)*'Supuestos'!$C$26)*'Supuestos'!$C$25)+(((((IF($B23=0,0,'Supuestos'!$C$8/$B23))*D$19)*'Supuestos'!$C$13)*'Supuestos'!$C$28)*'Supuestos'!$C$27)+(((((IF($B23=0,0,'Supuestos'!$C$8/$B23))*D$19)*'Supuestos'!$C$13)*'Supuestos'!$C$30)*'Supuestos'!$C$29))*('Supuestos'!$C$40+'Supuestos'!$C$41+'Supuestos'!$C$42))*(1-'Supuestos'!$C$33-'Supuestos'!$C$34-'Supuestos'!$C$35))-((IF($B23=0,0,'Supuestos'!$C$8/$B23))*'Supuestos'!$C$36)-'Supuestos'!$C$37-'Supuestos'!$C$8)</f>
        <v/>
      </c>
      <c r="E23" s="26">
        <f>((((((((IF($B23=0,0,'Supuestos'!$C$8/$B23))*E$19)*'Supuestos'!$C$13)*'Supuestos'!$C$16)+(((((IF($B23=0,0,'Supuestos'!$C$8/$B23))*E$19)*'Supuestos'!$C$13)*'Supuestos'!$C$18)*'Supuestos'!$C$17)+(((((IF($B23=0,0,'Supuestos'!$C$8/$B23))*E$19)*'Supuestos'!$C$13)*'Supuestos'!$C$20)*'Supuestos'!$C$19)+(((((IF($B23=0,0,'Supuestos'!$C$8/$B23))*E$19)*'Supuestos'!$C$13)*'Supuestos'!$C$22)*'Supuestos'!$C$21)+(((((IF($B23=0,0,'Supuestos'!$C$8/$B23))*E$19)*'Supuestos'!$C$13)*'Supuestos'!$C$24)*'Supuestos'!$C$23)+(((((IF($B23=0,0,'Supuestos'!$C$8/$B23))*E$19)*'Supuestos'!$C$13)*'Supuestos'!$C$26)*'Supuestos'!$C$25)+(((((IF($B23=0,0,'Supuestos'!$C$8/$B23))*E$19)*'Supuestos'!$C$13)*'Supuestos'!$C$28)*'Supuestos'!$C$27)+(((((IF($B23=0,0,'Supuestos'!$C$8/$B23))*E$19)*'Supuestos'!$C$13)*'Supuestos'!$C$30)*'Supuestos'!$C$29))*('Supuestos'!$C$40+'Supuestos'!$C$41+'Supuestos'!$C$42))*(1-'Supuestos'!$C$33-'Supuestos'!$C$34-'Supuestos'!$C$35))-((IF($B23=0,0,'Supuestos'!$C$8/$B23))*'Supuestos'!$C$36)-'Supuestos'!$C$37-'Supuestos'!$C$8)</f>
        <v/>
      </c>
      <c r="F23" s="26">
        <f>((((((((IF($B23=0,0,'Supuestos'!$C$8/$B23))*F$19)*'Supuestos'!$C$13)*'Supuestos'!$C$16)+(((((IF($B23=0,0,'Supuestos'!$C$8/$B23))*F$19)*'Supuestos'!$C$13)*'Supuestos'!$C$18)*'Supuestos'!$C$17)+(((((IF($B23=0,0,'Supuestos'!$C$8/$B23))*F$19)*'Supuestos'!$C$13)*'Supuestos'!$C$20)*'Supuestos'!$C$19)+(((((IF($B23=0,0,'Supuestos'!$C$8/$B23))*F$19)*'Supuestos'!$C$13)*'Supuestos'!$C$22)*'Supuestos'!$C$21)+(((((IF($B23=0,0,'Supuestos'!$C$8/$B23))*F$19)*'Supuestos'!$C$13)*'Supuestos'!$C$24)*'Supuestos'!$C$23)+(((((IF($B23=0,0,'Supuestos'!$C$8/$B23))*F$19)*'Supuestos'!$C$13)*'Supuestos'!$C$26)*'Supuestos'!$C$25)+(((((IF($B23=0,0,'Supuestos'!$C$8/$B23))*F$19)*'Supuestos'!$C$13)*'Supuestos'!$C$28)*'Supuestos'!$C$27)+(((((IF($B23=0,0,'Supuestos'!$C$8/$B23))*F$19)*'Supuestos'!$C$13)*'Supuestos'!$C$30)*'Supuestos'!$C$29))*('Supuestos'!$C$40+'Supuestos'!$C$41+'Supuestos'!$C$42))*(1-'Supuestos'!$C$33-'Supuestos'!$C$34-'Supuestos'!$C$35))-((IF($B23=0,0,'Supuestos'!$C$8/$B23))*'Supuestos'!$C$36)-'Supuestos'!$C$37-'Supuestos'!$C$8)</f>
        <v/>
      </c>
      <c r="G23" s="26">
        <f>((((((((IF($B23=0,0,'Supuestos'!$C$8/$B23))*G$19)*'Supuestos'!$C$13)*'Supuestos'!$C$16)+(((((IF($B23=0,0,'Supuestos'!$C$8/$B23))*G$19)*'Supuestos'!$C$13)*'Supuestos'!$C$18)*'Supuestos'!$C$17)+(((((IF($B23=0,0,'Supuestos'!$C$8/$B23))*G$19)*'Supuestos'!$C$13)*'Supuestos'!$C$20)*'Supuestos'!$C$19)+(((((IF($B23=0,0,'Supuestos'!$C$8/$B23))*G$19)*'Supuestos'!$C$13)*'Supuestos'!$C$22)*'Supuestos'!$C$21)+(((((IF($B23=0,0,'Supuestos'!$C$8/$B23))*G$19)*'Supuestos'!$C$13)*'Supuestos'!$C$24)*'Supuestos'!$C$23)+(((((IF($B23=0,0,'Supuestos'!$C$8/$B23))*G$19)*'Supuestos'!$C$13)*'Supuestos'!$C$26)*'Supuestos'!$C$25)+(((((IF($B23=0,0,'Supuestos'!$C$8/$B23))*G$19)*'Supuestos'!$C$13)*'Supuestos'!$C$28)*'Supuestos'!$C$27)+(((((IF($B23=0,0,'Supuestos'!$C$8/$B23))*G$19)*'Supuestos'!$C$13)*'Supuestos'!$C$30)*'Supuestos'!$C$29))*('Supuestos'!$C$40+'Supuestos'!$C$41+'Supuestos'!$C$42))*(1-'Supuestos'!$C$33-'Supuestos'!$C$34-'Supuestos'!$C$35))-((IF($B23=0,0,'Supuestos'!$C$8/$B23))*'Supuestos'!$C$36)-'Supuestos'!$C$37-'Supuestos'!$C$8)</f>
        <v/>
      </c>
      <c r="H23" s="26">
        <f>((((((((IF($B23=0,0,'Supuestos'!$C$8/$B23))*H$19)*'Supuestos'!$C$13)*'Supuestos'!$C$16)+(((((IF($B23=0,0,'Supuestos'!$C$8/$B23))*H$19)*'Supuestos'!$C$13)*'Supuestos'!$C$18)*'Supuestos'!$C$17)+(((((IF($B23=0,0,'Supuestos'!$C$8/$B23))*H$19)*'Supuestos'!$C$13)*'Supuestos'!$C$20)*'Supuestos'!$C$19)+(((((IF($B23=0,0,'Supuestos'!$C$8/$B23))*H$19)*'Supuestos'!$C$13)*'Supuestos'!$C$22)*'Supuestos'!$C$21)+(((((IF($B23=0,0,'Supuestos'!$C$8/$B23))*H$19)*'Supuestos'!$C$13)*'Supuestos'!$C$24)*'Supuestos'!$C$23)+(((((IF($B23=0,0,'Supuestos'!$C$8/$B23))*H$19)*'Supuestos'!$C$13)*'Supuestos'!$C$26)*'Supuestos'!$C$25)+(((((IF($B23=0,0,'Supuestos'!$C$8/$B23))*H$19)*'Supuestos'!$C$13)*'Supuestos'!$C$28)*'Supuestos'!$C$27)+(((((IF($B23=0,0,'Supuestos'!$C$8/$B23))*H$19)*'Supuestos'!$C$13)*'Supuestos'!$C$30)*'Supuestos'!$C$29))*('Supuestos'!$C$40+'Supuestos'!$C$41+'Supuestos'!$C$42))*(1-'Supuestos'!$C$33-'Supuestos'!$C$34-'Supuestos'!$C$35))-((IF($B23=0,0,'Supuestos'!$C$8/$B23))*'Supuestos'!$C$36)-'Supuestos'!$C$37-'Supuestos'!$C$8)</f>
        <v/>
      </c>
    </row>
    <row r="24">
      <c r="B24" s="32" t="n">
        <v>0.4</v>
      </c>
      <c r="C24" s="26">
        <f>((((((((IF($B24=0,0,'Supuestos'!$C$8/$B24))*C$19)*'Supuestos'!$C$13)*'Supuestos'!$C$16)+(((((IF($B24=0,0,'Supuestos'!$C$8/$B24))*C$19)*'Supuestos'!$C$13)*'Supuestos'!$C$18)*'Supuestos'!$C$17)+(((((IF($B24=0,0,'Supuestos'!$C$8/$B24))*C$19)*'Supuestos'!$C$13)*'Supuestos'!$C$20)*'Supuestos'!$C$19)+(((((IF($B24=0,0,'Supuestos'!$C$8/$B24))*C$19)*'Supuestos'!$C$13)*'Supuestos'!$C$22)*'Supuestos'!$C$21)+(((((IF($B24=0,0,'Supuestos'!$C$8/$B24))*C$19)*'Supuestos'!$C$13)*'Supuestos'!$C$24)*'Supuestos'!$C$23)+(((((IF($B24=0,0,'Supuestos'!$C$8/$B24))*C$19)*'Supuestos'!$C$13)*'Supuestos'!$C$26)*'Supuestos'!$C$25)+(((((IF($B24=0,0,'Supuestos'!$C$8/$B24))*C$19)*'Supuestos'!$C$13)*'Supuestos'!$C$28)*'Supuestos'!$C$27)+(((((IF($B24=0,0,'Supuestos'!$C$8/$B24))*C$19)*'Supuestos'!$C$13)*'Supuestos'!$C$30)*'Supuestos'!$C$29))*('Supuestos'!$C$40+'Supuestos'!$C$41+'Supuestos'!$C$42))*(1-'Supuestos'!$C$33-'Supuestos'!$C$34-'Supuestos'!$C$35))-((IF($B24=0,0,'Supuestos'!$C$8/$B24))*'Supuestos'!$C$36)-'Supuestos'!$C$37-'Supuestos'!$C$8)</f>
        <v/>
      </c>
      <c r="D24" s="26">
        <f>((((((((IF($B24=0,0,'Supuestos'!$C$8/$B24))*D$19)*'Supuestos'!$C$13)*'Supuestos'!$C$16)+(((((IF($B24=0,0,'Supuestos'!$C$8/$B24))*D$19)*'Supuestos'!$C$13)*'Supuestos'!$C$18)*'Supuestos'!$C$17)+(((((IF($B24=0,0,'Supuestos'!$C$8/$B24))*D$19)*'Supuestos'!$C$13)*'Supuestos'!$C$20)*'Supuestos'!$C$19)+(((((IF($B24=0,0,'Supuestos'!$C$8/$B24))*D$19)*'Supuestos'!$C$13)*'Supuestos'!$C$22)*'Supuestos'!$C$21)+(((((IF($B24=0,0,'Supuestos'!$C$8/$B24))*D$19)*'Supuestos'!$C$13)*'Supuestos'!$C$24)*'Supuestos'!$C$23)+(((((IF($B24=0,0,'Supuestos'!$C$8/$B24))*D$19)*'Supuestos'!$C$13)*'Supuestos'!$C$26)*'Supuestos'!$C$25)+(((((IF($B24=0,0,'Supuestos'!$C$8/$B24))*D$19)*'Supuestos'!$C$13)*'Supuestos'!$C$28)*'Supuestos'!$C$27)+(((((IF($B24=0,0,'Supuestos'!$C$8/$B24))*D$19)*'Supuestos'!$C$13)*'Supuestos'!$C$30)*'Supuestos'!$C$29))*('Supuestos'!$C$40+'Supuestos'!$C$41+'Supuestos'!$C$42))*(1-'Supuestos'!$C$33-'Supuestos'!$C$34-'Supuestos'!$C$35))-((IF($B24=0,0,'Supuestos'!$C$8/$B24))*'Supuestos'!$C$36)-'Supuestos'!$C$37-'Supuestos'!$C$8)</f>
        <v/>
      </c>
      <c r="E24" s="26">
        <f>((((((((IF($B24=0,0,'Supuestos'!$C$8/$B24))*E$19)*'Supuestos'!$C$13)*'Supuestos'!$C$16)+(((((IF($B24=0,0,'Supuestos'!$C$8/$B24))*E$19)*'Supuestos'!$C$13)*'Supuestos'!$C$18)*'Supuestos'!$C$17)+(((((IF($B24=0,0,'Supuestos'!$C$8/$B24))*E$19)*'Supuestos'!$C$13)*'Supuestos'!$C$20)*'Supuestos'!$C$19)+(((((IF($B24=0,0,'Supuestos'!$C$8/$B24))*E$19)*'Supuestos'!$C$13)*'Supuestos'!$C$22)*'Supuestos'!$C$21)+(((((IF($B24=0,0,'Supuestos'!$C$8/$B24))*E$19)*'Supuestos'!$C$13)*'Supuestos'!$C$24)*'Supuestos'!$C$23)+(((((IF($B24=0,0,'Supuestos'!$C$8/$B24))*E$19)*'Supuestos'!$C$13)*'Supuestos'!$C$26)*'Supuestos'!$C$25)+(((((IF($B24=0,0,'Supuestos'!$C$8/$B24))*E$19)*'Supuestos'!$C$13)*'Supuestos'!$C$28)*'Supuestos'!$C$27)+(((((IF($B24=0,0,'Supuestos'!$C$8/$B24))*E$19)*'Supuestos'!$C$13)*'Supuestos'!$C$30)*'Supuestos'!$C$29))*('Supuestos'!$C$40+'Supuestos'!$C$41+'Supuestos'!$C$42))*(1-'Supuestos'!$C$33-'Supuestos'!$C$34-'Supuestos'!$C$35))-((IF($B24=0,0,'Supuestos'!$C$8/$B24))*'Supuestos'!$C$36)-'Supuestos'!$C$37-'Supuestos'!$C$8)</f>
        <v/>
      </c>
      <c r="F24" s="26">
        <f>((((((((IF($B24=0,0,'Supuestos'!$C$8/$B24))*F$19)*'Supuestos'!$C$13)*'Supuestos'!$C$16)+(((((IF($B24=0,0,'Supuestos'!$C$8/$B24))*F$19)*'Supuestos'!$C$13)*'Supuestos'!$C$18)*'Supuestos'!$C$17)+(((((IF($B24=0,0,'Supuestos'!$C$8/$B24))*F$19)*'Supuestos'!$C$13)*'Supuestos'!$C$20)*'Supuestos'!$C$19)+(((((IF($B24=0,0,'Supuestos'!$C$8/$B24))*F$19)*'Supuestos'!$C$13)*'Supuestos'!$C$22)*'Supuestos'!$C$21)+(((((IF($B24=0,0,'Supuestos'!$C$8/$B24))*F$19)*'Supuestos'!$C$13)*'Supuestos'!$C$24)*'Supuestos'!$C$23)+(((((IF($B24=0,0,'Supuestos'!$C$8/$B24))*F$19)*'Supuestos'!$C$13)*'Supuestos'!$C$26)*'Supuestos'!$C$25)+(((((IF($B24=0,0,'Supuestos'!$C$8/$B24))*F$19)*'Supuestos'!$C$13)*'Supuestos'!$C$28)*'Supuestos'!$C$27)+(((((IF($B24=0,0,'Supuestos'!$C$8/$B24))*F$19)*'Supuestos'!$C$13)*'Supuestos'!$C$30)*'Supuestos'!$C$29))*('Supuestos'!$C$40+'Supuestos'!$C$41+'Supuestos'!$C$42))*(1-'Supuestos'!$C$33-'Supuestos'!$C$34-'Supuestos'!$C$35))-((IF($B24=0,0,'Supuestos'!$C$8/$B24))*'Supuestos'!$C$36)-'Supuestos'!$C$37-'Supuestos'!$C$8)</f>
        <v/>
      </c>
      <c r="G24" s="26">
        <f>((((((((IF($B24=0,0,'Supuestos'!$C$8/$B24))*G$19)*'Supuestos'!$C$13)*'Supuestos'!$C$16)+(((((IF($B24=0,0,'Supuestos'!$C$8/$B24))*G$19)*'Supuestos'!$C$13)*'Supuestos'!$C$18)*'Supuestos'!$C$17)+(((((IF($B24=0,0,'Supuestos'!$C$8/$B24))*G$19)*'Supuestos'!$C$13)*'Supuestos'!$C$20)*'Supuestos'!$C$19)+(((((IF($B24=0,0,'Supuestos'!$C$8/$B24))*G$19)*'Supuestos'!$C$13)*'Supuestos'!$C$22)*'Supuestos'!$C$21)+(((((IF($B24=0,0,'Supuestos'!$C$8/$B24))*G$19)*'Supuestos'!$C$13)*'Supuestos'!$C$24)*'Supuestos'!$C$23)+(((((IF($B24=0,0,'Supuestos'!$C$8/$B24))*G$19)*'Supuestos'!$C$13)*'Supuestos'!$C$26)*'Supuestos'!$C$25)+(((((IF($B24=0,0,'Supuestos'!$C$8/$B24))*G$19)*'Supuestos'!$C$13)*'Supuestos'!$C$28)*'Supuestos'!$C$27)+(((((IF($B24=0,0,'Supuestos'!$C$8/$B24))*G$19)*'Supuestos'!$C$13)*'Supuestos'!$C$30)*'Supuestos'!$C$29))*('Supuestos'!$C$40+'Supuestos'!$C$41+'Supuestos'!$C$42))*(1-'Supuestos'!$C$33-'Supuestos'!$C$34-'Supuestos'!$C$35))-((IF($B24=0,0,'Supuestos'!$C$8/$B24))*'Supuestos'!$C$36)-'Supuestos'!$C$37-'Supuestos'!$C$8)</f>
        <v/>
      </c>
      <c r="H24" s="26">
        <f>((((((((IF($B24=0,0,'Supuestos'!$C$8/$B24))*H$19)*'Supuestos'!$C$13)*'Supuestos'!$C$16)+(((((IF($B24=0,0,'Supuestos'!$C$8/$B24))*H$19)*'Supuestos'!$C$13)*'Supuestos'!$C$18)*'Supuestos'!$C$17)+(((((IF($B24=0,0,'Supuestos'!$C$8/$B24))*H$19)*'Supuestos'!$C$13)*'Supuestos'!$C$20)*'Supuestos'!$C$19)+(((((IF($B24=0,0,'Supuestos'!$C$8/$B24))*H$19)*'Supuestos'!$C$13)*'Supuestos'!$C$22)*'Supuestos'!$C$21)+(((((IF($B24=0,0,'Supuestos'!$C$8/$B24))*H$19)*'Supuestos'!$C$13)*'Supuestos'!$C$24)*'Supuestos'!$C$23)+(((((IF($B24=0,0,'Supuestos'!$C$8/$B24))*H$19)*'Supuestos'!$C$13)*'Supuestos'!$C$26)*'Supuestos'!$C$25)+(((((IF($B24=0,0,'Supuestos'!$C$8/$B24))*H$19)*'Supuestos'!$C$13)*'Supuestos'!$C$28)*'Supuestos'!$C$27)+(((((IF($B24=0,0,'Supuestos'!$C$8/$B24))*H$19)*'Supuestos'!$C$13)*'Supuestos'!$C$30)*'Supuestos'!$C$29))*('Supuestos'!$C$40+'Supuestos'!$C$41+'Supuestos'!$C$42))*(1-'Supuestos'!$C$33-'Supuestos'!$C$34-'Supuestos'!$C$35))-((IF($B24=0,0,'Supuestos'!$C$8/$B24))*'Supuestos'!$C$36)-'Supuestos'!$C$37-'Supuestos'!$C$8)</f>
        <v/>
      </c>
    </row>
    <row r="25">
      <c r="B25" s="32" t="n">
        <v>0.5</v>
      </c>
      <c r="C25" s="26">
        <f>((((((((IF($B25=0,0,'Supuestos'!$C$8/$B25))*C$19)*'Supuestos'!$C$13)*'Supuestos'!$C$16)+(((((IF($B25=0,0,'Supuestos'!$C$8/$B25))*C$19)*'Supuestos'!$C$13)*'Supuestos'!$C$18)*'Supuestos'!$C$17)+(((((IF($B25=0,0,'Supuestos'!$C$8/$B25))*C$19)*'Supuestos'!$C$13)*'Supuestos'!$C$20)*'Supuestos'!$C$19)+(((((IF($B25=0,0,'Supuestos'!$C$8/$B25))*C$19)*'Supuestos'!$C$13)*'Supuestos'!$C$22)*'Supuestos'!$C$21)+(((((IF($B25=0,0,'Supuestos'!$C$8/$B25))*C$19)*'Supuestos'!$C$13)*'Supuestos'!$C$24)*'Supuestos'!$C$23)+(((((IF($B25=0,0,'Supuestos'!$C$8/$B25))*C$19)*'Supuestos'!$C$13)*'Supuestos'!$C$26)*'Supuestos'!$C$25)+(((((IF($B25=0,0,'Supuestos'!$C$8/$B25))*C$19)*'Supuestos'!$C$13)*'Supuestos'!$C$28)*'Supuestos'!$C$27)+(((((IF($B25=0,0,'Supuestos'!$C$8/$B25))*C$19)*'Supuestos'!$C$13)*'Supuestos'!$C$30)*'Supuestos'!$C$29))*('Supuestos'!$C$40+'Supuestos'!$C$41+'Supuestos'!$C$42))*(1-'Supuestos'!$C$33-'Supuestos'!$C$34-'Supuestos'!$C$35))-((IF($B25=0,0,'Supuestos'!$C$8/$B25))*'Supuestos'!$C$36)-'Supuestos'!$C$37-'Supuestos'!$C$8)</f>
        <v/>
      </c>
      <c r="D25" s="26">
        <f>((((((((IF($B25=0,0,'Supuestos'!$C$8/$B25))*D$19)*'Supuestos'!$C$13)*'Supuestos'!$C$16)+(((((IF($B25=0,0,'Supuestos'!$C$8/$B25))*D$19)*'Supuestos'!$C$13)*'Supuestos'!$C$18)*'Supuestos'!$C$17)+(((((IF($B25=0,0,'Supuestos'!$C$8/$B25))*D$19)*'Supuestos'!$C$13)*'Supuestos'!$C$20)*'Supuestos'!$C$19)+(((((IF($B25=0,0,'Supuestos'!$C$8/$B25))*D$19)*'Supuestos'!$C$13)*'Supuestos'!$C$22)*'Supuestos'!$C$21)+(((((IF($B25=0,0,'Supuestos'!$C$8/$B25))*D$19)*'Supuestos'!$C$13)*'Supuestos'!$C$24)*'Supuestos'!$C$23)+(((((IF($B25=0,0,'Supuestos'!$C$8/$B25))*D$19)*'Supuestos'!$C$13)*'Supuestos'!$C$26)*'Supuestos'!$C$25)+(((((IF($B25=0,0,'Supuestos'!$C$8/$B25))*D$19)*'Supuestos'!$C$13)*'Supuestos'!$C$28)*'Supuestos'!$C$27)+(((((IF($B25=0,0,'Supuestos'!$C$8/$B25))*D$19)*'Supuestos'!$C$13)*'Supuestos'!$C$30)*'Supuestos'!$C$29))*('Supuestos'!$C$40+'Supuestos'!$C$41+'Supuestos'!$C$42))*(1-'Supuestos'!$C$33-'Supuestos'!$C$34-'Supuestos'!$C$35))-((IF($B25=0,0,'Supuestos'!$C$8/$B25))*'Supuestos'!$C$36)-'Supuestos'!$C$37-'Supuestos'!$C$8)</f>
        <v/>
      </c>
      <c r="E25" s="26">
        <f>((((((((IF($B25=0,0,'Supuestos'!$C$8/$B25))*E$19)*'Supuestos'!$C$13)*'Supuestos'!$C$16)+(((((IF($B25=0,0,'Supuestos'!$C$8/$B25))*E$19)*'Supuestos'!$C$13)*'Supuestos'!$C$18)*'Supuestos'!$C$17)+(((((IF($B25=0,0,'Supuestos'!$C$8/$B25))*E$19)*'Supuestos'!$C$13)*'Supuestos'!$C$20)*'Supuestos'!$C$19)+(((((IF($B25=0,0,'Supuestos'!$C$8/$B25))*E$19)*'Supuestos'!$C$13)*'Supuestos'!$C$22)*'Supuestos'!$C$21)+(((((IF($B25=0,0,'Supuestos'!$C$8/$B25))*E$19)*'Supuestos'!$C$13)*'Supuestos'!$C$24)*'Supuestos'!$C$23)+(((((IF($B25=0,0,'Supuestos'!$C$8/$B25))*E$19)*'Supuestos'!$C$13)*'Supuestos'!$C$26)*'Supuestos'!$C$25)+(((((IF($B25=0,0,'Supuestos'!$C$8/$B25))*E$19)*'Supuestos'!$C$13)*'Supuestos'!$C$28)*'Supuestos'!$C$27)+(((((IF($B25=0,0,'Supuestos'!$C$8/$B25))*E$19)*'Supuestos'!$C$13)*'Supuestos'!$C$30)*'Supuestos'!$C$29))*('Supuestos'!$C$40+'Supuestos'!$C$41+'Supuestos'!$C$42))*(1-'Supuestos'!$C$33-'Supuestos'!$C$34-'Supuestos'!$C$35))-((IF($B25=0,0,'Supuestos'!$C$8/$B25))*'Supuestos'!$C$36)-'Supuestos'!$C$37-'Supuestos'!$C$8)</f>
        <v/>
      </c>
      <c r="F25" s="26">
        <f>((((((((IF($B25=0,0,'Supuestos'!$C$8/$B25))*F$19)*'Supuestos'!$C$13)*'Supuestos'!$C$16)+(((((IF($B25=0,0,'Supuestos'!$C$8/$B25))*F$19)*'Supuestos'!$C$13)*'Supuestos'!$C$18)*'Supuestos'!$C$17)+(((((IF($B25=0,0,'Supuestos'!$C$8/$B25))*F$19)*'Supuestos'!$C$13)*'Supuestos'!$C$20)*'Supuestos'!$C$19)+(((((IF($B25=0,0,'Supuestos'!$C$8/$B25))*F$19)*'Supuestos'!$C$13)*'Supuestos'!$C$22)*'Supuestos'!$C$21)+(((((IF($B25=0,0,'Supuestos'!$C$8/$B25))*F$19)*'Supuestos'!$C$13)*'Supuestos'!$C$24)*'Supuestos'!$C$23)+(((((IF($B25=0,0,'Supuestos'!$C$8/$B25))*F$19)*'Supuestos'!$C$13)*'Supuestos'!$C$26)*'Supuestos'!$C$25)+(((((IF($B25=0,0,'Supuestos'!$C$8/$B25))*F$19)*'Supuestos'!$C$13)*'Supuestos'!$C$28)*'Supuestos'!$C$27)+(((((IF($B25=0,0,'Supuestos'!$C$8/$B25))*F$19)*'Supuestos'!$C$13)*'Supuestos'!$C$30)*'Supuestos'!$C$29))*('Supuestos'!$C$40+'Supuestos'!$C$41+'Supuestos'!$C$42))*(1-'Supuestos'!$C$33-'Supuestos'!$C$34-'Supuestos'!$C$35))-((IF($B25=0,0,'Supuestos'!$C$8/$B25))*'Supuestos'!$C$36)-'Supuestos'!$C$37-'Supuestos'!$C$8)</f>
        <v/>
      </c>
      <c r="G25" s="26">
        <f>((((((((IF($B25=0,0,'Supuestos'!$C$8/$B25))*G$19)*'Supuestos'!$C$13)*'Supuestos'!$C$16)+(((((IF($B25=0,0,'Supuestos'!$C$8/$B25))*G$19)*'Supuestos'!$C$13)*'Supuestos'!$C$18)*'Supuestos'!$C$17)+(((((IF($B25=0,0,'Supuestos'!$C$8/$B25))*G$19)*'Supuestos'!$C$13)*'Supuestos'!$C$20)*'Supuestos'!$C$19)+(((((IF($B25=0,0,'Supuestos'!$C$8/$B25))*G$19)*'Supuestos'!$C$13)*'Supuestos'!$C$22)*'Supuestos'!$C$21)+(((((IF($B25=0,0,'Supuestos'!$C$8/$B25))*G$19)*'Supuestos'!$C$13)*'Supuestos'!$C$24)*'Supuestos'!$C$23)+(((((IF($B25=0,0,'Supuestos'!$C$8/$B25))*G$19)*'Supuestos'!$C$13)*'Supuestos'!$C$26)*'Supuestos'!$C$25)+(((((IF($B25=0,0,'Supuestos'!$C$8/$B25))*G$19)*'Supuestos'!$C$13)*'Supuestos'!$C$28)*'Supuestos'!$C$27)+(((((IF($B25=0,0,'Supuestos'!$C$8/$B25))*G$19)*'Supuestos'!$C$13)*'Supuestos'!$C$30)*'Supuestos'!$C$29))*('Supuestos'!$C$40+'Supuestos'!$C$41+'Supuestos'!$C$42))*(1-'Supuestos'!$C$33-'Supuestos'!$C$34-'Supuestos'!$C$35))-((IF($B25=0,0,'Supuestos'!$C$8/$B25))*'Supuestos'!$C$36)-'Supuestos'!$C$37-'Supuestos'!$C$8)</f>
        <v/>
      </c>
      <c r="H25" s="26">
        <f>((((((((IF($B25=0,0,'Supuestos'!$C$8/$B25))*H$19)*'Supuestos'!$C$13)*'Supuestos'!$C$16)+(((((IF($B25=0,0,'Supuestos'!$C$8/$B25))*H$19)*'Supuestos'!$C$13)*'Supuestos'!$C$18)*'Supuestos'!$C$17)+(((((IF($B25=0,0,'Supuestos'!$C$8/$B25))*H$19)*'Supuestos'!$C$13)*'Supuestos'!$C$20)*'Supuestos'!$C$19)+(((((IF($B25=0,0,'Supuestos'!$C$8/$B25))*H$19)*'Supuestos'!$C$13)*'Supuestos'!$C$22)*'Supuestos'!$C$21)+(((((IF($B25=0,0,'Supuestos'!$C$8/$B25))*H$19)*'Supuestos'!$C$13)*'Supuestos'!$C$24)*'Supuestos'!$C$23)+(((((IF($B25=0,0,'Supuestos'!$C$8/$B25))*H$19)*'Supuestos'!$C$13)*'Supuestos'!$C$26)*'Supuestos'!$C$25)+(((((IF($B25=0,0,'Supuestos'!$C$8/$B25))*H$19)*'Supuestos'!$C$13)*'Supuestos'!$C$28)*'Supuestos'!$C$27)+(((((IF($B25=0,0,'Supuestos'!$C$8/$B25))*H$19)*'Supuestos'!$C$13)*'Supuestos'!$C$30)*'Supuestos'!$C$29))*('Supuestos'!$C$40+'Supuestos'!$C$41+'Supuestos'!$C$42))*(1-'Supuestos'!$C$33-'Supuestos'!$C$34-'Supuestos'!$C$35))-((IF($B25=0,0,'Supuestos'!$C$8/$B25))*'Supuestos'!$C$36)-'Supuestos'!$C$37-'Supuestos'!$C$8)</f>
        <v/>
      </c>
    </row>
    <row r="26">
      <c r="B26" s="32" t="n">
        <v>0.6</v>
      </c>
      <c r="C26" s="26">
        <f>((((((((IF($B26=0,0,'Supuestos'!$C$8/$B26))*C$19)*'Supuestos'!$C$13)*'Supuestos'!$C$16)+(((((IF($B26=0,0,'Supuestos'!$C$8/$B26))*C$19)*'Supuestos'!$C$13)*'Supuestos'!$C$18)*'Supuestos'!$C$17)+(((((IF($B26=0,0,'Supuestos'!$C$8/$B26))*C$19)*'Supuestos'!$C$13)*'Supuestos'!$C$20)*'Supuestos'!$C$19)+(((((IF($B26=0,0,'Supuestos'!$C$8/$B26))*C$19)*'Supuestos'!$C$13)*'Supuestos'!$C$22)*'Supuestos'!$C$21)+(((((IF($B26=0,0,'Supuestos'!$C$8/$B26))*C$19)*'Supuestos'!$C$13)*'Supuestos'!$C$24)*'Supuestos'!$C$23)+(((((IF($B26=0,0,'Supuestos'!$C$8/$B26))*C$19)*'Supuestos'!$C$13)*'Supuestos'!$C$26)*'Supuestos'!$C$25)+(((((IF($B26=0,0,'Supuestos'!$C$8/$B26))*C$19)*'Supuestos'!$C$13)*'Supuestos'!$C$28)*'Supuestos'!$C$27)+(((((IF($B26=0,0,'Supuestos'!$C$8/$B26))*C$19)*'Supuestos'!$C$13)*'Supuestos'!$C$30)*'Supuestos'!$C$29))*('Supuestos'!$C$40+'Supuestos'!$C$41+'Supuestos'!$C$42))*(1-'Supuestos'!$C$33-'Supuestos'!$C$34-'Supuestos'!$C$35))-((IF($B26=0,0,'Supuestos'!$C$8/$B26))*'Supuestos'!$C$36)-'Supuestos'!$C$37-'Supuestos'!$C$8)</f>
        <v/>
      </c>
      <c r="D26" s="26">
        <f>((((((((IF($B26=0,0,'Supuestos'!$C$8/$B26))*D$19)*'Supuestos'!$C$13)*'Supuestos'!$C$16)+(((((IF($B26=0,0,'Supuestos'!$C$8/$B26))*D$19)*'Supuestos'!$C$13)*'Supuestos'!$C$18)*'Supuestos'!$C$17)+(((((IF($B26=0,0,'Supuestos'!$C$8/$B26))*D$19)*'Supuestos'!$C$13)*'Supuestos'!$C$20)*'Supuestos'!$C$19)+(((((IF($B26=0,0,'Supuestos'!$C$8/$B26))*D$19)*'Supuestos'!$C$13)*'Supuestos'!$C$22)*'Supuestos'!$C$21)+(((((IF($B26=0,0,'Supuestos'!$C$8/$B26))*D$19)*'Supuestos'!$C$13)*'Supuestos'!$C$24)*'Supuestos'!$C$23)+(((((IF($B26=0,0,'Supuestos'!$C$8/$B26))*D$19)*'Supuestos'!$C$13)*'Supuestos'!$C$26)*'Supuestos'!$C$25)+(((((IF($B26=0,0,'Supuestos'!$C$8/$B26))*D$19)*'Supuestos'!$C$13)*'Supuestos'!$C$28)*'Supuestos'!$C$27)+(((((IF($B26=0,0,'Supuestos'!$C$8/$B26))*D$19)*'Supuestos'!$C$13)*'Supuestos'!$C$30)*'Supuestos'!$C$29))*('Supuestos'!$C$40+'Supuestos'!$C$41+'Supuestos'!$C$42))*(1-'Supuestos'!$C$33-'Supuestos'!$C$34-'Supuestos'!$C$35))-((IF($B26=0,0,'Supuestos'!$C$8/$B26))*'Supuestos'!$C$36)-'Supuestos'!$C$37-'Supuestos'!$C$8)</f>
        <v/>
      </c>
      <c r="E26" s="26">
        <f>((((((((IF($B26=0,0,'Supuestos'!$C$8/$B26))*E$19)*'Supuestos'!$C$13)*'Supuestos'!$C$16)+(((((IF($B26=0,0,'Supuestos'!$C$8/$B26))*E$19)*'Supuestos'!$C$13)*'Supuestos'!$C$18)*'Supuestos'!$C$17)+(((((IF($B26=0,0,'Supuestos'!$C$8/$B26))*E$19)*'Supuestos'!$C$13)*'Supuestos'!$C$20)*'Supuestos'!$C$19)+(((((IF($B26=0,0,'Supuestos'!$C$8/$B26))*E$19)*'Supuestos'!$C$13)*'Supuestos'!$C$22)*'Supuestos'!$C$21)+(((((IF($B26=0,0,'Supuestos'!$C$8/$B26))*E$19)*'Supuestos'!$C$13)*'Supuestos'!$C$24)*'Supuestos'!$C$23)+(((((IF($B26=0,0,'Supuestos'!$C$8/$B26))*E$19)*'Supuestos'!$C$13)*'Supuestos'!$C$26)*'Supuestos'!$C$25)+(((((IF($B26=0,0,'Supuestos'!$C$8/$B26))*E$19)*'Supuestos'!$C$13)*'Supuestos'!$C$28)*'Supuestos'!$C$27)+(((((IF($B26=0,0,'Supuestos'!$C$8/$B26))*E$19)*'Supuestos'!$C$13)*'Supuestos'!$C$30)*'Supuestos'!$C$29))*('Supuestos'!$C$40+'Supuestos'!$C$41+'Supuestos'!$C$42))*(1-'Supuestos'!$C$33-'Supuestos'!$C$34-'Supuestos'!$C$35))-((IF($B26=0,0,'Supuestos'!$C$8/$B26))*'Supuestos'!$C$36)-'Supuestos'!$C$37-'Supuestos'!$C$8)</f>
        <v/>
      </c>
      <c r="F26" s="26">
        <f>((((((((IF($B26=0,0,'Supuestos'!$C$8/$B26))*F$19)*'Supuestos'!$C$13)*'Supuestos'!$C$16)+(((((IF($B26=0,0,'Supuestos'!$C$8/$B26))*F$19)*'Supuestos'!$C$13)*'Supuestos'!$C$18)*'Supuestos'!$C$17)+(((((IF($B26=0,0,'Supuestos'!$C$8/$B26))*F$19)*'Supuestos'!$C$13)*'Supuestos'!$C$20)*'Supuestos'!$C$19)+(((((IF($B26=0,0,'Supuestos'!$C$8/$B26))*F$19)*'Supuestos'!$C$13)*'Supuestos'!$C$22)*'Supuestos'!$C$21)+(((((IF($B26=0,0,'Supuestos'!$C$8/$B26))*F$19)*'Supuestos'!$C$13)*'Supuestos'!$C$24)*'Supuestos'!$C$23)+(((((IF($B26=0,0,'Supuestos'!$C$8/$B26))*F$19)*'Supuestos'!$C$13)*'Supuestos'!$C$26)*'Supuestos'!$C$25)+(((((IF($B26=0,0,'Supuestos'!$C$8/$B26))*F$19)*'Supuestos'!$C$13)*'Supuestos'!$C$28)*'Supuestos'!$C$27)+(((((IF($B26=0,0,'Supuestos'!$C$8/$B26))*F$19)*'Supuestos'!$C$13)*'Supuestos'!$C$30)*'Supuestos'!$C$29))*('Supuestos'!$C$40+'Supuestos'!$C$41+'Supuestos'!$C$42))*(1-'Supuestos'!$C$33-'Supuestos'!$C$34-'Supuestos'!$C$35))-((IF($B26=0,0,'Supuestos'!$C$8/$B26))*'Supuestos'!$C$36)-'Supuestos'!$C$37-'Supuestos'!$C$8)</f>
        <v/>
      </c>
      <c r="G26" s="26">
        <f>((((((((IF($B26=0,0,'Supuestos'!$C$8/$B26))*G$19)*'Supuestos'!$C$13)*'Supuestos'!$C$16)+(((((IF($B26=0,0,'Supuestos'!$C$8/$B26))*G$19)*'Supuestos'!$C$13)*'Supuestos'!$C$18)*'Supuestos'!$C$17)+(((((IF($B26=0,0,'Supuestos'!$C$8/$B26))*G$19)*'Supuestos'!$C$13)*'Supuestos'!$C$20)*'Supuestos'!$C$19)+(((((IF($B26=0,0,'Supuestos'!$C$8/$B26))*G$19)*'Supuestos'!$C$13)*'Supuestos'!$C$22)*'Supuestos'!$C$21)+(((((IF($B26=0,0,'Supuestos'!$C$8/$B26))*G$19)*'Supuestos'!$C$13)*'Supuestos'!$C$24)*'Supuestos'!$C$23)+(((((IF($B26=0,0,'Supuestos'!$C$8/$B26))*G$19)*'Supuestos'!$C$13)*'Supuestos'!$C$26)*'Supuestos'!$C$25)+(((((IF($B26=0,0,'Supuestos'!$C$8/$B26))*G$19)*'Supuestos'!$C$13)*'Supuestos'!$C$28)*'Supuestos'!$C$27)+(((((IF($B26=0,0,'Supuestos'!$C$8/$B26))*G$19)*'Supuestos'!$C$13)*'Supuestos'!$C$30)*'Supuestos'!$C$29))*('Supuestos'!$C$40+'Supuestos'!$C$41+'Supuestos'!$C$42))*(1-'Supuestos'!$C$33-'Supuestos'!$C$34-'Supuestos'!$C$35))-((IF($B26=0,0,'Supuestos'!$C$8/$B26))*'Supuestos'!$C$36)-'Supuestos'!$C$37-'Supuestos'!$C$8)</f>
        <v/>
      </c>
      <c r="H26" s="26">
        <f>((((((((IF($B26=0,0,'Supuestos'!$C$8/$B26))*H$19)*'Supuestos'!$C$13)*'Supuestos'!$C$16)+(((((IF($B26=0,0,'Supuestos'!$C$8/$B26))*H$19)*'Supuestos'!$C$13)*'Supuestos'!$C$18)*'Supuestos'!$C$17)+(((((IF($B26=0,0,'Supuestos'!$C$8/$B26))*H$19)*'Supuestos'!$C$13)*'Supuestos'!$C$20)*'Supuestos'!$C$19)+(((((IF($B26=0,0,'Supuestos'!$C$8/$B26))*H$19)*'Supuestos'!$C$13)*'Supuestos'!$C$22)*'Supuestos'!$C$21)+(((((IF($B26=0,0,'Supuestos'!$C$8/$B26))*H$19)*'Supuestos'!$C$13)*'Supuestos'!$C$24)*'Supuestos'!$C$23)+(((((IF($B26=0,0,'Supuestos'!$C$8/$B26))*H$19)*'Supuestos'!$C$13)*'Supuestos'!$C$26)*'Supuestos'!$C$25)+(((((IF($B26=0,0,'Supuestos'!$C$8/$B26))*H$19)*'Supuestos'!$C$13)*'Supuestos'!$C$28)*'Supuestos'!$C$27)+(((((IF($B26=0,0,'Supuestos'!$C$8/$B26))*H$19)*'Supuestos'!$C$13)*'Supuestos'!$C$30)*'Supuestos'!$C$29))*('Supuestos'!$C$40+'Supuestos'!$C$41+'Supuestos'!$C$42))*(1-'Supuestos'!$C$33-'Supuestos'!$C$34-'Supuestos'!$C$35))-((IF($B26=0,0,'Supuestos'!$C$8/$B26))*'Supuestos'!$C$36)-'Supuestos'!$C$37-'Supuestos'!$C$8)</f>
        <v/>
      </c>
    </row>
    <row r="29">
      <c r="B29" s="4" t="inlineStr">
        <is>
          <t>Cuánto invertir para una facturación objetivo, según el ROAS que querés</t>
        </is>
      </c>
    </row>
    <row r="30">
      <c r="B30" s="3" t="inlineStr">
        <is>
          <t>Inversión = facturación ÷ ROAS. Debajo: cuántas visitas hacen falta y cuánto podés pagar por cada una.</t>
        </is>
      </c>
    </row>
    <row r="31">
      <c r="B31" s="4" t="inlineStr">
        <is>
          <t>Facturación objetivo ↓ / ROAS objetivo →</t>
        </is>
      </c>
      <c r="C31" s="33" t="n">
        <v>1.5</v>
      </c>
      <c r="D31" s="33" t="n">
        <v>2</v>
      </c>
      <c r="E31" s="33" t="n">
        <v>2.5</v>
      </c>
      <c r="F31" s="33" t="n">
        <v>3</v>
      </c>
      <c r="G31" s="33" t="n">
        <v>4</v>
      </c>
    </row>
    <row r="32">
      <c r="B32" s="31" t="n">
        <v>10000</v>
      </c>
      <c r="C32" s="26">
        <f>$B32/C$31</f>
        <v/>
      </c>
      <c r="D32" s="26">
        <f>$B32/D$31</f>
        <v/>
      </c>
      <c r="E32" s="26">
        <f>$B32/E$31</f>
        <v/>
      </c>
      <c r="F32" s="26">
        <f>$B32/F$31</f>
        <v/>
      </c>
      <c r="G32" s="26">
        <f>$B32/G$31</f>
        <v/>
      </c>
    </row>
    <row r="33">
      <c r="B33" s="31" t="n">
        <v>20000</v>
      </c>
      <c r="C33" s="26">
        <f>$B33/C$31</f>
        <v/>
      </c>
      <c r="D33" s="26">
        <f>$B33/D$31</f>
        <v/>
      </c>
      <c r="E33" s="26">
        <f>$B33/E$31</f>
        <v/>
      </c>
      <c r="F33" s="26">
        <f>$B33/F$31</f>
        <v/>
      </c>
      <c r="G33" s="26">
        <f>$B33/G$31</f>
        <v/>
      </c>
    </row>
    <row r="34">
      <c r="B34" s="31" t="n">
        <v>30000</v>
      </c>
      <c r="C34" s="26">
        <f>$B34/C$31</f>
        <v/>
      </c>
      <c r="D34" s="26">
        <f>$B34/D$31</f>
        <v/>
      </c>
      <c r="E34" s="26">
        <f>$B34/E$31</f>
        <v/>
      </c>
      <c r="F34" s="26">
        <f>$B34/F$31</f>
        <v/>
      </c>
      <c r="G34" s="26">
        <f>$B34/G$31</f>
        <v/>
      </c>
    </row>
    <row r="35">
      <c r="B35" s="31" t="n">
        <v>50000</v>
      </c>
      <c r="C35" s="26">
        <f>$B35/C$31</f>
        <v/>
      </c>
      <c r="D35" s="26">
        <f>$B35/D$31</f>
        <v/>
      </c>
      <c r="E35" s="26">
        <f>$B35/E$31</f>
        <v/>
      </c>
      <c r="F35" s="26">
        <f>$B35/F$31</f>
        <v/>
      </c>
      <c r="G35" s="26">
        <f>$B35/G$31</f>
        <v/>
      </c>
    </row>
    <row r="36">
      <c r="B36" s="31" t="n">
        <v>100000</v>
      </c>
      <c r="C36" s="26">
        <f>$B36/C$31</f>
        <v/>
      </c>
      <c r="D36" s="26">
        <f>$B36/D$31</f>
        <v/>
      </c>
      <c r="E36" s="26">
        <f>$B36/E$31</f>
        <v/>
      </c>
      <c r="F36" s="26">
        <f>$B36/F$31</f>
        <v/>
      </c>
      <c r="G36" s="26">
        <f>$B36/G$31</f>
        <v/>
      </c>
    </row>
    <row r="37">
      <c r="B37" s="4" t="inlineStr">
        <is>
          <t>Cantidad de visitas necesaria para esa facturación</t>
        </is>
      </c>
    </row>
    <row r="38">
      <c r="B38" s="34">
        <f>$B32</f>
        <v/>
      </c>
      <c r="C38" s="16">
        <f>IF('Modelo'!$C$33=0,"inalcanzable",$B32/'Modelo'!$C$33)</f>
        <v/>
      </c>
    </row>
    <row r="39">
      <c r="B39" s="34">
        <f>$B33</f>
        <v/>
      </c>
      <c r="C39" s="16">
        <f>IF('Modelo'!$C$33=0,"inalcanzable",$B33/'Modelo'!$C$33)</f>
        <v/>
      </c>
    </row>
    <row r="40">
      <c r="B40" s="34">
        <f>$B34</f>
        <v/>
      </c>
      <c r="C40" s="16">
        <f>IF('Modelo'!$C$33=0,"inalcanzable",$B34/'Modelo'!$C$33)</f>
        <v/>
      </c>
    </row>
    <row r="41">
      <c r="B41" s="34">
        <f>$B35</f>
        <v/>
      </c>
      <c r="C41" s="16">
        <f>IF('Modelo'!$C$33=0,"inalcanzable",$B35/'Modelo'!$C$33)</f>
        <v/>
      </c>
    </row>
    <row r="42">
      <c r="B42" s="34">
        <f>$B36</f>
        <v/>
      </c>
      <c r="C42" s="16">
        <f>IF('Modelo'!$C$33=0,"inalcanzable",$B36/'Modelo'!$C$33)</f>
        <v/>
      </c>
    </row>
    <row r="44">
      <c r="B44" s="4" t="inlineStr">
        <is>
          <t>Costo máximo por visita para cumplir cada ROAS (sobre facturado)</t>
        </is>
      </c>
    </row>
    <row r="45">
      <c r="C45" s="35" t="n">
        <v>1.5</v>
      </c>
      <c r="D45" s="35" t="n">
        <v>2</v>
      </c>
      <c r="E45" s="35" t="n">
        <v>2.5</v>
      </c>
      <c r="F45" s="35" t="n">
        <v>3</v>
      </c>
      <c r="G45" s="35" t="n">
        <v>4</v>
      </c>
    </row>
    <row r="46">
      <c r="B46" t="inlineStr">
        <is>
          <t>Costo máximo (facturado por unidad ÷ ROAS)</t>
        </is>
      </c>
      <c r="C46" s="19">
        <f>IF(C45=0,0,'Modelo'!$C$33/C45)</f>
        <v/>
      </c>
      <c r="D46" s="19">
        <f>IF(D45=0,0,'Modelo'!$C$33/D45)</f>
        <v/>
      </c>
      <c r="E46" s="19">
        <f>IF(E45=0,0,'Modelo'!$C$33/E45)</f>
        <v/>
      </c>
      <c r="F46" s="19">
        <f>IF(F45=0,0,'Modelo'!$C$33/F45)</f>
        <v/>
      </c>
      <c r="G46" s="19">
        <f>IF(G45=0,0,'Modelo'!$C$33/G45)</f>
        <v/>
      </c>
    </row>
    <row r="47">
      <c r="B47" s="3" t="inlineStr">
        <is>
          <t>Sobre cash neto, el techo real está en Modelo (ya descuenta comisiones y reembolsos).</t>
        </is>
      </c>
    </row>
    <row r="50">
      <c r="B50" s="4" t="inlineStr">
        <is>
          <t>Guardarraíl: el ROAS mínimo que tiene que dar cada nivel de inversión para que subir valga la pena</t>
        </is>
      </c>
    </row>
    <row r="51">
      <c r="B51" s="3" t="inlineStr">
        <is>
          <t>Parte de tu inversión y tu ROAS actuales. Cada dólar extra tiene que devolver al menos 1,3 neto. Si al subir un escalón el ROAS real queda por debajo del mínimo de esa fila, volvé al escalón anterior.</t>
        </is>
      </c>
    </row>
    <row r="52">
      <c r="B52" s="6" t="inlineStr">
        <is>
          <t>Nivel de inversión</t>
        </is>
      </c>
      <c r="C52" s="6" t="inlineStr">
        <is>
          <t>Inversión del período</t>
        </is>
      </c>
      <c r="D52" s="6" t="inlineStr">
        <is>
          <t>ROAS mínimo (cash neto)</t>
        </is>
      </c>
      <c r="E52" s="6" t="inlineStr">
        <is>
          <t>Ganancia mínima</t>
        </is>
      </c>
    </row>
    <row r="53">
      <c r="B53" t="inlineStr">
        <is>
          <t>actual</t>
        </is>
      </c>
      <c r="C53" s="26">
        <f>'Supuestos'!$C$8*1.0</f>
        <v/>
      </c>
      <c r="D53" s="28">
        <f>IF(C53=0,0,('Supuestos'!$C$8*'Modelo'!$C$43+1.3*(C53-'Supuestos'!$C$8))/C53)</f>
        <v/>
      </c>
      <c r="E53" s="26">
        <f>C53*(D53-1)</f>
        <v/>
      </c>
    </row>
    <row r="54">
      <c r="B54" t="inlineStr">
        <is>
          <t>× 1.25</t>
        </is>
      </c>
      <c r="C54" s="26">
        <f>'Supuestos'!$C$8*1.25</f>
        <v/>
      </c>
      <c r="D54" s="28">
        <f>IF(C54=0,0,('Supuestos'!$C$8*'Modelo'!$C$43+1.3*(C54-'Supuestos'!$C$8))/C54)</f>
        <v/>
      </c>
      <c r="E54" s="26">
        <f>C54*(D54-1)</f>
        <v/>
      </c>
    </row>
    <row r="55">
      <c r="B55" t="inlineStr">
        <is>
          <t>× 1.5</t>
        </is>
      </c>
      <c r="C55" s="26">
        <f>'Supuestos'!$C$8*1.5</f>
        <v/>
      </c>
      <c r="D55" s="28">
        <f>IF(C55=0,0,('Supuestos'!$C$8*'Modelo'!$C$43+1.3*(C55-'Supuestos'!$C$8))/C55)</f>
        <v/>
      </c>
      <c r="E55" s="26">
        <f>C55*(D55-1)</f>
        <v/>
      </c>
    </row>
    <row r="56">
      <c r="B56" t="inlineStr">
        <is>
          <t>× 2</t>
        </is>
      </c>
      <c r="C56" s="26">
        <f>'Supuestos'!$C$8*2.0</f>
        <v/>
      </c>
      <c r="D56" s="28">
        <f>IF(C56=0,0,('Supuestos'!$C$8*'Modelo'!$C$43+1.3*(C56-'Supuestos'!$C$8))/C56)</f>
        <v/>
      </c>
      <c r="E56" s="26">
        <f>C56*(D56-1)</f>
        <v/>
      </c>
    </row>
    <row r="57">
      <c r="B57" t="inlineStr">
        <is>
          <t>× 3</t>
        </is>
      </c>
      <c r="C57" s="26">
        <f>'Supuestos'!$C$8*3.0</f>
        <v/>
      </c>
      <c r="D57" s="28">
        <f>IF(C57=0,0,('Supuestos'!$C$8*'Modelo'!$C$43+1.3*(C57-'Supuestos'!$C$8))/C57)</f>
        <v/>
      </c>
      <c r="E57" s="26">
        <f>C57*(D57-1)</f>
        <v/>
      </c>
    </row>
  </sheetData>
  <conditionalFormatting sqref="C10:G14">
    <cfRule type="cellIs" priority="1" operator="lessThan" dxfId="2">
      <formula>0</formula>
    </cfRule>
    <cfRule type="cellIs" priority="2" operator="between" dxfId="1">
      <formula>0</formula>
      <formula>$C$5</formula>
    </cfRule>
    <cfRule type="cellIs" priority="3" operator="greaterThanOrEqual" dxfId="0">
      <formula>$C$5</formula>
    </cfRule>
  </conditionalFormatting>
  <conditionalFormatting sqref="C20:H26">
    <cfRule type="cellIs" priority="4" operator="lessThan" dxfId="2">
      <formula>0</formula>
    </cfRule>
    <cfRule type="cellIs" priority="5" operator="between" dxfId="1">
      <formula>0</formula>
      <formula>$C$5</formula>
    </cfRule>
    <cfRule type="cellIs" priority="6" operator="greaterThanOrEqual" dxfId="0">
      <formula>$C$5</formula>
    </cfRule>
  </conditionalFormatting>
  <pageMargins left="0.75" right="0.75" top="1" bottom="1" header="0.5" footer="0.5"/>
  <headerFooter>
    <oddHeader>&amp;CJesús Tassarolo · TooAudience&amp;R&amp;D</oddHeader>
    <oddFooter>&amp;LModelo financiero de embudos · creado por Jesús Tassarolo · TooAudience · youtube.com/@JesusTassaroloSinFiltro&amp;C&amp;7 Modelo financiero de embudos · creado por Jesús Tassarolo · TooAudience · youtube.com/@JesusTassaroloSinFiltro&amp;RPágina &amp;P de &amp;N</oddFooter>
    <evenHeader>&amp;CJesús Tassarolo · TooAudience</evenHeader>
    <evenFooter>&amp;LModelo financiero de embudos · creado por Jesús Tassarolo · TooAudience · youtube.com/@JesusTassaroloSinFiltro&amp;C&amp;7 Modelo financiero de embudos · creado por Jesús Tassarolo · TooAudience · youtube.com/@JesusTassaroloSinFiltro&amp;RPágina &amp;P de &amp;N</evenFooter>
    <firstHeader/>
    <firstFooter/>
  </headerFooter>
</worksheet>
</file>

<file path=xl/worksheets/sheet7.xml><?xml version="1.0" encoding="utf-8"?>
<worksheet xmlns="http://schemas.openxmlformats.org/spreadsheetml/2006/main">
  <sheetPr>
    <outlinePr summaryBelow="1" summaryRight="1"/>
    <pageSetUpPr/>
  </sheetPr>
  <dimension ref="A1:G14"/>
  <sheetViews>
    <sheetView showGridLines="0" workbookViewId="0">
      <selection activeCell="A1" sqref="A1"/>
    </sheetView>
  </sheetViews>
  <sheetFormatPr baseColWidth="8" defaultRowHeight="15"/>
  <cols>
    <col width="2" customWidth="1" min="1" max="1"/>
    <col width="54" customWidth="1" min="2" max="2"/>
    <col width="14" customWidth="1" min="3" max="3"/>
    <col width="18" customWidth="1" min="4" max="4"/>
    <col width="18" customWidth="1" min="5" max="5"/>
    <col width="12" customWidth="1" min="6" max="6"/>
    <col width="10" customWidth="1" min="7" max="7"/>
  </cols>
  <sheetData>
    <row r="1">
      <c r="B1" s="1" t="inlineStr">
        <is>
          <t>© Jesús Tassarolo · TooAudience · youtube.com/@JesusTassaroloSinFiltro · uso personal; no redistribuir modificado</t>
        </is>
      </c>
    </row>
    <row r="2">
      <c r="B2" s="2" t="inlineStr">
        <is>
          <t>Sensibilidad: qué palanca mueve más la ganancia</t>
        </is>
      </c>
    </row>
    <row r="3">
      <c r="B3" s="3" t="inlineStr">
        <is>
          <t>Cada fila mejora una sola variable un 10 % (o baja un costo un 10 %) y recalcula la ganancia del período. El ranking dice qué conviene trabajar primero.</t>
        </is>
      </c>
    </row>
    <row r="5">
      <c r="B5" s="6" t="inlineStr">
        <is>
          <t>Palanca</t>
        </is>
      </c>
      <c r="C5" s="6" t="inlineStr">
        <is>
          <t>Cambio</t>
        </is>
      </c>
      <c r="D5" s="6" t="inlineStr">
        <is>
          <t>Ganancia nueva</t>
        </is>
      </c>
      <c r="E5" s="6" t="inlineStr">
        <is>
          <t>Diferencia</t>
        </is>
      </c>
      <c r="F5" s="6" t="inlineStr">
        <is>
          <t>Dif. %</t>
        </is>
      </c>
      <c r="G5" s="6" t="inlineStr">
        <is>
          <t>Ranking</t>
        </is>
      </c>
    </row>
    <row r="6">
      <c r="B6" s="4" t="inlineStr">
        <is>
          <t>Ganancia del período con los supuestos actuales</t>
        </is>
      </c>
      <c r="D6" s="9">
        <f>'Modelo'!$C$41</f>
        <v/>
      </c>
    </row>
    <row r="7">
      <c r="B7" t="inlineStr">
        <is>
          <t>Costo por visita 10 % más barato (mejor creativo o público)</t>
        </is>
      </c>
      <c r="C7" t="inlineStr">
        <is>
          <t>−10 %</t>
        </is>
      </c>
      <c r="D7" s="26">
        <f>((((((((IF((('Supuestos'!$C$9*0.9))=0,0,'Supuestos'!$C$8/(('Supuestos'!$C$9*0.9))))*'Supuestos'!$C$12)*'Supuestos'!$C$13)*'Supuestos'!$C$16)+(((((IF((('Supuestos'!$C$9*0.9))=0,0,'Supuestos'!$C$8/(('Supuestos'!$C$9*0.9))))*'Supuestos'!$C$12)*'Supuestos'!$C$13)*'Supuestos'!$C$18)*'Supuestos'!$C$17)+(((((IF((('Supuestos'!$C$9*0.9))=0,0,'Supuestos'!$C$8/(('Supuestos'!$C$9*0.9))))*'Supuestos'!$C$12)*'Supuestos'!$C$13)*'Supuestos'!$C$20)*'Supuestos'!$C$19)+(((((IF((('Supuestos'!$C$9*0.9))=0,0,'Supuestos'!$C$8/(('Supuestos'!$C$9*0.9))))*'Supuestos'!$C$12)*'Supuestos'!$C$13)*'Supuestos'!$C$22)*'Supuestos'!$C$21)+(((((IF((('Supuestos'!$C$9*0.9))=0,0,'Supuestos'!$C$8/(('Supuestos'!$C$9*0.9))))*'Supuestos'!$C$12)*'Supuestos'!$C$13)*'Supuestos'!$C$24)*'Supuestos'!$C$23)+(((((IF((('Supuestos'!$C$9*0.9))=0,0,'Supuestos'!$C$8/(('Supuestos'!$C$9*0.9))))*'Supuestos'!$C$12)*'Supuestos'!$C$13)*'Supuestos'!$C$26)*'Supuestos'!$C$25)+(((((IF((('Supuestos'!$C$9*0.9))=0,0,'Supuestos'!$C$8/(('Supuestos'!$C$9*0.9))))*'Supuestos'!$C$12)*'Supuestos'!$C$13)*'Supuestos'!$C$28)*'Supuestos'!$C$27)+(((((IF((('Supuestos'!$C$9*0.9))=0,0,'Supuestos'!$C$8/(('Supuestos'!$C$9*0.9))))*'Supuestos'!$C$12)*'Supuestos'!$C$13)*'Supuestos'!$C$30)*'Supuestos'!$C$29))*('Supuestos'!$C$40+'Supuestos'!$C$41+'Supuestos'!$C$42))*(1-'Supuestos'!$C$33-'Supuestos'!$C$34-'Supuestos'!$C$35))-((IF((('Supuestos'!$C$9*0.9))=0,0,'Supuestos'!$C$8/(('Supuestos'!$C$9*0.9))))*'Supuestos'!$C$36)-'Supuestos'!$C$37-'Supuestos'!$C$8)</f>
        <v/>
      </c>
      <c r="E7" s="26">
        <f>D7-$D$6</f>
        <v/>
      </c>
      <c r="F7" s="18">
        <f>IF($D$6=0,0,E7/ABS($D$6))</f>
        <v/>
      </c>
      <c r="G7" s="16">
        <f>RANK(E7,$E$7:$E$14)</f>
        <v/>
      </c>
    </row>
    <row r="8">
      <c r="B8" t="inlineStr">
        <is>
          <t>10 % más visitas al checkout (mejor VSL)</t>
        </is>
      </c>
      <c r="C8" t="inlineStr">
        <is>
          <t>+10 %</t>
        </is>
      </c>
      <c r="D8" s="26">
        <f>((((((((IF(('Supuestos'!$C$9)=0,0,'Supuestos'!$C$8/('Supuestos'!$C$9)))*('Supuestos'!$C$12*1.1))*'Supuestos'!$C$13)*'Supuestos'!$C$16)+(((((IF(('Supuestos'!$C$9)=0,0,'Supuestos'!$C$8/('Supuestos'!$C$9)))*('Supuestos'!$C$12*1.1))*'Supuestos'!$C$13)*'Supuestos'!$C$18)*'Supuestos'!$C$17)+(((((IF(('Supuestos'!$C$9)=0,0,'Supuestos'!$C$8/('Supuestos'!$C$9)))*('Supuestos'!$C$12*1.1))*'Supuestos'!$C$13)*'Supuestos'!$C$20)*'Supuestos'!$C$19)+(((((IF(('Supuestos'!$C$9)=0,0,'Supuestos'!$C$8/('Supuestos'!$C$9)))*('Supuestos'!$C$12*1.1))*'Supuestos'!$C$13)*'Supuestos'!$C$22)*'Supuestos'!$C$21)+(((((IF(('Supuestos'!$C$9)=0,0,'Supuestos'!$C$8/('Supuestos'!$C$9)))*('Supuestos'!$C$12*1.1))*'Supuestos'!$C$13)*'Supuestos'!$C$24)*'Supuestos'!$C$23)+(((((IF(('Supuestos'!$C$9)=0,0,'Supuestos'!$C$8/('Supuestos'!$C$9)))*('Supuestos'!$C$12*1.1))*'Supuestos'!$C$13)*'Supuestos'!$C$26)*'Supuestos'!$C$25)+(((((IF(('Supuestos'!$C$9)=0,0,'Supuestos'!$C$8/('Supuestos'!$C$9)))*('Supuestos'!$C$12*1.1))*'Supuestos'!$C$13)*'Supuestos'!$C$28)*'Supuestos'!$C$27)+(((((IF(('Supuestos'!$C$9)=0,0,'Supuestos'!$C$8/('Supuestos'!$C$9)))*('Supuestos'!$C$12*1.1))*'Supuestos'!$C$13)*'Supuestos'!$C$30)*'Supuestos'!$C$29))*('Supuestos'!$C$40+'Supuestos'!$C$41+'Supuestos'!$C$42))*(1-'Supuestos'!$C$33-'Supuestos'!$C$34-'Supuestos'!$C$35))-((IF(('Supuestos'!$C$9)=0,0,'Supuestos'!$C$8/('Supuestos'!$C$9)))*'Supuestos'!$C$36)-'Supuestos'!$C$37-'Supuestos'!$C$8)</f>
        <v/>
      </c>
      <c r="E8" s="26">
        <f>D8-$D$6</f>
        <v/>
      </c>
      <c r="F8" s="18">
        <f>IF($D$6=0,0,E8/ABS($D$6))</f>
        <v/>
      </c>
      <c r="G8" s="16">
        <f>RANK(E8,$E$7:$E$14)</f>
        <v/>
      </c>
    </row>
    <row r="9">
      <c r="B9" t="inlineStr">
        <is>
          <t>10 % más checkouts que compran (mejor checkout y oferta)</t>
        </is>
      </c>
      <c r="C9" t="inlineStr">
        <is>
          <t>+10 %</t>
        </is>
      </c>
      <c r="D9" s="26">
        <f>((((((((IF(('Supuestos'!$C$9)=0,0,'Supuestos'!$C$8/('Supuestos'!$C$9)))*'Supuestos'!$C$12)*('Supuestos'!$C$13*1.1))*'Supuestos'!$C$16)+(((((IF(('Supuestos'!$C$9)=0,0,'Supuestos'!$C$8/('Supuestos'!$C$9)))*'Supuestos'!$C$12)*('Supuestos'!$C$13*1.1))*'Supuestos'!$C$18)*'Supuestos'!$C$17)+(((((IF(('Supuestos'!$C$9)=0,0,'Supuestos'!$C$8/('Supuestos'!$C$9)))*'Supuestos'!$C$12)*('Supuestos'!$C$13*1.1))*'Supuestos'!$C$20)*'Supuestos'!$C$19)+(((((IF(('Supuestos'!$C$9)=0,0,'Supuestos'!$C$8/('Supuestos'!$C$9)))*'Supuestos'!$C$12)*('Supuestos'!$C$13*1.1))*'Supuestos'!$C$22)*'Supuestos'!$C$21)+(((((IF(('Supuestos'!$C$9)=0,0,'Supuestos'!$C$8/('Supuestos'!$C$9)))*'Supuestos'!$C$12)*('Supuestos'!$C$13*1.1))*'Supuestos'!$C$24)*'Supuestos'!$C$23)+(((((IF(('Supuestos'!$C$9)=0,0,'Supuestos'!$C$8/('Supuestos'!$C$9)))*'Supuestos'!$C$12)*('Supuestos'!$C$13*1.1))*'Supuestos'!$C$26)*'Supuestos'!$C$25)+(((((IF(('Supuestos'!$C$9)=0,0,'Supuestos'!$C$8/('Supuestos'!$C$9)))*'Supuestos'!$C$12)*('Supuestos'!$C$13*1.1))*'Supuestos'!$C$28)*'Supuestos'!$C$27)+(((((IF(('Supuestos'!$C$9)=0,0,'Supuestos'!$C$8/('Supuestos'!$C$9)))*'Supuestos'!$C$12)*('Supuestos'!$C$13*1.1))*'Supuestos'!$C$30)*'Supuestos'!$C$29))*('Supuestos'!$C$40+'Supuestos'!$C$41+'Supuestos'!$C$42))*(1-'Supuestos'!$C$33-'Supuestos'!$C$34-'Supuestos'!$C$35))-((IF(('Supuestos'!$C$9)=0,0,'Supuestos'!$C$8/('Supuestos'!$C$9)))*'Supuestos'!$C$36)-'Supuestos'!$C$37-'Supuestos'!$C$8)</f>
        <v/>
      </c>
      <c r="E9" s="26">
        <f>D9-$D$6</f>
        <v/>
      </c>
      <c r="F9" s="18">
        <f>IF($D$6=0,0,E9/ABS($D$6))</f>
        <v/>
      </c>
      <c r="G9" s="16">
        <f>RANK(E9,$E$7:$E$14)</f>
        <v/>
      </c>
    </row>
    <row r="10">
      <c r="B10" t="inlineStr">
        <is>
          <t>Precio del principal 10 % más alto (misma conversión)</t>
        </is>
      </c>
      <c r="C10" t="inlineStr">
        <is>
          <t>+10 %</t>
        </is>
      </c>
      <c r="D10" s="26">
        <f>((((((((IF(('Supuestos'!$C$9)=0,0,'Supuestos'!$C$8/('Supuestos'!$C$9)))*'Supuestos'!$C$12)*'Supuestos'!$C$13)*('Supuestos'!$C$16*1.1))+(((((IF(('Supuestos'!$C$9)=0,0,'Supuestos'!$C$8/('Supuestos'!$C$9)))*'Supuestos'!$C$12)*'Supuestos'!$C$13)*'Supuestos'!$C$18)*'Supuestos'!$C$17)+(((((IF(('Supuestos'!$C$9)=0,0,'Supuestos'!$C$8/('Supuestos'!$C$9)))*'Supuestos'!$C$12)*'Supuestos'!$C$13)*'Supuestos'!$C$20)*'Supuestos'!$C$19)+(((((IF(('Supuestos'!$C$9)=0,0,'Supuestos'!$C$8/('Supuestos'!$C$9)))*'Supuestos'!$C$12)*'Supuestos'!$C$13)*'Supuestos'!$C$22)*'Supuestos'!$C$21)+(((((IF(('Supuestos'!$C$9)=0,0,'Supuestos'!$C$8/('Supuestos'!$C$9)))*'Supuestos'!$C$12)*'Supuestos'!$C$13)*'Supuestos'!$C$24)*'Supuestos'!$C$23)+(((((IF(('Supuestos'!$C$9)=0,0,'Supuestos'!$C$8/('Supuestos'!$C$9)))*'Supuestos'!$C$12)*'Supuestos'!$C$13)*'Supuestos'!$C$26)*'Supuestos'!$C$25)+(((((IF(('Supuestos'!$C$9)=0,0,'Supuestos'!$C$8/('Supuestos'!$C$9)))*'Supuestos'!$C$12)*'Supuestos'!$C$13)*'Supuestos'!$C$28)*'Supuestos'!$C$27)+(((((IF(('Supuestos'!$C$9)=0,0,'Supuestos'!$C$8/('Supuestos'!$C$9)))*'Supuestos'!$C$12)*'Supuestos'!$C$13)*'Supuestos'!$C$30)*'Supuestos'!$C$29))*('Supuestos'!$C$40+'Supuestos'!$C$41+'Supuestos'!$C$42))*(1-'Supuestos'!$C$33-'Supuestos'!$C$34-'Supuestos'!$C$35))-((IF(('Supuestos'!$C$9)=0,0,'Supuestos'!$C$8/('Supuestos'!$C$9)))*'Supuestos'!$C$36)-'Supuestos'!$C$37-'Supuestos'!$C$8)</f>
        <v/>
      </c>
      <c r="E10" s="26">
        <f>D10-$D$6</f>
        <v/>
      </c>
      <c r="F10" s="18">
        <f>IF($D$6=0,0,E10/ABS($D$6))</f>
        <v/>
      </c>
      <c r="G10" s="16">
        <f>RANK(E10,$E$7:$E$14)</f>
        <v/>
      </c>
    </row>
    <row r="11">
      <c r="B11" t="inlineStr">
        <is>
          <t>Bump 1 tomado 10 % más</t>
        </is>
      </c>
      <c r="C11" t="inlineStr">
        <is>
          <t>+10 %</t>
        </is>
      </c>
      <c r="D11" s="26">
        <f>((((((((IF(('Supuestos'!$C$9)=0,0,'Supuestos'!$C$8/('Supuestos'!$C$9)))*'Supuestos'!$C$12)*'Supuestos'!$C$13)*'Supuestos'!$C$16)+(((((IF(('Supuestos'!$C$9)=0,0,'Supuestos'!$C$8/('Supuestos'!$C$9)))*'Supuestos'!$C$12)*'Supuestos'!$C$13)*('Supuestos'!$C$18*1.1))*'Supuestos'!$C$17)+(((((IF(('Supuestos'!$C$9)=0,0,'Supuestos'!$C$8/('Supuestos'!$C$9)))*'Supuestos'!$C$12)*'Supuestos'!$C$13)*'Supuestos'!$C$20)*'Supuestos'!$C$19)+(((((IF(('Supuestos'!$C$9)=0,0,'Supuestos'!$C$8/('Supuestos'!$C$9)))*'Supuestos'!$C$12)*'Supuestos'!$C$13)*'Supuestos'!$C$22)*'Supuestos'!$C$21)+(((((IF(('Supuestos'!$C$9)=0,0,'Supuestos'!$C$8/('Supuestos'!$C$9)))*'Supuestos'!$C$12)*'Supuestos'!$C$13)*'Supuestos'!$C$24)*'Supuestos'!$C$23)+(((((IF(('Supuestos'!$C$9)=0,0,'Supuestos'!$C$8/('Supuestos'!$C$9)))*'Supuestos'!$C$12)*'Supuestos'!$C$13)*'Supuestos'!$C$26)*'Supuestos'!$C$25)+(((((IF(('Supuestos'!$C$9)=0,0,'Supuestos'!$C$8/('Supuestos'!$C$9)))*'Supuestos'!$C$12)*'Supuestos'!$C$13)*'Supuestos'!$C$28)*'Supuestos'!$C$27)+(((((IF(('Supuestos'!$C$9)=0,0,'Supuestos'!$C$8/('Supuestos'!$C$9)))*'Supuestos'!$C$12)*'Supuestos'!$C$13)*'Supuestos'!$C$30)*'Supuestos'!$C$29))*('Supuestos'!$C$40+'Supuestos'!$C$41+'Supuestos'!$C$42))*(1-'Supuestos'!$C$33-'Supuestos'!$C$34-'Supuestos'!$C$35))-((IF(('Supuestos'!$C$9)=0,0,'Supuestos'!$C$8/('Supuestos'!$C$9)))*'Supuestos'!$C$36)-'Supuestos'!$C$37-'Supuestos'!$C$8)</f>
        <v/>
      </c>
      <c r="E11" s="26">
        <f>D11-$D$6</f>
        <v/>
      </c>
      <c r="F11" s="18">
        <f>IF($D$6=0,0,E11/ABS($D$6))</f>
        <v/>
      </c>
      <c r="G11" s="16">
        <f>RANK(E11,$E$7:$E$14)</f>
        <v/>
      </c>
    </row>
    <row r="12">
      <c r="B12" t="inlineStr">
        <is>
          <t>OTO 1 tomada 10 % más</t>
        </is>
      </c>
      <c r="C12" t="inlineStr">
        <is>
          <t>+10 %</t>
        </is>
      </c>
      <c r="D12" s="26">
        <f>((((((((IF(('Supuestos'!$C$9)=0,0,'Supuestos'!$C$8/('Supuestos'!$C$9)))*'Supuestos'!$C$12)*'Supuestos'!$C$13)*'Supuestos'!$C$16)+(((((IF(('Supuestos'!$C$9)=0,0,'Supuestos'!$C$8/('Supuestos'!$C$9)))*'Supuestos'!$C$12)*'Supuestos'!$C$13)*'Supuestos'!$C$18)*'Supuestos'!$C$17)+(((((IF(('Supuestos'!$C$9)=0,0,'Supuestos'!$C$8/('Supuestos'!$C$9)))*'Supuestos'!$C$12)*'Supuestos'!$C$13)*'Supuestos'!$C$20)*'Supuestos'!$C$19)+(((((IF(('Supuestos'!$C$9)=0,0,'Supuestos'!$C$8/('Supuestos'!$C$9)))*'Supuestos'!$C$12)*'Supuestos'!$C$13)*('Supuestos'!$C$22*1.1))*'Supuestos'!$C$21)+(((((IF(('Supuestos'!$C$9)=0,0,'Supuestos'!$C$8/('Supuestos'!$C$9)))*'Supuestos'!$C$12)*'Supuestos'!$C$13)*'Supuestos'!$C$24)*'Supuestos'!$C$23)+(((((IF(('Supuestos'!$C$9)=0,0,'Supuestos'!$C$8/('Supuestos'!$C$9)))*'Supuestos'!$C$12)*'Supuestos'!$C$13)*'Supuestos'!$C$26)*'Supuestos'!$C$25)+(((((IF(('Supuestos'!$C$9)=0,0,'Supuestos'!$C$8/('Supuestos'!$C$9)))*'Supuestos'!$C$12)*'Supuestos'!$C$13)*'Supuestos'!$C$28)*'Supuestos'!$C$27)+(((((IF(('Supuestos'!$C$9)=0,0,'Supuestos'!$C$8/('Supuestos'!$C$9)))*'Supuestos'!$C$12)*'Supuestos'!$C$13)*'Supuestos'!$C$30)*'Supuestos'!$C$29))*('Supuestos'!$C$40+'Supuestos'!$C$41+'Supuestos'!$C$42))*(1-'Supuestos'!$C$33-'Supuestos'!$C$34-'Supuestos'!$C$35))-((IF(('Supuestos'!$C$9)=0,0,'Supuestos'!$C$8/('Supuestos'!$C$9)))*'Supuestos'!$C$36)-'Supuestos'!$C$37-'Supuestos'!$C$8)</f>
        <v/>
      </c>
      <c r="E12" s="26">
        <f>D12-$D$6</f>
        <v/>
      </c>
      <c r="F12" s="18">
        <f>IF($D$6=0,0,E12/ABS($D$6))</f>
        <v/>
      </c>
      <c r="G12" s="16">
        <f>RANK(E12,$E$7:$E$14)</f>
        <v/>
      </c>
    </row>
    <row r="13">
      <c r="B13" t="inlineStr">
        <is>
          <t>Ascensión al programa 10 % más alta</t>
        </is>
      </c>
      <c r="C13" t="inlineStr">
        <is>
          <t>+10 %</t>
        </is>
      </c>
      <c r="D13" s="26">
        <f>((((((((IF(('Supuestos'!$C$9)=0,0,'Supuestos'!$C$8/('Supuestos'!$C$9)))*'Supuestos'!$C$12)*'Supuestos'!$C$13)*'Supuestos'!$C$16)+(((((IF(('Supuestos'!$C$9)=0,0,'Supuestos'!$C$8/('Supuestos'!$C$9)))*'Supuestos'!$C$12)*'Supuestos'!$C$13)*'Supuestos'!$C$18)*'Supuestos'!$C$17)+(((((IF(('Supuestos'!$C$9)=0,0,'Supuestos'!$C$8/('Supuestos'!$C$9)))*'Supuestos'!$C$12)*'Supuestos'!$C$13)*'Supuestos'!$C$20)*'Supuestos'!$C$19)+(((((IF(('Supuestos'!$C$9)=0,0,'Supuestos'!$C$8/('Supuestos'!$C$9)))*'Supuestos'!$C$12)*'Supuestos'!$C$13)*'Supuestos'!$C$22)*'Supuestos'!$C$21)+(((((IF(('Supuestos'!$C$9)=0,0,'Supuestos'!$C$8/('Supuestos'!$C$9)))*'Supuestos'!$C$12)*'Supuestos'!$C$13)*'Supuestos'!$C$24)*'Supuestos'!$C$23)+(((((IF(('Supuestos'!$C$9)=0,0,'Supuestos'!$C$8/('Supuestos'!$C$9)))*'Supuestos'!$C$12)*'Supuestos'!$C$13)*'Supuestos'!$C$26)*'Supuestos'!$C$25)+(((((IF(('Supuestos'!$C$9)=0,0,'Supuestos'!$C$8/('Supuestos'!$C$9)))*'Supuestos'!$C$12)*'Supuestos'!$C$13)*'Supuestos'!$C$28)*'Supuestos'!$C$27)+(((((IF(('Supuestos'!$C$9)=0,0,'Supuestos'!$C$8/('Supuestos'!$C$9)))*'Supuestos'!$C$12)*'Supuestos'!$C$13)*('Supuestos'!$C$30*1.1))*'Supuestos'!$C$29))*('Supuestos'!$C$40+'Supuestos'!$C$41+'Supuestos'!$C$42))*(1-'Supuestos'!$C$33-'Supuestos'!$C$34-'Supuestos'!$C$35))-((IF(('Supuestos'!$C$9)=0,0,'Supuestos'!$C$8/('Supuestos'!$C$9)))*'Supuestos'!$C$36)-'Supuestos'!$C$37-'Supuestos'!$C$8)</f>
        <v/>
      </c>
      <c r="E13" s="26">
        <f>D13-$D$6</f>
        <v/>
      </c>
      <c r="F13" s="18">
        <f>IF($D$6=0,0,E13/ABS($D$6))</f>
        <v/>
      </c>
      <c r="G13" s="16">
        <f>RANK(E13,$E$7:$E$14)</f>
        <v/>
      </c>
    </row>
    <row r="14">
      <c r="B14" t="inlineStr">
        <is>
          <t>Reembolsos 10 % más bajos</t>
        </is>
      </c>
      <c r="C14" t="inlineStr">
        <is>
          <t>−10 %</t>
        </is>
      </c>
      <c r="D14" s="26">
        <f>((((((((IF(('Supuestos'!$C$9)=0,0,'Supuestos'!$C$8/('Supuestos'!$C$9)))*'Supuestos'!$C$12)*'Supuestos'!$C$13)*'Supuestos'!$C$16)+(((((IF(('Supuestos'!$C$9)=0,0,'Supuestos'!$C$8/('Supuestos'!$C$9)))*'Supuestos'!$C$12)*'Supuestos'!$C$13)*'Supuestos'!$C$18)*'Supuestos'!$C$17)+(((((IF(('Supuestos'!$C$9)=0,0,'Supuestos'!$C$8/('Supuestos'!$C$9)))*'Supuestos'!$C$12)*'Supuestos'!$C$13)*'Supuestos'!$C$20)*'Supuestos'!$C$19)+(((((IF(('Supuestos'!$C$9)=0,0,'Supuestos'!$C$8/('Supuestos'!$C$9)))*'Supuestos'!$C$12)*'Supuestos'!$C$13)*'Supuestos'!$C$22)*'Supuestos'!$C$21)+(((((IF(('Supuestos'!$C$9)=0,0,'Supuestos'!$C$8/('Supuestos'!$C$9)))*'Supuestos'!$C$12)*'Supuestos'!$C$13)*'Supuestos'!$C$24)*'Supuestos'!$C$23)+(((((IF(('Supuestos'!$C$9)=0,0,'Supuestos'!$C$8/('Supuestos'!$C$9)))*'Supuestos'!$C$12)*'Supuestos'!$C$13)*'Supuestos'!$C$26)*'Supuestos'!$C$25)+(((((IF(('Supuestos'!$C$9)=0,0,'Supuestos'!$C$8/('Supuestos'!$C$9)))*'Supuestos'!$C$12)*'Supuestos'!$C$13)*'Supuestos'!$C$28)*'Supuestos'!$C$27)+(((((IF(('Supuestos'!$C$9)=0,0,'Supuestos'!$C$8/('Supuestos'!$C$9)))*'Supuestos'!$C$12)*'Supuestos'!$C$13)*'Supuestos'!$C$30)*'Supuestos'!$C$29))*('Supuestos'!$C$40+'Supuestos'!$C$41+'Supuestos'!$C$42))*(1-'Supuestos'!$C$33-'Supuestos'!$C$34-('Supuestos'!$C$35*0.9)))-((IF(('Supuestos'!$C$9)=0,0,'Supuestos'!$C$8/('Supuestos'!$C$9)))*'Supuestos'!$C$36)-'Supuestos'!$C$37-'Supuestos'!$C$8)</f>
        <v/>
      </c>
      <c r="E14" s="26">
        <f>D14-$D$6</f>
        <v/>
      </c>
      <c r="F14" s="18">
        <f>IF($D$6=0,0,E14/ABS($D$6))</f>
        <v/>
      </c>
      <c r="G14" s="16">
        <f>RANK(E14,$E$7:$E$14)</f>
        <v/>
      </c>
    </row>
  </sheetData>
  <pageMargins left="0.75" right="0.75" top="1" bottom="1" header="0.5" footer="0.5"/>
  <headerFooter>
    <oddHeader>&amp;CJesús Tassarolo · TooAudience&amp;R&amp;D</oddHeader>
    <oddFooter>&amp;LModelo financiero de embudos · creado por Jesús Tassarolo · TooAudience · youtube.com/@JesusTassaroloSinFiltro&amp;C&amp;7 Modelo financiero de embudos · creado por Jesús Tassarolo · TooAudience · youtube.com/@JesusTassaroloSinFiltro&amp;RPágina &amp;P de &amp;N</oddFooter>
    <evenHeader>&amp;CJesús Tassarolo · TooAudience</evenHeader>
    <evenFooter>&amp;LModelo financiero de embudos · creado por Jesús Tassarolo · TooAudience · youtube.com/@JesusTassaroloSinFiltro&amp;C&amp;7 Modelo financiero de embudos · creado por Jesús Tassarolo · TooAudience · youtube.com/@JesusTassaroloSinFiltro&amp;RPágina &amp;P de &amp;N</evenFooter>
    <firstHeader/>
    <firstFooter/>
  </headerFooter>
</worksheet>
</file>

<file path=xl/worksheets/sheet8.xml><?xml version="1.0" encoding="utf-8"?>
<worksheet xmlns="http://schemas.openxmlformats.org/spreadsheetml/2006/main">
  <sheetPr>
    <outlinePr summaryBelow="1" summaryRight="1"/>
    <pageSetUpPr/>
  </sheetPr>
  <dimension ref="A1:O2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5" customWidth="1" min="15" max="15"/>
  </cols>
  <sheetData>
    <row r="1">
      <c r="B1" s="1" t="inlineStr">
        <is>
          <t>© Jesús Tassarolo · TooAudience · youtube.com/@JesusTassaroloSinFiltro · uso personal; no redistribuir modificado</t>
        </is>
      </c>
    </row>
    <row r="2">
      <c r="B2" s="2" t="inlineStr">
        <is>
          <t>Proyección a 12 meses y caja</t>
        </is>
      </c>
    </row>
    <row r="3">
      <c r="B3" s="3" t="inlineStr">
        <is>
          <t>La inversión crece cada mes según el supuesto de crecimiento. El cash entra según la curva de cobranza (mes 1 / 2 / 3). La ganancia acumulada muestra cuánto dinero hace falta para sostener la pauta.</t>
        </is>
      </c>
    </row>
    <row r="5">
      <c r="B5" s="6" t="inlineStr">
        <is>
          <t>Concepto</t>
        </is>
      </c>
      <c r="C5" s="6" t="inlineStr">
        <is>
          <t>Mes 1</t>
        </is>
      </c>
      <c r="D5" s="6" t="inlineStr">
        <is>
          <t>Mes 2</t>
        </is>
      </c>
      <c r="E5" s="6" t="inlineStr">
        <is>
          <t>Mes 3</t>
        </is>
      </c>
      <c r="F5" s="6" t="inlineStr">
        <is>
          <t>Mes 4</t>
        </is>
      </c>
      <c r="G5" s="6" t="inlineStr">
        <is>
          <t>Mes 5</t>
        </is>
      </c>
      <c r="H5" s="6" t="inlineStr">
        <is>
          <t>Mes 6</t>
        </is>
      </c>
      <c r="I5" s="6" t="inlineStr">
        <is>
          <t>Mes 7</t>
        </is>
      </c>
      <c r="J5" s="6" t="inlineStr">
        <is>
          <t>Mes 8</t>
        </is>
      </c>
      <c r="K5" s="6" t="inlineStr">
        <is>
          <t>Mes 9</t>
        </is>
      </c>
      <c r="L5" s="6" t="inlineStr">
        <is>
          <t>Mes 10</t>
        </is>
      </c>
      <c r="M5" s="6" t="inlineStr">
        <is>
          <t>Mes 11</t>
        </is>
      </c>
      <c r="N5" s="6" t="inlineStr">
        <is>
          <t>Mes 12</t>
        </is>
      </c>
      <c r="O5" s="6" t="inlineStr">
        <is>
          <t>Total</t>
        </is>
      </c>
    </row>
    <row r="6">
      <c r="B6" t="inlineStr">
        <is>
          <t>Inversión en publicidad del mes</t>
        </is>
      </c>
      <c r="C6" s="26">
        <f>'Supuestos'!$C$8*1</f>
        <v/>
      </c>
      <c r="D6" s="26">
        <f>C6*(1+'Supuestos'!$C$48)</f>
        <v/>
      </c>
      <c r="E6" s="26">
        <f>D6*(1+'Supuestos'!$C$48)</f>
        <v/>
      </c>
      <c r="F6" s="26">
        <f>E6*(1+'Supuestos'!$C$48)</f>
        <v/>
      </c>
      <c r="G6" s="26">
        <f>F6*(1+'Supuestos'!$C$48)</f>
        <v/>
      </c>
      <c r="H6" s="26">
        <f>G6*(1+'Supuestos'!$C$48)</f>
        <v/>
      </c>
      <c r="I6" s="26">
        <f>H6*(1+'Supuestos'!$C$48)</f>
        <v/>
      </c>
      <c r="J6" s="26">
        <f>I6*(1+'Supuestos'!$C$48)</f>
        <v/>
      </c>
      <c r="K6" s="26">
        <f>J6*(1+'Supuestos'!$C$48)</f>
        <v/>
      </c>
      <c r="L6" s="26">
        <f>K6*(1+'Supuestos'!$C$48)</f>
        <v/>
      </c>
      <c r="M6" s="26">
        <f>L6*(1+'Supuestos'!$C$48)</f>
        <v/>
      </c>
      <c r="N6" s="26">
        <f>M6*(1+'Supuestos'!$C$48)</f>
        <v/>
      </c>
      <c r="O6" s="9">
        <f>SUM(C6:N6)</f>
        <v/>
      </c>
    </row>
    <row r="7">
      <c r="B7" t="inlineStr">
        <is>
          <t>Visitas compradas</t>
        </is>
      </c>
      <c r="C7" s="16">
        <f>IF('Modelo'!$C$7=0,0,C6/'Modelo'!$C$7)</f>
        <v/>
      </c>
      <c r="D7" s="16">
        <f>IF('Modelo'!$C$7=0,0,D6/'Modelo'!$C$7)</f>
        <v/>
      </c>
      <c r="E7" s="16">
        <f>IF('Modelo'!$C$7=0,0,E6/'Modelo'!$C$7)</f>
        <v/>
      </c>
      <c r="F7" s="16">
        <f>IF('Modelo'!$C$7=0,0,F6/'Modelo'!$C$7)</f>
        <v/>
      </c>
      <c r="G7" s="16">
        <f>IF('Modelo'!$C$7=0,0,G6/'Modelo'!$C$7)</f>
        <v/>
      </c>
      <c r="H7" s="16">
        <f>IF('Modelo'!$C$7=0,0,H6/'Modelo'!$C$7)</f>
        <v/>
      </c>
      <c r="I7" s="16">
        <f>IF('Modelo'!$C$7=0,0,I6/'Modelo'!$C$7)</f>
        <v/>
      </c>
      <c r="J7" s="16">
        <f>IF('Modelo'!$C$7=0,0,J6/'Modelo'!$C$7)</f>
        <v/>
      </c>
      <c r="K7" s="16">
        <f>IF('Modelo'!$C$7=0,0,K6/'Modelo'!$C$7)</f>
        <v/>
      </c>
      <c r="L7" s="16">
        <f>IF('Modelo'!$C$7=0,0,L6/'Modelo'!$C$7)</f>
        <v/>
      </c>
      <c r="M7" s="16">
        <f>IF('Modelo'!$C$7=0,0,M6/'Modelo'!$C$7)</f>
        <v/>
      </c>
      <c r="N7" s="16">
        <f>IF('Modelo'!$C$7=0,0,N6/'Modelo'!$C$7)</f>
        <v/>
      </c>
      <c r="O7" s="25">
        <f>SUM(C7:N7)</f>
        <v/>
      </c>
    </row>
    <row r="8">
      <c r="B8" t="inlineStr">
        <is>
          <t>Ventas del producto principal</t>
        </is>
      </c>
      <c r="C8" s="27">
        <f>C7*'Modelo'!$C$32</f>
        <v/>
      </c>
      <c r="D8" s="27">
        <f>D7*'Modelo'!$C$32</f>
        <v/>
      </c>
      <c r="E8" s="27">
        <f>E7*'Modelo'!$C$32</f>
        <v/>
      </c>
      <c r="F8" s="27">
        <f>F7*'Modelo'!$C$32</f>
        <v/>
      </c>
      <c r="G8" s="27">
        <f>G7*'Modelo'!$C$32</f>
        <v/>
      </c>
      <c r="H8" s="27">
        <f>H7*'Modelo'!$C$32</f>
        <v/>
      </c>
      <c r="I8" s="27">
        <f>I7*'Modelo'!$C$32</f>
        <v/>
      </c>
      <c r="J8" s="27">
        <f>J7*'Modelo'!$C$32</f>
        <v/>
      </c>
      <c r="K8" s="27">
        <f>K7*'Modelo'!$C$32</f>
        <v/>
      </c>
      <c r="L8" s="27">
        <f>L7*'Modelo'!$C$32</f>
        <v/>
      </c>
      <c r="M8" s="27">
        <f>M7*'Modelo'!$C$32</f>
        <v/>
      </c>
      <c r="N8" s="27">
        <f>N7*'Modelo'!$C$32</f>
        <v/>
      </c>
      <c r="O8" s="11">
        <f>SUM(C8:N8)</f>
        <v/>
      </c>
    </row>
    <row r="9">
      <c r="B9" t="inlineStr">
        <is>
          <t>Facturado (todos los productos)</t>
        </is>
      </c>
      <c r="C9" s="26">
        <f>C7*'Modelo'!$C$33</f>
        <v/>
      </c>
      <c r="D9" s="26">
        <f>D7*'Modelo'!$C$33</f>
        <v/>
      </c>
      <c r="E9" s="26">
        <f>E7*'Modelo'!$C$33</f>
        <v/>
      </c>
      <c r="F9" s="26">
        <f>F7*'Modelo'!$C$33</f>
        <v/>
      </c>
      <c r="G9" s="26">
        <f>G7*'Modelo'!$C$33</f>
        <v/>
      </c>
      <c r="H9" s="26">
        <f>H7*'Modelo'!$C$33</f>
        <v/>
      </c>
      <c r="I9" s="26">
        <f>I7*'Modelo'!$C$33</f>
        <v/>
      </c>
      <c r="J9" s="26">
        <f>J7*'Modelo'!$C$33</f>
        <v/>
      </c>
      <c r="K9" s="26">
        <f>K7*'Modelo'!$C$33</f>
        <v/>
      </c>
      <c r="L9" s="26">
        <f>L7*'Modelo'!$C$33</f>
        <v/>
      </c>
      <c r="M9" s="26">
        <f>M7*'Modelo'!$C$33</f>
        <v/>
      </c>
      <c r="N9" s="26">
        <f>N7*'Modelo'!$C$33</f>
        <v/>
      </c>
      <c r="O9" s="9">
        <f>SUM(C9:N9)</f>
        <v/>
      </c>
    </row>
    <row r="10">
      <c r="B10" t="inlineStr">
        <is>
          <t>Cash cobrado en el mes</t>
        </is>
      </c>
      <c r="C10" s="26">
        <f>C9*'Supuestos'!$C$40</f>
        <v/>
      </c>
      <c r="D10" s="26">
        <f>D9*'Supuestos'!$C$40+C9*'Supuestos'!$C$41</f>
        <v/>
      </c>
      <c r="E10" s="26">
        <f>E9*'Supuestos'!$C$40+D9*'Supuestos'!$C$41+C9*'Supuestos'!$C$42</f>
        <v/>
      </c>
      <c r="F10" s="26">
        <f>F9*'Supuestos'!$C$40+E9*'Supuestos'!$C$41+D9*'Supuestos'!$C$42</f>
        <v/>
      </c>
      <c r="G10" s="26">
        <f>G9*'Supuestos'!$C$40+F9*'Supuestos'!$C$41+E9*'Supuestos'!$C$42</f>
        <v/>
      </c>
      <c r="H10" s="26">
        <f>H9*'Supuestos'!$C$40+G9*'Supuestos'!$C$41+F9*'Supuestos'!$C$42</f>
        <v/>
      </c>
      <c r="I10" s="26">
        <f>I9*'Supuestos'!$C$40+H9*'Supuestos'!$C$41+G9*'Supuestos'!$C$42</f>
        <v/>
      </c>
      <c r="J10" s="26">
        <f>J9*'Supuestos'!$C$40+I9*'Supuestos'!$C$41+H9*'Supuestos'!$C$42</f>
        <v/>
      </c>
      <c r="K10" s="26">
        <f>K9*'Supuestos'!$C$40+J9*'Supuestos'!$C$41+I9*'Supuestos'!$C$42</f>
        <v/>
      </c>
      <c r="L10" s="26">
        <f>L9*'Supuestos'!$C$40+K9*'Supuestos'!$C$41+J9*'Supuestos'!$C$42</f>
        <v/>
      </c>
      <c r="M10" s="26">
        <f>M9*'Supuestos'!$C$40+L9*'Supuestos'!$C$41+K9*'Supuestos'!$C$42</f>
        <v/>
      </c>
      <c r="N10" s="26">
        <f>N9*'Supuestos'!$C$40+M9*'Supuestos'!$C$41+L9*'Supuestos'!$C$42</f>
        <v/>
      </c>
      <c r="O10" s="9">
        <f>SUM(C10:N10)</f>
        <v/>
      </c>
    </row>
    <row r="11">
      <c r="B11" t="inlineStr">
        <is>
          <t>Comisiones y reembolsos</t>
        </is>
      </c>
      <c r="C11" s="26">
        <f>C10*('Supuestos'!$C$33+'Supuestos'!$C$34+'Supuestos'!$C$35)</f>
        <v/>
      </c>
      <c r="D11" s="26">
        <f>D10*('Supuestos'!$C$33+'Supuestos'!$C$34+'Supuestos'!$C$35)</f>
        <v/>
      </c>
      <c r="E11" s="26">
        <f>E10*('Supuestos'!$C$33+'Supuestos'!$C$34+'Supuestos'!$C$35)</f>
        <v/>
      </c>
      <c r="F11" s="26">
        <f>F10*('Supuestos'!$C$33+'Supuestos'!$C$34+'Supuestos'!$C$35)</f>
        <v/>
      </c>
      <c r="G11" s="26">
        <f>G10*('Supuestos'!$C$33+'Supuestos'!$C$34+'Supuestos'!$C$35)</f>
        <v/>
      </c>
      <c r="H11" s="26">
        <f>H10*('Supuestos'!$C$33+'Supuestos'!$C$34+'Supuestos'!$C$35)</f>
        <v/>
      </c>
      <c r="I11" s="26">
        <f>I10*('Supuestos'!$C$33+'Supuestos'!$C$34+'Supuestos'!$C$35)</f>
        <v/>
      </c>
      <c r="J11" s="26">
        <f>J10*('Supuestos'!$C$33+'Supuestos'!$C$34+'Supuestos'!$C$35)</f>
        <v/>
      </c>
      <c r="K11" s="26">
        <f>K10*('Supuestos'!$C$33+'Supuestos'!$C$34+'Supuestos'!$C$35)</f>
        <v/>
      </c>
      <c r="L11" s="26">
        <f>L10*('Supuestos'!$C$33+'Supuestos'!$C$34+'Supuestos'!$C$35)</f>
        <v/>
      </c>
      <c r="M11" s="26">
        <f>M10*('Supuestos'!$C$33+'Supuestos'!$C$34+'Supuestos'!$C$35)</f>
        <v/>
      </c>
      <c r="N11" s="26">
        <f>N10*('Supuestos'!$C$33+'Supuestos'!$C$34+'Supuestos'!$C$35)</f>
        <v/>
      </c>
      <c r="O11" s="9">
        <f>SUM(C11:N11)</f>
        <v/>
      </c>
    </row>
    <row r="12">
      <c r="B12" t="inlineStr">
        <is>
          <t>Costos por unidad (herramientas, WhatsApp, IA)</t>
        </is>
      </c>
      <c r="C12" s="26">
        <f>C7*'Supuestos'!$C$36</f>
        <v/>
      </c>
      <c r="D12" s="26">
        <f>D7*'Supuestos'!$C$36</f>
        <v/>
      </c>
      <c r="E12" s="26">
        <f>E7*'Supuestos'!$C$36</f>
        <v/>
      </c>
      <c r="F12" s="26">
        <f>F7*'Supuestos'!$C$36</f>
        <v/>
      </c>
      <c r="G12" s="26">
        <f>G7*'Supuestos'!$C$36</f>
        <v/>
      </c>
      <c r="H12" s="26">
        <f>H7*'Supuestos'!$C$36</f>
        <v/>
      </c>
      <c r="I12" s="26">
        <f>I7*'Supuestos'!$C$36</f>
        <v/>
      </c>
      <c r="J12" s="26">
        <f>J7*'Supuestos'!$C$36</f>
        <v/>
      </c>
      <c r="K12" s="26">
        <f>K7*'Supuestos'!$C$36</f>
        <v/>
      </c>
      <c r="L12" s="26">
        <f>L7*'Supuestos'!$C$36</f>
        <v/>
      </c>
      <c r="M12" s="26">
        <f>M7*'Supuestos'!$C$36</f>
        <v/>
      </c>
      <c r="N12" s="26">
        <f>N7*'Supuestos'!$C$36</f>
        <v/>
      </c>
      <c r="O12" s="9">
        <f>SUM(C12:N12)</f>
        <v/>
      </c>
    </row>
    <row r="13">
      <c r="B13" t="inlineStr">
        <is>
          <t>Costos fijos del mes</t>
        </is>
      </c>
      <c r="C13" s="26">
        <f>'Supuestos'!$C$37*1</f>
        <v/>
      </c>
      <c r="D13" s="26">
        <f>'Supuestos'!$C$37*1</f>
        <v/>
      </c>
      <c r="E13" s="26">
        <f>'Supuestos'!$C$37*1</f>
        <v/>
      </c>
      <c r="F13" s="26">
        <f>'Supuestos'!$C$37*1</f>
        <v/>
      </c>
      <c r="G13" s="26">
        <f>'Supuestos'!$C$37*1</f>
        <v/>
      </c>
      <c r="H13" s="26">
        <f>'Supuestos'!$C$37*1</f>
        <v/>
      </c>
      <c r="I13" s="26">
        <f>'Supuestos'!$C$37*1</f>
        <v/>
      </c>
      <c r="J13" s="26">
        <f>'Supuestos'!$C$37*1</f>
        <v/>
      </c>
      <c r="K13" s="26">
        <f>'Supuestos'!$C$37*1</f>
        <v/>
      </c>
      <c r="L13" s="26">
        <f>'Supuestos'!$C$37*1</f>
        <v/>
      </c>
      <c r="M13" s="26">
        <f>'Supuestos'!$C$37*1</f>
        <v/>
      </c>
      <c r="N13" s="26">
        <f>'Supuestos'!$C$37*1</f>
        <v/>
      </c>
      <c r="O13" s="9">
        <f>SUM(C13:N13)</f>
        <v/>
      </c>
    </row>
    <row r="14">
      <c r="B14" s="4" t="inlineStr">
        <is>
          <t>Ganancia de caja del mes</t>
        </is>
      </c>
      <c r="C14" s="9">
        <f>C10-C11-C12-C13-C6</f>
        <v/>
      </c>
      <c r="D14" s="9">
        <f>D10-D11-D12-D13-D6</f>
        <v/>
      </c>
      <c r="E14" s="9">
        <f>E10-E11-E12-E13-E6</f>
        <v/>
      </c>
      <c r="F14" s="9">
        <f>F10-F11-F12-F13-F6</f>
        <v/>
      </c>
      <c r="G14" s="9">
        <f>G10-G11-G12-G13-G6</f>
        <v/>
      </c>
      <c r="H14" s="9">
        <f>H10-H11-H12-H13-H6</f>
        <v/>
      </c>
      <c r="I14" s="9">
        <f>I10-I11-I12-I13-I6</f>
        <v/>
      </c>
      <c r="J14" s="9">
        <f>J10-J11-J12-J13-J6</f>
        <v/>
      </c>
      <c r="K14" s="9">
        <f>K10-K11-K12-K13-K6</f>
        <v/>
      </c>
      <c r="L14" s="9">
        <f>L10-L11-L12-L13-L6</f>
        <v/>
      </c>
      <c r="M14" s="9">
        <f>M10-M11-M12-M13-M6</f>
        <v/>
      </c>
      <c r="N14" s="9">
        <f>N10-N11-N12-N13-N6</f>
        <v/>
      </c>
      <c r="O14" s="9">
        <f>SUM(C14:N14)</f>
        <v/>
      </c>
    </row>
    <row r="15">
      <c r="B15" s="4" t="inlineStr">
        <is>
          <t>Ganancia de caja acumulada (desde cero)</t>
        </is>
      </c>
      <c r="C15" s="9">
        <f>C14</f>
        <v/>
      </c>
      <c r="D15" s="9">
        <f>C15+D14</f>
        <v/>
      </c>
      <c r="E15" s="9">
        <f>D15+E14</f>
        <v/>
      </c>
      <c r="F15" s="9">
        <f>E15+F14</f>
        <v/>
      </c>
      <c r="G15" s="9">
        <f>F15+G14</f>
        <v/>
      </c>
      <c r="H15" s="9">
        <f>G15+H14</f>
        <v/>
      </c>
      <c r="I15" s="9">
        <f>H15+I14</f>
        <v/>
      </c>
      <c r="J15" s="9">
        <f>I15+J14</f>
        <v/>
      </c>
      <c r="K15" s="9">
        <f>J15+K14</f>
        <v/>
      </c>
      <c r="L15" s="9">
        <f>K15+L14</f>
        <v/>
      </c>
      <c r="M15" s="9">
        <f>L15+M14</f>
        <v/>
      </c>
      <c r="N15" s="9">
        <f>M15+N14</f>
        <v/>
      </c>
    </row>
    <row r="16">
      <c r="B16" t="inlineStr">
        <is>
          <t>Saldo de caja (caja inicial + ganancia acumulada)</t>
        </is>
      </c>
      <c r="C16" s="26">
        <f>'Supuestos'!$C$49+C15</f>
        <v/>
      </c>
      <c r="D16" s="26">
        <f>'Supuestos'!$C$49+D15</f>
        <v/>
      </c>
      <c r="E16" s="26">
        <f>'Supuestos'!$C$49+E15</f>
        <v/>
      </c>
      <c r="F16" s="26">
        <f>'Supuestos'!$C$49+F15</f>
        <v/>
      </c>
      <c r="G16" s="26">
        <f>'Supuestos'!$C$49+G15</f>
        <v/>
      </c>
      <c r="H16" s="26">
        <f>'Supuestos'!$C$49+H15</f>
        <v/>
      </c>
      <c r="I16" s="26">
        <f>'Supuestos'!$C$49+I15</f>
        <v/>
      </c>
      <c r="J16" s="26">
        <f>'Supuestos'!$C$49+J15</f>
        <v/>
      </c>
      <c r="K16" s="26">
        <f>'Supuestos'!$C$49+K15</f>
        <v/>
      </c>
      <c r="L16" s="26">
        <f>'Supuestos'!$C$49+L15</f>
        <v/>
      </c>
      <c r="M16" s="26">
        <f>'Supuestos'!$C$49+M15</f>
        <v/>
      </c>
      <c r="N16" s="26">
        <f>'Supuestos'!$C$49+N15</f>
        <v/>
      </c>
    </row>
    <row r="18">
      <c r="B18" s="4" t="inlineStr">
        <is>
          <t>Caja necesaria para no frenar la pauta (el peor momento de la ganancia acumulada)</t>
        </is>
      </c>
      <c r="C18" s="9">
        <f>MAX(0,-MIN(C15:N15))</f>
        <v/>
      </c>
    </row>
    <row r="19">
      <c r="B19" s="4" t="inlineStr">
        <is>
          <t>Saldo mínimo de caja con tu caja inicial</t>
        </is>
      </c>
      <c r="C19" s="9">
        <f>MIN(C16:N16)</f>
        <v/>
      </c>
    </row>
    <row r="20">
      <c r="B20" s="4" t="inlineStr">
        <is>
          <t>Ganancia de caja acumulada en 12 meses</t>
        </is>
      </c>
      <c r="C20" s="9">
        <f>O14</f>
        <v/>
      </c>
    </row>
  </sheetData>
  <conditionalFormatting sqref="C14:N14">
    <cfRule type="cellIs" priority="1" operator="lessThan" dxfId="2">
      <formula>0</formula>
    </cfRule>
    <cfRule type="cellIs" priority="2" operator="between" dxfId="1">
      <formula>0</formula>
      <formula>0.0001</formula>
    </cfRule>
    <cfRule type="cellIs" priority="3" operator="greaterThanOrEqual" dxfId="0">
      <formula>0.0001</formula>
    </cfRule>
  </conditionalFormatting>
  <pageMargins left="0.75" right="0.75" top="1" bottom="1" header="0.5" footer="0.5"/>
  <headerFooter>
    <oddHeader>&amp;CJesús Tassarolo · TooAudience&amp;R&amp;D</oddHeader>
    <oddFooter>&amp;LModelo financiero de embudos · creado por Jesús Tassarolo · TooAudience · youtube.com/@JesusTassaroloSinFiltro&amp;C&amp;7 Modelo financiero de embudos · creado por Jesús Tassarolo · TooAudience · youtube.com/@JesusTassaroloSinFiltro&amp;RPágina &amp;P de &amp;N</oddFooter>
    <evenHeader>&amp;CJesús Tassarolo · TooAudience</evenHeader>
    <evenFooter>&amp;LModelo financiero de embudos · creado por Jesús Tassarolo · TooAudience · youtube.com/@JesusTassaroloSinFiltro&amp;C&amp;7 Modelo financiero de embudos · creado por Jesús Tassarolo · TooAudience · youtube.com/@JesusTassaroloSinFiltro&amp;RPágina &amp;P de &amp;N</evenFooter>
    <firstHeader/>
    <firstFooter/>
  </headerFooter>
</worksheet>
</file>

<file path=xl/worksheets/sheet9.xml><?xml version="1.0" encoding="utf-8"?>
<worksheet xmlns="http://schemas.openxmlformats.org/spreadsheetml/2006/main">
  <sheetPr>
    <outlinePr summaryBelow="1" summaryRight="1"/>
    <pageSetUpPr/>
  </sheetPr>
  <dimension ref="A1:Q2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 customWidth="1" min="1" max="1"/>
    <col width="5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c r="B1" s="1" t="inlineStr">
        <is>
          <t>© Jesús Tassarolo · TooAudience · youtube.com/@JesusTassaroloSinFiltro · uso personal; no redistribuir modificado</t>
        </is>
      </c>
    </row>
    <row r="2">
      <c r="B2" s="2" t="inlineStr">
        <is>
          <t>Seguimiento: una columna por mes</t>
        </is>
      </c>
    </row>
    <row r="3">
      <c r="B3" s="3" t="inlineStr">
        <is>
          <t>Cargá los datos reales en las celdas amarillas. El semáforo compara tu costo real por visita con el techo móvil (lo que rindieron tus últimas 4 columnas) y con el techo del modelo.</t>
        </is>
      </c>
    </row>
    <row r="5">
      <c r="B5" s="6" t="inlineStr">
        <is>
          <t>Dato</t>
        </is>
      </c>
      <c r="C5" s="6" t="inlineStr">
        <is>
          <t>Mes 1</t>
        </is>
      </c>
      <c r="D5" s="6" t="inlineStr">
        <is>
          <t>Mes 2</t>
        </is>
      </c>
      <c r="E5" s="6" t="inlineStr">
        <is>
          <t>Mes 3</t>
        </is>
      </c>
      <c r="F5" s="6" t="inlineStr">
        <is>
          <t>Mes 4</t>
        </is>
      </c>
      <c r="G5" s="6" t="inlineStr">
        <is>
          <t>Mes 5</t>
        </is>
      </c>
      <c r="H5" s="6" t="inlineStr">
        <is>
          <t>Mes 6</t>
        </is>
      </c>
      <c r="I5" s="6" t="inlineStr">
        <is>
          <t>Mes 7</t>
        </is>
      </c>
      <c r="J5" s="6" t="inlineStr">
        <is>
          <t>Mes 8</t>
        </is>
      </c>
      <c r="K5" s="6" t="inlineStr">
        <is>
          <t>Mes 9</t>
        </is>
      </c>
      <c r="L5" s="6" t="inlineStr">
        <is>
          <t>Mes 10</t>
        </is>
      </c>
      <c r="M5" s="6" t="inlineStr">
        <is>
          <t>Mes 11</t>
        </is>
      </c>
      <c r="N5" s="6" t="inlineStr">
        <is>
          <t>Mes 12</t>
        </is>
      </c>
      <c r="O5" s="6" t="inlineStr">
        <is>
          <t>Promedio</t>
        </is>
      </c>
      <c r="P5" s="6" t="inlineStr">
        <is>
          <t>Máximo</t>
        </is>
      </c>
      <c r="Q5" s="6" t="inlineStr">
        <is>
          <t>Mínimo</t>
        </is>
      </c>
    </row>
    <row r="6">
      <c r="B6" s="7" t="inlineStr">
        <is>
          <t>Datos que cargás</t>
        </is>
      </c>
      <c r="C6" s="8" t="n"/>
      <c r="D6" s="8" t="n"/>
      <c r="E6" s="8" t="n"/>
      <c r="F6" s="8" t="n"/>
      <c r="G6" s="8" t="n"/>
      <c r="H6" s="8" t="n"/>
      <c r="I6" s="8" t="n"/>
      <c r="J6" s="8" t="n"/>
      <c r="K6" s="8" t="n"/>
      <c r="L6" s="8" t="n"/>
      <c r="M6" s="8" t="n"/>
      <c r="N6" s="8" t="n"/>
    </row>
    <row r="7">
      <c r="B7" t="inlineStr">
        <is>
          <t>Inversión en publicidad</t>
        </is>
      </c>
      <c r="C7" s="21" t="n">
        <v>9000</v>
      </c>
      <c r="D7" s="21" t="n">
        <v>9500</v>
      </c>
      <c r="E7" s="21" t="n">
        <v>10500</v>
      </c>
      <c r="F7" s="21" t="n"/>
      <c r="G7" s="21" t="n"/>
      <c r="H7" s="21" t="n"/>
      <c r="I7" s="21" t="n"/>
      <c r="J7" s="21" t="n"/>
      <c r="K7" s="21" t="n"/>
      <c r="L7" s="21" t="n"/>
      <c r="M7" s="21" t="n"/>
      <c r="N7" s="21" t="n"/>
      <c r="O7" s="26">
        <f>IF(COUNT(C7:N7)=0,"",AVERAGE(C7:N7))</f>
        <v/>
      </c>
      <c r="P7" s="26">
        <f>IF(COUNT(C7:N7)=0,"",MAX(C7:N7))</f>
        <v/>
      </c>
      <c r="Q7" s="26">
        <f>IF(COUNT(C7:N7)=0,"",MIN(C7:N7))</f>
        <v/>
      </c>
    </row>
    <row r="8">
      <c r="B8" t="inlineStr">
        <is>
          <t>Visitas a la página</t>
        </is>
      </c>
      <c r="C8" s="20" t="n">
        <v>30000</v>
      </c>
      <c r="D8" s="20" t="n">
        <v>30200</v>
      </c>
      <c r="E8" s="20" t="n">
        <v>29000</v>
      </c>
      <c r="F8" s="20" t="n"/>
      <c r="G8" s="20" t="n"/>
      <c r="H8" s="20" t="n"/>
      <c r="I8" s="20" t="n"/>
      <c r="J8" s="20" t="n"/>
      <c r="K8" s="20" t="n"/>
      <c r="L8" s="20" t="n"/>
      <c r="M8" s="20" t="n"/>
      <c r="N8" s="20" t="n"/>
      <c r="O8" s="16">
        <f>IF(COUNT(C8:N8)=0,"",AVERAGE(C8:N8))</f>
        <v/>
      </c>
      <c r="P8" s="16">
        <f>IF(COUNT(C8:N8)=0,"",MAX(C8:N8))</f>
        <v/>
      </c>
      <c r="Q8" s="16">
        <f>IF(COUNT(C8:N8)=0,"",MIN(C8:N8))</f>
        <v/>
      </c>
    </row>
    <row r="9">
      <c r="B9" t="inlineStr">
        <is>
          <t>Checkouts iniciados</t>
        </is>
      </c>
      <c r="C9" s="20" t="n">
        <v>1050</v>
      </c>
      <c r="D9" s="20" t="n">
        <v>1030</v>
      </c>
      <c r="E9" s="20" t="n">
        <v>980</v>
      </c>
      <c r="F9" s="20" t="n"/>
      <c r="G9" s="20" t="n"/>
      <c r="H9" s="20" t="n"/>
      <c r="I9" s="20" t="n"/>
      <c r="J9" s="20" t="n"/>
      <c r="K9" s="20" t="n"/>
      <c r="L9" s="20" t="n"/>
      <c r="M9" s="20" t="n"/>
      <c r="N9" s="20" t="n"/>
      <c r="O9" s="16">
        <f>IF(COUNT(C9:N9)=0,"",AVERAGE(C9:N9))</f>
        <v/>
      </c>
      <c r="P9" s="16">
        <f>IF(COUNT(C9:N9)=0,"",MAX(C9:N9))</f>
        <v/>
      </c>
      <c r="Q9" s="16">
        <f>IF(COUNT(C9:N9)=0,"",MIN(C9:N9))</f>
        <v/>
      </c>
    </row>
    <row r="10">
      <c r="B10" t="inlineStr">
        <is>
          <t>Ventas del producto principal</t>
        </is>
      </c>
      <c r="C10" s="20" t="n">
        <v>273</v>
      </c>
      <c r="D10" s="20" t="n">
        <v>262</v>
      </c>
      <c r="E10" s="20" t="n">
        <v>240</v>
      </c>
      <c r="F10" s="20" t="n"/>
      <c r="G10" s="20" t="n"/>
      <c r="H10" s="20" t="n"/>
      <c r="I10" s="20" t="n"/>
      <c r="J10" s="20" t="n"/>
      <c r="K10" s="20" t="n"/>
      <c r="L10" s="20" t="n"/>
      <c r="M10" s="20" t="n"/>
      <c r="N10" s="20" t="n"/>
      <c r="O10" s="16">
        <f>IF(COUNT(C10:N10)=0,"",AVERAGE(C10:N10))</f>
        <v/>
      </c>
      <c r="P10" s="16">
        <f>IF(COUNT(C10:N10)=0,"",MAX(C10:N10))</f>
        <v/>
      </c>
      <c r="Q10" s="16">
        <f>IF(COUNT(C10:N10)=0,"",MIN(C10:N10))</f>
        <v/>
      </c>
    </row>
    <row r="11">
      <c r="B11" t="inlineStr">
        <is>
          <t>Ventas de bumps (1 + 2)</t>
        </is>
      </c>
      <c r="C11" s="20" t="n">
        <v>117</v>
      </c>
      <c r="D11" s="20" t="n">
        <v>110</v>
      </c>
      <c r="E11" s="20" t="n">
        <v>95</v>
      </c>
      <c r="F11" s="20" t="n"/>
      <c r="G11" s="20" t="n"/>
      <c r="H11" s="20" t="n"/>
      <c r="I11" s="20" t="n"/>
      <c r="J11" s="20" t="n"/>
      <c r="K11" s="20" t="n"/>
      <c r="L11" s="20" t="n"/>
      <c r="M11" s="20" t="n"/>
      <c r="N11" s="20" t="n"/>
      <c r="O11" s="16">
        <f>IF(COUNT(C11:N11)=0,"",AVERAGE(C11:N11))</f>
        <v/>
      </c>
      <c r="P11" s="16">
        <f>IF(COUNT(C11:N11)=0,"",MAX(C11:N11))</f>
        <v/>
      </c>
      <c r="Q11" s="16">
        <f>IF(COUNT(C11:N11)=0,"",MIN(C11:N11))</f>
        <v/>
      </c>
    </row>
    <row r="12">
      <c r="B12" t="inlineStr">
        <is>
          <t>Ventas de OTOs (1 a 4)</t>
        </is>
      </c>
      <c r="C12" s="20" t="n">
        <v>63</v>
      </c>
      <c r="D12" s="20" t="n">
        <v>58</v>
      </c>
      <c r="E12" s="20" t="n">
        <v>52</v>
      </c>
      <c r="F12" s="20" t="n"/>
      <c r="G12" s="20" t="n"/>
      <c r="H12" s="20" t="n"/>
      <c r="I12" s="20" t="n"/>
      <c r="J12" s="20" t="n"/>
      <c r="K12" s="20" t="n"/>
      <c r="L12" s="20" t="n"/>
      <c r="M12" s="20" t="n"/>
      <c r="N12" s="20" t="n"/>
      <c r="O12" s="16">
        <f>IF(COUNT(C12:N12)=0,"",AVERAGE(C12:N12))</f>
        <v/>
      </c>
      <c r="P12" s="16">
        <f>IF(COUNT(C12:N12)=0,"",MAX(C12:N12))</f>
        <v/>
      </c>
      <c r="Q12" s="16">
        <f>IF(COUNT(C12:N12)=0,"",MIN(C12:N12))</f>
        <v/>
      </c>
    </row>
    <row r="13">
      <c r="B13" t="inlineStr">
        <is>
          <t>Ventas de la ascensión (programa)</t>
        </is>
      </c>
      <c r="C13" s="20" t="n">
        <v>5</v>
      </c>
      <c r="D13" s="20" t="n">
        <v>6</v>
      </c>
      <c r="E13" s="20" t="n">
        <v>4</v>
      </c>
      <c r="F13" s="20" t="n"/>
      <c r="G13" s="20" t="n"/>
      <c r="H13" s="20" t="n"/>
      <c r="I13" s="20" t="n"/>
      <c r="J13" s="20" t="n"/>
      <c r="K13" s="20" t="n"/>
      <c r="L13" s="20" t="n"/>
      <c r="M13" s="20" t="n"/>
      <c r="N13" s="20" t="n"/>
      <c r="O13" s="16">
        <f>IF(COUNT(C13:N13)=0,"",AVERAGE(C13:N13))</f>
        <v/>
      </c>
      <c r="P13" s="16">
        <f>IF(COUNT(C13:N13)=0,"",MAX(C13:N13))</f>
        <v/>
      </c>
      <c r="Q13" s="16">
        <f>IF(COUNT(C13:N13)=0,"",MIN(C13:N13))</f>
        <v/>
      </c>
    </row>
    <row r="14">
      <c r="B14" t="inlineStr">
        <is>
          <t>Facturado del mes (a precio de lista)</t>
        </is>
      </c>
      <c r="C14" s="21" t="n">
        <v>15900</v>
      </c>
      <c r="D14" s="21" t="n">
        <v>15400</v>
      </c>
      <c r="E14" s="21" t="n">
        <v>13700</v>
      </c>
      <c r="F14" s="21" t="n"/>
      <c r="G14" s="21" t="n"/>
      <c r="H14" s="21" t="n"/>
      <c r="I14" s="21" t="n"/>
      <c r="J14" s="21" t="n"/>
      <c r="K14" s="21" t="n"/>
      <c r="L14" s="21" t="n"/>
      <c r="M14" s="21" t="n"/>
      <c r="N14" s="21" t="n"/>
      <c r="O14" s="26">
        <f>IF(COUNT(C14:N14)=0,"",AVERAGE(C14:N14))</f>
        <v/>
      </c>
      <c r="P14" s="26">
        <f>IF(COUNT(C14:N14)=0,"",MAX(C14:N14))</f>
        <v/>
      </c>
      <c r="Q14" s="26">
        <f>IF(COUNT(C14:N14)=0,"",MIN(C14:N14))</f>
        <v/>
      </c>
    </row>
    <row r="15">
      <c r="B15" t="inlineStr">
        <is>
          <t>Cash cobrado en el mes</t>
        </is>
      </c>
      <c r="C15" s="21" t="n">
        <v>15900</v>
      </c>
      <c r="D15" s="21" t="n">
        <v>15400</v>
      </c>
      <c r="E15" s="21" t="n">
        <v>13700</v>
      </c>
      <c r="F15" s="21" t="n"/>
      <c r="G15" s="21" t="n"/>
      <c r="H15" s="21" t="n"/>
      <c r="I15" s="21" t="n"/>
      <c r="J15" s="21" t="n"/>
      <c r="K15" s="21" t="n"/>
      <c r="L15" s="21" t="n"/>
      <c r="M15" s="21" t="n"/>
      <c r="N15" s="21" t="n"/>
      <c r="O15" s="26">
        <f>IF(COUNT(C15:N15)=0,"",AVERAGE(C15:N15))</f>
        <v/>
      </c>
      <c r="P15" s="26">
        <f>IF(COUNT(C15:N15)=0,"",MAX(C15:N15))</f>
        <v/>
      </c>
      <c r="Q15" s="26">
        <f>IF(COUNT(C15:N15)=0,"",MIN(C15:N15))</f>
        <v/>
      </c>
    </row>
    <row r="16">
      <c r="B16" s="7" t="inlineStr">
        <is>
          <t>Lo que calcula el modelo</t>
        </is>
      </c>
      <c r="C16" s="8" t="n"/>
      <c r="D16" s="8" t="n"/>
      <c r="E16" s="8" t="n"/>
      <c r="F16" s="8" t="n"/>
      <c r="G16" s="8" t="n"/>
      <c r="H16" s="8" t="n"/>
      <c r="I16" s="8" t="n"/>
      <c r="J16" s="8" t="n"/>
      <c r="K16" s="8" t="n"/>
      <c r="L16" s="8" t="n"/>
      <c r="M16" s="8" t="n"/>
      <c r="N16" s="8" t="n"/>
    </row>
    <row r="17">
      <c r="B17" s="4" t="inlineStr">
        <is>
          <t>Costo por visita real</t>
        </is>
      </c>
      <c r="C17" s="12">
        <f>IF(COUNT(C7:C15)&lt;9,"",IF(C8=0,0,C7/C8))</f>
        <v/>
      </c>
      <c r="D17" s="12">
        <f>IF(COUNT(D7:D15)&lt;9,"",IF(D8=0,0,D7/D8))</f>
        <v/>
      </c>
      <c r="E17" s="12">
        <f>IF(COUNT(E7:E15)&lt;9,"",IF(E8=0,0,E7/E8))</f>
        <v/>
      </c>
      <c r="F17" s="12">
        <f>IF(COUNT(F7:F15)&lt;9,"",IF(F8=0,0,F7/F8))</f>
        <v/>
      </c>
      <c r="G17" s="12">
        <f>IF(COUNT(G7:G15)&lt;9,"",IF(G8=0,0,G7/G8))</f>
        <v/>
      </c>
      <c r="H17" s="12">
        <f>IF(COUNT(H7:H15)&lt;9,"",IF(H8=0,0,H7/H8))</f>
        <v/>
      </c>
      <c r="I17" s="12">
        <f>IF(COUNT(I7:I15)&lt;9,"",IF(I8=0,0,I7/I8))</f>
        <v/>
      </c>
      <c r="J17" s="12">
        <f>IF(COUNT(J7:J15)&lt;9,"",IF(J8=0,0,J7/J8))</f>
        <v/>
      </c>
      <c r="K17" s="12">
        <f>IF(COUNT(K7:K15)&lt;9,"",IF(K8=0,0,K7/K8))</f>
        <v/>
      </c>
      <c r="L17" s="12">
        <f>IF(COUNT(L7:L15)&lt;9,"",IF(L8=0,0,L7/L8))</f>
        <v/>
      </c>
      <c r="M17" s="12">
        <f>IF(COUNT(M7:M15)&lt;9,"",IF(M8=0,0,M7/M8))</f>
        <v/>
      </c>
      <c r="N17" s="12">
        <f>IF(COUNT(N7:N15)&lt;9,"",IF(N8=0,0,N7/N8))</f>
        <v/>
      </c>
      <c r="O17" s="19">
        <f>IF(COUNT(C17:N17)=0,"",AVERAGE(C17:N17))</f>
        <v/>
      </c>
      <c r="P17" s="19">
        <f>IF(COUNT(C17:N17)=0,"",MAX(C17:N17))</f>
        <v/>
      </c>
      <c r="Q17" s="19">
        <f>IF(COUNT(C17:N17)=0,"",MIN(C17:N17))</f>
        <v/>
      </c>
    </row>
    <row r="18">
      <c r="B18" t="inlineStr">
        <is>
          <t>% visitas → checkout</t>
        </is>
      </c>
      <c r="C18" s="18">
        <f>IF(COUNT(C7:C15)&lt;9,"",IF(C8=0,0,C9/C8))</f>
        <v/>
      </c>
      <c r="D18" s="18">
        <f>IF(COUNT(D7:D15)&lt;9,"",IF(D8=0,0,D9/D8))</f>
        <v/>
      </c>
      <c r="E18" s="18">
        <f>IF(COUNT(E7:E15)&lt;9,"",IF(E8=0,0,E9/E8))</f>
        <v/>
      </c>
      <c r="F18" s="18">
        <f>IF(COUNT(F7:F15)&lt;9,"",IF(F8=0,0,F9/F8))</f>
        <v/>
      </c>
      <c r="G18" s="18">
        <f>IF(COUNT(G7:G15)&lt;9,"",IF(G8=0,0,G9/G8))</f>
        <v/>
      </c>
      <c r="H18" s="18">
        <f>IF(COUNT(H7:H15)&lt;9,"",IF(H8=0,0,H9/H8))</f>
        <v/>
      </c>
      <c r="I18" s="18">
        <f>IF(COUNT(I7:I15)&lt;9,"",IF(I8=0,0,I9/I8))</f>
        <v/>
      </c>
      <c r="J18" s="18">
        <f>IF(COUNT(J7:J15)&lt;9,"",IF(J8=0,0,J9/J8))</f>
        <v/>
      </c>
      <c r="K18" s="18">
        <f>IF(COUNT(K7:K15)&lt;9,"",IF(K8=0,0,K9/K8))</f>
        <v/>
      </c>
      <c r="L18" s="18">
        <f>IF(COUNT(L7:L15)&lt;9,"",IF(L8=0,0,L9/L8))</f>
        <v/>
      </c>
      <c r="M18" s="18">
        <f>IF(COUNT(M7:M15)&lt;9,"",IF(M8=0,0,M9/M8))</f>
        <v/>
      </c>
      <c r="N18" s="18">
        <f>IF(COUNT(N7:N15)&lt;9,"",IF(N8=0,0,N9/N8))</f>
        <v/>
      </c>
      <c r="O18" s="18">
        <f>IF(COUNT(C18:N18)=0,"",AVERAGE(C18:N18))</f>
        <v/>
      </c>
      <c r="P18" s="18">
        <f>IF(COUNT(C18:N18)=0,"",MAX(C18:N18))</f>
        <v/>
      </c>
      <c r="Q18" s="18">
        <f>IF(COUNT(C18:N18)=0,"",MIN(C18:N18))</f>
        <v/>
      </c>
    </row>
    <row r="19">
      <c r="B19" t="inlineStr">
        <is>
          <t>% checkout → compra</t>
        </is>
      </c>
      <c r="C19" s="18">
        <f>IF(COUNT(C7:C15)&lt;9,"",IF(C9=0,0,C10/C9))</f>
        <v/>
      </c>
      <c r="D19" s="18">
        <f>IF(COUNT(D7:D15)&lt;9,"",IF(D9=0,0,D10/D9))</f>
        <v/>
      </c>
      <c r="E19" s="18">
        <f>IF(COUNT(E7:E15)&lt;9,"",IF(E9=0,0,E10/E9))</f>
        <v/>
      </c>
      <c r="F19" s="18">
        <f>IF(COUNT(F7:F15)&lt;9,"",IF(F9=0,0,F10/F9))</f>
        <v/>
      </c>
      <c r="G19" s="18">
        <f>IF(COUNT(G7:G15)&lt;9,"",IF(G9=0,0,G10/G9))</f>
        <v/>
      </c>
      <c r="H19" s="18">
        <f>IF(COUNT(H7:H15)&lt;9,"",IF(H9=0,0,H10/H9))</f>
        <v/>
      </c>
      <c r="I19" s="18">
        <f>IF(COUNT(I7:I15)&lt;9,"",IF(I9=0,0,I10/I9))</f>
        <v/>
      </c>
      <c r="J19" s="18">
        <f>IF(COUNT(J7:J15)&lt;9,"",IF(J9=0,0,J10/J9))</f>
        <v/>
      </c>
      <c r="K19" s="18">
        <f>IF(COUNT(K7:K15)&lt;9,"",IF(K9=0,0,K10/K9))</f>
        <v/>
      </c>
      <c r="L19" s="18">
        <f>IF(COUNT(L7:L15)&lt;9,"",IF(L9=0,0,L10/L9))</f>
        <v/>
      </c>
      <c r="M19" s="18">
        <f>IF(COUNT(M7:M15)&lt;9,"",IF(M9=0,0,M10/M9))</f>
        <v/>
      </c>
      <c r="N19" s="18">
        <f>IF(COUNT(N7:N15)&lt;9,"",IF(N9=0,0,N10/N9))</f>
        <v/>
      </c>
      <c r="O19" s="18">
        <f>IF(COUNT(C19:N19)=0,"",AVERAGE(C19:N19))</f>
        <v/>
      </c>
      <c r="P19" s="18">
        <f>IF(COUNT(C19:N19)=0,"",MAX(C19:N19))</f>
        <v/>
      </c>
      <c r="Q19" s="18">
        <f>IF(COUNT(C19:N19)=0,"",MIN(C19:N19))</f>
        <v/>
      </c>
    </row>
    <row r="20">
      <c r="B20" t="inlineStr">
        <is>
          <t>CPA real</t>
        </is>
      </c>
      <c r="C20" s="19">
        <f>IF(COUNT(C7:C15)&lt;9,"",IF(C10=0,0,C7/C10))</f>
        <v/>
      </c>
      <c r="D20" s="19">
        <f>IF(COUNT(D7:D15)&lt;9,"",IF(D10=0,0,D7/D10))</f>
        <v/>
      </c>
      <c r="E20" s="19">
        <f>IF(COUNT(E7:E15)&lt;9,"",IF(E10=0,0,E7/E10))</f>
        <v/>
      </c>
      <c r="F20" s="19">
        <f>IF(COUNT(F7:F15)&lt;9,"",IF(F10=0,0,F7/F10))</f>
        <v/>
      </c>
      <c r="G20" s="19">
        <f>IF(COUNT(G7:G15)&lt;9,"",IF(G10=0,0,G7/G10))</f>
        <v/>
      </c>
      <c r="H20" s="19">
        <f>IF(COUNT(H7:H15)&lt;9,"",IF(H10=0,0,H7/H10))</f>
        <v/>
      </c>
      <c r="I20" s="19">
        <f>IF(COUNT(I7:I15)&lt;9,"",IF(I10=0,0,I7/I10))</f>
        <v/>
      </c>
      <c r="J20" s="19">
        <f>IF(COUNT(J7:J15)&lt;9,"",IF(J10=0,0,J7/J10))</f>
        <v/>
      </c>
      <c r="K20" s="19">
        <f>IF(COUNT(K7:K15)&lt;9,"",IF(K10=0,0,K7/K10))</f>
        <v/>
      </c>
      <c r="L20" s="19">
        <f>IF(COUNT(L7:L15)&lt;9,"",IF(L10=0,0,L7/L10))</f>
        <v/>
      </c>
      <c r="M20" s="19">
        <f>IF(COUNT(M7:M15)&lt;9,"",IF(M10=0,0,M7/M10))</f>
        <v/>
      </c>
      <c r="N20" s="19">
        <f>IF(COUNT(N7:N15)&lt;9,"",IF(N10=0,0,N7/N10))</f>
        <v/>
      </c>
      <c r="O20" s="19">
        <f>IF(COUNT(C20:N20)=0,"",AVERAGE(C20:N20))</f>
        <v/>
      </c>
      <c r="P20" s="19">
        <f>IF(COUNT(C20:N20)=0,"",MAX(C20:N20))</f>
        <v/>
      </c>
      <c r="Q20" s="19">
        <f>IF(COUNT(C20:N20)=0,"",MIN(C20:N20))</f>
        <v/>
      </c>
    </row>
    <row r="21">
      <c r="B21" t="inlineStr">
        <is>
          <t>Cash por comprador</t>
        </is>
      </c>
      <c r="C21" s="19">
        <f>IF(COUNT(C7:C15)&lt;9,"",IF(C10=0,0,C15/C10))</f>
        <v/>
      </c>
      <c r="D21" s="19">
        <f>IF(COUNT(D7:D15)&lt;9,"",IF(D10=0,0,D15/D10))</f>
        <v/>
      </c>
      <c r="E21" s="19">
        <f>IF(COUNT(E7:E15)&lt;9,"",IF(E10=0,0,E15/E10))</f>
        <v/>
      </c>
      <c r="F21" s="19">
        <f>IF(COUNT(F7:F15)&lt;9,"",IF(F10=0,0,F15/F10))</f>
        <v/>
      </c>
      <c r="G21" s="19">
        <f>IF(COUNT(G7:G15)&lt;9,"",IF(G10=0,0,G15/G10))</f>
        <v/>
      </c>
      <c r="H21" s="19">
        <f>IF(COUNT(H7:H15)&lt;9,"",IF(H10=0,0,H15/H10))</f>
        <v/>
      </c>
      <c r="I21" s="19">
        <f>IF(COUNT(I7:I15)&lt;9,"",IF(I10=0,0,I15/I10))</f>
        <v/>
      </c>
      <c r="J21" s="19">
        <f>IF(COUNT(J7:J15)&lt;9,"",IF(J10=0,0,J15/J10))</f>
        <v/>
      </c>
      <c r="K21" s="19">
        <f>IF(COUNT(K7:K15)&lt;9,"",IF(K10=0,0,K15/K10))</f>
        <v/>
      </c>
      <c r="L21" s="19">
        <f>IF(COUNT(L7:L15)&lt;9,"",IF(L10=0,0,L15/L10))</f>
        <v/>
      </c>
      <c r="M21" s="19">
        <f>IF(COUNT(M7:M15)&lt;9,"",IF(M10=0,0,M15/M10))</f>
        <v/>
      </c>
      <c r="N21" s="19">
        <f>IF(COUNT(N7:N15)&lt;9,"",IF(N10=0,0,N15/N10))</f>
        <v/>
      </c>
      <c r="O21" s="19">
        <f>IF(COUNT(C21:N21)=0,"",AVERAGE(C21:N21))</f>
        <v/>
      </c>
      <c r="P21" s="19">
        <f>IF(COUNT(C21:N21)=0,"",MAX(C21:N21))</f>
        <v/>
      </c>
      <c r="Q21" s="19">
        <f>IF(COUNT(C21:N21)=0,"",MIN(C21:N21))</f>
        <v/>
      </c>
    </row>
    <row r="22">
      <c r="B22" s="4" t="inlineStr">
        <is>
          <t>Valor neto por unidad real (sobre facturado, cobranza completa)</t>
        </is>
      </c>
      <c r="C22" s="12">
        <f>IF(COUNT(C7:C15)&lt;9,"",IF(C8=0,0,(C14*(1-'Supuestos'!$C$33-'Supuestos'!$C$34-'Supuestos'!$C$35)-C8*'Supuestos'!$C$36)/C8))</f>
        <v/>
      </c>
      <c r="D22" s="12">
        <f>IF(COUNT(D7:D15)&lt;9,"",IF(D8=0,0,(D14*(1-'Supuestos'!$C$33-'Supuestos'!$C$34-'Supuestos'!$C$35)-D8*'Supuestos'!$C$36)/D8))</f>
        <v/>
      </c>
      <c r="E22" s="12">
        <f>IF(COUNT(E7:E15)&lt;9,"",IF(E8=0,0,(E14*(1-'Supuestos'!$C$33-'Supuestos'!$C$34-'Supuestos'!$C$35)-E8*'Supuestos'!$C$36)/E8))</f>
        <v/>
      </c>
      <c r="F22" s="12">
        <f>IF(COUNT(F7:F15)&lt;9,"",IF(F8=0,0,(F14*(1-'Supuestos'!$C$33-'Supuestos'!$C$34-'Supuestos'!$C$35)-F8*'Supuestos'!$C$36)/F8))</f>
        <v/>
      </c>
      <c r="G22" s="12">
        <f>IF(COUNT(G7:G15)&lt;9,"",IF(G8=0,0,(G14*(1-'Supuestos'!$C$33-'Supuestos'!$C$34-'Supuestos'!$C$35)-G8*'Supuestos'!$C$36)/G8))</f>
        <v/>
      </c>
      <c r="H22" s="12">
        <f>IF(COUNT(H7:H15)&lt;9,"",IF(H8=0,0,(H14*(1-'Supuestos'!$C$33-'Supuestos'!$C$34-'Supuestos'!$C$35)-H8*'Supuestos'!$C$36)/H8))</f>
        <v/>
      </c>
      <c r="I22" s="12">
        <f>IF(COUNT(I7:I15)&lt;9,"",IF(I8=0,0,(I14*(1-'Supuestos'!$C$33-'Supuestos'!$C$34-'Supuestos'!$C$35)-I8*'Supuestos'!$C$36)/I8))</f>
        <v/>
      </c>
      <c r="J22" s="12">
        <f>IF(COUNT(J7:J15)&lt;9,"",IF(J8=0,0,(J14*(1-'Supuestos'!$C$33-'Supuestos'!$C$34-'Supuestos'!$C$35)-J8*'Supuestos'!$C$36)/J8))</f>
        <v/>
      </c>
      <c r="K22" s="12">
        <f>IF(COUNT(K7:K15)&lt;9,"",IF(K8=0,0,(K14*(1-'Supuestos'!$C$33-'Supuestos'!$C$34-'Supuestos'!$C$35)-K8*'Supuestos'!$C$36)/K8))</f>
        <v/>
      </c>
      <c r="L22" s="12">
        <f>IF(COUNT(L7:L15)&lt;9,"",IF(L8=0,0,(L14*(1-'Supuestos'!$C$33-'Supuestos'!$C$34-'Supuestos'!$C$35)-L8*'Supuestos'!$C$36)/L8))</f>
        <v/>
      </c>
      <c r="M22" s="12">
        <f>IF(COUNT(M7:M15)&lt;9,"",IF(M8=0,0,(M14*(1-'Supuestos'!$C$33-'Supuestos'!$C$34-'Supuestos'!$C$35)-M8*'Supuestos'!$C$36)/M8))</f>
        <v/>
      </c>
      <c r="N22" s="12">
        <f>IF(COUNT(N7:N15)&lt;9,"",IF(N8=0,0,(N14*(1-'Supuestos'!$C$33-'Supuestos'!$C$34-'Supuestos'!$C$35)-N8*'Supuestos'!$C$36)/N8))</f>
        <v/>
      </c>
      <c r="O22" s="19">
        <f>IF(COUNT(C22:N22)=0,"",AVERAGE(C22:N22))</f>
        <v/>
      </c>
      <c r="P22" s="19">
        <f>IF(COUNT(C22:N22)=0,"",MAX(C22:N22))</f>
        <v/>
      </c>
      <c r="Q22" s="19">
        <f>IF(COUNT(C22:N22)=0,"",MIN(C22:N22))</f>
        <v/>
      </c>
    </row>
    <row r="23">
      <c r="B23" s="4" t="inlineStr">
        <is>
          <t>Ganancia del período al completar la cobranza</t>
        </is>
      </c>
      <c r="C23" s="9">
        <f>IF(COUNT(C7:C15)&lt;9,"",C14*(1-'Supuestos'!$C$33-'Supuestos'!$C$34-'Supuestos'!$C$35)-C8*'Supuestos'!$C$36-'Supuestos'!$C$37-C7)</f>
        <v/>
      </c>
      <c r="D23" s="9">
        <f>IF(COUNT(D7:D15)&lt;9,"",D14*(1-'Supuestos'!$C$33-'Supuestos'!$C$34-'Supuestos'!$C$35)-D8*'Supuestos'!$C$36-'Supuestos'!$C$37-D7)</f>
        <v/>
      </c>
      <c r="E23" s="9">
        <f>IF(COUNT(E7:E15)&lt;9,"",E14*(1-'Supuestos'!$C$33-'Supuestos'!$C$34-'Supuestos'!$C$35)-E8*'Supuestos'!$C$36-'Supuestos'!$C$37-E7)</f>
        <v/>
      </c>
      <c r="F23" s="9">
        <f>IF(COUNT(F7:F15)&lt;9,"",F14*(1-'Supuestos'!$C$33-'Supuestos'!$C$34-'Supuestos'!$C$35)-F8*'Supuestos'!$C$36-'Supuestos'!$C$37-F7)</f>
        <v/>
      </c>
      <c r="G23" s="9">
        <f>IF(COUNT(G7:G15)&lt;9,"",G14*(1-'Supuestos'!$C$33-'Supuestos'!$C$34-'Supuestos'!$C$35)-G8*'Supuestos'!$C$36-'Supuestos'!$C$37-G7)</f>
        <v/>
      </c>
      <c r="H23" s="9">
        <f>IF(COUNT(H7:H15)&lt;9,"",H14*(1-'Supuestos'!$C$33-'Supuestos'!$C$34-'Supuestos'!$C$35)-H8*'Supuestos'!$C$36-'Supuestos'!$C$37-H7)</f>
        <v/>
      </c>
      <c r="I23" s="9">
        <f>IF(COUNT(I7:I15)&lt;9,"",I14*(1-'Supuestos'!$C$33-'Supuestos'!$C$34-'Supuestos'!$C$35)-I8*'Supuestos'!$C$36-'Supuestos'!$C$37-I7)</f>
        <v/>
      </c>
      <c r="J23" s="9">
        <f>IF(COUNT(J7:J15)&lt;9,"",J14*(1-'Supuestos'!$C$33-'Supuestos'!$C$34-'Supuestos'!$C$35)-J8*'Supuestos'!$C$36-'Supuestos'!$C$37-J7)</f>
        <v/>
      </c>
      <c r="K23" s="9">
        <f>IF(COUNT(K7:K15)&lt;9,"",K14*(1-'Supuestos'!$C$33-'Supuestos'!$C$34-'Supuestos'!$C$35)-K8*'Supuestos'!$C$36-'Supuestos'!$C$37-K7)</f>
        <v/>
      </c>
      <c r="L23" s="9">
        <f>IF(COUNT(L7:L15)&lt;9,"",L14*(1-'Supuestos'!$C$33-'Supuestos'!$C$34-'Supuestos'!$C$35)-L8*'Supuestos'!$C$36-'Supuestos'!$C$37-L7)</f>
        <v/>
      </c>
      <c r="M23" s="9">
        <f>IF(COUNT(M7:M15)&lt;9,"",M14*(1-'Supuestos'!$C$33-'Supuestos'!$C$34-'Supuestos'!$C$35)-M8*'Supuestos'!$C$36-'Supuestos'!$C$37-M7)</f>
        <v/>
      </c>
      <c r="N23" s="9">
        <f>IF(COUNT(N7:N15)&lt;9,"",N14*(1-'Supuestos'!$C$33-'Supuestos'!$C$34-'Supuestos'!$C$35)-N8*'Supuestos'!$C$36-'Supuestos'!$C$37-N7)</f>
        <v/>
      </c>
      <c r="O23" s="26">
        <f>IF(COUNT(C23:N23)=0,"",AVERAGE(C23:N23))</f>
        <v/>
      </c>
      <c r="P23" s="26">
        <f>IF(COUNT(C23:N23)=0,"",MAX(C23:N23))</f>
        <v/>
      </c>
      <c r="Q23" s="26">
        <f>IF(COUNT(C23:N23)=0,"",MIN(C23:N23))</f>
        <v/>
      </c>
    </row>
    <row r="24">
      <c r="B24" t="inlineStr">
        <is>
          <t>Ganancia de caja del período (con lo cobrado hasta ahora)</t>
        </is>
      </c>
      <c r="C24" s="26">
        <f>IF(COUNT(C7:C15)&lt;9,"",C15*(1-'Supuestos'!$C$33-'Supuestos'!$C$34-'Supuestos'!$C$35)-C8*'Supuestos'!$C$36-'Supuestos'!$C$37-C7)</f>
        <v/>
      </c>
      <c r="D24" s="26">
        <f>IF(COUNT(D7:D15)&lt;9,"",D15*(1-'Supuestos'!$C$33-'Supuestos'!$C$34-'Supuestos'!$C$35)-D8*'Supuestos'!$C$36-'Supuestos'!$C$37-D7)</f>
        <v/>
      </c>
      <c r="E24" s="26">
        <f>IF(COUNT(E7:E15)&lt;9,"",E15*(1-'Supuestos'!$C$33-'Supuestos'!$C$34-'Supuestos'!$C$35)-E8*'Supuestos'!$C$36-'Supuestos'!$C$37-E7)</f>
        <v/>
      </c>
      <c r="F24" s="26">
        <f>IF(COUNT(F7:F15)&lt;9,"",F15*(1-'Supuestos'!$C$33-'Supuestos'!$C$34-'Supuestos'!$C$35)-F8*'Supuestos'!$C$36-'Supuestos'!$C$37-F7)</f>
        <v/>
      </c>
      <c r="G24" s="26">
        <f>IF(COUNT(G7:G15)&lt;9,"",G15*(1-'Supuestos'!$C$33-'Supuestos'!$C$34-'Supuestos'!$C$35)-G8*'Supuestos'!$C$36-'Supuestos'!$C$37-G7)</f>
        <v/>
      </c>
      <c r="H24" s="26">
        <f>IF(COUNT(H7:H15)&lt;9,"",H15*(1-'Supuestos'!$C$33-'Supuestos'!$C$34-'Supuestos'!$C$35)-H8*'Supuestos'!$C$36-'Supuestos'!$C$37-H7)</f>
        <v/>
      </c>
      <c r="I24" s="26">
        <f>IF(COUNT(I7:I15)&lt;9,"",I15*(1-'Supuestos'!$C$33-'Supuestos'!$C$34-'Supuestos'!$C$35)-I8*'Supuestos'!$C$36-'Supuestos'!$C$37-I7)</f>
        <v/>
      </c>
      <c r="J24" s="26">
        <f>IF(COUNT(J7:J15)&lt;9,"",J15*(1-'Supuestos'!$C$33-'Supuestos'!$C$34-'Supuestos'!$C$35)-J8*'Supuestos'!$C$36-'Supuestos'!$C$37-J7)</f>
        <v/>
      </c>
      <c r="K24" s="26">
        <f>IF(COUNT(K7:K15)&lt;9,"",K15*(1-'Supuestos'!$C$33-'Supuestos'!$C$34-'Supuestos'!$C$35)-K8*'Supuestos'!$C$36-'Supuestos'!$C$37-K7)</f>
        <v/>
      </c>
      <c r="L24" s="26">
        <f>IF(COUNT(L7:L15)&lt;9,"",L15*(1-'Supuestos'!$C$33-'Supuestos'!$C$34-'Supuestos'!$C$35)-L8*'Supuestos'!$C$36-'Supuestos'!$C$37-L7)</f>
        <v/>
      </c>
      <c r="M24" s="26">
        <f>IF(COUNT(M7:M15)&lt;9,"",M15*(1-'Supuestos'!$C$33-'Supuestos'!$C$34-'Supuestos'!$C$35)-M8*'Supuestos'!$C$36-'Supuestos'!$C$37-M7)</f>
        <v/>
      </c>
      <c r="N24" s="26">
        <f>IF(COUNT(N7:N15)&lt;9,"",N15*(1-'Supuestos'!$C$33-'Supuestos'!$C$34-'Supuestos'!$C$35)-N8*'Supuestos'!$C$36-'Supuestos'!$C$37-N7)</f>
        <v/>
      </c>
      <c r="O24" s="26">
        <f>IF(COUNT(C24:N24)=0,"",AVERAGE(C24:N24))</f>
        <v/>
      </c>
      <c r="P24" s="26">
        <f>IF(COUNT(C24:N24)=0,"",MAX(C24:N24))</f>
        <v/>
      </c>
      <c r="Q24" s="26">
        <f>IF(COUNT(C24:N24)=0,"",MIN(C24:N24))</f>
        <v/>
      </c>
    </row>
    <row r="25">
      <c r="B25" s="4" t="inlineStr">
        <is>
          <t>Ganancia por unidad real (ganancia ÷ unidades)</t>
        </is>
      </c>
      <c r="C25" s="12">
        <f>IF(COUNT(C7:C15)&lt;9,"",IF(C8=0,0,(C14*(1-'Supuestos'!$C$33-'Supuestos'!$C$34-'Supuestos'!$C$35)-C8*'Supuestos'!$C$36-'Supuestos'!$C$37-C7)/C8))</f>
        <v/>
      </c>
      <c r="D25" s="12">
        <f>IF(COUNT(D7:D15)&lt;9,"",IF(D8=0,0,(D14*(1-'Supuestos'!$C$33-'Supuestos'!$C$34-'Supuestos'!$C$35)-D8*'Supuestos'!$C$36-'Supuestos'!$C$37-D7)/D8))</f>
        <v/>
      </c>
      <c r="E25" s="12">
        <f>IF(COUNT(E7:E15)&lt;9,"",IF(E8=0,0,(E14*(1-'Supuestos'!$C$33-'Supuestos'!$C$34-'Supuestos'!$C$35)-E8*'Supuestos'!$C$36-'Supuestos'!$C$37-E7)/E8))</f>
        <v/>
      </c>
      <c r="F25" s="12">
        <f>IF(COUNT(F7:F15)&lt;9,"",IF(F8=0,0,(F14*(1-'Supuestos'!$C$33-'Supuestos'!$C$34-'Supuestos'!$C$35)-F8*'Supuestos'!$C$36-'Supuestos'!$C$37-F7)/F8))</f>
        <v/>
      </c>
      <c r="G25" s="12">
        <f>IF(COUNT(G7:G15)&lt;9,"",IF(G8=0,0,(G14*(1-'Supuestos'!$C$33-'Supuestos'!$C$34-'Supuestos'!$C$35)-G8*'Supuestos'!$C$36-'Supuestos'!$C$37-G7)/G8))</f>
        <v/>
      </c>
      <c r="H25" s="12">
        <f>IF(COUNT(H7:H15)&lt;9,"",IF(H8=0,0,(H14*(1-'Supuestos'!$C$33-'Supuestos'!$C$34-'Supuestos'!$C$35)-H8*'Supuestos'!$C$36-'Supuestos'!$C$37-H7)/H8))</f>
        <v/>
      </c>
      <c r="I25" s="12">
        <f>IF(COUNT(I7:I15)&lt;9,"",IF(I8=0,0,(I14*(1-'Supuestos'!$C$33-'Supuestos'!$C$34-'Supuestos'!$C$35)-I8*'Supuestos'!$C$36-'Supuestos'!$C$37-I7)/I8))</f>
        <v/>
      </c>
      <c r="J25" s="12">
        <f>IF(COUNT(J7:J15)&lt;9,"",IF(J8=0,0,(J14*(1-'Supuestos'!$C$33-'Supuestos'!$C$34-'Supuestos'!$C$35)-J8*'Supuestos'!$C$36-'Supuestos'!$C$37-J7)/J8))</f>
        <v/>
      </c>
      <c r="K25" s="12">
        <f>IF(COUNT(K7:K15)&lt;9,"",IF(K8=0,0,(K14*(1-'Supuestos'!$C$33-'Supuestos'!$C$34-'Supuestos'!$C$35)-K8*'Supuestos'!$C$36-'Supuestos'!$C$37-K7)/K8))</f>
        <v/>
      </c>
      <c r="L25" s="12">
        <f>IF(COUNT(L7:L15)&lt;9,"",IF(L8=0,0,(L14*(1-'Supuestos'!$C$33-'Supuestos'!$C$34-'Supuestos'!$C$35)-L8*'Supuestos'!$C$36-'Supuestos'!$C$37-L7)/L8))</f>
        <v/>
      </c>
      <c r="M25" s="12">
        <f>IF(COUNT(M7:M15)&lt;9,"",IF(M8=0,0,(M14*(1-'Supuestos'!$C$33-'Supuestos'!$C$34-'Supuestos'!$C$35)-M8*'Supuestos'!$C$36-'Supuestos'!$C$37-M7)/M8))</f>
        <v/>
      </c>
      <c r="N25" s="12">
        <f>IF(COUNT(N7:N15)&lt;9,"",IF(N8=0,0,(N14*(1-'Supuestos'!$C$33-'Supuestos'!$C$34-'Supuestos'!$C$35)-N8*'Supuestos'!$C$36-'Supuestos'!$C$37-N7)/N8))</f>
        <v/>
      </c>
      <c r="O25" s="19">
        <f>IF(COUNT(C25:N25)=0,"",AVERAGE(C25:N25))</f>
        <v/>
      </c>
      <c r="P25" s="19">
        <f>IF(COUNT(C25:N25)=0,"",MAX(C25:N25))</f>
        <v/>
      </c>
      <c r="Q25" s="19">
        <f>IF(COUNT(C25:N25)=0,"",MIN(C25:N25))</f>
        <v/>
      </c>
    </row>
    <row r="26">
      <c r="B26" s="4" t="inlineStr">
        <is>
          <t>ROAS sobre cash neto (cobranza completa)</t>
        </is>
      </c>
      <c r="C26" s="10">
        <f>IF(COUNT(C7:C15)&lt;9,"",IF(C7=0,0,C14*(1-'Supuestos'!$C$33-'Supuestos'!$C$34-'Supuestos'!$C$35)/C7))</f>
        <v/>
      </c>
      <c r="D26" s="10">
        <f>IF(COUNT(D7:D15)&lt;9,"",IF(D7=0,0,D14*(1-'Supuestos'!$C$33-'Supuestos'!$C$34-'Supuestos'!$C$35)/D7))</f>
        <v/>
      </c>
      <c r="E26" s="10">
        <f>IF(COUNT(E7:E15)&lt;9,"",IF(E7=0,0,E14*(1-'Supuestos'!$C$33-'Supuestos'!$C$34-'Supuestos'!$C$35)/E7))</f>
        <v/>
      </c>
      <c r="F26" s="10">
        <f>IF(COUNT(F7:F15)&lt;9,"",IF(F7=0,0,F14*(1-'Supuestos'!$C$33-'Supuestos'!$C$34-'Supuestos'!$C$35)/F7))</f>
        <v/>
      </c>
      <c r="G26" s="10">
        <f>IF(COUNT(G7:G15)&lt;9,"",IF(G7=0,0,G14*(1-'Supuestos'!$C$33-'Supuestos'!$C$34-'Supuestos'!$C$35)/G7))</f>
        <v/>
      </c>
      <c r="H26" s="10">
        <f>IF(COUNT(H7:H15)&lt;9,"",IF(H7=0,0,H14*(1-'Supuestos'!$C$33-'Supuestos'!$C$34-'Supuestos'!$C$35)/H7))</f>
        <v/>
      </c>
      <c r="I26" s="10">
        <f>IF(COUNT(I7:I15)&lt;9,"",IF(I7=0,0,I14*(1-'Supuestos'!$C$33-'Supuestos'!$C$34-'Supuestos'!$C$35)/I7))</f>
        <v/>
      </c>
      <c r="J26" s="10">
        <f>IF(COUNT(J7:J15)&lt;9,"",IF(J7=0,0,J14*(1-'Supuestos'!$C$33-'Supuestos'!$C$34-'Supuestos'!$C$35)/J7))</f>
        <v/>
      </c>
      <c r="K26" s="10">
        <f>IF(COUNT(K7:K15)&lt;9,"",IF(K7=0,0,K14*(1-'Supuestos'!$C$33-'Supuestos'!$C$34-'Supuestos'!$C$35)/K7))</f>
        <v/>
      </c>
      <c r="L26" s="10">
        <f>IF(COUNT(L7:L15)&lt;9,"",IF(L7=0,0,L14*(1-'Supuestos'!$C$33-'Supuestos'!$C$34-'Supuestos'!$C$35)/L7))</f>
        <v/>
      </c>
      <c r="M26" s="10">
        <f>IF(COUNT(M7:M15)&lt;9,"",IF(M7=0,0,M14*(1-'Supuestos'!$C$33-'Supuestos'!$C$34-'Supuestos'!$C$35)/M7))</f>
        <v/>
      </c>
      <c r="N26" s="10">
        <f>IF(COUNT(N7:N15)&lt;9,"",IF(N7=0,0,N14*(1-'Supuestos'!$C$33-'Supuestos'!$C$34-'Supuestos'!$C$35)/N7))</f>
        <v/>
      </c>
      <c r="O26" s="28">
        <f>IF(COUNT(C26:N26)=0,"",AVERAGE(C26:N26))</f>
        <v/>
      </c>
      <c r="P26" s="28">
        <f>IF(COUNT(C26:N26)=0,"",MAX(C26:N26))</f>
        <v/>
      </c>
      <c r="Q26" s="28">
        <f>IF(COUNT(C26:N26)=0,"",MIN(C26:N26))</f>
        <v/>
      </c>
    </row>
    <row r="27">
      <c r="B27" t="inlineStr">
        <is>
          <t>ROAS de caja (cobrado hasta ahora)</t>
        </is>
      </c>
      <c r="C27" s="28">
        <f>IF(COUNT(C7:C15)&lt;9,"",IF(C7=0,0,C15*(1-'Supuestos'!$C$33-'Supuestos'!$C$34-'Supuestos'!$C$35)/C7))</f>
        <v/>
      </c>
      <c r="D27" s="28">
        <f>IF(COUNT(D7:D15)&lt;9,"",IF(D7=0,0,D15*(1-'Supuestos'!$C$33-'Supuestos'!$C$34-'Supuestos'!$C$35)/D7))</f>
        <v/>
      </c>
      <c r="E27" s="28">
        <f>IF(COUNT(E7:E15)&lt;9,"",IF(E7=0,0,E15*(1-'Supuestos'!$C$33-'Supuestos'!$C$34-'Supuestos'!$C$35)/E7))</f>
        <v/>
      </c>
      <c r="F27" s="28">
        <f>IF(COUNT(F7:F15)&lt;9,"",IF(F7=0,0,F15*(1-'Supuestos'!$C$33-'Supuestos'!$C$34-'Supuestos'!$C$35)/F7))</f>
        <v/>
      </c>
      <c r="G27" s="28">
        <f>IF(COUNT(G7:G15)&lt;9,"",IF(G7=0,0,G15*(1-'Supuestos'!$C$33-'Supuestos'!$C$34-'Supuestos'!$C$35)/G7))</f>
        <v/>
      </c>
      <c r="H27" s="28">
        <f>IF(COUNT(H7:H15)&lt;9,"",IF(H7=0,0,H15*(1-'Supuestos'!$C$33-'Supuestos'!$C$34-'Supuestos'!$C$35)/H7))</f>
        <v/>
      </c>
      <c r="I27" s="28">
        <f>IF(COUNT(I7:I15)&lt;9,"",IF(I7=0,0,I15*(1-'Supuestos'!$C$33-'Supuestos'!$C$34-'Supuestos'!$C$35)/I7))</f>
        <v/>
      </c>
      <c r="J27" s="28">
        <f>IF(COUNT(J7:J15)&lt;9,"",IF(J7=0,0,J15*(1-'Supuestos'!$C$33-'Supuestos'!$C$34-'Supuestos'!$C$35)/J7))</f>
        <v/>
      </c>
      <c r="K27" s="28">
        <f>IF(COUNT(K7:K15)&lt;9,"",IF(K7=0,0,K15*(1-'Supuestos'!$C$33-'Supuestos'!$C$34-'Supuestos'!$C$35)/K7))</f>
        <v/>
      </c>
      <c r="L27" s="28">
        <f>IF(COUNT(L7:L15)&lt;9,"",IF(L7=0,0,L15*(1-'Supuestos'!$C$33-'Supuestos'!$C$34-'Supuestos'!$C$35)/L7))</f>
        <v/>
      </c>
      <c r="M27" s="28">
        <f>IF(COUNT(M7:M15)&lt;9,"",IF(M7=0,0,M15*(1-'Supuestos'!$C$33-'Supuestos'!$C$34-'Supuestos'!$C$35)/M7))</f>
        <v/>
      </c>
      <c r="N27" s="28">
        <f>IF(COUNT(N7:N15)&lt;9,"",IF(N7=0,0,N15*(1-'Supuestos'!$C$33-'Supuestos'!$C$34-'Supuestos'!$C$35)/N7))</f>
        <v/>
      </c>
      <c r="O27" s="28">
        <f>IF(COUNT(C27:N27)=0,"",AVERAGE(C27:N27))</f>
        <v/>
      </c>
      <c r="P27" s="28">
        <f>IF(COUNT(C27:N27)=0,"",MAX(C27:N27))</f>
        <v/>
      </c>
      <c r="Q27" s="28">
        <f>IF(COUNT(C27:N27)=0,"",MIN(C27:N27))</f>
        <v/>
      </c>
    </row>
    <row r="28">
      <c r="B28" t="inlineStr">
        <is>
          <t>Techo móvil (mediana de tus últimas 4 columnas; al inicio, el del modelo)</t>
        </is>
      </c>
      <c r="C28" s="19">
        <f>IF(COUNT(C7:C15)&lt;9,"",'Modelo'!$C$48)</f>
        <v/>
      </c>
      <c r="D28" s="19">
        <f>IF(COUNT(D7:D15)&lt;9,"",IF(COUNT(C22:C22)&gt;0,MEDIAN(C22:C22),'Modelo'!$C$48))</f>
        <v/>
      </c>
      <c r="E28" s="19">
        <f>IF(COUNT(E7:E15)&lt;9,"",IF(COUNT(C22:D22)&gt;0,MEDIAN(C22:D22),'Modelo'!$C$48))</f>
        <v/>
      </c>
      <c r="F28" s="19">
        <f>IF(COUNT(F7:F15)&lt;9,"",IF(COUNT(C22:E22)&gt;0,MEDIAN(C22:E22),'Modelo'!$C$48))</f>
        <v/>
      </c>
      <c r="G28" s="19">
        <f>IF(COUNT(G7:G15)&lt;9,"",IF(COUNT(C22:F22)&gt;0,MEDIAN(C22:F22),'Modelo'!$C$48))</f>
        <v/>
      </c>
      <c r="H28" s="19">
        <f>IF(COUNT(H7:H15)&lt;9,"",IF(COUNT(D22:G22)&gt;0,MEDIAN(D22:G22),'Modelo'!$C$48))</f>
        <v/>
      </c>
      <c r="I28" s="19">
        <f>IF(COUNT(I7:I15)&lt;9,"",IF(COUNT(E22:H22)&gt;0,MEDIAN(E22:H22),'Modelo'!$C$48))</f>
        <v/>
      </c>
      <c r="J28" s="19">
        <f>IF(COUNT(J7:J15)&lt;9,"",IF(COUNT(F22:I22)&gt;0,MEDIAN(F22:I22),'Modelo'!$C$48))</f>
        <v/>
      </c>
      <c r="K28" s="19">
        <f>IF(COUNT(K7:K15)&lt;9,"",IF(COUNT(G22:J22)&gt;0,MEDIAN(G22:J22),'Modelo'!$C$48))</f>
        <v/>
      </c>
      <c r="L28" s="19">
        <f>IF(COUNT(L7:L15)&lt;9,"",IF(COUNT(H22:K22)&gt;0,MEDIAN(H22:K22),'Modelo'!$C$48))</f>
        <v/>
      </c>
      <c r="M28" s="19">
        <f>IF(COUNT(M7:M15)&lt;9,"",IF(COUNT(I22:L22)&gt;0,MEDIAN(I22:L22),'Modelo'!$C$48))</f>
        <v/>
      </c>
      <c r="N28" s="19">
        <f>IF(COUNT(N7:N15)&lt;9,"",IF(COUNT(J22:M22)&gt;0,MEDIAN(J22:M22),'Modelo'!$C$48))</f>
        <v/>
      </c>
      <c r="O28" s="19">
        <f>IF(COUNT(C28:N28)=0,"",AVERAGE(C28:N28))</f>
        <v/>
      </c>
      <c r="P28" s="19">
        <f>IF(COUNT(C28:N28)=0,"",MAX(C28:N28))</f>
        <v/>
      </c>
      <c r="Q28" s="19">
        <f>IF(COUNT(C28:N28)=0,"",MIN(C28:N28))</f>
        <v/>
      </c>
    </row>
    <row r="29">
      <c r="B29" s="4" t="inlineStr">
        <is>
          <t>Semáforo (costo por unidad contra el techo móvil, y ROAS contra el objetivo)</t>
        </is>
      </c>
      <c r="C29" s="13">
        <f>IF(COUNT(C7:C15)&lt;9,"",IF(C17&gt;C28,"ROJO",IF(AND(C17&lt;=C28/(1+'Supuestos'!$C$46),C26&gt;='Supuestos'!$C$45),"VERDE","AMARILLO")))</f>
        <v/>
      </c>
      <c r="D29" s="13">
        <f>IF(COUNT(D7:D15)&lt;9,"",IF(D17&gt;D28,"ROJO",IF(AND(D17&lt;=D28/(1+'Supuestos'!$C$46),D26&gt;='Supuestos'!$C$45),"VERDE","AMARILLO")))</f>
        <v/>
      </c>
      <c r="E29" s="13">
        <f>IF(COUNT(E7:E15)&lt;9,"",IF(E17&gt;E28,"ROJO",IF(AND(E17&lt;=E28/(1+'Supuestos'!$C$46),E26&gt;='Supuestos'!$C$45),"VERDE","AMARILLO")))</f>
        <v/>
      </c>
      <c r="F29" s="13">
        <f>IF(COUNT(F7:F15)&lt;9,"",IF(F17&gt;F28,"ROJO",IF(AND(F17&lt;=F28/(1+'Supuestos'!$C$46),F26&gt;='Supuestos'!$C$45),"VERDE","AMARILLO")))</f>
        <v/>
      </c>
      <c r="G29" s="13">
        <f>IF(COUNT(G7:G15)&lt;9,"",IF(G17&gt;G28,"ROJO",IF(AND(G17&lt;=G28/(1+'Supuestos'!$C$46),G26&gt;='Supuestos'!$C$45),"VERDE","AMARILLO")))</f>
        <v/>
      </c>
      <c r="H29" s="13">
        <f>IF(COUNT(H7:H15)&lt;9,"",IF(H17&gt;H28,"ROJO",IF(AND(H17&lt;=H28/(1+'Supuestos'!$C$46),H26&gt;='Supuestos'!$C$45),"VERDE","AMARILLO")))</f>
        <v/>
      </c>
      <c r="I29" s="13">
        <f>IF(COUNT(I7:I15)&lt;9,"",IF(I17&gt;I28,"ROJO",IF(AND(I17&lt;=I28/(1+'Supuestos'!$C$46),I26&gt;='Supuestos'!$C$45),"VERDE","AMARILLO")))</f>
        <v/>
      </c>
      <c r="J29" s="13">
        <f>IF(COUNT(J7:J15)&lt;9,"",IF(J17&gt;J28,"ROJO",IF(AND(J17&lt;=J28/(1+'Supuestos'!$C$46),J26&gt;='Supuestos'!$C$45),"VERDE","AMARILLO")))</f>
        <v/>
      </c>
      <c r="K29" s="13">
        <f>IF(COUNT(K7:K15)&lt;9,"",IF(K17&gt;K28,"ROJO",IF(AND(K17&lt;=K28/(1+'Supuestos'!$C$46),K26&gt;='Supuestos'!$C$45),"VERDE","AMARILLO")))</f>
        <v/>
      </c>
      <c r="L29" s="13">
        <f>IF(COUNT(L7:L15)&lt;9,"",IF(L17&gt;L28,"ROJO",IF(AND(L17&lt;=L28/(1+'Supuestos'!$C$46),L26&gt;='Supuestos'!$C$45),"VERDE","AMARILLO")))</f>
        <v/>
      </c>
      <c r="M29" s="13">
        <f>IF(COUNT(M7:M15)&lt;9,"",IF(M17&gt;M28,"ROJO",IF(AND(M17&lt;=M28/(1+'Supuestos'!$C$46),M26&gt;='Supuestos'!$C$45),"VERDE","AMARILLO")))</f>
        <v/>
      </c>
      <c r="N29" s="13">
        <f>IF(COUNT(N7:N15)&lt;9,"",IF(N17&gt;N28,"ROJO",IF(AND(N17&lt;=N28/(1+'Supuestos'!$C$46),N26&gt;='Supuestos'!$C$45),"VERDE","AMARILLO")))</f>
        <v/>
      </c>
    </row>
  </sheetData>
  <conditionalFormatting sqref="C5:N30">
    <cfRule type="expression" priority="1" dxfId="0">
      <formula>LEFT(C5,5)="VERDE"</formula>
    </cfRule>
    <cfRule type="expression" priority="2" dxfId="1">
      <formula>LEFT(C5,8)="AMARILLO"</formula>
    </cfRule>
    <cfRule type="expression" priority="3" dxfId="2">
      <formula>LEFT(C5,4)="ROJO"</formula>
    </cfRule>
  </conditionalFormatting>
  <pageMargins left="0.75" right="0.75" top="1" bottom="1" header="0.5" footer="0.5"/>
  <headerFooter>
    <oddHeader>&amp;CJesús Tassarolo · TooAudience&amp;R&amp;D</oddHeader>
    <oddFooter>&amp;LModelo financiero de embudos · creado por Jesús Tassarolo · TooAudience · youtube.com/@JesusTassaroloSinFiltro&amp;C&amp;7 Modelo financiero de embudos · creado por Jesús Tassarolo · TooAudience · youtube.com/@JesusTassaroloSinFiltro&amp;RPágina &amp;P de &amp;N</oddFooter>
    <evenHeader>&amp;CJesús Tassarolo · TooAudience</evenHeader>
    <evenFooter>&amp;LModelo financiero de embudos · creado por Jesús Tassarolo · TooAudience · youtube.com/@JesusTassaroloSinFiltro&amp;C&amp;7 Modelo financiero de embudos · creado por Jesús Tassarolo · TooAudience · youtube.com/@JesusTassaroloSinFiltro&amp;RPágina &amp;P de &amp;N</evenFooter>
    <firstHeader/>
    <firstFooter/>
  </headerFooter>
</worksheet>
</file>

<file path=xl/worksheets/sheet10.xml><?xml version="1.0" encoding="utf-8"?>
<worksheet xmlns="http://schemas.openxmlformats.org/spreadsheetml/2006/main">
  <sheetPr>
    <outlinePr summaryBelow="1" summaryRight="1"/>
    <pageSetUpPr/>
  </sheetPr>
  <dimension ref="A1:H15"/>
  <sheetViews>
    <sheetView showGridLines="0" workbookViewId="0">
      <selection activeCell="A1" sqref="A1"/>
    </sheetView>
  </sheetViews>
  <sheetFormatPr baseColWidth="8" defaultRowHeight="15"/>
  <cols>
    <col width="2" customWidth="1" min="1" max="1"/>
    <col width="40" customWidth="1" min="2" max="2"/>
    <col width="14" customWidth="1" min="3" max="3"/>
    <col width="14" customWidth="1" min="4" max="4"/>
    <col width="14" customWidth="1" min="5" max="5"/>
    <col width="14" customWidth="1" min="6" max="6"/>
    <col width="16" customWidth="1" min="7" max="7"/>
    <col width="60" customWidth="1" min="8" max="8"/>
  </cols>
  <sheetData>
    <row r="1">
      <c r="B1" s="1" t="inlineStr">
        <is>
          <t>© Jesús Tassarolo · TooAudience · youtube.com/@JesusTassaroloSinFiltro · uso personal; no redistribuir modificado</t>
        </is>
      </c>
    </row>
    <row r="2">
      <c r="B2" s="2" t="inlineStr">
        <is>
          <t>Benchmarks: contra qué comparar tus números</t>
        </is>
      </c>
    </row>
    <row r="3">
      <c r="B3" s="3" t="inlineStr">
        <is>
          <t>Valores de referencia para tráfico frío en español. Son orden de magnitud, no objetivo: tus propios datos de Seguimiento mandan.</t>
        </is>
      </c>
    </row>
    <row r="5">
      <c r="B5" s="6" t="inlineStr">
        <is>
          <t>Métrica</t>
        </is>
      </c>
      <c r="C5" s="6" t="inlineStr">
        <is>
          <t>Malo</t>
        </is>
      </c>
      <c r="D5" s="6" t="inlineStr">
        <is>
          <t>Aceptable</t>
        </is>
      </c>
      <c r="E5" s="6" t="inlineStr">
        <is>
          <t>Bueno</t>
        </is>
      </c>
      <c r="F5" s="6" t="inlineStr">
        <is>
          <t>Ganador</t>
        </is>
      </c>
      <c r="G5" s="6" t="inlineStr">
        <is>
          <t>Tu valor (Modelo)</t>
        </is>
      </c>
      <c r="H5" s="6" t="inlineStr">
        <is>
          <t>Fuente / nota</t>
        </is>
      </c>
    </row>
    <row r="6">
      <c r="B6" t="inlineStr">
        <is>
          <t>Costo por visita a la VSL (USD)</t>
        </is>
      </c>
      <c r="C6" t="inlineStr">
        <is>
          <t>&gt;0,60</t>
        </is>
      </c>
      <c r="D6" t="inlineStr">
        <is>
          <t>0,35 a 0,60</t>
        </is>
      </c>
      <c r="E6" t="inlineStr">
        <is>
          <t>0,20 a 0,35</t>
        </is>
      </c>
      <c r="F6" t="inlineStr">
        <is>
          <t>&lt;0,20</t>
        </is>
      </c>
      <c r="G6" s="19">
        <f>'Modelo'!$C$7</f>
        <v/>
      </c>
      <c r="H6" s="5" t="inlineStr">
        <is>
          <t>Embudos hispanos de venta directa a tráfico frío, 2025 a 2026.</t>
        </is>
      </c>
    </row>
    <row r="7">
      <c r="B7" t="inlineStr">
        <is>
          <t>% visitas → checkout</t>
        </is>
      </c>
      <c r="C7" t="inlineStr">
        <is>
          <t>&lt;2 %</t>
        </is>
      </c>
      <c r="D7" t="inlineStr">
        <is>
          <t>2 a 3 %</t>
        </is>
      </c>
      <c r="E7" t="inlineStr">
        <is>
          <t>3 a 5 %</t>
        </is>
      </c>
      <c r="F7" t="inlineStr">
        <is>
          <t>&gt;5 %</t>
        </is>
      </c>
      <c r="G7" s="18">
        <f>'Supuestos'!$C$12</f>
        <v/>
      </c>
      <c r="H7" s="5" t="inlineStr">
        <is>
          <t>Idem.</t>
        </is>
      </c>
    </row>
    <row r="8">
      <c r="B8" t="inlineStr">
        <is>
          <t>% checkout → compra</t>
        </is>
      </c>
      <c r="C8" t="inlineStr">
        <is>
          <t>&lt;15 %</t>
        </is>
      </c>
      <c r="D8" t="inlineStr">
        <is>
          <t>15 a 22 %</t>
        </is>
      </c>
      <c r="E8" t="inlineStr">
        <is>
          <t>22 a 30 %</t>
        </is>
      </c>
      <c r="F8" t="inlineStr">
        <is>
          <t>&gt;30 %</t>
        </is>
      </c>
      <c r="G8" s="18">
        <f>'Supuestos'!$C$13</f>
        <v/>
      </c>
      <c r="H8" s="5" t="inlineStr">
        <is>
          <t>Idem.</t>
        </is>
      </c>
    </row>
    <row r="9">
      <c r="B9" t="inlineStr">
        <is>
          <t>% visitas → compra</t>
        </is>
      </c>
      <c r="C9" t="inlineStr">
        <is>
          <t>&lt;0,5 %</t>
        </is>
      </c>
      <c r="D9" t="inlineStr">
        <is>
          <t>0,5 a 0,9 %</t>
        </is>
      </c>
      <c r="E9" t="inlineStr">
        <is>
          <t>0,9 a 1,5 %</t>
        </is>
      </c>
      <c r="F9" t="inlineStr">
        <is>
          <t>&gt;1,5 %</t>
        </is>
      </c>
      <c r="G9" s="17">
        <f>'Modelo'!$C$11</f>
        <v/>
      </c>
      <c r="H9" s="5" t="inlineStr">
        <is>
          <t>Idem.</t>
        </is>
      </c>
    </row>
    <row r="10">
      <c r="B10" t="inlineStr">
        <is>
          <t>Bump 1 tomado (% de compradores)</t>
        </is>
      </c>
      <c r="C10" t="inlineStr">
        <is>
          <t>&lt;15 %</t>
        </is>
      </c>
      <c r="D10" t="inlineStr">
        <is>
          <t>15 a 25 %</t>
        </is>
      </c>
      <c r="E10" t="inlineStr">
        <is>
          <t>25 a 35 %</t>
        </is>
      </c>
      <c r="F10" t="inlineStr">
        <is>
          <t>&gt;35 %</t>
        </is>
      </c>
      <c r="G10" s="18">
        <f>'Supuestos'!$C$18</f>
        <v/>
      </c>
      <c r="H10" s="5" t="inlineStr">
        <is>
          <t>Mercado USA: 30 a 40 % (SamCart, sobre miles de millones procesados). Hispano: 17 a 25 % es lo común.</t>
        </is>
      </c>
    </row>
    <row r="11">
      <c r="B11" t="inlineStr">
        <is>
          <t>OTO 1 tomada (% de compradores)</t>
        </is>
      </c>
      <c r="C11" t="inlineStr">
        <is>
          <t>&lt;5 %</t>
        </is>
      </c>
      <c r="D11" t="inlineStr">
        <is>
          <t>5 a 9 %</t>
        </is>
      </c>
      <c r="E11" t="inlineStr">
        <is>
          <t>9 a 14 %</t>
        </is>
      </c>
      <c r="F11" t="inlineStr">
        <is>
          <t>&gt;14 %</t>
        </is>
      </c>
      <c r="G11" s="18">
        <f>'Supuestos'!$C$22</f>
        <v/>
      </c>
      <c r="H11" s="5" t="inlineStr">
        <is>
          <t>Mercado: 8 a 18 % en info-productos.</t>
        </is>
      </c>
    </row>
    <row r="12">
      <c r="B12" t="inlineStr">
        <is>
          <t>Ascensión al programa (% de compradores)</t>
        </is>
      </c>
      <c r="C12" t="inlineStr">
        <is>
          <t>&lt;1 %</t>
        </is>
      </c>
      <c r="D12" t="inlineStr">
        <is>
          <t>1 a 2 %</t>
        </is>
      </c>
      <c r="E12" t="inlineStr">
        <is>
          <t>2 a 4 %</t>
        </is>
      </c>
      <c r="F12" t="inlineStr">
        <is>
          <t>&gt;4 %</t>
        </is>
      </c>
      <c r="G12" s="18">
        <f>'Supuestos'!$C$30</f>
        <v/>
      </c>
      <c r="H12" s="5" t="inlineStr">
        <is>
          <t>Ascenso front → programa de 300 a 1.000 USD.</t>
        </is>
      </c>
    </row>
    <row r="13">
      <c r="B13" t="inlineStr">
        <is>
          <t>AOV ÷ precio del principal</t>
        </is>
      </c>
      <c r="C13" t="inlineStr">
        <is>
          <t>&lt;1,2</t>
        </is>
      </c>
      <c r="D13" t="inlineStr">
        <is>
          <t>1,2 a 1,4</t>
        </is>
      </c>
      <c r="E13" t="inlineStr">
        <is>
          <t>1,4 a 1,7</t>
        </is>
      </c>
      <c r="F13" t="inlineStr">
        <is>
          <t>&gt;1,7</t>
        </is>
      </c>
      <c r="G13" s="28">
        <f>'Modelo'!$C$31</f>
        <v/>
      </c>
      <c r="H13" s="5" t="inlineStr">
        <is>
          <t>Cuánto multiplica la escalera.</t>
        </is>
      </c>
    </row>
    <row r="14">
      <c r="B14" t="inlineStr">
        <is>
          <t>ROAS sobre cash neto</t>
        </is>
      </c>
      <c r="C14" t="inlineStr">
        <is>
          <t>&lt;1,2</t>
        </is>
      </c>
      <c r="D14" t="inlineStr">
        <is>
          <t>1,2 a 1,6</t>
        </is>
      </c>
      <c r="E14" t="inlineStr">
        <is>
          <t>1,6 a 2,5</t>
        </is>
      </c>
      <c r="F14" t="inlineStr">
        <is>
          <t>&gt;2,5</t>
        </is>
      </c>
      <c r="G14" s="28">
        <f>'Modelo'!$C$43</f>
        <v/>
      </c>
      <c r="H14" s="5" t="inlineStr">
        <is>
          <t>Tráfico frío. Con backend por llamada sube.</t>
        </is>
      </c>
    </row>
    <row r="15">
      <c r="B15" t="inlineStr">
        <is>
          <t>Reembolsos</t>
        </is>
      </c>
      <c r="C15" t="inlineStr">
        <is>
          <t>&gt;10 %</t>
        </is>
      </c>
      <c r="D15" t="inlineStr">
        <is>
          <t>7 a 10 %</t>
        </is>
      </c>
      <c r="E15" t="inlineStr">
        <is>
          <t>4 a 7 %</t>
        </is>
      </c>
      <c r="F15" t="inlineStr">
        <is>
          <t>&lt;4 %</t>
        </is>
      </c>
      <c r="G15" s="18">
        <f>'Supuestos'!$C$35</f>
        <v/>
      </c>
      <c r="H15" s="5" t="inlineStr">
        <is>
          <t>Más de 10 % es un problema de oferta.</t>
        </is>
      </c>
    </row>
  </sheetData>
  <pageMargins left="0.75" right="0.75" top="1" bottom="1" header="0.5" footer="0.5"/>
  <headerFooter>
    <oddHeader>&amp;CJesús Tassarolo · TooAudience&amp;R&amp;D</oddHeader>
    <oddFooter>&amp;LModelo financiero de embudos · creado por Jesús Tassarolo · TooAudience · youtube.com/@JesusTassaroloSinFiltro&amp;C&amp;7 Modelo financiero de embudos · creado por Jesús Tassarolo · TooAudience · youtube.com/@JesusTassaroloSinFiltro&amp;RPágina &amp;P de &amp;N</oddFooter>
    <evenHeader>&amp;CJesús Tassarolo · TooAudience</evenHeader>
    <evenFooter>&amp;LModelo financiero de embudos · creado por Jesús Tassarolo · TooAudience · youtube.com/@JesusTassaroloSinFiltro&amp;C&amp;7 Modelo financiero de embudos · creado por Jesús Tassarolo · TooAudience · youtube.com/@JesusTassaroloSinFiltro&amp;RPágina &amp;P de &amp;N</evenFooter>
    <firstHeader/>
    <firstFooter/>
  </headerFooter>
</worksheet>
</file>

<file path=xl/worksheets/sheet11.xml><?xml version="1.0" encoding="utf-8"?>
<worksheet xmlns="http://schemas.openxmlformats.org/spreadsheetml/2006/main">
  <sheetPr>
    <outlinePr summaryBelow="1" summaryRight="1"/>
    <pageSetUpPr/>
  </sheetPr>
  <dimension ref="A1:D41"/>
  <sheetViews>
    <sheetView showGridLines="0" workbookViewId="0">
      <selection activeCell="A1" sqref="A1"/>
    </sheetView>
  </sheetViews>
  <sheetFormatPr baseColWidth="8" defaultRowHeight="15"/>
  <cols>
    <col width="2" customWidth="1" min="1" max="1"/>
    <col width="30" customWidth="1" min="2" max="2"/>
    <col width="90" customWidth="1" min="3" max="3"/>
    <col width="26" customWidth="1" min="4" max="4"/>
  </cols>
  <sheetData>
    <row r="1">
      <c r="B1" s="1" t="inlineStr">
        <is>
          <t>© Jesús Tassarolo · TooAudience · youtube.com/@JesusTassaroloSinFiltro · uso personal; no redistribuir modificado</t>
        </is>
      </c>
    </row>
    <row r="2">
      <c r="B2" s="2" t="inlineStr">
        <is>
          <t>Glosario</t>
        </is>
      </c>
    </row>
    <row r="3">
      <c r="B3" s="3" t="inlineStr">
        <is>
          <t>Los términos que usa este modelo, en el orden del embudo.</t>
        </is>
      </c>
    </row>
    <row r="5">
      <c r="B5" s="6" t="inlineStr">
        <is>
          <t>Término</t>
        </is>
      </c>
      <c r="C5" s="6" t="inlineStr">
        <is>
          <t>Qué es</t>
        </is>
      </c>
      <c r="D5" s="6" t="inlineStr">
        <is>
          <t>Dónde aparece</t>
        </is>
      </c>
    </row>
    <row r="6" ht="30" customHeight="1">
      <c r="B6" s="4" t="inlineStr">
        <is>
          <t>CPM</t>
        </is>
      </c>
      <c r="C6" s="5" t="inlineStr">
        <is>
          <t>Costo por mil impresiones: lo que cobra la plataforma de anuncios por mostrar el aviso mil veces.</t>
        </is>
      </c>
      <c r="D6" t="inlineStr">
        <is>
          <t>Supuestos</t>
        </is>
      </c>
    </row>
    <row r="7" ht="15" customHeight="1">
      <c r="B7" s="4" t="inlineStr">
        <is>
          <t>CTR</t>
        </is>
      </c>
      <c r="C7" s="5" t="inlineStr">
        <is>
          <t>Porcentaje de impresiones que terminan en clic al enlace.</t>
        </is>
      </c>
      <c r="D7" t="inlineStr">
        <is>
          <t>Supuestos</t>
        </is>
      </c>
    </row>
    <row r="8" ht="30" customHeight="1">
      <c r="B8" s="4" t="inlineStr">
        <is>
          <t>Clic → visita</t>
        </is>
      </c>
      <c r="C8" s="5" t="inlineStr">
        <is>
          <t>Porcentaje de clics que llegan a cargar la página. Siempre menor a 100 % (cierran antes de que cargue).</t>
        </is>
      </c>
      <c r="D8" t="inlineStr">
        <is>
          <t>Supuestos</t>
        </is>
      </c>
    </row>
    <row r="9" ht="30" customHeight="1">
      <c r="B9" s="4" t="inlineStr">
        <is>
          <t>Unidad de adquisición</t>
        </is>
      </c>
      <c r="C9" s="5" t="inlineStr">
        <is>
          <t>Lo que compra la publicidad en este embudo (visita, registro o entrada). Todo el modelo se mide por unidad.</t>
        </is>
      </c>
      <c r="D9" t="inlineStr">
        <is>
          <t>Modelo</t>
        </is>
      </c>
    </row>
    <row r="10" ht="30" customHeight="1">
      <c r="B10" s="4" t="inlineStr">
        <is>
          <t>Costo por unidad</t>
        </is>
      </c>
      <c r="C10" s="5" t="inlineStr">
        <is>
          <t>Inversión dividida por unidades compradas: costo por visita, CPL (costo por lead o registro) o costo por entrada.</t>
        </is>
      </c>
      <c r="D10" t="inlineStr">
        <is>
          <t>Modelo, Seguimiento</t>
        </is>
      </c>
    </row>
    <row r="11" ht="30" customHeight="1">
      <c r="B11" s="4" t="inlineStr">
        <is>
          <t>Conversión</t>
        </is>
      </c>
      <c r="C11" s="5" t="inlineStr">
        <is>
          <t>Porcentaje que pasa de una etapa a la siguiente. Las conversiones se multiplican: 15 % × 14 % × 44 % = 0,9 %.</t>
        </is>
      </c>
      <c r="D11" t="inlineStr">
        <is>
          <t>Supuestos, Modelo</t>
        </is>
      </c>
    </row>
    <row r="12" ht="30" customHeight="1">
      <c r="B12" s="4" t="inlineStr">
        <is>
          <t>Show rate</t>
        </is>
      </c>
      <c r="C12" s="5" t="inlineStr">
        <is>
          <t>Porcentaje de registrados (o compradores) que asisten en vivo. El replay se cuenta aparte.</t>
        </is>
      </c>
      <c r="D12" t="inlineStr">
        <is>
          <t>Supuestos</t>
        </is>
      </c>
    </row>
    <row r="13" ht="30" customHeight="1">
      <c r="B13" s="4" t="inlineStr">
        <is>
          <t>Bump</t>
        </is>
      </c>
      <c r="C13" s="5" t="inlineStr">
        <is>
          <t>Oferta extra en el mismo checkout, con una casilla. Se mide como % de los compradores.</t>
        </is>
      </c>
      <c r="D13" t="inlineStr">
        <is>
          <t>Supuestos</t>
        </is>
      </c>
    </row>
    <row r="14" ht="30" customHeight="1">
      <c r="B14" s="4" t="inlineStr">
        <is>
          <t>OTO / upsell</t>
        </is>
      </c>
      <c r="C14" s="5" t="inlineStr">
        <is>
          <t>Oferta que aparece después de pagar (one-time offer). Downsell: la oferta más barata para quien rechaza la OTO.</t>
        </is>
      </c>
      <c r="D14" t="inlineStr">
        <is>
          <t>Supuestos</t>
        </is>
      </c>
    </row>
    <row r="15" ht="15" customHeight="1">
      <c r="B15" s="4" t="inlineStr">
        <is>
          <t>Backend</t>
        </is>
      </c>
      <c r="C15" s="5" t="inlineStr">
        <is>
          <t>Producto de mayor valor que se vende después del primero, por ascenso o por llamada.</t>
        </is>
      </c>
      <c r="D15" t="inlineStr">
        <is>
          <t>Supuestos</t>
        </is>
      </c>
    </row>
    <row r="16" ht="15" customHeight="1">
      <c r="B16" s="4" t="inlineStr">
        <is>
          <t>AOV</t>
        </is>
      </c>
      <c r="C16" s="5" t="inlineStr">
        <is>
          <t>Facturado promedio por comprador del producto principal, sumando toda la escalera.</t>
        </is>
      </c>
      <c r="D16" t="inlineStr">
        <is>
          <t>Modelo</t>
        </is>
      </c>
    </row>
    <row r="17" ht="15" customHeight="1">
      <c r="B17" s="4" t="inlineStr">
        <is>
          <t>CPA / CAC</t>
        </is>
      </c>
      <c r="C17" s="5" t="inlineStr">
        <is>
          <t>Costo por comprador: inversión dividida por ventas del producto principal.</t>
        </is>
      </c>
      <c r="D17" t="inlineStr">
        <is>
          <t>Modelo</t>
        </is>
      </c>
    </row>
    <row r="18" ht="15" customHeight="1">
      <c r="B18" s="4" t="inlineStr">
        <is>
          <t>Facturado</t>
        </is>
      </c>
      <c r="C18" s="5" t="inlineStr">
        <is>
          <t>Lo vendido a precio de lista, aunque todavía no se haya cobrado (cuotas).</t>
        </is>
      </c>
      <c r="D18" t="inlineStr">
        <is>
          <t>Modelo</t>
        </is>
      </c>
    </row>
    <row r="19" ht="30" customHeight="1">
      <c r="B19" s="4" t="inlineStr">
        <is>
          <t>Cash cobrado</t>
        </is>
      </c>
      <c r="C19" s="5" t="inlineStr">
        <is>
          <t>Lo que efectivamente entró. Con cuotas, entra en varios meses según la curva de cobranza.</t>
        </is>
      </c>
      <c r="D19" t="inlineStr">
        <is>
          <t>Modelo, Proyección</t>
        </is>
      </c>
    </row>
    <row r="20" ht="30" customHeight="1">
      <c r="B20" s="4" t="inlineStr">
        <is>
          <t>Cash neto</t>
        </is>
      </c>
      <c r="C20" s="5" t="inlineStr">
        <is>
          <t>Cash cobrado menos comisiones de pasarela, comisiones de ventas y reembolsos. Es la base de verdad del modelo.</t>
        </is>
      </c>
      <c r="D20" t="inlineStr">
        <is>
          <t>Modelo</t>
        </is>
      </c>
    </row>
    <row r="21" ht="30" customHeight="1">
      <c r="B21" s="4" t="inlineStr">
        <is>
          <t>ROAS</t>
        </is>
      </c>
      <c r="C21" s="5" t="inlineStr">
        <is>
          <t>Retorno sobre la inversión en publicidad. Sobre facturado, sobre cash o sobre cash neto: siempre decí cuál.</t>
        </is>
      </c>
      <c r="D21" t="inlineStr">
        <is>
          <t>Modelo</t>
        </is>
      </c>
    </row>
    <row r="22" ht="30" customHeight="1">
      <c r="B22" s="4" t="inlineStr">
        <is>
          <t>Valor neto por unidad (VPU)</t>
        </is>
      </c>
      <c r="C22" s="5" t="inlineStr">
        <is>
          <t>Cash neto que deja cada unidad de adquisición, descontando los costos que crecen con el volumen. Es lo que vale un lead, una visita o una entrada.</t>
        </is>
      </c>
      <c r="D22" t="inlineStr">
        <is>
          <t>Modelo</t>
        </is>
      </c>
    </row>
    <row r="23" ht="30" customHeight="1">
      <c r="B23" s="4" t="inlineStr">
        <is>
          <t>Techo</t>
        </is>
      </c>
      <c r="C23" s="5" t="inlineStr">
        <is>
          <t>Costo por unidad al que no ganás ni perdés (break-even). Es igual al valor neto por unidad.</t>
        </is>
      </c>
      <c r="D23" t="inlineStr">
        <is>
          <t>Modelo, Seguimiento</t>
        </is>
      </c>
    </row>
    <row r="24" ht="15" customHeight="1">
      <c r="B24" s="4" t="inlineStr">
        <is>
          <t>Objetivo</t>
        </is>
      </c>
      <c r="C24" s="5" t="inlineStr">
        <is>
          <t>Techo dividido por (1 + margen de seguridad). Si pagás eso o menos, estás en verde.</t>
        </is>
      </c>
      <c r="D24" t="inlineStr">
        <is>
          <t>Modelo</t>
        </is>
      </c>
    </row>
    <row r="25" ht="30" customHeight="1">
      <c r="B25" s="4" t="inlineStr">
        <is>
          <t>Margen de seguridad</t>
        </is>
      </c>
      <c r="C25" s="5" t="inlineStr">
        <is>
          <t>Colchón entre el techo y el objetivo para absorber varianza, reembolsos y costos que no viste. 30 % es el estándar.</t>
        </is>
      </c>
      <c r="D25" t="inlineStr">
        <is>
          <t>Supuestos</t>
        </is>
      </c>
    </row>
    <row r="26" ht="60" customHeight="1">
      <c r="B26" s="4" t="inlineStr">
        <is>
          <t>Semáforo</t>
        </is>
      </c>
      <c r="C26" s="5" t="inlineStr">
        <is>
          <t>Rojo: el costo por unidad está por encima del techo (perdés con cada unidad). Verde: el costo está en el objetivo o por debajo y el ROAS sobre cash neto llega al objetivo. Amarillo: todo lo demás (el costo está entre objetivo y techo, o el ROAS no llega).</t>
        </is>
      </c>
      <c r="D26" t="inlineStr">
        <is>
          <t>Resumen, Seguimiento</t>
        </is>
      </c>
    </row>
    <row r="27" ht="30" customHeight="1">
      <c r="B27" s="4" t="inlineStr">
        <is>
          <t>Techo móvil</t>
        </is>
      </c>
      <c r="C27" s="5" t="inlineStr">
        <is>
          <t>Mediana del valor neto por unidad de tus últimas 4 columnas de Seguimiento. Es el techo que se usa para decidir, porque refleja tu rendimiento reciente.</t>
        </is>
      </c>
      <c r="D27" t="inlineStr">
        <is>
          <t>Seguimiento</t>
        </is>
      </c>
    </row>
    <row r="28" ht="30" customHeight="1">
      <c r="B28" s="4" t="inlineStr">
        <is>
          <t>Escenario</t>
        </is>
      </c>
      <c r="C28" s="5" t="inlineStr">
        <is>
          <t>Conjunto de supuestos conservador, base u optimista. Se elige con una celda en Supuestos.</t>
        </is>
      </c>
      <c r="D28" t="inlineStr">
        <is>
          <t>Supuestos</t>
        </is>
      </c>
    </row>
    <row r="29" ht="30" customHeight="1">
      <c r="B29" s="4" t="inlineStr">
        <is>
          <t>Sensibilidad</t>
        </is>
      </c>
      <c r="C29" s="5" t="inlineStr">
        <is>
          <t>Cuánto cambia la ganancia si mejorás una sola variable un 10 %. Dice qué palanca trabajar primero.</t>
        </is>
      </c>
      <c r="D29" t="inlineStr">
        <is>
          <t>Sensibilidad</t>
        </is>
      </c>
    </row>
    <row r="30" ht="45" customHeight="1">
      <c r="B30" s="4" t="inlineStr">
        <is>
          <t>Ganancia por visita / por lead / por cliente</t>
        </is>
      </c>
      <c r="C30" s="5" t="inlineStr">
        <is>
          <t>La ganancia del período dividida por la cantidad de ese paso. Es la otra cara del costo por paso. La ganancia por visita es la métrica que más vale: resume todo lo que pasa después de la página.</t>
        </is>
      </c>
      <c r="D30" t="inlineStr">
        <is>
          <t>Modelo, Embudo</t>
        </is>
      </c>
    </row>
    <row r="31" ht="30" customHeight="1">
      <c r="B31" s="4" t="inlineStr">
        <is>
          <t>Order value (AOV)</t>
        </is>
      </c>
      <c r="C31" s="5" t="inlineStr">
        <is>
          <t>Facturado promedio por comprador del principal sumando toda la escalera. El AOV neto es lo mismo después de comisiones y reembolsos, y su par es el CPA.</t>
        </is>
      </c>
      <c r="D31" t="inlineStr">
        <is>
          <t>Modelo</t>
        </is>
      </c>
    </row>
    <row r="32" ht="45" customHeight="1">
      <c r="B32" s="4" t="inlineStr">
        <is>
          <t>Caja necesaria</t>
        </is>
      </c>
      <c r="C32" s="5" t="inlineStr">
        <is>
          <t>El peor momento de la ganancia acumulada en la proyección, en positivo. Es la plata que necesitás tener para no frenar la pauta mientras cobrás. Si da 0, el embudo se autofinancia.</t>
        </is>
      </c>
      <c r="D32" t="inlineStr">
        <is>
          <t>Proyección</t>
        </is>
      </c>
    </row>
    <row r="33" ht="30" customHeight="1">
      <c r="B33" s="4" t="inlineStr">
        <is>
          <t>Unit economics</t>
        </is>
      </c>
      <c r="C33" s="5" t="inlineStr">
        <is>
          <t>Los números por unidad: cuánto cuesta y cuánto deja cada visita, registro, entrada o comprador.</t>
        </is>
      </c>
      <c r="D33" t="inlineStr">
        <is>
          <t>Resumen</t>
        </is>
      </c>
    </row>
    <row r="34" ht="30" customHeight="1">
      <c r="B34" s="4" t="inlineStr">
        <is>
          <t>Tráfico frío</t>
        </is>
      </c>
      <c r="C34" s="5" t="inlineStr">
        <is>
          <t>Gente que no te conoce y llega desde un anuncio. Convierte menos que tu audiencia propia.</t>
        </is>
      </c>
      <c r="D34" t="inlineStr">
        <is>
          <t>Benchmarks</t>
        </is>
      </c>
    </row>
    <row r="35" ht="30" customHeight="1">
      <c r="B35" s="4" t="inlineStr">
        <is>
          <t>Front / producto principal</t>
        </is>
      </c>
      <c r="C35" s="5" t="inlineStr">
        <is>
          <t>El primer producto que se vende en el embudo. Todo lo demás (bumps, OTOs, programa) se mide como % de sus compradores.</t>
        </is>
      </c>
      <c r="D35" t="inlineStr">
        <is>
          <t>Supuestos</t>
        </is>
      </c>
    </row>
    <row r="36" ht="15" customHeight="1">
      <c r="B36" s="4" t="inlineStr">
        <is>
          <t>Pitch</t>
        </is>
      </c>
      <c r="C36" s="5" t="inlineStr">
        <is>
          <t>La parte del webinar o la llamada donde se presenta la oferta.</t>
        </is>
      </c>
      <c r="D36" t="inlineStr">
        <is>
          <t>Inicio</t>
        </is>
      </c>
    </row>
    <row r="37" ht="15" customHeight="1">
      <c r="B37" s="4" t="inlineStr">
        <is>
          <t>VSL</t>
        </is>
      </c>
      <c r="C37" s="5" t="inlineStr">
        <is>
          <t>Video de ventas: la página de ventas es un video largo que vende el producto.</t>
        </is>
      </c>
      <c r="D37" t="inlineStr">
        <is>
          <t>Supuestos</t>
        </is>
      </c>
    </row>
    <row r="38" ht="30" customHeight="1">
      <c r="B38" s="4" t="inlineStr">
        <is>
          <t>B2B</t>
        </is>
      </c>
      <c r="C38" s="5" t="inlineStr">
        <is>
          <t>Negocios que venden a empresas. Sus benchmarks de asistencia son más altos que los de tráfico frío a personas.</t>
        </is>
      </c>
      <c r="D38" t="inlineStr">
        <is>
          <t>Benchmarks</t>
        </is>
      </c>
    </row>
    <row r="39" ht="15" customHeight="1">
      <c r="B39" s="4" t="inlineStr">
        <is>
          <t>Self-serve</t>
        </is>
      </c>
      <c r="C39" s="5" t="inlineStr">
        <is>
          <t>Venta sin llamada: la persona compra sola desde una página de pago.</t>
        </is>
      </c>
      <c r="D39" t="inlineStr">
        <is>
          <t>Supuestos</t>
        </is>
      </c>
    </row>
    <row r="40" ht="30" customHeight="1">
      <c r="B40" s="4" t="inlineStr">
        <is>
          <t>OTO 1 a 4</t>
        </is>
      </c>
      <c r="C40" s="5" t="inlineStr">
        <is>
          <t>La secuencia de hasta cuatro páginas después del pago: upsell, downsell, upsell, downsell. Cada una se mide como % de los compradores del principal.</t>
        </is>
      </c>
      <c r="D40" t="inlineStr">
        <is>
          <t>Supuestos</t>
        </is>
      </c>
    </row>
    <row r="41" ht="30" customHeight="1">
      <c r="B41" s="4" t="inlineStr">
        <is>
          <t>Ascensión</t>
        </is>
      </c>
      <c r="C41" s="5" t="inlineStr">
        <is>
          <t>El upsell de mayor valor que se ofrece después del embudo (un programa de 300 a 1.000 USD), por checkout o por llamada.</t>
        </is>
      </c>
      <c r="D41" t="inlineStr">
        <is>
          <t>Supuestos</t>
        </is>
      </c>
    </row>
  </sheetData>
  <pageMargins left="0.75" right="0.75" top="1" bottom="1" header="0.5" footer="0.5"/>
  <headerFooter>
    <oddHeader>&amp;CJesús Tassarolo · TooAudience&amp;R&amp;D</oddHeader>
    <oddFooter>&amp;LModelo financiero de embudos · creado por Jesús Tassarolo · TooAudience · youtube.com/@JesusTassaroloSinFiltro&amp;C&amp;7 Modelo financiero de embudos · creado por Jesús Tassarolo · TooAudience · youtube.com/@JesusTassaroloSinFiltro&amp;RPágina &amp;P de &amp;N</oddFooter>
    <evenHeader>&amp;CJesús Tassarolo · TooAudience</evenHeader>
    <evenFooter>&amp;LModelo financiero de embudos · creado por Jesús Tassarolo · TooAudience · youtube.com/@JesusTassaroloSinFiltro&amp;C&amp;7 Modelo financiero de embudos · creado por Jesús Tassarolo · TooAudience · youtube.com/@JesusTassaroloSinFiltro&amp;RPágina &amp;P de &amp;N</evenFooter>
    <firstHeader/>
    <firstFooter/>
  </headerFooter>
</worksheet>
</file>

<file path=xl/worksheets/sheet12.xml><?xml version="1.0" encoding="utf-8"?>
<worksheet xmlns="http://schemas.openxmlformats.org/spreadsheetml/2006/main">
  <sheetPr>
    <outlinePr summaryBelow="1" summaryRight="1"/>
    <pageSetUpPr/>
  </sheetPr>
  <dimension ref="A1:D23"/>
  <sheetViews>
    <sheetView showGridLines="0" workbookViewId="0">
      <selection activeCell="A1" sqref="A1"/>
    </sheetView>
  </sheetViews>
  <sheetFormatPr baseColWidth="8" defaultRowHeight="15"/>
  <cols>
    <col width="2" customWidth="1" min="1" max="1"/>
    <col width="70" customWidth="1" min="2" max="2"/>
    <col width="14" customWidth="1" min="3" max="3"/>
    <col width="60" customWidth="1" min="4" max="4"/>
  </cols>
  <sheetData>
    <row r="1">
      <c r="B1" s="1" t="inlineStr">
        <is>
          <t>© Jesús Tassarolo · TooAudience · youtube.com/@JesusTassaroloSinFiltro · uso personal; no redistribuir modificado</t>
        </is>
      </c>
    </row>
    <row r="2">
      <c r="B2" s="2" t="inlineStr">
        <is>
          <t>Chequeos: el modelo se revisa solo</t>
        </is>
      </c>
    </row>
    <row r="3">
      <c r="B3" s="3" t="inlineStr">
        <is>
          <t>Si alguna fila dice REVISAR, hay un supuesto fuera de rango o un dato inconsistente.</t>
        </is>
      </c>
    </row>
    <row r="5">
      <c r="B5" s="6" t="inlineStr">
        <is>
          <t>Chequeo</t>
        </is>
      </c>
      <c r="C5" s="6" t="inlineStr">
        <is>
          <t>Estado</t>
        </is>
      </c>
      <c r="D5" s="6" t="inlineStr">
        <is>
          <t>Qué revisar</t>
        </is>
      </c>
    </row>
    <row r="6">
      <c r="B6" t="inlineStr">
        <is>
          <t>Ninguna celda con error en Modelo</t>
        </is>
      </c>
      <c r="C6" s="36">
        <f>IF(ISERROR(SUM('Modelo'!C5:C160)),"REVISAR","OK")</f>
        <v/>
      </c>
      <c r="D6" s="5" t="inlineStr">
        <is>
          <t>Si dice REVISAR, hay un #DIV/0! o #REF!: casi siempre un supuesto en 0 o una fila borrada.</t>
        </is>
      </c>
    </row>
    <row r="7">
      <c r="B7" t="inlineStr">
        <is>
          <t>Ninguna celda con error en Embudo</t>
        </is>
      </c>
      <c r="C7" s="36">
        <f>IF(ISERROR(SUM('Embudo'!C5:H60)),"REVISAR","OK")</f>
        <v/>
      </c>
      <c r="D7" s="5" t="inlineStr">
        <is>
          <t>Si dice REVISAR, hay un #DIV/0! o #REF!: casi siempre un supuesto en 0 o una fila borrada.</t>
        </is>
      </c>
    </row>
    <row r="8">
      <c r="B8" t="inlineStr">
        <is>
          <t>Ninguna celda con error en Resumen</t>
        </is>
      </c>
      <c r="C8" s="36">
        <f>IF(ISERROR(SUM('Resumen'!C5:C60)),"REVISAR","OK")</f>
        <v/>
      </c>
      <c r="D8" s="5" t="inlineStr">
        <is>
          <t>Si dice REVISAR, hay un #DIV/0! o #REF!: casi siempre un supuesto en 0 o una fila borrada.</t>
        </is>
      </c>
    </row>
    <row r="9">
      <c r="B9" t="inlineStr">
        <is>
          <t>Ninguna celda con error en Proyección 12 meses</t>
        </is>
      </c>
      <c r="C9" s="36">
        <f>IF(ISERROR(SUM('Proyección 12 meses'!C5:O40)),"REVISAR","OK")</f>
        <v/>
      </c>
      <c r="D9" s="5" t="inlineStr">
        <is>
          <t>Si dice REVISAR, hay un #DIV/0! o #REF!: casi siempre un supuesto en 0 o una fila borrada.</t>
        </is>
      </c>
    </row>
    <row r="10">
      <c r="B10" t="inlineStr">
        <is>
          <t>Ninguna celda con error en Escenarios</t>
        </is>
      </c>
      <c r="C10" s="36">
        <f>IF(ISERROR(SUM('Escenarios'!C5:L120)),"REVISAR","OK")</f>
        <v/>
      </c>
      <c r="D10" s="5" t="inlineStr">
        <is>
          <t>Si dice REVISAR, hay un #DIV/0! o #REF!: casi siempre un supuesto en 0 o una fila borrada.</t>
        </is>
      </c>
    </row>
    <row r="11">
      <c r="B11" t="inlineStr">
        <is>
          <t>Ninguna celda con error en Seguimiento</t>
        </is>
      </c>
      <c r="C11" s="36">
        <f>IF(ISERROR(SUM('Seguimiento'!C5:Q80)),"REVISAR","OK")</f>
        <v/>
      </c>
      <c r="D11" s="5" t="inlineStr">
        <is>
          <t>Si dice REVISAR, hay un #DIV/0! o #REF!: casi siempre un supuesto en 0 o una fila borrada.</t>
        </is>
      </c>
    </row>
    <row r="12">
      <c r="B12" t="inlineStr">
        <is>
          <t>Los supuestos de tráfico son mayores a cero</t>
        </is>
      </c>
      <c r="C12" s="36">
        <f>IF(AND('Supuestos'!$C$9&gt;0,'Supuestos'!$C$12&gt;0,'Supuestos'!$C$13&gt;0),"OK","REVISAR")</f>
        <v/>
      </c>
      <c r="D12" s="5" t="inlineStr">
        <is>
          <t>Con un 0 en el tráfico o en la conversión de la página no hay unidades y el modelo no dice nada.</t>
        </is>
      </c>
    </row>
    <row r="13">
      <c r="B13" t="inlineStr">
        <is>
          <t>La curva de cobranza suma 100 %</t>
        </is>
      </c>
      <c r="C13" s="36">
        <f>IF(ABS('Supuestos'!$C$40+'Supuestos'!$C$41+'Supuestos'!$C$42-1)&lt;0.001,"OK","REVISAR")</f>
        <v/>
      </c>
      <c r="D13" s="5" t="inlineStr">
        <is>
          <t>Supuestos → cobranza mes 1 + mes 2 + mes 3 = 100 %.</t>
        </is>
      </c>
    </row>
    <row r="14">
      <c r="B14" t="inlineStr">
        <is>
          <t>Comisiones + reembolsos menores al 60 %</t>
        </is>
      </c>
      <c r="C14" s="36">
        <f>IF(('Supuestos'!$C$33+'Supuestos'!$C$34+'Supuestos'!$C$35)&lt;0.6,"OK","REVISAR")</f>
        <v/>
      </c>
      <c r="D14" s="5" t="inlineStr">
        <is>
          <t>Si suman más, revisá los porcentajes.</t>
        </is>
      </c>
    </row>
    <row r="15">
      <c r="B15" t="inlineStr">
        <is>
          <t>El escenario en uso es 1, 2 o 3</t>
        </is>
      </c>
      <c r="C15" s="36">
        <f>IF(OR('Supuestos'!$C$6=1,'Supuestos'!$C$6=2,'Supuestos'!$C$6=3),"OK","REVISAR")</f>
        <v/>
      </c>
      <c r="D15" s="5" t="inlineStr">
        <is>
          <t>Supuestos → celda 'Escenario en uso'.</t>
        </is>
      </c>
    </row>
    <row r="16">
      <c r="B16" t="inlineStr">
        <is>
          <t>La inversión es mayor a cero</t>
        </is>
      </c>
      <c r="C16" s="36">
        <f>IF('Supuestos'!$C$8&gt;0,"OK","REVISAR")</f>
        <v/>
      </c>
      <c r="D16" s="5" t="inlineStr"/>
    </row>
    <row r="17">
      <c r="B17" t="inlineStr">
        <is>
          <t>La meta de ventas es alcanzable (hay conversión a venta)</t>
        </is>
      </c>
      <c r="C17" s="36">
        <f>IF('Modelo'!$C$11&gt;0,"OK","REVISAR")</f>
        <v/>
      </c>
      <c r="D17" s="5" t="inlineStr">
        <is>
          <t>Con conversión a venta en 0, la inversión para la meta dice 'inalcanzable con estos supuestos'.</t>
        </is>
      </c>
    </row>
    <row r="18">
      <c r="B18" t="inlineStr">
        <is>
          <t>Las conversiones están entre 0 y 100 %</t>
        </is>
      </c>
      <c r="C18" s="36">
        <f>IF(AND('Supuestos'!$C$12&gt;=0,'Supuestos'!$C$12&lt;=1,'Supuestos'!$C$13&gt;=0,'Supuestos'!$C$13&lt;=1,'Supuestos'!$C$18&gt;=0,'Supuestos'!$C$18&lt;=1,'Supuestos'!$C$20&gt;=0,'Supuestos'!$C$20&lt;=1,'Supuestos'!$C$22&gt;=0,'Supuestos'!$C$22&lt;=1,'Supuestos'!$C$24&gt;=0,'Supuestos'!$C$24&lt;=1,'Supuestos'!$C$26&gt;=0,'Supuestos'!$C$26&lt;=1,'Supuestos'!$C$28&gt;=0,'Supuestos'!$C$28&lt;=1,'Supuestos'!$C$30&gt;=0,'Supuestos'!$C$30&lt;=1),"OK","REVISAR")</f>
        <v/>
      </c>
      <c r="D18" s="5" t="inlineStr">
        <is>
          <t>Un 25 % se escribe 25 % (o 0,25), no 25.</t>
        </is>
      </c>
    </row>
    <row r="19">
      <c r="B19" t="inlineStr">
        <is>
          <t>El margen de seguridad está entre 0 y 100 %</t>
        </is>
      </c>
      <c r="C19" s="36">
        <f>IF(AND('Supuestos'!$C$46&gt;=0,'Supuestos'!$C$46&lt;=1),"OK","REVISAR")</f>
        <v/>
      </c>
      <c r="D19" s="5" t="inlineStr"/>
    </row>
    <row r="20">
      <c r="B20" t="inlineStr">
        <is>
          <t>El crecimiento mensual está entre −50 % y 100 %</t>
        </is>
      </c>
      <c r="C20" s="36">
        <f>IF(AND('Supuestos'!$C$48&gt;=-0.5,'Supuestos'!$C$48&lt;=1),"OK","REVISAR")</f>
        <v/>
      </c>
      <c r="D20" s="5" t="inlineStr">
        <is>
          <t>Más de 100 % por mes no es realista para una proyección.</t>
        </is>
      </c>
    </row>
    <row r="21">
      <c r="B21" t="inlineStr">
        <is>
          <t>La cadena es decreciente (cada etapa tiene menos gente que la anterior)</t>
        </is>
      </c>
      <c r="C21" s="36">
        <f>IF(AND('Modelo'!$C$9&lt;='Modelo'!$C$8,'Modelo'!$C$10&lt;='Modelo'!$C$9),"OK","REVISAR")</f>
        <v/>
      </c>
      <c r="D21" s="5" t="inlineStr">
        <is>
          <t>Si falla, alguna conversión está por encima de 100 %.</t>
        </is>
      </c>
    </row>
    <row r="23">
      <c r="B23" s="4" t="inlineStr">
        <is>
          <t>Estado general del modelo</t>
        </is>
      </c>
      <c r="C23" s="37">
        <f>IF(COUNTIF(C6:C21,"REVISAR")=0,"OK","REVISAR")</f>
        <v/>
      </c>
    </row>
  </sheetData>
  <conditionalFormatting sqref="C6:C23">
    <cfRule type="cellIs" priority="1" operator="equal" dxfId="0">
      <formula>"OK"</formula>
    </cfRule>
    <cfRule type="cellIs" priority="2" operator="equal" dxfId="2">
      <formula>"REVISAR"</formula>
    </cfRule>
  </conditionalFormatting>
  <pageMargins left="0.75" right="0.75" top="1" bottom="1" header="0.5" footer="0.5"/>
  <headerFooter>
    <oddHeader>&amp;CJesús Tassarolo · TooAudience&amp;R&amp;D</oddHeader>
    <oddFooter>&amp;LModelo financiero de embudos · creado por Jesús Tassarolo · TooAudience · youtube.com/@JesusTassaroloSinFiltro&amp;C&amp;7 Modelo financiero de embudos · creado por Jesús Tassarolo · TooAudience · youtube.com/@JesusTassaroloSinFiltro&amp;RPágina &amp;P de &amp;N</oddFooter>
    <evenHeader>&amp;CJesús Tassarolo · TooAudience</evenHeader>
    <evenFooter>&amp;LModelo financiero de embudos · creado por Jesús Tassarolo · TooAudience · youtube.com/@JesusTassaroloSinFiltro&amp;C&amp;7 Modelo financiero de embudos · creado por Jesús Tassarolo · TooAudience · youtube.com/@JesusTassaroloSinFiltro&amp;RPágina &amp;P de &amp;N</evenFooter>
    <firstHeader/>
    <firstFooter/>
  </headerFooter>
</worksheet>
</file>

<file path=xl/worksheets/sheet13.xml><?xml version="1.0" encoding="utf-8"?>
<worksheet xmlns="http://schemas.openxmlformats.org/spreadsheetml/2006/main">
  <sheetPr>
    <tabColor rgb="001F3864"/>
    <outlinePr summaryBelow="1" summaryRight="1"/>
    <pageSetUpPr/>
  </sheetPr>
  <dimension ref="B2:B11"/>
  <sheetViews>
    <sheetView workbookViewId="0">
      <selection activeCell="A1" sqref="A1"/>
    </sheetView>
  </sheetViews>
  <sheetFormatPr baseColWidth="8" defaultRowHeight="15"/>
  <cols>
    <col width="3" customWidth="1" min="1" max="1"/>
    <col width="120" customWidth="1" min="2" max="2"/>
  </cols>
  <sheetData>
    <row r="2">
      <c r="B2" s="2" t="inlineStr">
        <is>
          <t>Autoría y licencia</t>
        </is>
      </c>
    </row>
    <row r="4">
      <c r="B4" s="5" t="inlineStr">
        <is>
          <t>Modelo financiero · Embudo low-ticket con bumps y upsells</t>
        </is>
      </c>
    </row>
    <row r="5">
      <c r="B5" s="5" t="inlineStr">
        <is>
          <t>Modelo financiero de embudos · creado por Jesús Tassarolo · TooAudience · youtube.com/@JesusTassaroloSinFiltro</t>
        </is>
      </c>
    </row>
    <row r="6">
      <c r="B6" s="5" t="inlineStr">
        <is>
          <t>v1.2 · octubre 2026</t>
        </is>
      </c>
    </row>
    <row r="7">
      <c r="B7" s="5" t="inlineStr"/>
    </row>
    <row r="8">
      <c r="B8" s="5" t="inlineStr">
        <is>
          <t>Licencia Creative Commons BY-NC-ND 4.0: podés usar este archivo con tus números y compartirlo tal cual, citando al autor. No podés venderlo, modificar su estructura para redistribuirlo ni quitar la línea de autoría.</t>
        </is>
      </c>
    </row>
    <row r="9">
      <c r="B9" s="5" t="inlineStr"/>
    </row>
    <row r="10">
      <c r="B10" s="5" t="inlineStr">
        <is>
          <t>Este archivo, sus fórmulas, sus umbrales y su método son obra de Jesús Tassarolo (TooAudience). Si lo compartís, compartilo entero y con esta hoja.</t>
        </is>
      </c>
    </row>
    <row r="11">
      <c r="B11" s="5" t="inlineStr">
        <is>
          <t>Canal: youtube.com/@JesusTassaroloSinFiltro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Jesús Tassarolo</dc:creator>
  <dc:title xmlns:dc="http://purl.org/dc/elements/1.1/">Modelo financiero · Embudo low-ticket con bumps y upsells</dc:title>
  <dc:description xmlns:dc="http://purl.org/dc/elements/1.1/">Modelo financiero de embudos · creado por Jesús Tassarolo · TooAudience · youtube.com/@JesusTassaroloSinFiltro · Licencia Creative Commons BY-NC-ND 4.0: podés usar este archivo con tus números y compartirlo tal cual, citando al autor. No podés venderlo, modificar su estructura para redistribuirlo ni quitar la línea de autoría. · v1.2 · octubre 2026</dc:description>
  <dc:subject xmlns:dc="http://purl.org/dc/elements/1.1/">Modelo financiero de embudos · Jesús Tassarolo · TooAudience</dc:subject>
  <dcterms:created xmlns:dcterms="http://purl.org/dc/terms/" xmlns:xsi="http://www.w3.org/2001/XMLSchema-instance" xsi:type="dcterms:W3CDTF">2026-10-02T16:02:42Z</dcterms:created>
  <dcterms:modified xmlns:dcterms="http://purl.org/dc/terms/" xmlns:xsi="http://www.w3.org/2001/XMLSchema-instance" xsi:type="dcterms:W3CDTF">2026-10-02T16:02:42Z</dcterms:modified>
  <cp:lastModifiedBy>Jesús Tassarolo</cp:lastModifiedBy>
  <cp:category>TooAudience · Mastermind</cp:category>
  <cp:keywords>Jesús Tassarolo, TooAudience, modelo financiero, embudos, mastermind</cp:keywords>
</cp:coreProperties>
</file>

<file path=docProps/custom.xml><?xml version="1.0" encoding="utf-8"?>
<Properties xmlns="http://schemas.openxmlformats.org/officeDocument/2006/custom-properties">
  <property name="Autor" fmtid="{D5CDD505-2E9C-101B-9397-08002B2CF9AE}" pid="2">
    <vt:lpwstr xmlns:vt="http://schemas.openxmlformats.org/officeDocument/2006/docPropsVTypes">Jesús Tassarolo</vt:lpwstr>
  </property>
  <property name="Marca" fmtid="{D5CDD505-2E9C-101B-9397-08002B2CF9AE}" pid="3">
    <vt:lpwstr xmlns:vt="http://schemas.openxmlformats.org/officeDocument/2006/docPropsVTypes">Modelo financiero de embudos · creado por Jesús Tassarolo · TooAudience · youtube.com/@JesusTassaroloSinFiltro</vt:lpwstr>
  </property>
  <property name="Licencia" fmtid="{D5CDD505-2E9C-101B-9397-08002B2CF9AE}" pid="4">
    <vt:lpwstr xmlns:vt="http://schemas.openxmlformats.org/officeDocument/2006/docPropsVTypes">CC BY-NC-ND 4.0</vt:lpwstr>
  </property>
  <property name="YouTube" fmtid="{D5CDD505-2E9C-101B-9397-08002B2CF9AE}" pid="5">
    <vt:lpwstr xmlns:vt="http://schemas.openxmlformats.org/officeDocument/2006/docPropsVTypes">youtube.com/@JesusTassaroloSinFiltro</vt:lpwstr>
  </property>
  <property name="Version" fmtid="{D5CDD505-2E9C-101B-9397-08002B2CF9AE}" pid="6">
    <vt:lpwstr xmlns:vt="http://schemas.openxmlformats.org/officeDocument/2006/docPropsVTypes">v1.2 · octubre 2026</vt:lpwstr>
  </property>
</Properties>
</file>